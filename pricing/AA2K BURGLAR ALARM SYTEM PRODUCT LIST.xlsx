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JAX" sheetId="1" r:id="rId4"/>
    <sheet state="visible" name="PARADOX" sheetId="2" r:id="rId5"/>
    <sheet state="visible" name="PARADOX PACKAGE, di me sigurado" sheetId="3" r:id="rId6"/>
    <sheet state="visible" name="AJAX old price" sheetId="4" r:id="rId7"/>
  </sheets>
  <definedNames/>
  <calcPr/>
  <extLst>
    <ext uri="GoogleSheetsCustomDataVersion2">
      <go:sheetsCustomData xmlns:go="http://customooxmlschemas.google.com/" r:id="rId8" roundtripDataChecksum="jYqJovCWgwiZladABneeGPr2a1JQVC+HXaj1wwV6qBQ="/>
    </ext>
  </extLst>
</workbook>
</file>

<file path=xl/sharedStrings.xml><?xml version="1.0" encoding="utf-8"?>
<sst xmlns="http://schemas.openxmlformats.org/spreadsheetml/2006/main" count="1820" uniqueCount="494">
  <si>
    <t>CATEGORY</t>
  </si>
  <si>
    <t>TYPE</t>
  </si>
  <si>
    <t>MODEL</t>
  </si>
  <si>
    <r>
      <rPr>
        <rFont val="Arial"/>
        <b/>
        <color theme="1"/>
        <sz val="8.0"/>
      </rPr>
      <t xml:space="preserve">ITEM DESCRIPTION
</t>
    </r>
    <r>
      <rPr>
        <rFont val="Arial"/>
        <b/>
        <color rgb="FFFF0000"/>
        <sz val="6.0"/>
      </rPr>
      <t>Note:</t>
    </r>
    <r>
      <rPr>
        <rFont val="Arial"/>
        <b/>
        <color theme="1"/>
        <sz val="6.0"/>
      </rPr>
      <t xml:space="preserve"> These items were from International Suppliers, KINDLY CONSIDER THE COST OF SHIPPING FROM INTERNATIONAL PER ITEM.</t>
    </r>
  </si>
  <si>
    <t>PURCHASE AMOUNT (IN DOLLAR)</t>
  </si>
  <si>
    <t>PURCHASE AMOUNT (IN PESO) Rate of 62.00</t>
  </si>
  <si>
    <t>Last Price Update Date</t>
  </si>
  <si>
    <t xml:space="preserve">Sub Distributor  Price             </t>
  </si>
  <si>
    <t xml:space="preserve">Dealers Price </t>
  </si>
  <si>
    <t>SRP RESELLER(120%)</t>
  </si>
  <si>
    <t>REMARKS</t>
  </si>
  <si>
    <t>ACTUAL PRICE IN PESO</t>
  </si>
  <si>
    <r>
      <rPr>
        <rFont val="Arial"/>
        <b/>
        <color rgb="FF000000"/>
        <sz val="7.0"/>
      </rPr>
      <t xml:space="preserve">SHIPPING COST PER ITEM INCLUSIVE OF DUTIES AND TAXES </t>
    </r>
    <r>
      <rPr>
        <rFont val="Arial"/>
        <b/>
        <color rgb="FF000000"/>
        <sz val="7.0"/>
      </rPr>
      <t>(FORWARDER'S COST BASED)</t>
    </r>
  </si>
  <si>
    <t>ACTUAL PRICE W/ SF IN PESO</t>
  </si>
  <si>
    <t>SRP 120%</t>
  </si>
  <si>
    <t>Shipping Cost Per Item inclusive of Taxes and Duties</t>
  </si>
  <si>
    <t>Base Price                                                         (in DOLLAR)</t>
  </si>
  <si>
    <t>Base Price                                                                (in PESO)                                           Rate of 60.00</t>
  </si>
  <si>
    <t>EBAY 1</t>
  </si>
  <si>
    <t>EBAY 2</t>
  </si>
  <si>
    <t>EBAY 3</t>
  </si>
  <si>
    <t>Average Market Price (Online)</t>
  </si>
  <si>
    <t>SRP (AMP + 15% Store Cost + Shipping w/ Taxes &amp; Duties)</t>
  </si>
  <si>
    <t>SRP                         (in PESO)</t>
  </si>
  <si>
    <t>Profit Margin ($)</t>
  </si>
  <si>
    <t>Profit Margin (%)</t>
  </si>
  <si>
    <t>SRP END USER</t>
  </si>
  <si>
    <t xml:space="preserve">NEW Sub Distributor  Price             </t>
  </si>
  <si>
    <t>SDP %</t>
  </si>
  <si>
    <t>DP %</t>
  </si>
  <si>
    <t>SRP</t>
  </si>
  <si>
    <t>QTY STOCK ARRIVED</t>
  </si>
  <si>
    <t xml:space="preserve">TOTAL SHIPPING COST </t>
  </si>
  <si>
    <t>SF PER ITEM OF 518 QTY</t>
  </si>
  <si>
    <t>NOT INCLUDED QTY IN THE SHIPPING COST</t>
  </si>
  <si>
    <t>ADDITIONAL SF</t>
  </si>
  <si>
    <t>GRAND TOTAL OF SHIPPING COST FOR 535 UNITS</t>
  </si>
  <si>
    <t>SF PER ITEM OF 535 QTY</t>
  </si>
  <si>
    <t>Burglar Alarm Sytem</t>
  </si>
  <si>
    <t>Kits</t>
  </si>
  <si>
    <t>STARTERKIT</t>
  </si>
  <si>
    <t>AJAX Hub + MotionProtect + DoorProtect + SpaceControl</t>
  </si>
  <si>
    <t>encoded at kingdee</t>
  </si>
  <si>
    <t>STARTERKIT-PLUS</t>
  </si>
  <si>
    <t>AJAX Hub Plus + MotionProtect + DoorProtect + SpaceControl</t>
  </si>
  <si>
    <t>STARTERKIT-CAM</t>
  </si>
  <si>
    <t>AJAX Hub 2 + MotionCam + DoorProtect + SpaceControl</t>
  </si>
  <si>
    <t>STARTERKIT-CAM-PLUS</t>
  </si>
  <si>
    <t>AJAX Hub 2 Plus + MotionCam + DoorProtect + SpaceControl</t>
  </si>
  <si>
    <t>Device</t>
  </si>
  <si>
    <t>HUB</t>
  </si>
  <si>
    <t>AJAX Control panel (SIM 2G, Ethernet)</t>
  </si>
  <si>
    <t>HUB-PLUS</t>
  </si>
  <si>
    <t>AJAX Advanced control panel (2xSIM, 3G/2G, Ethernet, Wi-Fi)</t>
  </si>
  <si>
    <t>HUB-2</t>
  </si>
  <si>
    <t>AJAX Control panel with alarm photo verification support (2xSIM 2G, Ethernet)</t>
  </si>
  <si>
    <t>HUB-2(4G)</t>
  </si>
  <si>
    <t xml:space="preserve">AJAX Security control panel with alarm photo verification support </t>
  </si>
  <si>
    <t>HUB-2-PLUS</t>
  </si>
  <si>
    <t>AJAX Advanced control panel with alarm photo verification support 
 (2xSIM, 4G/3G/2G, Ethernet, Wi-Fi)</t>
  </si>
  <si>
    <t>REX</t>
  </si>
  <si>
    <t>AJAX Radio signal range extender</t>
  </si>
  <si>
    <t>REX 2</t>
  </si>
  <si>
    <t>AJAX Radio signal range extender with alarm photo verification support</t>
  </si>
  <si>
    <t>SPACECONTROL</t>
  </si>
  <si>
    <t>AJAX Two-way wireless key fob with panic button</t>
  </si>
  <si>
    <t>DOORPROTECT</t>
  </si>
  <si>
    <t>AJAX Wireless magnetic opening detector</t>
  </si>
  <si>
    <t>DOORPROTECT-PLUS</t>
  </si>
  <si>
    <t>AJAX Wireless magnetic opening detector with shock and tilt sensor</t>
  </si>
  <si>
    <t>MOTIONPROTECT</t>
  </si>
  <si>
    <t>AJAX Wireless pet immune motion detector</t>
  </si>
  <si>
    <t>MOTIONPROTECT-PLUS</t>
  </si>
  <si>
    <t>AJAX Wireless pet immune motion detector with microwave sensor</t>
  </si>
  <si>
    <t>MOTIONPROTECT-OUTDOOR</t>
  </si>
  <si>
    <t>AJAX Wireless outdoor motion detector with anti-masking and pet immunity</t>
  </si>
  <si>
    <t>HOOD-FOR-MPO</t>
  </si>
  <si>
    <t>AJAX Hood for MotionProtect Outdoor protects sensors of the antimasking system from rain and snow to prevent false alarms</t>
  </si>
  <si>
    <t>MOTIONCAM-OUTDOOR</t>
  </si>
  <si>
    <t>AJAX Wireless outdoor motion detector with visual alarm verification, antimasking, and pet immunity</t>
  </si>
  <si>
    <t>DUALCURTAIN-OUTDOOR</t>
  </si>
  <si>
    <t>AJAX Wireless outdoor dual-side curtain-type motion detector with antimasking and pet immunity</t>
  </si>
  <si>
    <t>MOTIONPROTECT-CURTAIN</t>
  </si>
  <si>
    <t>AJAX Wireless indoor curtain motion detector</t>
  </si>
  <si>
    <t>COMBIPROTECT</t>
  </si>
  <si>
    <t>AJAX Wireless motion and glass break detector with pet immunity</t>
  </si>
  <si>
    <t>GLASSPROTECT</t>
  </si>
  <si>
    <t>AJAX Wireless glass break detector</t>
  </si>
  <si>
    <t>MOTIONCAM</t>
  </si>
  <si>
    <t>AJAX Wireless motion detector with visual alarm verification and pet immunity</t>
  </si>
  <si>
    <t>STREETSIREN</t>
  </si>
  <si>
    <t>AJAX Wireless outdoor siren</t>
  </si>
  <si>
    <t>HOME SIREN</t>
  </si>
  <si>
    <t>AJAX Wireless indoor siren</t>
  </si>
  <si>
    <t>STREETSIREN-DOUBLEDECK</t>
  </si>
  <si>
    <t xml:space="preserve">AJAX Outdoor Siren with a spot for a customizable Brandplate </t>
  </si>
  <si>
    <t>BATCH-OF-SS-DD-BRANDPLATES(10PCS)</t>
  </si>
  <si>
    <t xml:space="preserve">AJAX Cover for StreetSiren DoubleDeck </t>
  </si>
  <si>
    <t>LEAKSPROTECT</t>
  </si>
  <si>
    <t>AJAX Wireless flood detector</t>
  </si>
  <si>
    <t>FIREPROTECT</t>
  </si>
  <si>
    <t>AJAX Wireless smoke and heat detector with sounder</t>
  </si>
  <si>
    <t>FIREPROTECT-PLUS</t>
  </si>
  <si>
    <t>AJAX Wireless smoke, heat, and carbon monoxide detector with sounder</t>
  </si>
  <si>
    <t>KEYPAD</t>
  </si>
  <si>
    <t>AJAX Two-way wireless keypad</t>
  </si>
  <si>
    <t>KEYPAD-PLUS</t>
  </si>
  <si>
    <t>AJAX Wireless touch keypad supporting contactless cards and tags</t>
  </si>
  <si>
    <t>BATCH-OF-PASS(3PCS)</t>
  </si>
  <si>
    <t>AJAX Contactless card</t>
  </si>
  <si>
    <t>BATCH-OF-PASS(10PCS)</t>
  </si>
  <si>
    <t>BATCH-OF-PASS(100PCS)</t>
  </si>
  <si>
    <t>BATCH-OF-TAG(3PCS)</t>
  </si>
  <si>
    <t>AJAX Contactless key fob</t>
  </si>
  <si>
    <t>BATCH-OF-TAG(10PCS)</t>
  </si>
  <si>
    <t>BATCH-OF-TAG(100PCS)</t>
  </si>
  <si>
    <t>BUTTON</t>
  </si>
  <si>
    <t>AJAX Wireless panic button / remote control for scenarios</t>
  </si>
  <si>
    <t>DOUBLE-BUTTON</t>
  </si>
  <si>
    <t>AJAX Wireless hold-up device with advanced protection against accidental activator</t>
  </si>
  <si>
    <t>HOLDER-FOR-BUTTON/DOUBLEBUTTON</t>
  </si>
  <si>
    <t>AJAX Bracket to fix Button or DoubleButton on surfaces</t>
  </si>
  <si>
    <t>SOCKET(TYPE-F)</t>
  </si>
  <si>
    <t>AJAX Wireless smart plug with energy monitor</t>
  </si>
  <si>
    <t>SOCKET(TYPE-G)</t>
  </si>
  <si>
    <t>WALL-SWITCH</t>
  </si>
  <si>
    <t>AJAX Wireless power relay with energy monitor</t>
  </si>
  <si>
    <t>AJAX Wireless low-current dry contact relay</t>
  </si>
  <si>
    <t>VHFBRIDGE(WITH.CASING)</t>
  </si>
  <si>
    <t>AJAX Module to connect Ajax security systems to third-party VHF transmitters</t>
  </si>
  <si>
    <t>VHFBRIDGE(WITHOUT.CASING)</t>
  </si>
  <si>
    <t>TRANSMITTER</t>
  </si>
  <si>
    <t>AJAX Module for third-party detector integration</t>
  </si>
  <si>
    <t>MULTI-TRANSMITTER</t>
  </si>
  <si>
    <t>AJAX Integration module with 18 wired zones for connecting third-party detectors to Ajax security system</t>
  </si>
  <si>
    <t>12V-PSU.FOR.HUB.HUB-PLUS-REX</t>
  </si>
  <si>
    <t>AJAX 6 V Power Supply Unit for Hub 2/Hub 2 Plus</t>
  </si>
  <si>
    <t>12V-PSU.FOR.HUB2</t>
  </si>
  <si>
    <t>AJAX 12 V Power Supply Unit for Hub 2</t>
  </si>
  <si>
    <t>6V-PSU.FOR.HUB 2.HUB2-PLUS</t>
  </si>
  <si>
    <r>
      <rPr>
        <rFont val="Century Gothic"/>
        <b/>
        <color theme="1"/>
        <sz val="8.0"/>
      </rPr>
      <t xml:space="preserve">ITEM DESCRIPTION
</t>
    </r>
    <r>
      <rPr>
        <rFont val="Century Gothic"/>
        <b/>
        <color rgb="FFFF0000"/>
        <sz val="8.0"/>
      </rPr>
      <t>Note:</t>
    </r>
    <r>
      <rPr>
        <rFont val="Century Gothic"/>
        <b/>
        <color theme="1"/>
        <sz val="8.0"/>
      </rPr>
      <t xml:space="preserve"> These items were from International Suppliers, KINDLY CONSIDER THE COST OF SHIPPING FROM INTERNATIONAL PER ITEM.</t>
    </r>
  </si>
  <si>
    <t>PURCHASE AMOUNT (IN PESO) Rate of 60.00</t>
  </si>
  <si>
    <t>SRP (End-User)</t>
  </si>
  <si>
    <t>DEALER's PRICE</t>
  </si>
  <si>
    <t>CONTRACTOR's PRICE</t>
  </si>
  <si>
    <t>Small Volume</t>
  </si>
  <si>
    <r>
      <rPr>
        <rFont val="Century Gothic"/>
        <b/>
        <color theme="1"/>
        <sz val="8.0"/>
      </rPr>
      <t xml:space="preserve">Big Volume
</t>
    </r>
    <r>
      <rPr>
        <rFont val="Century Gothic"/>
        <b/>
        <color theme="1"/>
        <sz val="8.0"/>
      </rPr>
      <t>(30% Mark-Up)</t>
    </r>
  </si>
  <si>
    <r>
      <rPr>
        <rFont val="Century Gothic"/>
        <color theme="1"/>
        <sz val="8.0"/>
      </rPr>
      <t xml:space="preserve">Small Volume
</t>
    </r>
    <r>
      <rPr>
        <rFont val="Century Gothic"/>
        <color theme="1"/>
        <sz val="8.0"/>
      </rPr>
      <t>(30% Mark-Up)</t>
    </r>
  </si>
  <si>
    <r>
      <rPr>
        <rFont val="Century Gothic"/>
        <color theme="1"/>
        <sz val="8.0"/>
      </rPr>
      <t xml:space="preserve">Big Volume
</t>
    </r>
    <r>
      <rPr>
        <rFont val="Century Gothic"/>
        <color theme="1"/>
        <sz val="8.0"/>
      </rPr>
      <t>(20% Mark-Up)</t>
    </r>
  </si>
  <si>
    <r>
      <rPr>
        <rFont val="Century Gothic"/>
        <color theme="1"/>
        <sz val="8.0"/>
      </rPr>
      <t xml:space="preserve">Small Volume
</t>
    </r>
    <r>
      <rPr>
        <rFont val="Century Gothic"/>
        <color theme="1"/>
        <sz val="8.0"/>
      </rPr>
      <t>(15% Mark-Up)</t>
    </r>
  </si>
  <si>
    <r>
      <rPr>
        <rFont val="Century Gothic"/>
        <color theme="1"/>
        <sz val="8.0"/>
      </rPr>
      <t xml:space="preserve">Big Volume
</t>
    </r>
    <r>
      <rPr>
        <rFont val="Century Gothic"/>
        <color theme="1"/>
        <sz val="8.0"/>
      </rPr>
      <t>(10% Mark-Up)</t>
    </r>
  </si>
  <si>
    <r>
      <rPr>
        <rFont val="Century Gothic"/>
        <color theme="1"/>
        <sz val="9.0"/>
      </rPr>
      <t xml:space="preserve">Spectra SP Series </t>
    </r>
    <r>
      <rPr>
        <rFont val="Century Gothic"/>
        <color theme="1"/>
        <sz val="9.0"/>
      </rPr>
      <t>Panels</t>
    </r>
  </si>
  <si>
    <t>SP4000</t>
  </si>
  <si>
    <t>4-ZONE CONTROL (8 WITH ZONE DOUBLING) EXPANDABLE TO 32-ZONE</t>
  </si>
  <si>
    <r>
      <rPr>
        <rFont val="Century Gothic"/>
        <color theme="1"/>
        <sz val="9.0"/>
      </rPr>
      <t xml:space="preserve">Spectra SP Series </t>
    </r>
    <r>
      <rPr>
        <rFont val="Century Gothic"/>
        <color theme="1"/>
        <sz val="9.0"/>
      </rPr>
      <t>Panels</t>
    </r>
  </si>
  <si>
    <t>SP5500</t>
  </si>
  <si>
    <t>5-ZONE CONTROL (10 WITH ZONE DOUBLING) EXPANDABLE TO 32-ZONE</t>
  </si>
  <si>
    <r>
      <rPr>
        <rFont val="Century Gothic"/>
        <color theme="1"/>
        <sz val="9.0"/>
      </rPr>
      <t xml:space="preserve">Spectra SP Series </t>
    </r>
    <r>
      <rPr>
        <rFont val="Century Gothic"/>
        <color theme="1"/>
        <sz val="9.0"/>
      </rPr>
      <t>Panels</t>
    </r>
  </si>
  <si>
    <t>SP6000</t>
  </si>
  <si>
    <t>8-ZONE CONTROL (16 WITH ZONE DOUBLING) EXPANDABLE TO 32-ZONE</t>
  </si>
  <si>
    <r>
      <rPr>
        <rFont val="Century Gothic"/>
        <color theme="1"/>
        <sz val="9.0"/>
      </rPr>
      <t xml:space="preserve">Spectra SP Series </t>
    </r>
    <r>
      <rPr>
        <rFont val="Century Gothic"/>
        <color theme="1"/>
        <sz val="9.0"/>
      </rPr>
      <t>Panels</t>
    </r>
  </si>
  <si>
    <t>SP7000</t>
  </si>
  <si>
    <t>16-ZONE CONTROL (16 WITH ZONE DOUBLING) EXPANDABLE TO 32-ZONE</t>
  </si>
  <si>
    <r>
      <rPr>
        <rFont val="Century Gothic"/>
        <color theme="1"/>
        <sz val="9.0"/>
      </rPr>
      <t xml:space="preserve">Spectra SP Series </t>
    </r>
    <r>
      <rPr>
        <rFont val="Century Gothic"/>
        <color theme="1"/>
        <sz val="9.0"/>
      </rPr>
      <t>Panels</t>
    </r>
  </si>
  <si>
    <t>SP65</t>
  </si>
  <si>
    <t>9-ZONE CONTROL (18 WITH ZONE DOUBLING) EXPANDABLE TO 32-ZONE</t>
  </si>
  <si>
    <r>
      <rPr>
        <rFont val="Century Gothic"/>
        <color theme="1"/>
        <sz val="9.0"/>
      </rPr>
      <t xml:space="preserve">Spectra SP Series </t>
    </r>
    <r>
      <rPr>
        <rFont val="Century Gothic"/>
        <color theme="1"/>
        <sz val="9.0"/>
      </rPr>
      <t>Panels</t>
    </r>
  </si>
  <si>
    <t>MGSPU</t>
  </si>
  <si>
    <t>USER MANUAL MG/SP SERIES</t>
  </si>
  <si>
    <t>FREE</t>
  </si>
  <si>
    <r>
      <rPr>
        <rFont val="Century Gothic"/>
        <color theme="1"/>
        <sz val="9.0"/>
      </rPr>
      <t xml:space="preserve">Spectra SP Series </t>
    </r>
    <r>
      <rPr>
        <rFont val="Century Gothic"/>
        <color theme="1"/>
        <sz val="9.0"/>
      </rPr>
      <t>Panels</t>
    </r>
  </si>
  <si>
    <t>MGSPI</t>
  </si>
  <si>
    <t>INSTALLATION MANUAL MG/SP SERIES</t>
  </si>
  <si>
    <r>
      <rPr>
        <rFont val="Century Gothic"/>
        <color theme="1"/>
        <sz val="9.0"/>
      </rPr>
      <t xml:space="preserve">Spectra SP Series </t>
    </r>
    <r>
      <rPr>
        <rFont val="Century Gothic"/>
        <color theme="1"/>
        <sz val="9.0"/>
      </rPr>
      <t>Panels</t>
    </r>
  </si>
  <si>
    <t>MGSPP</t>
  </si>
  <si>
    <t>PROGRAMMING MANUAL MG/SP SERIES</t>
  </si>
  <si>
    <t>Keypads for Spectra SP Series And Transceiver Panels</t>
  </si>
  <si>
    <t>K636</t>
  </si>
  <si>
    <t>10-ZONE HARDWIRE LED KEYPAD WITH ONE ON-BOARD  ZONE INPUT, SINGLE PARTITION</t>
  </si>
  <si>
    <t>K10H</t>
  </si>
  <si>
    <t>10-ZONE HARDWIRE HORIZONTAL LED KEYPAD WITH ONE ON-BOARD ZONE INPUT</t>
  </si>
  <si>
    <t>K10V</t>
  </si>
  <si>
    <t>10-ZONE HARDWIRE VERTICAL LED KEYPAD WITH ONE ON-BOARD ZONE INPUT</t>
  </si>
  <si>
    <t>K32+</t>
  </si>
  <si>
    <t>32-ZONE HARDWIRED LED VERTICAL KEYPAD WITH ONE ON-BOARD ZONE INPUT</t>
  </si>
  <si>
    <t>K35</t>
  </si>
  <si>
    <t>32-ZONE HARDWIRED FIXED LCD KEYPAD</t>
  </si>
  <si>
    <t>K32LCD+</t>
  </si>
  <si>
    <t>32-ZONE HARDWIRED LCD KEYPAD WITH ONE ON-BOARD ZONE INPUT, NEW BEAUTIFUL DESIGN</t>
  </si>
  <si>
    <t>K32LX</t>
  </si>
  <si>
    <t>32-ZONE HARDWIRED LCD KEYPAD WITH BUILT-IN TRANSCEIVER (FOR SP SERIES ONLY)</t>
  </si>
  <si>
    <t>K37</t>
  </si>
  <si>
    <t>32-ZONE WIRELESS FIXED LCD KEYPAD C/W 2 PIECES AA ALKALINE BATTERIES</t>
  </si>
  <si>
    <t>TM50</t>
  </si>
  <si>
    <t>5" TOUCH INTERFACE MODULE C/W FLOOR PLAN AND ANNUNCIATOR. COLOUR BLACK OR WHITE</t>
  </si>
  <si>
    <t>TM70</t>
  </si>
  <si>
    <r>
      <rPr>
        <rFont val="Century Gothic"/>
        <color rgb="FF000000"/>
        <sz val="9.0"/>
      </rPr>
      <t xml:space="preserve">7" </t>
    </r>
    <r>
      <rPr>
        <rFont val="Century Gothic"/>
        <color rgb="FF000000"/>
        <sz val="9.0"/>
      </rPr>
      <t>TOUCH INTERFACE MODULE C/W FLOOR PLAN AND ANNUNCIATOR. COLOUR WHITE</t>
    </r>
  </si>
  <si>
    <t>TM50WB</t>
  </si>
  <si>
    <t>TM50 IN-WALL BRACKET</t>
  </si>
  <si>
    <t>TM70WB</t>
  </si>
  <si>
    <t>TM70 IN-WALL BRACKET</t>
  </si>
  <si>
    <t>Special Accessories for Spectra SP Series Panels</t>
  </si>
  <si>
    <t>RTX3</t>
  </si>
  <si>
    <t>WIRELESS RECEIVER MODULE ONLY</t>
  </si>
  <si>
    <t>RX1</t>
  </si>
  <si>
    <t>VDMP3</t>
  </si>
  <si>
    <t>PLUG-IN VOICE DIALER; ARM/DISARM SYSTEM REMOTELY VIA TELEPHONE</t>
  </si>
  <si>
    <t>IP150+</t>
  </si>
  <si>
    <t>INTERNET MODULE - LINK TO INSITE GOLD APP</t>
  </si>
  <si>
    <t>PCS250</t>
  </si>
  <si>
    <t>GPRS/GSM COMMUNICATOR MODULE ONLY</t>
  </si>
  <si>
    <t>PCS250G</t>
  </si>
  <si>
    <t>GPRS COMMUNICATOR MODULE ONLY, NO GSM</t>
  </si>
  <si>
    <t>PCS265E</t>
  </si>
  <si>
    <t>LTE/4G/3G/GPRS/GSM COMMUNICATOR MODULE ONLY</t>
  </si>
  <si>
    <t>ANTK4G-LTE</t>
  </si>
  <si>
    <t>ANTENNA EXTENSION FOR PCS265LTE</t>
  </si>
  <si>
    <t>Bus Based  Hardwire Expansion Modules</t>
  </si>
  <si>
    <t>ZX8SP</t>
  </si>
  <si>
    <r>
      <rPr>
        <rFont val="Century Gothic"/>
        <color rgb="FF000000"/>
        <sz val="9.0"/>
      </rPr>
      <t xml:space="preserve">8-ZONE EXPANSION MODULE COMPATIBLE WITH ALL </t>
    </r>
    <r>
      <rPr>
        <rFont val="Century Gothic"/>
        <color rgb="FF000000"/>
        <sz val="9.0"/>
      </rPr>
      <t xml:space="preserve">SPECTRA </t>
    </r>
    <r>
      <rPr>
        <rFont val="Century Gothic"/>
        <color rgb="FF000000"/>
        <sz val="9.0"/>
      </rPr>
      <t>MODELS</t>
    </r>
  </si>
  <si>
    <t>ZX82</t>
  </si>
  <si>
    <r>
      <rPr>
        <rFont val="Century Gothic"/>
        <color rgb="FF000000"/>
        <sz val="9.0"/>
      </rPr>
      <t>8-ZONE EXPANSION MODULE COMPATIBLE WITH ALL SP/MG/EVO</t>
    </r>
    <r>
      <rPr>
        <rFont val="Century Gothic"/>
        <color rgb="FF000000"/>
        <sz val="9.0"/>
      </rPr>
      <t xml:space="preserve"> </t>
    </r>
    <r>
      <rPr>
        <rFont val="Century Gothic"/>
        <color rgb="FF000000"/>
        <sz val="9.0"/>
      </rPr>
      <t>MODELS</t>
    </r>
  </si>
  <si>
    <t>PGM4</t>
  </si>
  <si>
    <t>4-RELAY MODULE (RATED 5A) FOR ACTIVATION/DE-ACTIVATION OF ANY DEVICE</t>
  </si>
  <si>
    <t>PGM82</t>
  </si>
  <si>
    <t>8-PGM EXPANSION MODULE CONNECTS VIA KEYPAD BUS</t>
  </si>
  <si>
    <t>HUB2</t>
  </si>
  <si>
    <t>HUB/BUS ISOLATOR, PROVIDES 2 COMPLETELY ISOLATED BUSES UP TO 75M (250’) EACH</t>
  </si>
  <si>
    <t>PS25</t>
  </si>
  <si>
    <t>2.5A POWER SUPPLY MODULE ONLY</t>
  </si>
  <si>
    <t>Miscellaneous</t>
  </si>
  <si>
    <t>307USB</t>
  </si>
  <si>
    <t>DIRECT-CONNECT INTERFACE TO COMMUNICATE WITH PC AT MAX. 8M (25’)</t>
  </si>
  <si>
    <t>USD-2000</t>
  </si>
  <si>
    <r>
      <rPr>
        <rFont val="Century Gothic"/>
        <color rgb="FF000000"/>
        <sz val="9.0"/>
      </rPr>
      <t xml:space="preserve">WINLOAD </t>
    </r>
    <r>
      <rPr>
        <rFont val="Century Gothic"/>
        <color rgb="FF000000"/>
        <sz val="9.0"/>
      </rPr>
      <t xml:space="preserve"> INSTALLER UPLOAD/DOWNLOAD SOFTWARE (WINDOWS)</t>
    </r>
  </si>
  <si>
    <t>PMC-5</t>
  </si>
  <si>
    <t>HAND-HELD PLUG-IN USB MEMORY KEY FOR UP/DOWNLOAD OF PANEL PROGRAMMING</t>
  </si>
  <si>
    <t>PA6</t>
  </si>
  <si>
    <t>6.0 VDC POWER ADAPTER PLUG FOR WIRELESS KEYPAD</t>
  </si>
  <si>
    <t>All-in-one Wireless Console</t>
  </si>
  <si>
    <t>MG6250</t>
  </si>
  <si>
    <t>64-ZONE, 100% WIRELESS, INTEGRATED CONSOLE WITHOUT GPRS14</t>
  </si>
  <si>
    <t>PA7</t>
  </si>
  <si>
    <t>7.5 VDC POWER ADAPTER PLUG FOR MG6250</t>
  </si>
  <si>
    <t>GPRS14</t>
  </si>
  <si>
    <t>GPRS14 COMMUNICATION PLUG-IN MODULE FOR MG6250</t>
  </si>
  <si>
    <t>ANTKIT</t>
  </si>
  <si>
    <t>ANTENNA EXTENSION FOR GPRS14</t>
  </si>
  <si>
    <t>32-Zone Wireless Transceiver Control Panel</t>
  </si>
  <si>
    <t>MG5050</t>
  </si>
  <si>
    <t>32-ZONE WIRELESS CONTROL PANEL WITH 5-ZONE HARDWIRE ON-BOARD</t>
  </si>
  <si>
    <t>Wireless Motion Detectors</t>
  </si>
  <si>
    <t>PMD2P</t>
  </si>
  <si>
    <t>PET-IMMUNE PIR UP TO 18KG, SUPPLIED WITH 3 “AA” BATTERIES</t>
  </si>
  <si>
    <t>PMD75</t>
  </si>
  <si>
    <t>DUAL-OPTICS PET-IMMUNE PIR, SUPPLIED WITH 3 “AAA BATTERIES</t>
  </si>
  <si>
    <t>PMD85</t>
  </si>
  <si>
    <t>OUTDOOR DIGITAL DUAL OPTICS PET IMMUNE PIR MOTION DETECTOR</t>
  </si>
  <si>
    <t>NV35MR</t>
  </si>
  <si>
    <t>WIRELESS OUTDOOR/INDOOR WINDOW AND SLIDING DOOR DUAL DETECTOR</t>
  </si>
  <si>
    <t>G550</t>
  </si>
  <si>
    <t>WIRELESS GLASS-BREAK DETECTOR</t>
  </si>
  <si>
    <t xml:space="preserve"> Door Transmitters &amp; Remotes</t>
  </si>
  <si>
    <t>DCT10</t>
  </si>
  <si>
    <t>DCTXP2</t>
  </si>
  <si>
    <t>MID-SIZE 2-ZONE DOOR TRANSMITTER C/W MAGNET &amp; 2 “AAA” BATTERIES</t>
  </si>
  <si>
    <t>DCT2</t>
  </si>
  <si>
    <t>ULTRA-SMALL DOOR TRANSMITTER C/W MAGNET &amp; LITHIUM BATTERY</t>
  </si>
  <si>
    <t>DCT6</t>
  </si>
  <si>
    <t>WIRELESS DOOR CONTACT</t>
  </si>
  <si>
    <t>REM15</t>
  </si>
  <si>
    <t>4 BACKLIT BUTTONS REMOTE, SLIM, ERGONOMIC DESIGN, C/W LITHIUM BATTERY</t>
  </si>
  <si>
    <t>REM2</t>
  </si>
  <si>
    <t>BI-DIRECTIONAL REMOTE WITH SOUND AND VISUAL FEEDBACK, C/W LITHIUM BATTERY</t>
  </si>
  <si>
    <t>REM25</t>
  </si>
  <si>
    <t>2-WAY WIRELESS REMOTE CONTROL, BLACK COLOUR. NEW, AVAILABLE IN Q2</t>
  </si>
  <si>
    <t>REM3</t>
  </si>
  <si>
    <t>HAND-HELD 2-WAY REMOTE KEYPAD, C/W LITHIUM BATTERY</t>
  </si>
  <si>
    <r>
      <rPr>
        <rFont val="Century Gothic"/>
        <color rgb="FFFF0000"/>
        <sz val="9.0"/>
      </rPr>
      <t xml:space="preserve"> </t>
    </r>
    <r>
      <rPr>
        <rFont val="Century Gothic"/>
        <color rgb="FF000000"/>
        <sz val="9.0"/>
      </rPr>
      <t>REM101</t>
    </r>
  </si>
  <si>
    <t>PORTABLE EMERGENCY PANIC BUTTON C/W LANYARD &amp; LITHIUM BATTERY</t>
  </si>
  <si>
    <t>Wireless Reporting Devices</t>
  </si>
  <si>
    <t>RPT1</t>
  </si>
  <si>
    <t>WIRELESS REPEATER MODULE ONLY</t>
  </si>
  <si>
    <t>2WPGM</t>
  </si>
  <si>
    <t>2-WAY WIRELESS PGM TRANSMITTER/RECEIVER WITH ZONE INPUT TERMINALS</t>
  </si>
  <si>
    <t>SD360</t>
  </si>
  <si>
    <t>WIRELESS SMOKE DETECTOR, REPLACING WS588P</t>
  </si>
  <si>
    <t>SR230</t>
  </si>
  <si>
    <t>OUTDOOR WIRELESS SIREN WITH BUILT-IN STROBE LIGHT. LENS COLOUR RED.</t>
  </si>
  <si>
    <t>OUTDOOR WIRELESS SIREN WITH BUILT-IN STROBE LIGHT. LENS COLOUR BLUE.</t>
  </si>
  <si>
    <t>Antenna Extension</t>
  </si>
  <si>
    <t>AE2M</t>
  </si>
  <si>
    <t>GSM/GPRS14 ANTENNA EXTENSION CABLE, 2M (6FT)</t>
  </si>
  <si>
    <t>AE4M</t>
  </si>
  <si>
    <t>GSM/GPRS14 ANTENNA EXTENSION CABLE, 4M (12FT)</t>
  </si>
  <si>
    <t>AE7M</t>
  </si>
  <si>
    <t>GSM/GPRS14 ANTENNA EXTENSION CABLE, 7M (24FT)</t>
  </si>
  <si>
    <t>AE15M</t>
  </si>
  <si>
    <t>GSM/GPRS14 ANTENNA EXTENSION CABLE, 15M (48FT)</t>
  </si>
  <si>
    <t>AE18M</t>
  </si>
  <si>
    <t>GSM/GPRS14 ANTENNA EXTENSION CABLE, 18M (60FT)</t>
  </si>
  <si>
    <t>Accessories for REM101</t>
  </si>
  <si>
    <t>WB101</t>
  </si>
  <si>
    <t>WALL MOUNT BRACKET</t>
  </si>
  <si>
    <t>Accessories for REM102</t>
  </si>
  <si>
    <t>B101</t>
  </si>
  <si>
    <t>BRACELET – MINIMAL STOCK</t>
  </si>
  <si>
    <t>Accessories for REM103</t>
  </si>
  <si>
    <t>BC101</t>
  </si>
  <si>
    <t>BELT CLIP – MINIMAL STOCK</t>
  </si>
  <si>
    <t>5709C</t>
  </si>
  <si>
    <t>ACCOUSTIC GLASS-BREAK SENSOR TESTER FOR WIRELESS GLASS-BREAK</t>
  </si>
  <si>
    <t>EVOHD Control Panel</t>
  </si>
  <si>
    <t>EVOHD</t>
  </si>
  <si>
    <r>
      <rPr>
        <rFont val="Century Gothic"/>
        <color rgb="FF000000"/>
        <sz val="9.0"/>
      </rPr>
      <t xml:space="preserve">HD ENHANCED 8 ZONE CONTROL EXPANDABLE TO 192 </t>
    </r>
    <r>
      <rPr>
        <rFont val="Century Gothic"/>
        <color rgb="FFFF0000"/>
        <sz val="9.0"/>
      </rPr>
      <t>(WHILE STOCK LAST)</t>
    </r>
  </si>
  <si>
    <t>EVOHDU</t>
  </si>
  <si>
    <t>USER MANUAL EVOHD</t>
  </si>
  <si>
    <t>EVOHDI</t>
  </si>
  <si>
    <t>INSTALLATION MANUAL  EVOHD</t>
  </si>
  <si>
    <t>EVOHDP</t>
  </si>
  <si>
    <t>PROGRAMMING MANUAL EVOHD</t>
  </si>
  <si>
    <t>EVO Control Panel</t>
  </si>
  <si>
    <t>EVO192</t>
  </si>
  <si>
    <t>8 ZONE CONTROL EXPANDABLE TO 192</t>
  </si>
  <si>
    <t>EVOU</t>
  </si>
  <si>
    <t>USER MANUAL EVO</t>
  </si>
  <si>
    <t>EVOI</t>
  </si>
  <si>
    <t>INSTALLATION MANUAL EVO</t>
  </si>
  <si>
    <t>EVOP</t>
  </si>
  <si>
    <t>PROGRAMMING MANUAL EVO</t>
  </si>
  <si>
    <t>Keypads &amp; Display Modules</t>
  </si>
  <si>
    <t>K641+</t>
  </si>
  <si>
    <t>32-CHARACTER BLUE LCD KEYPAD WITH ONE PGM OUTPUT, NEW BEAUTIFUL DESIGN</t>
  </si>
  <si>
    <t>K656</t>
  </si>
  <si>
    <t>32-CHARACTER BLUE LCD KEYPAD; TOUCH SENSE KEYS WITH LED BACK LIGHTING</t>
  </si>
  <si>
    <t>K641R</t>
  </si>
  <si>
    <t>32-CHARACTER BLUE LCD KEYPAD MODULE WITH INTEGRATED CARD READER</t>
  </si>
  <si>
    <r>
      <rPr>
        <rFont val="Century Gothic"/>
        <color rgb="FF000000"/>
        <sz val="9.0"/>
      </rPr>
      <t xml:space="preserve">5" </t>
    </r>
    <r>
      <rPr>
        <rFont val="Century Gothic"/>
        <color rgb="FF000000"/>
        <sz val="9.0"/>
      </rPr>
      <t>TOUCH INTERFACE MODULE C/W FLOOR PLAN AND ANNUNCIATOR. COLOUR BLACK OR WHITE</t>
    </r>
  </si>
  <si>
    <r>
      <rPr>
        <rFont val="Century Gothic"/>
        <color rgb="FF000000"/>
        <sz val="9.0"/>
      </rPr>
      <t xml:space="preserve">7" </t>
    </r>
    <r>
      <rPr>
        <rFont val="Century Gothic"/>
        <color rgb="FF000000"/>
        <sz val="9.0"/>
      </rPr>
      <t>TOUCH INTERFACE MODULE C/W FLOOR PLAN AND ANNUNCIATOR. COLOUR WHITE</t>
    </r>
  </si>
  <si>
    <t>Digital Motion Detector Modules</t>
  </si>
  <si>
    <t>DM50</t>
  </si>
  <si>
    <t>DUAL-ELEMENT BUS MOTION DETECTOR</t>
  </si>
  <si>
    <t>DM60</t>
  </si>
  <si>
    <r>
      <rPr>
        <rFont val="Century Gothic"/>
        <color rgb="FF000000"/>
        <sz val="9.0"/>
      </rPr>
      <t xml:space="preserve">QUAD-ELEMENT BUS MOTION DETECTOR, </t>
    </r>
    <r>
      <rPr>
        <rFont val="Century Gothic"/>
        <color rgb="FFFF0000"/>
        <sz val="9.0"/>
      </rPr>
      <t>NON STOCK ITEM</t>
    </r>
  </si>
  <si>
    <t>DM70</t>
  </si>
  <si>
    <t>DUAL OPTICS PET-IMMUNE BUS MOTION DETECTOR (UP TO 40KG)</t>
  </si>
  <si>
    <t>NV780MX</t>
  </si>
  <si>
    <t xml:space="preserve">DUAL SIDE-VIEW OUTDOOR DETECTORS WITH ANTI-MASKING &amp; PET IMMUNITY. BUS CONNECTION. OPTION FOR RAIN COVER. </t>
  </si>
  <si>
    <t>NVX80-RC-B</t>
  </si>
  <si>
    <t>INDOOR/OUTDOOR MOTION DETECTOR FOR HARSH ENVIRONMENTS. SUPPLIED WITH RC80 RAIN COVER &amp; BRACKET. BUS CONNECTION.</t>
  </si>
  <si>
    <t>Hardwire Zone &amp; Wireless Expansion Modules</t>
  </si>
  <si>
    <t>ZC1</t>
  </si>
  <si>
    <t>DOOR CONTACT MODULE, SMALL SIZE: 74MM X 20MM X 30.5MM (2.9” X 0.8” X 1.2”)</t>
  </si>
  <si>
    <t>ZX1</t>
  </si>
  <si>
    <t>1-ZONE EXPANSION MODULE (2 WITH ATZ DOUBLING FEATURE ENABLED)</t>
  </si>
  <si>
    <t>ZX8</t>
  </si>
  <si>
    <t>8-ZONE EXPANSION BOARD ONLY</t>
  </si>
  <si>
    <r>
      <rPr>
        <rFont val="Century Gothic"/>
        <color rgb="FF000000"/>
        <sz val="9.0"/>
      </rPr>
      <t>8-ZONE EXPANSION MODULE COMPATIBLE WITH ALL SP/MG/EVO</t>
    </r>
    <r>
      <rPr>
        <rFont val="Century Gothic"/>
        <color rgb="FF000000"/>
        <sz val="9.0"/>
      </rPr>
      <t xml:space="preserve"> </t>
    </r>
    <r>
      <rPr>
        <rFont val="Century Gothic"/>
        <color rgb="FF000000"/>
        <sz val="9.0"/>
      </rPr>
      <t>MODELS</t>
    </r>
  </si>
  <si>
    <t>System Accessories &amp; Software</t>
  </si>
  <si>
    <t>PRT3</t>
  </si>
  <si>
    <t>PRINTER MODULE WITH USB PORT; FIRMWARE UPGRADEABLE; PRINT UP TO 2048 EVENTS</t>
  </si>
  <si>
    <t>PS45</t>
  </si>
  <si>
    <t>SUPERVISED BACK-UP POWER SUPPLY : 75W AC100-240VAC, MAX 4A</t>
  </si>
  <si>
    <t>CV4USB</t>
  </si>
  <si>
    <t>RS-485/RS-232 CONVERTER KIT</t>
  </si>
  <si>
    <t>USD</t>
  </si>
  <si>
    <r>
      <rPr>
        <rFont val="Century Gothic"/>
        <color rgb="FF000000"/>
        <sz val="9.0"/>
      </rPr>
      <t xml:space="preserve">WINLOAD  </t>
    </r>
    <r>
      <rPr>
        <rFont val="Century Gothic"/>
        <color rgb="FF000000"/>
        <sz val="9.0"/>
      </rPr>
      <t>INSTALLER UPLOAD/DOWNLOAD SOFTWARE (WINDOWS)</t>
    </r>
  </si>
  <si>
    <t>NEWACC</t>
  </si>
  <si>
    <r>
      <rPr>
        <rFont val="Century Gothic"/>
        <color rgb="FF000000"/>
        <sz val="9.0"/>
      </rPr>
      <t xml:space="preserve">END-USER SOFTWARE TO MONITOR AND MANAGE SECURITY AND ACCESS FEATURES OF  </t>
    </r>
    <r>
      <rPr>
        <rFont val="Century Gothic"/>
        <color rgb="FF000000"/>
        <sz val="9.0"/>
      </rPr>
      <t>EVO192</t>
    </r>
  </si>
  <si>
    <t>Access Control Modules &amp; Proximity Readers</t>
  </si>
  <si>
    <t>ACM12</t>
  </si>
  <si>
    <t>ACCESS CONTROL MODULE TO CONNECT PROX READER, DOOR CONTACT AND EM LOCK</t>
  </si>
  <si>
    <t>R910</t>
  </si>
  <si>
    <t>4-WIRE INDOOR/OUTDOOR PROX READER, READ RANGE UP TO 10CM (4”)</t>
  </si>
  <si>
    <t>R915</t>
  </si>
  <si>
    <t>INDOOR/OUTDOOR PROX READER AND KEYPAD; USE AS KEYPAD, READER OR BOTH (BLACK COLOUR)</t>
  </si>
  <si>
    <t>Proximity Keytags and Cards</t>
  </si>
  <si>
    <t>C705</t>
  </si>
  <si>
    <t>TRANSLUCENT PROXIMITY KEYTAG FOR USE WITH ANY PARADOX PROX READER;  BLUE COLOUR</t>
  </si>
  <si>
    <t>C706</t>
  </si>
  <si>
    <t>ISO PROXIMITY CARD (GLOSS) FOR USE WITH ANY PARADOX PROX READER</t>
  </si>
  <si>
    <t>Analog PIR Detectors</t>
  </si>
  <si>
    <t>476+</t>
  </si>
  <si>
    <t>PRO+ MOTION DETECTOR 11M X 11M (35’ X 35’) X 110˚ COVERAGE,</t>
  </si>
  <si>
    <t>476PET</t>
  </si>
  <si>
    <t>PRO+ PET-IMMUNE MOTION DETECTOR UP TO 18KG (40LB),  11M X 11M  (35’ X 35’) X 100˚ COVERAGE</t>
  </si>
  <si>
    <t>460 Paradoor</t>
  </si>
  <si>
    <t>FOR VERTICAL VIEW COVERAGE: 2M X 1.5M (7’ X 5’) OR 6M X 4.5M (20’ X 15’)</t>
  </si>
  <si>
    <t>Digital Detectors</t>
  </si>
  <si>
    <t>DG467</t>
  </si>
  <si>
    <t>360˚ CEILING MOUNT, 7M X 6M (24’ X 20’) AT 2.4M (8’) HEIGHT</t>
  </si>
  <si>
    <t>NV5-SB100</t>
  </si>
  <si>
    <t>HIGH-PERFORMANCE INFRARED MOTION DETECTOR WITH SMALL PET IMMUNITY UP TO 16KG, 12 X 12M (40 X 40 FT), 90°VIEWING ANGLE. SUPPLIED WITH BRACKET.</t>
  </si>
  <si>
    <t>DG55+</t>
  </si>
  <si>
    <t>DIGIGARD DUAL ELEMENT DIGITAL MOTION DETECTOR, 12M X 12M (40’ X 40’) X 110˚</t>
  </si>
  <si>
    <t>DG65+</t>
  </si>
  <si>
    <t>DIGIGARD QUAD ELEMENT DIGITAL MOTION DETECTOR, 12M X 12M (40’ X 40’) X 110˚</t>
  </si>
  <si>
    <t>DG75+</t>
  </si>
  <si>
    <t>DUAL OPTICS DETECTOR WITH PET IMMUNITY UP TO 40KG, 11M X 11M X 90˚</t>
  </si>
  <si>
    <t>DG85+</t>
  </si>
  <si>
    <t>OUTDOOR DUAL OPTICS BUS PIR WITH PET IMMUNITY UP TO 40KG</t>
  </si>
  <si>
    <t>525DM</t>
  </si>
  <si>
    <t>MICROWAVE &amp; INFRARED DIGITAL ANTI-MASK MOTION DETECTOR, 14 X 14M X 90˚</t>
  </si>
  <si>
    <t>NV35M</t>
  </si>
  <si>
    <t>WIRED OUTDOOR/INDOOR WINDOW AND SLIDING DOOR DUAL DETECTOR. ZONE CONNECTION.</t>
  </si>
  <si>
    <t>INDOOR/OUTDOOR MOTION DETECTOR FOR HARSH ENVIRONMENTS. SUPPLIED WITH RC80 RAIN COVER          &amp; BRACKET. BUS CONNECTION.</t>
  </si>
  <si>
    <t xml:space="preserve">Specialized Detectors </t>
  </si>
  <si>
    <t>DG457</t>
  </si>
  <si>
    <t>DIGITAL GLASSBREAK BUS DETECTOR; 9M/4M (30’/15’) COVERAGE</t>
  </si>
  <si>
    <t>459 Testrek</t>
  </si>
  <si>
    <r>
      <rPr>
        <rFont val="Century Gothic"/>
        <color rgb="FF000000"/>
        <sz val="9.0"/>
      </rPr>
      <t xml:space="preserve">HAND-HELD TESTER FOR TESTING OF </t>
    </r>
    <r>
      <rPr>
        <rFont val="Century Gothic"/>
        <color rgb="FF000000"/>
        <sz val="9.0"/>
      </rPr>
      <t>GLASSTREK 457</t>
    </r>
    <r>
      <rPr>
        <rFont val="Century Gothic"/>
        <color rgb="FF000000"/>
        <sz val="9.0"/>
      </rPr>
      <t>; 9V BATTERY OPERATED</t>
    </r>
  </si>
  <si>
    <t>SAFE/VAULT PROTECTOR; HIGH SENSITIVITY PIEZOELECTRIC ELEMENT; 2.5M (8’) COVERAGE</t>
  </si>
  <si>
    <t>WD1</t>
  </si>
  <si>
    <t>TWO-WAY WIRELESS WATER DETECTOR</t>
  </si>
  <si>
    <t>ES1</t>
  </si>
  <si>
    <t>EXTENSION SENSOR FOR USE WITH WD1</t>
  </si>
  <si>
    <t>Accessories For Detectors</t>
  </si>
  <si>
    <t>780MRC</t>
  </si>
  <si>
    <t>RAIN COVER FOR NV780M SERIES</t>
  </si>
  <si>
    <t>B80</t>
  </si>
  <si>
    <t>BRACKET FOR NVX80</t>
  </si>
  <si>
    <t>SB35</t>
  </si>
  <si>
    <t>WALL BRACKET FOR NV35M SERIES</t>
  </si>
  <si>
    <t>SB85W</t>
  </si>
  <si>
    <r>
      <rPr>
        <rFont val="Century Gothic"/>
        <color rgb="FF000000"/>
        <sz val="9.0"/>
      </rPr>
      <t xml:space="preserve">HEAVY DUTY OUTDOOR SWIVEL BRACKET (WHITE) </t>
    </r>
    <r>
      <rPr>
        <rFont val="Century Gothic"/>
        <color rgb="FF000000"/>
        <sz val="9.0"/>
      </rPr>
      <t>FOR DG85 &amp; PMD85</t>
    </r>
  </si>
  <si>
    <t>SB469</t>
  </si>
  <si>
    <t>SWIVEL MOUNT BRACKET (CEILING, WALL OR CORNER MOUNT) COMPATIBLE WITH ALL PIRS</t>
  </si>
  <si>
    <t>PBOX</t>
  </si>
  <si>
    <r>
      <rPr>
        <rFont val="Century Gothic"/>
        <color rgb="FF000000"/>
        <sz val="9.0"/>
      </rPr>
      <t xml:space="preserve">PLASTIC BOX FOR USE WITH </t>
    </r>
    <r>
      <rPr>
        <rFont val="Century Gothic"/>
        <color rgb="FF000000"/>
        <sz val="9.0"/>
      </rPr>
      <t>ZX8SP</t>
    </r>
    <r>
      <rPr>
        <rFont val="Century Gothic"/>
        <color rgb="FF000000"/>
        <sz val="9.0"/>
      </rPr>
      <t xml:space="preserve">, </t>
    </r>
    <r>
      <rPr>
        <rFont val="Century Gothic"/>
        <color rgb="FF000000"/>
        <sz val="9.0"/>
      </rPr>
      <t>ZX8</t>
    </r>
    <r>
      <rPr>
        <rFont val="Century Gothic"/>
        <color rgb="FF000000"/>
        <sz val="9.0"/>
      </rPr>
      <t xml:space="preserve">, </t>
    </r>
    <r>
      <rPr>
        <rFont val="Century Gothic"/>
        <color rgb="FF000000"/>
        <sz val="9.0"/>
      </rPr>
      <t>PRT3</t>
    </r>
    <r>
      <rPr>
        <rFont val="Century Gothic"/>
        <color rgb="FF000000"/>
        <sz val="9.0"/>
      </rPr>
      <t xml:space="preserve">, </t>
    </r>
    <r>
      <rPr>
        <rFont val="Century Gothic"/>
        <color rgb="FF000000"/>
        <sz val="9.0"/>
      </rPr>
      <t>PGM4</t>
    </r>
    <r>
      <rPr>
        <rFont val="Century Gothic"/>
        <color rgb="FF000000"/>
        <sz val="9.0"/>
      </rPr>
      <t>, ETC..</t>
    </r>
  </si>
  <si>
    <t>LENSES FOR MOTION DETECTORS</t>
  </si>
  <si>
    <t>WA-2</t>
  </si>
  <si>
    <t>WIDE ANGLE: PROVIDES COVERAGE OF 16M X 16M (52’ X 52’) X 140˚</t>
  </si>
  <si>
    <t>CU-1</t>
  </si>
  <si>
    <t>CURTAIN LENS: VERTICAL BARRIER COVERAGE OF 13M L (43’) X 6M H (20’) X 5.64˚ WIDE</t>
  </si>
  <si>
    <t>PE-1</t>
  </si>
  <si>
    <t>PET ALLEY: SINGLE PLAN, HORIZONTAL COVERAGE OF 13M MAX.(52’) X 156˚</t>
  </si>
  <si>
    <t>LR-1</t>
  </si>
  <si>
    <t>LONG RANGE FOR CORRIDORS: 35M (115’) RANGE (L) WITH NARROW BEAM 3M THICK (10’)</t>
  </si>
  <si>
    <t>LR-2</t>
  </si>
  <si>
    <t>LONG RANGE: UP TO 27M LONG (89’) WITH MULTIPLE REDUCING ANGLES</t>
  </si>
  <si>
    <t>LR-3</t>
  </si>
  <si>
    <t>LR-4</t>
  </si>
  <si>
    <t>LONG RANGE: UP TO 30.4M LONG (100’) WITH MULTIPLE REDUCING ANGLES</t>
  </si>
  <si>
    <t>CU-4</t>
  </si>
  <si>
    <t>LENS - L2 VERTICAL CURTAIN BEAM FOR DG85</t>
  </si>
  <si>
    <t>PE-4</t>
  </si>
  <si>
    <t>LENS - L1  HORIZONTAL CURTAIN BEAM FOR DG85</t>
  </si>
  <si>
    <t>Batteries</t>
  </si>
  <si>
    <t>Ni-MH4.8V</t>
  </si>
  <si>
    <t>RECHARGEABLE BATTERY OF 4.8V FOR WIRELESS CONSOLE, MG6250</t>
  </si>
  <si>
    <t>Alarm Receiver</t>
  </si>
  <si>
    <t>IPR512-RS7</t>
  </si>
  <si>
    <t xml:space="preserve">HARDWARE - IP MONITORING RECEIVER BUNDLED WITH IPRS7 SOFTWARE RECEIVER </t>
  </si>
  <si>
    <t xml:space="preserve">Non Paradox Accessories </t>
  </si>
  <si>
    <t>Stra-Plasbox</t>
  </si>
  <si>
    <t>STRATEL PLASTIC BOX FOR CONTROL PANEL, SIZE : H30 X W28.3 X D8.8 CM</t>
  </si>
  <si>
    <t>Stra-Met-box</t>
  </si>
  <si>
    <t>METAL BOX FOR CONTROL PANEL, SIZE H11.5 X W11.0 X D3.0 CM</t>
  </si>
  <si>
    <t>SF0639PT</t>
  </si>
  <si>
    <t>TRANSFORMER : 240VAC/16.5 VAC@2.1 AMP FOR USE WITH PARADOX PANELS</t>
  </si>
  <si>
    <t>SF0644PT</t>
  </si>
  <si>
    <t>TRANSFORMER : 240VAC/16.5 VAC@4.5 AMP FOR USE WITH EVO-HD PANEL</t>
  </si>
  <si>
    <t>LO-RVC403KA</t>
  </si>
  <si>
    <t>KEY-LOCK FOR PANEL CABINET</t>
  </si>
  <si>
    <r>
      <rPr>
        <rFont val="Calibri"/>
        <b/>
        <color theme="1"/>
        <sz val="10.0"/>
      </rPr>
      <t xml:space="preserve">ITEM DESCRIPTION
</t>
    </r>
    <r>
      <rPr>
        <rFont val="Calibri"/>
        <b/>
        <color rgb="FFFF0000"/>
        <sz val="10.0"/>
      </rPr>
      <t>Note:</t>
    </r>
    <r>
      <rPr>
        <rFont val="Calibri"/>
        <b/>
        <color theme="1"/>
        <sz val="10.0"/>
      </rPr>
      <t xml:space="preserve"> These items were from International Suppliers, KINDLY CONSIDER THE COST OF SHIPPING FROM INTERNATIONAL PER ITEM.</t>
    </r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</si>
  <si>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</si>
  <si>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</si>
  <si>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</si>
  <si>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</si>
  <si>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</si>
  <si>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</si>
  <si>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MG5050 PARADOX  PACKAGE</t>
  </si>
  <si>
    <t>TELESTAR</t>
  </si>
  <si>
    <t>Outdoor Siren</t>
  </si>
  <si>
    <t>12V 7AH Back up Battery</t>
  </si>
  <si>
    <t>EVO192 PARADOX  PACKAGE</t>
  </si>
  <si>
    <t>SP4000 PARADOX  PACKAGE</t>
  </si>
  <si>
    <t>10-ZONE HARDWIRE LED KEYPAD WITH ONE ON-BOARD ZONE INPUT, SINGLE PARTITION</t>
  </si>
  <si>
    <t>SP6000 PARADOX  PACKAGE</t>
  </si>
  <si>
    <r>
      <rPr>
        <rFont val="Calibri"/>
        <b/>
        <color theme="1"/>
        <sz val="8.0"/>
      </rPr>
      <t xml:space="preserve">ITEM DESCRIPTION
</t>
    </r>
    <r>
      <rPr>
        <rFont val="Calibri"/>
        <b/>
        <color rgb="FFFF0000"/>
        <sz val="8.0"/>
      </rPr>
      <t>Note:</t>
    </r>
    <r>
      <rPr>
        <rFont val="Calibri"/>
        <b/>
        <color theme="1"/>
        <sz val="8.0"/>
      </rPr>
      <t xml:space="preserve"> These items were from International Suppliers, KINDLY CONSIDER THE COST OF SHIPPING FROM INTERNATIONAL PER ITEM.</t>
    </r>
  </si>
  <si>
    <t>SRP (120%)</t>
  </si>
  <si>
    <r>
      <rPr>
        <rFont val="Arial"/>
        <b/>
        <color rgb="FF000000"/>
        <sz val="6.0"/>
      </rPr>
      <t xml:space="preserve">SHIPPING COST PER ITEM INCLUSIVE OF DUTIES AND TAXES </t>
    </r>
    <r>
      <rPr>
        <rFont val="Arial"/>
        <b/>
        <color rgb="FF000000"/>
        <sz val="4.0"/>
      </rPr>
      <t>(FORWARDER'S COST BASED)</t>
    </r>
  </si>
  <si>
    <t>BASE PRICE IN PHP
Rate of 62.00\</t>
  </si>
  <si>
    <t>DEALERS PRICE</t>
  </si>
  <si>
    <t>SUB DISTRIBUTOR PRICE</t>
  </si>
  <si>
    <t>REX-2</t>
  </si>
  <si>
    <t>AJAX Hood for MotionProtect Outdoor protects sensors of the antimasking 
 system from rain and snow to prevent false alarms</t>
  </si>
  <si>
    <t>AJAX Wireless outdoor motion detector with visual alarm verification, antimasking, 
 and pet immunity</t>
  </si>
  <si>
    <t>AJAX Wireless outdoor dual-side curtain-type motion detector with antimasking 
 and pet immunity</t>
  </si>
  <si>
    <t>AJAX Wireless motion detector with visual alarm verification and pet 
 immunity</t>
  </si>
  <si>
    <t>AJAX Wireless hold-up device with advanced protection against accidental 
 activator</t>
  </si>
  <si>
    <t>RELAY</t>
  </si>
  <si>
    <t>AJAX Module to connect Ajax security systems to third-party VHF 
 transmitters</t>
  </si>
  <si>
    <t>AJAX 12 V Power Supply Unit for Hub/Hub Plus/ReX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</si>
</sst>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₱&quot;#,##0.00"/>
    <numFmt numFmtId="167" formatCode="[$$-409]#,##0.00"/>
    <numFmt numFmtId="168" formatCode="_-[$₱-3409]* #,##0.00_-;\-[$₱-3409]* #,##0.00_-;_-[$₱-3409]* &quot;-&quot;??_-;_-@"/>
    <numFmt numFmtId="169" formatCode="&quot;$&quot;#,##0.00_);[Red]\(&quot;$&quot;#,##0.00\)"/>
    <numFmt numFmtId="170" formatCode="&quot;$&quot;#,##0.00"/>
  </numFmts>
  <fonts count="93">
    <font>
      <sz val="11.0"/>
      <color theme="1"/>
      <name val="Calibri"/>
      <scheme val="minor"/>
    </font>
    <font>
      <b/>
      <sz val="8.0"/>
      <color theme="1"/>
      <name val="Arial"/>
    </font>
    <font>
      <b/>
      <sz val="7.0"/>
      <color theme="1"/>
      <name val="Arial"/>
    </font>
    <font>
      <b/>
      <sz val="7.0"/>
      <color rgb="FF000000"/>
      <name val="Arial"/>
    </font>
    <font/>
    <font>
      <sz val="8.0"/>
      <color theme="1"/>
      <name val="Arial"/>
    </font>
    <font>
      <sz val="8.0"/>
      <color rgb="FF000000"/>
      <name val="Arial"/>
    </font>
    <font>
      <sz val="8.0"/>
      <color rgb="FF999999"/>
      <name val="Arial"/>
    </font>
    <font>
      <sz val="8.0"/>
      <color rgb="FF757070"/>
      <name val="Arial"/>
    </font>
    <font>
      <sz val="8.0"/>
      <color rgb="FFFF0000"/>
      <name val="Arial"/>
    </font>
    <font>
      <sz val="8.0"/>
      <color rgb="FF0C0C0C"/>
      <name val="Arial"/>
    </font>
    <font>
      <b/>
      <sz val="8.0"/>
      <color rgb="FF757070"/>
      <name val="Arial"/>
    </font>
    <font>
      <b/>
      <sz val="8.0"/>
      <color rgb="FF000000"/>
      <name val="Arial"/>
    </font>
    <font>
      <b/>
      <i/>
      <sz val="8.0"/>
      <color rgb="FF757070"/>
      <name val="Arial"/>
    </font>
    <font>
      <sz val="8.0"/>
      <color rgb="FF505050"/>
      <name val="Arial"/>
    </font>
    <font>
      <sz val="8.0"/>
      <color rgb="FF222222"/>
      <name val="Arial"/>
    </font>
    <font>
      <b/>
      <sz val="8.0"/>
      <color rgb="FF999999"/>
      <name val="Arial"/>
    </font>
    <font>
      <sz val="10.0"/>
      <color theme="1"/>
      <name val="Calibri"/>
    </font>
    <font>
      <sz val="8.0"/>
      <color theme="1"/>
      <name val="Calibri"/>
    </font>
    <font>
      <b/>
      <sz val="12.0"/>
      <color theme="1"/>
      <name val="Calibri"/>
    </font>
    <font>
      <b/>
      <sz val="10.0"/>
      <color rgb="FF757070"/>
      <name val="Calibri"/>
    </font>
    <font>
      <b/>
      <sz val="10.0"/>
      <color rgb="FF999999"/>
      <name val="Calibri"/>
    </font>
    <font>
      <sz val="8.0"/>
      <color rgb="FF757070"/>
      <name val="Calibri"/>
    </font>
    <font>
      <b/>
      <sz val="8.0"/>
      <color theme="1"/>
      <name val="Calibri"/>
    </font>
    <font>
      <sz val="11.0"/>
      <color theme="1"/>
      <name val="Bahnschrift semilight"/>
    </font>
    <font>
      <sz val="11.0"/>
      <color theme="1"/>
      <name val="Calibri"/>
    </font>
    <font>
      <sz val="11.0"/>
      <color rgb="FF999999"/>
      <name val="Calibri"/>
    </font>
    <font>
      <sz val="12.0"/>
      <color theme="1"/>
      <name val="Calibri"/>
    </font>
    <font>
      <b/>
      <sz val="8.0"/>
      <color theme="1"/>
      <name val="Century Gothic"/>
    </font>
    <font>
      <b/>
      <sz val="8.0"/>
      <color theme="1"/>
      <name val="Bahnschrift semilight"/>
    </font>
    <font>
      <sz val="8.0"/>
      <color theme="1"/>
      <name val="Century Gothic"/>
    </font>
    <font>
      <sz val="9.0"/>
      <color theme="1"/>
      <name val="Century Gothic"/>
    </font>
    <font>
      <sz val="9.0"/>
      <color rgb="FF000000"/>
      <name val="Century Gothic"/>
    </font>
    <font>
      <b/>
      <sz val="9.0"/>
      <color theme="1"/>
      <name val="Century Gothic"/>
    </font>
    <font>
      <sz val="9.0"/>
      <color theme="1"/>
      <name val="Calibri"/>
    </font>
    <font>
      <sz val="9.0"/>
      <color rgb="FFFF0000"/>
      <name val="Century Gothic"/>
    </font>
    <font>
      <sz val="10.0"/>
      <color theme="1"/>
      <name val="Century Gothic"/>
    </font>
    <font>
      <sz val="6.0"/>
      <color theme="1"/>
      <name val="Century Gothic"/>
    </font>
    <font>
      <sz val="12.0"/>
      <color rgb="FF000000"/>
      <name val="Century Gothic"/>
    </font>
    <font>
      <sz val="8.0"/>
      <color rgb="FF000000"/>
      <name val="Century Gothic"/>
    </font>
    <font>
      <sz val="11.0"/>
      <color rgb="FF000000"/>
      <name val="Century Gothic"/>
    </font>
    <font>
      <sz val="11.0"/>
      <color theme="1"/>
      <name val="Century Gothic"/>
    </font>
    <font>
      <sz val="12.0"/>
      <color theme="1"/>
      <name val="Century Gothic"/>
    </font>
    <font>
      <sz val="11.0"/>
      <color rgb="FF757070"/>
      <name val="Century Gothic"/>
    </font>
    <font>
      <sz val="11.0"/>
      <color theme="1"/>
      <name val="Arial"/>
    </font>
    <font>
      <sz val="10.0"/>
      <color rgb="FF757070"/>
      <name val="Century Gothic"/>
    </font>
    <font>
      <sz val="8.0"/>
      <color rgb="FFFF0000"/>
      <name val="Century Gothic"/>
    </font>
    <font>
      <sz val="12.0"/>
      <color rgb="FF0C0C0C"/>
      <name val="Century Gothic"/>
    </font>
    <font>
      <b/>
      <sz val="12.0"/>
      <color theme="1"/>
      <name val="Century Gothic"/>
    </font>
    <font>
      <b/>
      <sz val="10.0"/>
      <color rgb="FF757070"/>
      <name val="Century Gothic"/>
    </font>
    <font>
      <b/>
      <sz val="12.0"/>
      <color rgb="FF000000"/>
      <name val="Century Gothic"/>
    </font>
    <font>
      <b/>
      <i/>
      <sz val="10.0"/>
      <color rgb="FF757070"/>
      <name val="Century Gothic"/>
    </font>
    <font>
      <sz val="8.0"/>
      <color rgb="FF505050"/>
      <name val="Century Gothic"/>
    </font>
    <font>
      <sz val="10.0"/>
      <color rgb="FF000000"/>
      <name val="Century Gothic"/>
    </font>
    <font>
      <sz val="10.0"/>
      <color rgb="FF505050"/>
      <name val="Century Gothic"/>
    </font>
    <font>
      <sz val="10.0"/>
      <color rgb="FF222222"/>
      <name val="Century Gothic"/>
    </font>
    <font>
      <b/>
      <sz val="10.0"/>
      <color theme="1"/>
      <name val="Calibri"/>
    </font>
    <font>
      <b/>
      <sz val="11.0"/>
      <color theme="1"/>
      <name val="Calibri"/>
    </font>
    <font>
      <b/>
      <sz val="11.0"/>
      <color theme="1"/>
      <name val="Bahnschrift semilight"/>
    </font>
    <font>
      <b/>
      <sz val="11.0"/>
      <color theme="1"/>
      <name val="Arial"/>
    </font>
    <font>
      <i/>
      <sz val="8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rgb="FF980000"/>
      <name val="Arial"/>
    </font>
    <font>
      <i/>
      <sz val="7.0"/>
      <color rgb="FF000000"/>
      <name val="Arial"/>
    </font>
    <font>
      <sz val="6.0"/>
      <color rgb="FF000000"/>
      <name val="Arial"/>
    </font>
    <font>
      <sz val="7.0"/>
      <color rgb="FF000000"/>
      <name val="Arial"/>
    </font>
    <font>
      <sz val="6.0"/>
      <color rgb="FFFF0000"/>
      <name val="Arial"/>
    </font>
    <font>
      <sz val="6.0"/>
      <color theme="1"/>
      <name val="Arial"/>
    </font>
    <font>
      <sz val="11.0"/>
      <color rgb="FF000000"/>
      <name val="Calibri"/>
    </font>
    <font>
      <sz val="8.0"/>
      <color rgb="FF000000"/>
      <name val="Calibri"/>
    </font>
    <font>
      <sz val="11.0"/>
      <color rgb="FF757070"/>
      <name val="Calibri"/>
    </font>
    <font>
      <sz val="10.0"/>
      <color rgb="FF757070"/>
      <name val="Calibri"/>
    </font>
    <font>
      <sz val="8.0"/>
      <color rgb="FFFF0000"/>
      <name val="Calibri"/>
    </font>
    <font>
      <sz val="11.0"/>
      <color rgb="FF0C0C0C"/>
      <name val="Calibri"/>
    </font>
    <font>
      <b/>
      <sz val="11.0"/>
      <color rgb="FF000000"/>
      <name val="Calibri"/>
    </font>
    <font>
      <b/>
      <i/>
      <sz val="10.0"/>
      <color rgb="FF757070"/>
      <name val="Calibri"/>
    </font>
    <font>
      <sz val="8.0"/>
      <color rgb="FF505050"/>
      <name val="Calibri"/>
    </font>
    <font>
      <sz val="10.0"/>
      <color rgb="FF000000"/>
      <name val="Calibri"/>
    </font>
    <font>
      <sz val="10.0"/>
      <color rgb="FF505050"/>
      <name val="Calibri"/>
    </font>
    <font>
      <sz val="10.0"/>
      <color rgb="FF222222"/>
      <name val="Calibri"/>
    </font>
    <font>
      <b/>
      <sz val="8.0"/>
      <color rgb="FF000000"/>
      <name val="Calibri"/>
    </font>
    <font>
      <b/>
      <sz val="8.0"/>
      <color rgb="FF000000"/>
      <name val="Bahnschrift semilight"/>
    </font>
    <font>
      <b/>
      <sz val="6.0"/>
      <color rgb="FF000000"/>
      <name val="Arial"/>
    </font>
    <font>
      <sz val="9.0"/>
      <color rgb="FF000000"/>
      <name val="Calibri"/>
    </font>
    <font>
      <sz val="9.0"/>
      <color rgb="FF999999"/>
      <name val="Calibri"/>
    </font>
    <font>
      <b/>
      <sz val="9.0"/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>
      <color rgb="FF999999"/>
      <name val="Calibri"/>
      <scheme val="minor"/>
    </font>
    <font>
      <sz val="9.0"/>
      <color rgb="FF000000"/>
      <name val="Calibri"/>
      <scheme val="minor"/>
    </font>
    <font>
      <sz val="12.0"/>
      <color rgb="FF0C0C0C"/>
      <name val="Calibri"/>
    </font>
    <font>
      <b/>
      <sz val="12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</fills>
  <borders count="49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/>
      <right/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medium">
        <color rgb="FF000000"/>
      </top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4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2" numFmtId="164" xfId="0" applyAlignment="1" applyBorder="1" applyFont="1" applyNumberFormat="1">
      <alignment horizontal="center" shrinkToFit="0" vertical="center" wrapText="1"/>
    </xf>
    <xf borderId="2" fillId="2" fontId="3" numFmtId="165" xfId="0" applyAlignment="1" applyBorder="1" applyFont="1" applyNumberFormat="1">
      <alignment horizontal="center" shrinkToFit="0" vertical="center" wrapText="1"/>
    </xf>
    <xf borderId="3" fillId="2" fontId="3" numFmtId="14" xfId="0" applyAlignment="1" applyBorder="1" applyFont="1" applyNumberForma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4" fillId="3" fontId="3" numFmtId="14" xfId="0" applyAlignment="1" applyBorder="1" applyFont="1" applyNumberFormat="1">
      <alignment horizontal="center" shrinkToFit="0" vertical="center" wrapText="1"/>
    </xf>
    <xf borderId="5" fillId="4" fontId="3" numFmtId="165" xfId="0" applyAlignment="1" applyBorder="1" applyFill="1" applyFont="1" applyNumberForma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3" numFmtId="4" xfId="0" applyAlignment="1" applyBorder="1" applyFont="1" applyNumberForma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5" fontId="3" numFmtId="0" xfId="0" applyAlignment="1" applyBorder="1" applyFill="1" applyFont="1">
      <alignment horizontal="center" shrinkToFit="0" vertical="center" wrapText="1"/>
    </xf>
    <xf borderId="8" fillId="5" fontId="3" numFmtId="4" xfId="0" applyAlignment="1" applyBorder="1" applyFont="1" applyNumberFormat="1">
      <alignment horizontal="center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2" fillId="6" fontId="3" numFmtId="4" xfId="0" applyAlignment="1" applyBorder="1" applyFill="1" applyFont="1" applyNumberFormat="1">
      <alignment horizontal="center" shrinkToFit="0" vertical="center" wrapText="1"/>
    </xf>
    <xf borderId="2" fillId="6" fontId="2" numFmtId="0" xfId="0" applyAlignment="1" applyBorder="1" applyFont="1">
      <alignment horizontal="center" shrinkToFit="0" vertical="center" wrapText="1"/>
    </xf>
    <xf borderId="3" fillId="7" fontId="2" numFmtId="4" xfId="0" applyAlignment="1" applyBorder="1" applyFill="1" applyFont="1" applyNumberFormat="1">
      <alignment horizontal="center" shrinkToFit="0" vertical="center" wrapText="1"/>
    </xf>
    <xf borderId="2" fillId="5" fontId="2" numFmtId="4" xfId="0" applyAlignment="1" applyBorder="1" applyFont="1" applyNumberFormat="1">
      <alignment horizontal="center" shrinkToFit="0" vertical="center" wrapText="1"/>
    </xf>
    <xf borderId="2" fillId="5" fontId="2" numFmtId="0" xfId="0" applyAlignment="1" applyBorder="1" applyFont="1">
      <alignment horizontal="center" shrinkToFit="0" vertical="center" wrapText="1"/>
    </xf>
    <xf borderId="2" fillId="5" fontId="2" numFmtId="166" xfId="0" applyAlignment="1" applyBorder="1" applyFont="1" applyNumberFormat="1">
      <alignment horizontal="center" shrinkToFit="0" vertical="center" wrapText="1"/>
    </xf>
    <xf borderId="2" fillId="5" fontId="2" numFmtId="167" xfId="0" applyAlignment="1" applyBorder="1" applyFont="1" applyNumberFormat="1">
      <alignment horizontal="center" shrinkToFit="0" vertical="center" wrapText="1"/>
    </xf>
    <xf borderId="2" fillId="5" fontId="2" numFmtId="9" xfId="0" applyAlignment="1" applyBorder="1" applyFont="1" applyNumberFormat="1">
      <alignment horizontal="center"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2" fillId="8" fontId="1" numFmtId="0" xfId="0" applyAlignment="1" applyBorder="1" applyFill="1" applyFont="1">
      <alignment horizontal="center" readingOrder="0" shrinkToFit="0" vertical="center" wrapText="1"/>
    </xf>
    <xf borderId="9" fillId="5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readingOrder="0"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3" numFmtId="4" xfId="0" applyAlignment="1" applyBorder="1" applyFont="1" applyNumberFormat="1">
      <alignment horizontal="center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5" numFmtId="0" xfId="0" applyAlignment="1" applyBorder="1" applyFont="1">
      <alignment horizontal="left" shrinkToFit="0" vertical="center" wrapText="1"/>
    </xf>
    <xf borderId="19" fillId="9" fontId="5" numFmtId="0" xfId="0" applyAlignment="1" applyBorder="1" applyFill="1" applyFont="1">
      <alignment horizontal="left" shrinkToFit="0" vertical="center" wrapText="1"/>
    </xf>
    <xf borderId="19" fillId="10" fontId="6" numFmtId="0" xfId="0" applyAlignment="1" applyBorder="1" applyFill="1" applyFont="1">
      <alignment shrinkToFit="0" vertical="center" wrapText="1"/>
    </xf>
    <xf borderId="18" fillId="0" fontId="6" numFmtId="0" xfId="0" applyAlignment="1" applyBorder="1" applyFont="1">
      <alignment shrinkToFit="0" vertical="center" wrapText="1"/>
    </xf>
    <xf borderId="20" fillId="0" fontId="6" numFmtId="164" xfId="0" applyAlignment="1" applyBorder="1" applyFont="1" applyNumberFormat="1">
      <alignment horizontal="left" shrinkToFit="0" vertical="center" wrapText="1"/>
    </xf>
    <xf borderId="18" fillId="0" fontId="7" numFmtId="165" xfId="0" applyAlignment="1" applyBorder="1" applyFont="1" applyNumberFormat="1">
      <alignment horizontal="left" shrinkToFit="0" vertical="center" wrapText="1"/>
    </xf>
    <xf borderId="20" fillId="0" fontId="5" numFmtId="14" xfId="0" applyAlignment="1" applyBorder="1" applyFont="1" applyNumberFormat="1">
      <alignment shrinkToFit="0" vertical="center" wrapText="1"/>
    </xf>
    <xf borderId="21" fillId="3" fontId="1" numFmtId="165" xfId="0" applyAlignment="1" applyBorder="1" applyFont="1" applyNumberFormat="1">
      <alignment horizontal="center" shrinkToFit="0" vertical="center" wrapText="1"/>
    </xf>
    <xf borderId="21" fillId="4" fontId="1" numFmtId="165" xfId="0" applyAlignment="1" applyBorder="1" applyFont="1" applyNumberFormat="1">
      <alignment horizontal="center" shrinkToFit="0" vertical="center" wrapText="1"/>
    </xf>
    <xf borderId="20" fillId="0" fontId="5" numFmtId="0" xfId="0" applyAlignment="1" applyBorder="1" applyFont="1">
      <alignment shrinkToFit="0" vertical="center" wrapText="1"/>
    </xf>
    <xf borderId="0" fillId="0" fontId="5" numFmtId="4" xfId="0" applyAlignment="1" applyFont="1" applyNumberForma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165" xfId="0" applyAlignment="1" applyFont="1" applyNumberFormat="1">
      <alignment shrinkToFit="0" vertical="center" wrapText="1"/>
    </xf>
    <xf borderId="18" fillId="0" fontId="7" numFmtId="4" xfId="0" applyAlignment="1" applyBorder="1" applyFont="1" applyNumberFormat="1">
      <alignment shrinkToFit="0" vertical="center" wrapText="1"/>
    </xf>
    <xf borderId="18" fillId="0" fontId="5" numFmtId="165" xfId="0" applyAlignment="1" applyBorder="1" applyFont="1" applyNumberFormat="1">
      <alignment shrinkToFit="0" vertical="center" wrapText="1"/>
    </xf>
    <xf borderId="22" fillId="7" fontId="5" numFmtId="4" xfId="0" applyAlignment="1" applyBorder="1" applyFont="1" applyNumberFormat="1">
      <alignment shrinkToFit="0" vertical="center" wrapText="1"/>
    </xf>
    <xf borderId="18" fillId="0" fontId="5" numFmtId="4" xfId="0" applyAlignment="1" applyBorder="1" applyFont="1" applyNumberFormat="1">
      <alignment horizontal="center" shrinkToFit="0" vertical="center" wrapText="1"/>
    </xf>
    <xf borderId="18" fillId="0" fontId="5" numFmtId="164" xfId="0" applyAlignment="1" applyBorder="1" applyFont="1" applyNumberFormat="1">
      <alignment shrinkToFit="0" vertical="center" wrapText="1"/>
    </xf>
    <xf borderId="18" fillId="0" fontId="5" numFmtId="166" xfId="0" applyAlignment="1" applyBorder="1" applyFont="1" applyNumberFormat="1">
      <alignment horizontal="center" shrinkToFit="0" vertical="center" wrapText="1"/>
    </xf>
    <xf borderId="18" fillId="0" fontId="5" numFmtId="167" xfId="0" applyAlignment="1" applyBorder="1" applyFont="1" applyNumberFormat="1">
      <alignment shrinkToFit="0" vertical="center" wrapText="1"/>
    </xf>
    <xf borderId="18" fillId="0" fontId="5" numFmtId="168" xfId="0" applyAlignment="1" applyBorder="1" applyFont="1" applyNumberFormat="1">
      <alignment shrinkToFit="0" vertical="center" wrapText="1"/>
    </xf>
    <xf borderId="18" fillId="0" fontId="5" numFmtId="9" xfId="0" applyAlignment="1" applyBorder="1" applyFont="1" applyNumberFormat="1">
      <alignment shrinkToFit="0" vertical="center" wrapText="1"/>
    </xf>
    <xf borderId="18" fillId="0" fontId="5" numFmtId="166" xfId="0" applyAlignment="1" applyBorder="1" applyFont="1" applyNumberFormat="1">
      <alignment shrinkToFit="0" vertical="center" wrapText="1"/>
    </xf>
    <xf borderId="18" fillId="8" fontId="5" numFmtId="166" xfId="0" applyAlignment="1" applyBorder="1" applyFont="1" applyNumberFormat="1">
      <alignment shrinkToFit="0" vertical="center" wrapText="1"/>
    </xf>
    <xf borderId="18" fillId="4" fontId="5" numFmtId="166" xfId="0" applyAlignment="1" applyBorder="1" applyFont="1" applyNumberFormat="1">
      <alignment shrinkToFit="0" vertical="center" wrapText="1"/>
    </xf>
    <xf borderId="23" fillId="0" fontId="5" numFmtId="0" xfId="0" applyAlignment="1" applyBorder="1" applyFont="1">
      <alignment horizontal="left" shrinkToFit="0" vertical="center" wrapText="1"/>
    </xf>
    <xf borderId="23" fillId="9" fontId="5" numFmtId="0" xfId="0" applyAlignment="1" applyBorder="1" applyFont="1">
      <alignment horizontal="left" shrinkToFit="0" vertical="center" wrapText="1"/>
    </xf>
    <xf borderId="23" fillId="0" fontId="6" numFmtId="0" xfId="0" applyAlignment="1" applyBorder="1" applyFont="1">
      <alignment shrinkToFit="0" vertical="center" wrapText="1"/>
    </xf>
    <xf borderId="24" fillId="0" fontId="6" numFmtId="164" xfId="0" applyAlignment="1" applyBorder="1" applyFont="1" applyNumberFormat="1">
      <alignment horizontal="left" shrinkToFit="0" vertical="center" wrapText="1"/>
    </xf>
    <xf borderId="23" fillId="0" fontId="7" numFmtId="165" xfId="0" applyAlignment="1" applyBorder="1" applyFont="1" applyNumberFormat="1">
      <alignment horizontal="left" shrinkToFit="0" vertical="center" wrapText="1"/>
    </xf>
    <xf borderId="24" fillId="0" fontId="5" numFmtId="14" xfId="0" applyAlignment="1" applyBorder="1" applyFont="1" applyNumberFormat="1">
      <alignment shrinkToFit="0" vertical="center" wrapText="1"/>
    </xf>
    <xf borderId="24" fillId="0" fontId="5" numFmtId="0" xfId="0" applyAlignment="1" applyBorder="1" applyFont="1">
      <alignment shrinkToFit="0" vertical="center" wrapText="1"/>
    </xf>
    <xf borderId="23" fillId="0" fontId="7" numFmtId="4" xfId="0" applyAlignment="1" applyBorder="1" applyFont="1" applyNumberFormat="1">
      <alignment shrinkToFit="0" vertical="center" wrapText="1"/>
    </xf>
    <xf borderId="23" fillId="0" fontId="5" numFmtId="165" xfId="0" applyAlignment="1" applyBorder="1" applyFont="1" applyNumberFormat="1">
      <alignment shrinkToFit="0" vertical="center" wrapText="1"/>
    </xf>
    <xf borderId="25" fillId="7" fontId="5" numFmtId="4" xfId="0" applyAlignment="1" applyBorder="1" applyFont="1" applyNumberFormat="1">
      <alignment shrinkToFit="0" vertical="center" wrapText="1"/>
    </xf>
    <xf borderId="23" fillId="0" fontId="5" numFmtId="4" xfId="0" applyAlignment="1" applyBorder="1" applyFont="1" applyNumberFormat="1">
      <alignment horizontal="center" shrinkToFit="0" vertical="center" wrapText="1"/>
    </xf>
    <xf borderId="23" fillId="0" fontId="5" numFmtId="164" xfId="0" applyAlignment="1" applyBorder="1" applyFont="1" applyNumberFormat="1">
      <alignment shrinkToFit="0" vertical="center" wrapText="1"/>
    </xf>
    <xf borderId="23" fillId="0" fontId="5" numFmtId="166" xfId="0" applyAlignment="1" applyBorder="1" applyFont="1" applyNumberFormat="1">
      <alignment horizontal="center" shrinkToFit="0" vertical="center" wrapText="1"/>
    </xf>
    <xf borderId="23" fillId="0" fontId="5" numFmtId="167" xfId="0" applyAlignment="1" applyBorder="1" applyFont="1" applyNumberFormat="1">
      <alignment shrinkToFit="0" vertical="center" wrapText="1"/>
    </xf>
    <xf borderId="23" fillId="0" fontId="5" numFmtId="168" xfId="0" applyAlignment="1" applyBorder="1" applyFont="1" applyNumberFormat="1">
      <alignment shrinkToFit="0" vertical="center" wrapText="1"/>
    </xf>
    <xf borderId="23" fillId="0" fontId="5" numFmtId="9" xfId="0" applyAlignment="1" applyBorder="1" applyFont="1" applyNumberFormat="1">
      <alignment shrinkToFit="0" vertical="center" wrapText="1"/>
    </xf>
    <xf borderId="23" fillId="0" fontId="5" numFmtId="166" xfId="0" applyAlignment="1" applyBorder="1" applyFont="1" applyNumberFormat="1">
      <alignment shrinkToFit="0" vertical="center" wrapText="1"/>
    </xf>
    <xf borderId="23" fillId="0" fontId="5" numFmtId="164" xfId="0" applyAlignment="1" applyBorder="1" applyFont="1" applyNumberFormat="1">
      <alignment horizontal="right" shrinkToFit="0" vertical="center" wrapText="1"/>
    </xf>
    <xf borderId="23" fillId="0" fontId="5" numFmtId="167" xfId="0" applyAlignment="1" applyBorder="1" applyFont="1" applyNumberFormat="1">
      <alignment horizontal="right" shrinkToFit="0" vertical="center" wrapText="1"/>
    </xf>
    <xf borderId="18" fillId="0" fontId="5" numFmtId="0" xfId="0" applyAlignment="1" applyBorder="1" applyFont="1">
      <alignment shrinkToFit="0" vertical="center" wrapText="1"/>
    </xf>
    <xf borderId="23" fillId="0" fontId="5" numFmtId="169" xfId="0" applyAlignment="1" applyBorder="1" applyFont="1" applyNumberFormat="1">
      <alignment horizontal="right" shrinkToFit="0" vertical="center" wrapText="1"/>
    </xf>
    <xf borderId="0" fillId="0" fontId="5" numFmtId="167" xfId="0" applyAlignment="1" applyFont="1" applyNumberFormat="1">
      <alignment shrinkToFit="0" vertical="center" wrapText="1"/>
    </xf>
    <xf borderId="23" fillId="0" fontId="6" numFmtId="0" xfId="0" applyAlignment="1" applyBorder="1" applyFont="1">
      <alignment readingOrder="0" shrinkToFit="0" vertical="center" wrapText="1"/>
    </xf>
    <xf borderId="24" fillId="0" fontId="5" numFmtId="164" xfId="0" applyAlignment="1" applyBorder="1" applyFont="1" applyNumberFormat="1">
      <alignment horizontal="left" shrinkToFit="0" vertical="center" wrapText="1"/>
    </xf>
    <xf borderId="23" fillId="10" fontId="6" numFmtId="0" xfId="0" applyAlignment="1" applyBorder="1" applyFont="1">
      <alignment shrinkToFit="0" vertical="center" wrapText="1"/>
    </xf>
    <xf borderId="23" fillId="0" fontId="6" numFmtId="164" xfId="0" applyAlignment="1" applyBorder="1" applyFont="1" applyNumberFormat="1">
      <alignment horizontal="left" shrinkToFit="0" vertical="center" wrapText="1"/>
    </xf>
    <xf borderId="23" fillId="0" fontId="5" numFmtId="14" xfId="0" applyAlignment="1" applyBorder="1" applyFont="1" applyNumberFormat="1">
      <alignment shrinkToFit="0" vertical="center" wrapText="1"/>
    </xf>
    <xf borderId="23" fillId="3" fontId="1" numFmtId="165" xfId="0" applyAlignment="1" applyBorder="1" applyFont="1" applyNumberFormat="1">
      <alignment horizontal="center" shrinkToFit="0" vertical="center" wrapText="1"/>
    </xf>
    <xf borderId="23" fillId="4" fontId="1" numFmtId="165" xfId="0" applyAlignment="1" applyBorder="1" applyFont="1" applyNumberFormat="1">
      <alignment horizontal="center" shrinkToFit="0" vertical="center" wrapText="1"/>
    </xf>
    <xf borderId="23" fillId="0" fontId="5" numFmtId="0" xfId="0" applyAlignment="1" applyBorder="1" applyFont="1">
      <alignment shrinkToFit="0" vertical="center" wrapText="1"/>
    </xf>
    <xf borderId="23" fillId="0" fontId="5" numFmtId="4" xfId="0" applyAlignment="1" applyBorder="1" applyFont="1" applyNumberFormat="1">
      <alignment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23" fillId="7" fontId="5" numFmtId="4" xfId="0" applyAlignment="1" applyBorder="1" applyFont="1" applyNumberFormat="1">
      <alignment shrinkToFit="0" vertical="center" wrapText="1"/>
    </xf>
    <xf borderId="23" fillId="8" fontId="5" numFmtId="166" xfId="0" applyAlignment="1" applyBorder="1" applyFont="1" applyNumberFormat="1">
      <alignment shrinkToFit="0" vertical="center" wrapText="1"/>
    </xf>
    <xf borderId="23" fillId="4" fontId="5" numFmtId="166" xfId="0" applyAlignment="1" applyBorder="1" applyFont="1" applyNumberForma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26" fillId="9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164" xfId="0" applyAlignment="1" applyFont="1" applyNumberFormat="1">
      <alignment horizontal="left" shrinkToFit="0" vertical="center" wrapText="1"/>
    </xf>
    <xf borderId="0" fillId="0" fontId="7" numFmtId="165" xfId="0" applyAlignment="1" applyFont="1" applyNumberFormat="1">
      <alignment horizontal="left" shrinkToFit="0" vertical="center" wrapText="1"/>
    </xf>
    <xf borderId="0" fillId="0" fontId="5" numFmtId="14" xfId="0" applyAlignment="1" applyFont="1" applyNumberFormat="1">
      <alignment shrinkToFit="0" vertical="center" wrapText="1"/>
    </xf>
    <xf borderId="26" fillId="4" fontId="1" numFmtId="165" xfId="0" applyAlignment="1" applyBorder="1" applyFont="1" applyNumberFormat="1">
      <alignment horizontal="center" shrinkToFit="0" vertical="center" wrapText="1"/>
    </xf>
    <xf borderId="0" fillId="0" fontId="7" numFmtId="4" xfId="0" applyAlignment="1" applyFont="1" applyNumberFormat="1">
      <alignment shrinkToFit="0" vertical="center" wrapText="1"/>
    </xf>
    <xf borderId="26" fillId="7" fontId="5" numFmtId="4" xfId="0" applyAlignment="1" applyBorder="1" applyFont="1" applyNumberFormat="1">
      <alignment shrinkToFit="0" vertical="center" wrapText="1"/>
    </xf>
    <xf borderId="0" fillId="0" fontId="5" numFmtId="4" xfId="0" applyAlignment="1" applyFont="1" applyNumberFormat="1">
      <alignment horizontal="center" shrinkToFit="0" vertical="center" wrapText="1"/>
    </xf>
    <xf borderId="0" fillId="0" fontId="5" numFmtId="164" xfId="0" applyAlignment="1" applyFont="1" applyNumberFormat="1">
      <alignment shrinkToFit="0" vertical="center" wrapText="1"/>
    </xf>
    <xf borderId="0" fillId="0" fontId="5" numFmtId="166" xfId="0" applyAlignment="1" applyFont="1" applyNumberFormat="1">
      <alignment horizontal="center" shrinkToFit="0" vertical="center" wrapText="1"/>
    </xf>
    <xf borderId="0" fillId="0" fontId="5" numFmtId="9" xfId="0" applyAlignment="1" applyFont="1" applyNumberFormat="1">
      <alignment shrinkToFit="0" vertical="center" wrapText="1"/>
    </xf>
    <xf borderId="0" fillId="8" fontId="5" numFmtId="0" xfId="0" applyAlignment="1" applyFont="1">
      <alignment shrinkToFit="0" vertical="center" wrapText="1"/>
    </xf>
    <xf borderId="0" fillId="4" fontId="5" numFmtId="0" xfId="0" applyAlignment="1" applyFont="1">
      <alignment shrinkToFit="0" vertical="center" wrapText="1"/>
    </xf>
    <xf borderId="27" fillId="9" fontId="5" numFmtId="0" xfId="0" applyAlignment="1" applyBorder="1" applyFont="1">
      <alignment horizontal="left" shrinkToFit="0" vertical="center" wrapText="1"/>
    </xf>
    <xf borderId="27" fillId="4" fontId="1" numFmtId="165" xfId="0" applyAlignment="1" applyBorder="1" applyFont="1" applyNumberFormat="1">
      <alignment horizontal="center" shrinkToFit="0" vertical="center" wrapText="1"/>
    </xf>
    <xf borderId="27" fillId="7" fontId="5" numFmtId="4" xfId="0" applyAlignment="1" applyBorder="1" applyFont="1" applyNumberFormat="1">
      <alignment shrinkToFit="0" vertical="center" wrapText="1"/>
    </xf>
    <xf borderId="27" fillId="10" fontId="6" numFmtId="0" xfId="0" applyAlignment="1" applyBorder="1" applyFont="1">
      <alignment horizontal="left" shrinkToFit="0" vertical="center" wrapText="1"/>
    </xf>
    <xf borderId="27" fillId="10" fontId="6" numFmtId="0" xfId="0" applyAlignment="1" applyBorder="1" applyFont="1">
      <alignment shrinkToFit="0" vertical="center" wrapText="1"/>
    </xf>
    <xf borderId="0" fillId="0" fontId="5" numFmtId="170" xfId="0" applyAlignment="1" applyFont="1" applyNumberFormat="1">
      <alignment shrinkToFit="0" vertical="center" wrapText="1"/>
    </xf>
    <xf borderId="27" fillId="10" fontId="6" numFmtId="164" xfId="0" applyAlignment="1" applyBorder="1" applyFont="1" applyNumberFormat="1">
      <alignment horizontal="left" shrinkToFit="0" vertical="center" wrapText="1"/>
    </xf>
    <xf borderId="0" fillId="0" fontId="5" numFmtId="49" xfId="0" applyAlignment="1" applyFont="1" applyNumberFormat="1">
      <alignment horizontal="left" shrinkToFit="0" vertical="center" wrapText="1"/>
    </xf>
    <xf borderId="0" fillId="0" fontId="8" numFmtId="164" xfId="0" applyAlignment="1" applyFont="1" applyNumberFormat="1">
      <alignment horizontal="left" shrinkToFit="0" vertical="center" wrapText="1"/>
    </xf>
    <xf borderId="0" fillId="0" fontId="6" numFmtId="49" xfId="0" applyAlignment="1" applyFont="1" applyNumberForma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0" numFmtId="49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1" numFmtId="164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left" shrinkToFit="0" vertical="center" wrapText="1"/>
    </xf>
    <xf borderId="0" fillId="0" fontId="11" numFmtId="164" xfId="0" applyAlignment="1" applyFont="1" applyNumberFormat="1">
      <alignment horizontal="right" shrinkToFit="0" vertical="center" wrapText="1"/>
    </xf>
    <xf borderId="0" fillId="0" fontId="12" numFmtId="49" xfId="0" applyAlignment="1" applyFont="1" applyNumberFormat="1">
      <alignment horizontal="left" shrinkToFit="0" vertical="center" wrapText="1"/>
    </xf>
    <xf borderId="0" fillId="0" fontId="13" numFmtId="164" xfId="0" applyAlignment="1" applyFont="1" applyNumberFormat="1">
      <alignment horizontal="right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27" fillId="9" fontId="1" numFmtId="0" xfId="0" applyAlignment="1" applyBorder="1" applyFont="1">
      <alignment horizontal="left" shrinkToFit="0" vertical="center" wrapText="1"/>
    </xf>
    <xf borderId="27" fillId="9" fontId="11" numFmtId="164" xfId="0" applyAlignment="1" applyBorder="1" applyFont="1" applyNumberFormat="1">
      <alignment horizontal="center" shrinkToFit="0" vertical="center" wrapText="1"/>
    </xf>
    <xf borderId="0" fillId="0" fontId="11" numFmtId="164" xfId="0" applyAlignment="1" applyFont="1" applyNumberFormat="1">
      <alignment shrinkToFit="0" vertical="center" wrapText="1"/>
    </xf>
    <xf borderId="0" fillId="0" fontId="8" numFmtId="14" xfId="0" applyAlignment="1" applyFont="1" applyNumberFormat="1">
      <alignment horizontal="center" shrinkToFit="0" vertical="center" wrapText="1"/>
    </xf>
    <xf borderId="0" fillId="0" fontId="16" numFmtId="165" xfId="0" applyAlignment="1" applyFont="1" applyNumberFormat="1">
      <alignment shrinkToFit="0" vertical="center" wrapText="1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0" fillId="0" fontId="17" numFmtId="0" xfId="0" applyAlignment="1" applyFont="1">
      <alignment horizontal="left" shrinkToFit="0" vertical="center" wrapText="1"/>
    </xf>
    <xf borderId="0" fillId="0" fontId="20" numFmtId="164" xfId="0" applyAlignment="1" applyFont="1" applyNumberFormat="1">
      <alignment vertical="center"/>
    </xf>
    <xf borderId="0" fillId="0" fontId="21" numFmtId="165" xfId="0" applyAlignment="1" applyFont="1" applyNumberFormat="1">
      <alignment vertical="center"/>
    </xf>
    <xf borderId="0" fillId="0" fontId="22" numFmtId="14" xfId="0" applyAlignment="1" applyFont="1" applyNumberFormat="1">
      <alignment horizontal="center" vertical="center"/>
    </xf>
    <xf borderId="27" fillId="4" fontId="23" numFmtId="165" xfId="0" applyAlignment="1" applyBorder="1" applyFont="1" applyNumberFormat="1">
      <alignment horizontal="center" vertical="center"/>
    </xf>
    <xf borderId="0" fillId="0" fontId="24" numFmtId="4" xfId="0" applyAlignment="1" applyFont="1" applyNumberFormat="1">
      <alignment vertical="center"/>
    </xf>
    <xf borderId="0" fillId="0" fontId="25" numFmtId="0" xfId="0" applyAlignment="1" applyFont="1">
      <alignment vertical="center"/>
    </xf>
    <xf borderId="0" fillId="0" fontId="25" numFmtId="0" xfId="0" applyAlignment="1" applyFont="1">
      <alignment horizontal="center" vertical="center"/>
    </xf>
    <xf borderId="0" fillId="0" fontId="26" numFmtId="4" xfId="0" applyAlignment="1" applyFont="1" applyNumberFormat="1">
      <alignment vertical="center"/>
    </xf>
    <xf borderId="27" fillId="7" fontId="25" numFmtId="4" xfId="0" applyAlignment="1" applyBorder="1" applyFont="1" applyNumberFormat="1">
      <alignment vertical="center"/>
    </xf>
    <xf borderId="0" fillId="0" fontId="25" numFmtId="4" xfId="0" applyAlignment="1" applyFont="1" applyNumberFormat="1">
      <alignment horizontal="center" vertical="center"/>
    </xf>
    <xf borderId="0" fillId="0" fontId="25" numFmtId="166" xfId="0" applyAlignment="1" applyFont="1" applyNumberFormat="1">
      <alignment horizontal="center" vertical="center"/>
    </xf>
    <xf borderId="0" fillId="0" fontId="25" numFmtId="167" xfId="0" applyAlignment="1" applyFont="1" applyNumberFormat="1">
      <alignment vertical="center"/>
    </xf>
    <xf borderId="0" fillId="0" fontId="25" numFmtId="9" xfId="0" applyAlignment="1" applyFont="1" applyNumberFormat="1">
      <alignment vertical="center"/>
    </xf>
    <xf borderId="0" fillId="8" fontId="25" numFmtId="0" xfId="0" applyAlignment="1" applyFont="1">
      <alignment vertical="center"/>
    </xf>
    <xf borderId="0" fillId="4" fontId="25" numFmtId="0" xfId="0" applyAlignment="1" applyFont="1">
      <alignment vertical="center"/>
    </xf>
    <xf borderId="0" fillId="0" fontId="27" numFmtId="0" xfId="0" applyAlignment="1" applyFont="1">
      <alignment horizontal="left" vertical="center"/>
    </xf>
    <xf borderId="0" fillId="0" fontId="25" numFmtId="0" xfId="0" applyAlignment="1" applyFont="1">
      <alignment shrinkToFit="0" vertical="center" wrapText="1"/>
    </xf>
    <xf borderId="0" fillId="0" fontId="25" numFmtId="164" xfId="0" applyAlignment="1" applyFont="1" applyNumberFormat="1">
      <alignment vertical="center"/>
    </xf>
    <xf borderId="0" fillId="0" fontId="26" numFmtId="0" xfId="0" applyAlignment="1" applyFont="1">
      <alignment vertical="center"/>
    </xf>
    <xf borderId="0" fillId="0" fontId="25" numFmtId="14" xfId="0" applyAlignment="1" applyFont="1" applyNumberFormat="1">
      <alignment vertical="center"/>
    </xf>
    <xf borderId="0" fillId="0" fontId="25" numFmtId="4" xfId="0" applyAlignment="1" applyFont="1" applyNumberFormat="1">
      <alignment vertical="center"/>
    </xf>
    <xf borderId="1" fillId="2" fontId="28" numFmtId="0" xfId="0" applyAlignment="1" applyBorder="1" applyFont="1">
      <alignment horizontal="center" shrinkToFit="0" vertical="center" wrapText="1"/>
    </xf>
    <xf borderId="28" fillId="2" fontId="28" numFmtId="0" xfId="0" applyAlignment="1" applyBorder="1" applyFont="1">
      <alignment horizontal="center" shrinkToFit="0" vertical="center" wrapText="1"/>
    </xf>
    <xf borderId="2" fillId="2" fontId="28" numFmtId="0" xfId="0" applyAlignment="1" applyBorder="1" applyFont="1">
      <alignment horizontal="center" shrinkToFit="0" vertical="center" wrapText="1"/>
    </xf>
    <xf borderId="2" fillId="2" fontId="28" numFmtId="164" xfId="0" applyAlignment="1" applyBorder="1" applyFont="1" applyNumberFormat="1">
      <alignment horizontal="center" shrinkToFit="0" vertical="center" wrapText="1"/>
    </xf>
    <xf borderId="2" fillId="2" fontId="28" numFmtId="165" xfId="0" applyAlignment="1" applyBorder="1" applyFont="1" applyNumberFormat="1">
      <alignment horizontal="center" shrinkToFit="0" vertical="center" wrapText="1"/>
    </xf>
    <xf borderId="9" fillId="2" fontId="28" numFmtId="14" xfId="0" applyAlignment="1" applyBorder="1" applyFont="1" applyNumberFormat="1">
      <alignment horizontal="center" shrinkToFit="0" vertical="center" wrapText="1"/>
    </xf>
    <xf borderId="29" fillId="4" fontId="28" numFmtId="165" xfId="0" applyAlignment="1" applyBorder="1" applyFont="1" applyNumberFormat="1">
      <alignment horizontal="center" shrinkToFit="0" vertical="center" wrapText="1"/>
    </xf>
    <xf borderId="30" fillId="0" fontId="4" numFmtId="0" xfId="0" applyBorder="1" applyFont="1"/>
    <xf borderId="31" fillId="8" fontId="28" numFmtId="165" xfId="0" applyAlignment="1" applyBorder="1" applyFont="1" applyNumberFormat="1">
      <alignment horizontal="center" shrinkToFit="0" vertical="center" wrapText="1"/>
    </xf>
    <xf borderId="31" fillId="11" fontId="28" numFmtId="165" xfId="0" applyAlignment="1" applyBorder="1" applyFill="1" applyFont="1" applyNumberFormat="1">
      <alignment horizontal="center" shrinkToFit="0" vertical="center" wrapText="1"/>
    </xf>
    <xf borderId="32" fillId="0" fontId="28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33" fillId="0" fontId="4" numFmtId="0" xfId="0" applyBorder="1" applyFont="1"/>
    <xf borderId="34" fillId="0" fontId="4" numFmtId="0" xfId="0" applyBorder="1" applyFont="1"/>
    <xf borderId="35" fillId="4" fontId="28" numFmtId="165" xfId="0" applyAlignment="1" applyBorder="1" applyFont="1" applyNumberFormat="1">
      <alignment horizontal="center" readingOrder="0" shrinkToFit="0" vertical="center" wrapText="1"/>
    </xf>
    <xf borderId="36" fillId="4" fontId="28" numFmtId="165" xfId="0" applyAlignment="1" applyBorder="1" applyFont="1" applyNumberFormat="1">
      <alignment horizontal="center" shrinkToFit="0" vertical="center" wrapText="1"/>
    </xf>
    <xf borderId="37" fillId="8" fontId="30" numFmtId="165" xfId="0" applyAlignment="1" applyBorder="1" applyFont="1" applyNumberFormat="1">
      <alignment horizontal="center" shrinkToFit="0" vertical="center" wrapText="1"/>
    </xf>
    <xf borderId="36" fillId="8" fontId="30" numFmtId="165" xfId="0" applyAlignment="1" applyBorder="1" applyFont="1" applyNumberFormat="1">
      <alignment horizontal="center" shrinkToFit="0" vertical="center" wrapText="1"/>
    </xf>
    <xf borderId="37" fillId="11" fontId="30" numFmtId="165" xfId="0" applyAlignment="1" applyBorder="1" applyFont="1" applyNumberFormat="1">
      <alignment horizontal="center" shrinkToFit="0" vertical="center" wrapText="1"/>
    </xf>
    <xf borderId="36" fillId="11" fontId="30" numFmtId="165" xfId="0" applyAlignment="1" applyBorder="1" applyFont="1" applyNumberFormat="1">
      <alignment horizontal="center" shrinkToFit="0" vertical="center" wrapText="1"/>
    </xf>
    <xf borderId="20" fillId="0" fontId="4" numFmtId="0" xfId="0" applyBorder="1" applyFont="1"/>
    <xf borderId="23" fillId="0" fontId="31" numFmtId="0" xfId="0" applyAlignment="1" applyBorder="1" applyFont="1">
      <alignment horizontal="left" shrinkToFit="0" vertical="center" wrapText="1"/>
    </xf>
    <xf borderId="23" fillId="9" fontId="31" numFmtId="0" xfId="0" applyAlignment="1" applyBorder="1" applyFont="1">
      <alignment horizontal="left" shrinkToFit="0" wrapText="1"/>
    </xf>
    <xf borderId="25" fillId="10" fontId="32" numFmtId="0" xfId="0" applyAlignment="1" applyBorder="1" applyFont="1">
      <alignment horizontal="left" shrinkToFit="0" vertical="center" wrapText="1"/>
    </xf>
    <xf borderId="23" fillId="10" fontId="32" numFmtId="0" xfId="0" applyAlignment="1" applyBorder="1" applyFont="1">
      <alignment shrinkToFit="0" vertical="center" wrapText="1"/>
    </xf>
    <xf borderId="24" fillId="0" fontId="32" numFmtId="164" xfId="0" applyAlignment="1" applyBorder="1" applyFont="1" applyNumberFormat="1">
      <alignment horizontal="left" shrinkToFit="0" vertical="center" wrapText="1"/>
    </xf>
    <xf borderId="23" fillId="0" fontId="32" numFmtId="165" xfId="0" applyAlignment="1" applyBorder="1" applyFont="1" applyNumberFormat="1">
      <alignment horizontal="left" shrinkToFit="0" wrapText="1"/>
    </xf>
    <xf borderId="24" fillId="0" fontId="31" numFmtId="14" xfId="0" applyAlignment="1" applyBorder="1" applyFont="1" applyNumberFormat="1">
      <alignment shrinkToFit="0" vertical="center" wrapText="1"/>
    </xf>
    <xf borderId="21" fillId="4" fontId="33" numFmtId="165" xfId="0" applyAlignment="1" applyBorder="1" applyFont="1" applyNumberFormat="1">
      <alignment horizontal="center" shrinkToFit="0" vertical="center" wrapText="1"/>
    </xf>
    <xf borderId="38" fillId="4" fontId="33" numFmtId="165" xfId="0" applyAlignment="1" applyBorder="1" applyFont="1" applyNumberFormat="1">
      <alignment horizontal="center" shrinkToFit="0" vertical="center" wrapText="1"/>
    </xf>
    <xf borderId="39" fillId="0" fontId="31" numFmtId="165" xfId="0" applyAlignment="1" applyBorder="1" applyFont="1" applyNumberFormat="1">
      <alignment horizontal="center" shrinkToFit="0" vertical="center" wrapText="1"/>
    </xf>
    <xf borderId="40" fillId="0" fontId="31" numFmtId="165" xfId="0" applyAlignment="1" applyBorder="1" applyFont="1" applyNumberFormat="1">
      <alignment horizontal="center" shrinkToFit="0" vertical="center" wrapText="1"/>
    </xf>
    <xf borderId="24" fillId="0" fontId="31" numFmtId="0" xfId="0" applyAlignment="1" applyBorder="1" applyFont="1">
      <alignment shrinkToFit="0" vertical="center" wrapText="1"/>
    </xf>
    <xf borderId="0" fillId="0" fontId="34" numFmtId="0" xfId="0" applyFont="1"/>
    <xf borderId="0" fillId="0" fontId="34" numFmtId="0" xfId="0" applyFont="1"/>
    <xf borderId="23" fillId="0" fontId="32" numFmtId="164" xfId="0" applyAlignment="1" applyBorder="1" applyFont="1" applyNumberFormat="1">
      <alignment horizontal="left" shrinkToFit="0" vertical="center" wrapText="1"/>
    </xf>
    <xf borderId="41" fillId="4" fontId="33" numFmtId="165" xfId="0" applyAlignment="1" applyBorder="1" applyFont="1" applyNumberFormat="1">
      <alignment horizontal="center" shrinkToFit="0" vertical="center" wrapText="1"/>
    </xf>
    <xf borderId="42" fillId="0" fontId="31" numFmtId="165" xfId="0" applyAlignment="1" applyBorder="1" applyFont="1" applyNumberFormat="1">
      <alignment horizontal="center" shrinkToFit="0" vertical="center" wrapText="1"/>
    </xf>
    <xf borderId="41" fillId="0" fontId="31" numFmtId="165" xfId="0" applyAlignment="1" applyBorder="1" applyFont="1" applyNumberFormat="1">
      <alignment horizontal="center" shrinkToFit="0" vertical="center" wrapText="1"/>
    </xf>
    <xf borderId="43" fillId="10" fontId="32" numFmtId="164" xfId="0" applyAlignment="1" applyBorder="1" applyFont="1" applyNumberFormat="1">
      <alignment horizontal="left" shrinkToFit="0" vertical="center" wrapText="1"/>
    </xf>
    <xf borderId="44" fillId="0" fontId="32" numFmtId="0" xfId="0" applyAlignment="1" applyBorder="1" applyFont="1">
      <alignment horizontal="left" shrinkToFit="0" vertical="center" wrapText="1"/>
    </xf>
    <xf borderId="23" fillId="0" fontId="32" numFmtId="0" xfId="0" applyAlignment="1" applyBorder="1" applyFont="1">
      <alignment shrinkToFit="0" vertical="center" wrapText="1"/>
    </xf>
    <xf borderId="44" fillId="0" fontId="35" numFmtId="0" xfId="0" applyAlignment="1" applyBorder="1" applyFont="1">
      <alignment horizontal="left" shrinkToFit="0" vertical="center" wrapText="1"/>
    </xf>
    <xf borderId="23" fillId="10" fontId="32" numFmtId="0" xfId="0" applyAlignment="1" applyBorder="1" applyFont="1">
      <alignment readingOrder="0" shrinkToFit="0" vertical="center" wrapText="1"/>
    </xf>
    <xf borderId="0" fillId="0" fontId="34" numFmtId="0" xfId="0" applyAlignment="1" applyFont="1">
      <alignment vertical="center"/>
    </xf>
    <xf borderId="23" fillId="9" fontId="31" numFmtId="0" xfId="0" applyAlignment="1" applyBorder="1" applyFont="1">
      <alignment horizontal="left" shrinkToFit="0" vertical="center" wrapText="1"/>
    </xf>
    <xf borderId="44" fillId="0" fontId="32" numFmtId="0" xfId="0" applyAlignment="1" applyBorder="1" applyFont="1">
      <alignment horizontal="left" shrinkToFit="0" wrapText="1"/>
    </xf>
    <xf borderId="24" fillId="0" fontId="32" numFmtId="164" xfId="0" applyAlignment="1" applyBorder="1" applyFont="1" applyNumberFormat="1">
      <alignment horizontal="left" shrinkToFit="0" wrapText="1"/>
    </xf>
    <xf borderId="23" fillId="0" fontId="36" numFmtId="0" xfId="0" applyAlignment="1" applyBorder="1" applyFont="1">
      <alignment horizontal="left" shrinkToFit="0" vertical="center" wrapText="1"/>
    </xf>
    <xf borderId="23" fillId="0" fontId="37" numFmtId="0" xfId="0" applyAlignment="1" applyBorder="1" applyFont="1">
      <alignment horizontal="left" shrinkToFit="0" vertical="center" wrapText="1"/>
    </xf>
    <xf borderId="23" fillId="0" fontId="38" numFmtId="0" xfId="0" applyAlignment="1" applyBorder="1" applyFont="1">
      <alignment horizontal="left" shrinkToFit="0" vertical="center" wrapText="1"/>
    </xf>
    <xf borderId="18" fillId="0" fontId="39" numFmtId="0" xfId="0" applyAlignment="1" applyBorder="1" applyFont="1">
      <alignment horizontal="left" shrinkToFit="0" vertical="center" wrapText="1"/>
    </xf>
    <xf borderId="23" fillId="0" fontId="40" numFmtId="164" xfId="0" applyAlignment="1" applyBorder="1" applyFont="1" applyNumberFormat="1">
      <alignment horizontal="left" shrinkToFit="0" vertical="center" wrapText="1"/>
    </xf>
    <xf borderId="23" fillId="0" fontId="39" numFmtId="165" xfId="0" applyAlignment="1" applyBorder="1" applyFont="1" applyNumberFormat="1">
      <alignment horizontal="left" shrinkToFit="0" wrapText="1"/>
    </xf>
    <xf borderId="24" fillId="0" fontId="41" numFmtId="14" xfId="0" applyAlignment="1" applyBorder="1" applyFont="1" applyNumberFormat="1">
      <alignment shrinkToFit="0" vertical="center" wrapText="1"/>
    </xf>
    <xf borderId="41" fillId="4" fontId="28" numFmtId="165" xfId="0" applyAlignment="1" applyBorder="1" applyFont="1" applyNumberFormat="1">
      <alignment horizontal="center" shrinkToFit="0" vertical="center" wrapText="1"/>
    </xf>
    <xf borderId="42" fillId="0" fontId="30" numFmtId="165" xfId="0" applyAlignment="1" applyBorder="1" applyFont="1" applyNumberFormat="1">
      <alignment horizontal="center" shrinkToFit="0" vertical="center" wrapText="1"/>
    </xf>
    <xf borderId="41" fillId="0" fontId="30" numFmtId="165" xfId="0" applyAlignment="1" applyBorder="1" applyFont="1" applyNumberFormat="1">
      <alignment horizontal="center" shrinkToFit="0" vertical="center" wrapText="1"/>
    </xf>
    <xf borderId="24" fillId="0" fontId="36" numFmtId="0" xfId="0" applyAlignment="1" applyBorder="1" applyFont="1">
      <alignment shrinkToFit="0" vertical="center" wrapText="1"/>
    </xf>
    <xf borderId="0" fillId="0" fontId="24" numFmtId="0" xfId="0" applyAlignment="1" applyFont="1">
      <alignment vertical="center"/>
    </xf>
    <xf borderId="23" fillId="0" fontId="39" numFmtId="0" xfId="0" applyAlignment="1" applyBorder="1" applyFont="1">
      <alignment horizontal="left" shrinkToFit="0" vertical="center" wrapText="1"/>
    </xf>
    <xf borderId="23" fillId="0" fontId="42" numFmtId="49" xfId="0" applyAlignment="1" applyBorder="1" applyFont="1" applyNumberFormat="1">
      <alignment horizontal="left" shrinkToFit="0" vertical="center" wrapText="1"/>
    </xf>
    <xf borderId="23" fillId="0" fontId="30" numFmtId="0" xfId="0" applyAlignment="1" applyBorder="1" applyFont="1">
      <alignment horizontal="left" shrinkToFit="0" vertical="center" wrapText="1"/>
    </xf>
    <xf borderId="23" fillId="0" fontId="43" numFmtId="164" xfId="0" applyAlignment="1" applyBorder="1" applyFont="1" applyNumberFormat="1">
      <alignment horizontal="left" shrinkToFit="0" vertical="center" wrapText="1"/>
    </xf>
    <xf borderId="23" fillId="0" fontId="38" numFmtId="49" xfId="0" applyAlignment="1" applyBorder="1" applyFont="1" applyNumberFormat="1">
      <alignment horizontal="left" shrinkToFit="0" vertical="center" wrapText="1"/>
    </xf>
    <xf borderId="23" fillId="0" fontId="42" numFmtId="0" xfId="0" applyAlignment="1" applyBorder="1" applyFont="1">
      <alignment horizontal="left" shrinkToFit="0" vertical="center" wrapText="1"/>
    </xf>
    <xf borderId="0" fillId="0" fontId="24" numFmtId="0" xfId="0" applyFont="1"/>
    <xf borderId="0" fillId="0" fontId="44" numFmtId="0" xfId="0" applyFont="1"/>
    <xf borderId="23" fillId="0" fontId="30" numFmtId="49" xfId="0" applyAlignment="1" applyBorder="1" applyFont="1" applyNumberFormat="1">
      <alignment horizontal="left" shrinkToFit="0" vertical="center" wrapText="1"/>
    </xf>
    <xf borderId="23" fillId="0" fontId="45" numFmtId="164" xfId="0" applyAlignment="1" applyBorder="1" applyFont="1" applyNumberFormat="1">
      <alignment horizontal="left" shrinkToFit="0" vertical="center" wrapText="1"/>
    </xf>
    <xf borderId="23" fillId="0" fontId="46" numFmtId="0" xfId="0" applyAlignment="1" applyBorder="1" applyFont="1">
      <alignment horizontal="left" shrinkToFit="0" vertical="center" wrapText="1"/>
    </xf>
    <xf borderId="23" fillId="0" fontId="47" numFmtId="49" xfId="0" applyAlignment="1" applyBorder="1" applyFont="1" applyNumberFormat="1">
      <alignment horizontal="left" shrinkToFit="0" vertical="center" wrapText="1"/>
    </xf>
    <xf borderId="23" fillId="0" fontId="39" numFmtId="49" xfId="0" applyAlignment="1" applyBorder="1" applyFont="1" applyNumberFormat="1">
      <alignment horizontal="left" shrinkToFit="0" vertical="center" wrapText="1"/>
    </xf>
    <xf borderId="45" fillId="0" fontId="36" numFmtId="0" xfId="0" applyAlignment="1" applyBorder="1" applyFont="1">
      <alignment shrinkToFit="0" vertical="center" wrapText="1"/>
    </xf>
    <xf borderId="18" fillId="0" fontId="37" numFmtId="0" xfId="0" applyAlignment="1" applyBorder="1" applyFont="1">
      <alignment horizontal="left" shrinkToFit="0" vertical="center" wrapText="1"/>
    </xf>
    <xf borderId="18" fillId="0" fontId="48" numFmtId="0" xfId="0" applyAlignment="1" applyBorder="1" applyFont="1">
      <alignment horizontal="left" shrinkToFit="0" vertical="center" wrapText="1"/>
    </xf>
    <xf borderId="18" fillId="0" fontId="39" numFmtId="49" xfId="0" applyAlignment="1" applyBorder="1" applyFont="1" applyNumberFormat="1">
      <alignment horizontal="left" shrinkToFit="0" vertical="center" wrapText="1"/>
    </xf>
    <xf borderId="18" fillId="0" fontId="49" numFmtId="164" xfId="0" applyAlignment="1" applyBorder="1" applyFont="1" applyNumberFormat="1">
      <alignment horizontal="center" shrinkToFit="0" vertical="center" wrapText="1"/>
    </xf>
    <xf borderId="23" fillId="0" fontId="41" numFmtId="14" xfId="0" applyAlignment="1" applyBorder="1" applyFont="1" applyNumberFormat="1">
      <alignment shrinkToFit="0" vertical="center" wrapText="1"/>
    </xf>
    <xf borderId="23" fillId="0" fontId="48" numFmtId="49" xfId="0" applyAlignment="1" applyBorder="1" applyFont="1" applyNumberFormat="1">
      <alignment horizontal="left" shrinkToFit="0" vertical="center" wrapText="1"/>
    </xf>
    <xf borderId="23" fillId="0" fontId="49" numFmtId="164" xfId="0" applyAlignment="1" applyBorder="1" applyFont="1" applyNumberFormat="1">
      <alignment horizontal="right" shrinkToFit="0" vertical="center" wrapText="1"/>
    </xf>
    <xf borderId="23" fillId="0" fontId="50" numFmtId="49" xfId="0" applyAlignment="1" applyBorder="1" applyFont="1" applyNumberFormat="1">
      <alignment horizontal="left" shrinkToFit="0" vertical="center" wrapText="1"/>
    </xf>
    <xf borderId="23" fillId="0" fontId="48" numFmtId="0" xfId="0" applyAlignment="1" applyBorder="1" applyFont="1">
      <alignment horizontal="left" shrinkToFit="0" vertical="center" wrapText="1"/>
    </xf>
    <xf borderId="23" fillId="0" fontId="51" numFmtId="164" xfId="0" applyAlignment="1" applyBorder="1" applyFont="1" applyNumberFormat="1">
      <alignment horizontal="right" shrinkToFit="0" vertical="center" wrapText="1"/>
    </xf>
    <xf borderId="23" fillId="0" fontId="52" numFmtId="0" xfId="0" applyAlignment="1" applyBorder="1" applyFont="1">
      <alignment horizontal="left" shrinkToFit="0" vertical="center" wrapText="1"/>
    </xf>
    <xf borderId="23" fillId="0" fontId="36" numFmtId="49" xfId="0" applyAlignment="1" applyBorder="1" applyFont="1" applyNumberFormat="1">
      <alignment horizontal="left" shrinkToFit="0" vertical="center" wrapText="1"/>
    </xf>
    <xf borderId="23" fillId="0" fontId="50" numFmtId="0" xfId="0" applyAlignment="1" applyBorder="1" applyFont="1">
      <alignment horizontal="left" shrinkToFit="0" vertical="center" wrapText="1"/>
    </xf>
    <xf borderId="23" fillId="0" fontId="53" numFmtId="0" xfId="0" applyAlignment="1" applyBorder="1" applyFont="1">
      <alignment horizontal="left" shrinkToFit="0" vertical="center" wrapText="1"/>
    </xf>
    <xf borderId="23" fillId="0" fontId="54" numFmtId="0" xfId="0" applyAlignment="1" applyBorder="1" applyFont="1">
      <alignment horizontal="left" shrinkToFit="0" vertical="center" wrapText="1"/>
    </xf>
    <xf borderId="23" fillId="0" fontId="55" numFmtId="0" xfId="0" applyAlignment="1" applyBorder="1" applyFont="1">
      <alignment horizontal="left" shrinkToFit="0" vertical="center" wrapText="1"/>
    </xf>
    <xf borderId="23" fillId="9" fontId="48" numFmtId="0" xfId="0" applyAlignment="1" applyBorder="1" applyFont="1">
      <alignment horizontal="left" shrinkToFit="0" vertical="center" wrapText="1"/>
    </xf>
    <xf borderId="23" fillId="9" fontId="36" numFmtId="0" xfId="0" applyAlignment="1" applyBorder="1" applyFont="1">
      <alignment horizontal="left" shrinkToFit="0" vertical="center" wrapText="1"/>
    </xf>
    <xf borderId="23" fillId="9" fontId="49" numFmtId="164" xfId="0" applyAlignment="1" applyBorder="1" applyFont="1" applyNumberFormat="1">
      <alignment horizontal="center" shrinkToFit="0" vertical="center" wrapText="1"/>
    </xf>
    <xf borderId="23" fillId="0" fontId="49" numFmtId="164" xfId="0" applyAlignment="1" applyBorder="1" applyFont="1" applyNumberFormat="1">
      <alignment shrinkToFit="0" vertical="center" wrapText="1"/>
    </xf>
    <xf borderId="23" fillId="0" fontId="49" numFmtId="164" xfId="0" applyAlignment="1" applyBorder="1" applyFont="1" applyNumberFormat="1">
      <alignment horizontal="center" shrinkToFit="0" vertical="center" wrapText="1"/>
    </xf>
    <xf borderId="42" fillId="0" fontId="36" numFmtId="0" xfId="0" applyAlignment="1" applyBorder="1" applyFont="1">
      <alignment shrinkToFit="0" vertical="center" wrapText="1"/>
    </xf>
    <xf borderId="24" fillId="0" fontId="30" numFmtId="0" xfId="0" applyAlignment="1" applyBorder="1" applyFont="1">
      <alignment shrinkToFit="0" vertical="center" wrapText="1"/>
    </xf>
    <xf borderId="23" fillId="0" fontId="49" numFmtId="165" xfId="0" applyAlignment="1" applyBorder="1" applyFont="1" applyNumberFormat="1">
      <alignment shrinkToFit="0" vertical="center" wrapText="1"/>
    </xf>
    <xf borderId="41" fillId="0" fontId="30" numFmtId="14" xfId="0" applyAlignment="1" applyBorder="1" applyFont="1" applyNumberFormat="1">
      <alignment horizontal="center" shrinkToFit="0" vertical="center" wrapText="1"/>
    </xf>
    <xf borderId="42" fillId="0" fontId="17" numFmtId="0" xfId="0" applyAlignment="1" applyBorder="1" applyFont="1">
      <alignment vertical="center"/>
    </xf>
    <xf borderId="24" fillId="0" fontId="18" numFmtId="0" xfId="0" applyAlignment="1" applyBorder="1" applyFont="1">
      <alignment vertical="center"/>
    </xf>
    <xf borderId="23" fillId="0" fontId="19" numFmtId="0" xfId="0" applyAlignment="1" applyBorder="1" applyFont="1">
      <alignment horizontal="left" vertical="center"/>
    </xf>
    <xf borderId="23" fillId="0" fontId="17" numFmtId="0" xfId="0" applyAlignment="1" applyBorder="1" applyFont="1">
      <alignment horizontal="left" vertical="center"/>
    </xf>
    <xf borderId="23" fillId="0" fontId="20" numFmtId="164" xfId="0" applyAlignment="1" applyBorder="1" applyFont="1" applyNumberFormat="1">
      <alignment vertical="center"/>
    </xf>
    <xf borderId="23" fillId="0" fontId="20" numFmtId="165" xfId="0" applyAlignment="1" applyBorder="1" applyFont="1" applyNumberFormat="1">
      <alignment vertical="center"/>
    </xf>
    <xf borderId="41" fillId="0" fontId="18" numFmtId="14" xfId="0" applyAlignment="1" applyBorder="1" applyFont="1" applyNumberFormat="1">
      <alignment horizontal="center" vertical="center"/>
    </xf>
    <xf borderId="43" fillId="4" fontId="23" numFmtId="165" xfId="0" applyAlignment="1" applyBorder="1" applyFont="1" applyNumberFormat="1">
      <alignment horizontal="center" vertical="center"/>
    </xf>
    <xf borderId="41" fillId="4" fontId="23" numFmtId="165" xfId="0" applyAlignment="1" applyBorder="1" applyFont="1" applyNumberFormat="1">
      <alignment horizontal="center" vertical="center"/>
    </xf>
    <xf borderId="42" fillId="0" fontId="18" numFmtId="165" xfId="0" applyAlignment="1" applyBorder="1" applyFont="1" applyNumberFormat="1">
      <alignment horizontal="center" vertical="center"/>
    </xf>
    <xf borderId="41" fillId="0" fontId="18" numFmtId="165" xfId="0" applyAlignment="1" applyBorder="1" applyFont="1" applyNumberFormat="1">
      <alignment horizontal="center" vertical="center"/>
    </xf>
    <xf borderId="24" fillId="0" fontId="17" numFmtId="0" xfId="0" applyAlignment="1" applyBorder="1" applyFont="1">
      <alignment vertical="center"/>
    </xf>
    <xf borderId="0" fillId="0" fontId="27" numFmtId="0" xfId="0" applyAlignment="1" applyFont="1">
      <alignment horizontal="left"/>
    </xf>
    <xf borderId="0" fillId="0" fontId="25" numFmtId="164" xfId="0" applyFont="1" applyNumberFormat="1"/>
    <xf borderId="0" fillId="0" fontId="25" numFmtId="14" xfId="0" applyFont="1" applyNumberFormat="1"/>
    <xf borderId="1" fillId="2" fontId="56" numFmtId="0" xfId="0" applyAlignment="1" applyBorder="1" applyFont="1">
      <alignment horizontal="center" shrinkToFit="0" vertical="center" wrapText="1"/>
    </xf>
    <xf borderId="1" fillId="2" fontId="57" numFmtId="0" xfId="0" applyAlignment="1" applyBorder="1" applyFont="1">
      <alignment horizontal="center" shrinkToFit="0" vertical="center" wrapText="1"/>
    </xf>
    <xf borderId="28" fillId="2" fontId="57" numFmtId="0" xfId="0" applyAlignment="1" applyBorder="1" applyFont="1">
      <alignment horizontal="center" shrinkToFit="0" vertical="center" wrapText="1"/>
    </xf>
    <xf borderId="2" fillId="2" fontId="56" numFmtId="0" xfId="0" applyAlignment="1" applyBorder="1" applyFont="1">
      <alignment horizontal="center" shrinkToFit="0" vertical="center" wrapText="1"/>
    </xf>
    <xf borderId="2" fillId="2" fontId="19" numFmtId="164" xfId="0" applyAlignment="1" applyBorder="1" applyFont="1" applyNumberFormat="1">
      <alignment horizontal="center" shrinkToFit="0" vertical="center" wrapText="1"/>
    </xf>
    <xf borderId="2" fillId="2" fontId="56" numFmtId="165" xfId="0" applyAlignment="1" applyBorder="1" applyFont="1" applyNumberFormat="1">
      <alignment horizontal="center" shrinkToFit="0" vertical="center" wrapText="1"/>
    </xf>
    <xf borderId="9" fillId="2" fontId="23" numFmtId="14" xfId="0" applyAlignment="1" applyBorder="1" applyFont="1" applyNumberFormat="1">
      <alignment horizontal="center" shrinkToFit="0" vertical="center" wrapText="1"/>
    </xf>
    <xf borderId="29" fillId="4" fontId="57" numFmtId="165" xfId="0" applyAlignment="1" applyBorder="1" applyFont="1" applyNumberFormat="1">
      <alignment horizontal="center" shrinkToFit="0" vertical="center" wrapText="1"/>
    </xf>
    <xf borderId="31" fillId="8" fontId="57" numFmtId="165" xfId="0" applyAlignment="1" applyBorder="1" applyFont="1" applyNumberFormat="1">
      <alignment horizontal="center" shrinkToFit="0" vertical="center" wrapText="1"/>
    </xf>
    <xf borderId="31" fillId="11" fontId="57" numFmtId="165" xfId="0" applyAlignment="1" applyBorder="1" applyFont="1" applyNumberFormat="1">
      <alignment horizontal="center" shrinkToFit="0" vertical="center" wrapText="1"/>
    </xf>
    <xf borderId="32" fillId="0" fontId="56" numFmtId="0" xfId="0" applyAlignment="1" applyBorder="1" applyFont="1">
      <alignment horizontal="center" shrinkToFit="0" vertical="center" wrapText="1"/>
    </xf>
    <xf borderId="0" fillId="0" fontId="58" numFmtId="0" xfId="0" applyAlignment="1" applyFont="1">
      <alignment horizontal="center" shrinkToFit="0" vertical="center" wrapText="1"/>
    </xf>
    <xf borderId="0" fillId="0" fontId="59" numFmtId="0" xfId="0" applyAlignment="1" applyFont="1">
      <alignment horizontal="center" shrinkToFit="0" vertical="center" wrapText="1"/>
    </xf>
    <xf borderId="35" fillId="4" fontId="23" numFmtId="165" xfId="0" applyAlignment="1" applyBorder="1" applyFont="1" applyNumberFormat="1">
      <alignment horizontal="center" shrinkToFit="0" vertical="center" wrapText="1"/>
    </xf>
    <xf borderId="36" fillId="4" fontId="23" numFmtId="165" xfId="0" applyAlignment="1" applyBorder="1" applyFont="1" applyNumberFormat="1">
      <alignment horizontal="center" shrinkToFit="0" vertical="center" wrapText="1"/>
    </xf>
    <xf borderId="37" fillId="8" fontId="18" numFmtId="165" xfId="0" applyAlignment="1" applyBorder="1" applyFont="1" applyNumberFormat="1">
      <alignment horizontal="center" shrinkToFit="0" vertical="center" wrapText="1"/>
    </xf>
    <xf borderId="36" fillId="8" fontId="18" numFmtId="165" xfId="0" applyAlignment="1" applyBorder="1" applyFont="1" applyNumberFormat="1">
      <alignment horizontal="center" shrinkToFit="0" vertical="center" wrapText="1"/>
    </xf>
    <xf borderId="37" fillId="11" fontId="18" numFmtId="165" xfId="0" applyAlignment="1" applyBorder="1" applyFont="1" applyNumberFormat="1">
      <alignment horizontal="center" shrinkToFit="0" vertical="center" wrapText="1"/>
    </xf>
    <xf borderId="36" fillId="11" fontId="18" numFmtId="165" xfId="0" applyAlignment="1" applyBorder="1" applyFont="1" applyNumberFormat="1">
      <alignment horizontal="center" shrinkToFit="0" vertical="center" wrapText="1"/>
    </xf>
    <xf borderId="28" fillId="0" fontId="56" numFmtId="0" xfId="0" applyAlignment="1" applyBorder="1" applyFont="1">
      <alignment horizontal="left" readingOrder="0" shrinkToFit="0" vertical="center" wrapText="1"/>
    </xf>
    <xf borderId="23" fillId="0" fontId="60" numFmtId="0" xfId="0" applyAlignment="1" applyBorder="1" applyFont="1">
      <alignment horizontal="left"/>
    </xf>
    <xf borderId="25" fillId="10" fontId="61" numFmtId="0" xfId="0" applyAlignment="1" applyBorder="1" applyFont="1">
      <alignment horizontal="center" vertical="center"/>
    </xf>
    <xf borderId="23" fillId="10" fontId="61" numFmtId="0" xfId="0" applyAlignment="1" applyBorder="1" applyFont="1">
      <alignment vertical="center"/>
    </xf>
    <xf borderId="24" fillId="0" fontId="62" numFmtId="164" xfId="0" applyAlignment="1" applyBorder="1" applyFont="1" applyNumberFormat="1">
      <alignment horizontal="left" vertical="center"/>
    </xf>
    <xf borderId="23" fillId="0" fontId="62" numFmtId="165" xfId="0" applyAlignment="1" applyBorder="1" applyFont="1" applyNumberFormat="1">
      <alignment horizontal="left"/>
    </xf>
    <xf borderId="24" fillId="0" fontId="25" numFmtId="14" xfId="0" applyAlignment="1" applyBorder="1" applyFont="1" applyNumberFormat="1">
      <alignment vertical="center"/>
    </xf>
    <xf borderId="21" fillId="4" fontId="23" numFmtId="165" xfId="0" applyAlignment="1" applyBorder="1" applyFont="1" applyNumberFormat="1">
      <alignment horizontal="center" vertical="center"/>
    </xf>
    <xf borderId="38" fillId="4" fontId="23" numFmtId="165" xfId="0" applyAlignment="1" applyBorder="1" applyFont="1" applyNumberFormat="1">
      <alignment horizontal="center" vertical="center"/>
    </xf>
    <xf borderId="39" fillId="0" fontId="18" numFmtId="165" xfId="0" applyAlignment="1" applyBorder="1" applyFont="1" applyNumberFormat="1">
      <alignment horizontal="center" vertical="center"/>
    </xf>
    <xf borderId="40" fillId="0" fontId="18" numFmtId="165" xfId="0" applyAlignment="1" applyBorder="1" applyFont="1" applyNumberFormat="1">
      <alignment horizontal="center" vertical="center"/>
    </xf>
    <xf borderId="46" fillId="0" fontId="4" numFmtId="0" xfId="0" applyBorder="1" applyFont="1"/>
    <xf borderId="44" fillId="0" fontId="61" numFmtId="0" xfId="0" applyAlignment="1" applyBorder="1" applyFont="1">
      <alignment horizontal="center" vertical="center"/>
    </xf>
    <xf borderId="23" fillId="0" fontId="61" numFmtId="0" xfId="0" applyAlignment="1" applyBorder="1" applyFont="1">
      <alignment vertical="center"/>
    </xf>
    <xf borderId="25" fillId="10" fontId="61" numFmtId="0" xfId="0" applyAlignment="1" applyBorder="1" applyFont="1">
      <alignment horizontal="center" readingOrder="0" vertical="center"/>
    </xf>
    <xf borderId="23" fillId="10" fontId="61" numFmtId="0" xfId="0" applyAlignment="1" applyBorder="1" applyFont="1">
      <alignment readingOrder="0" vertical="center"/>
    </xf>
    <xf borderId="25" fillId="10" fontId="62" numFmtId="0" xfId="0" applyAlignment="1" applyBorder="1" applyFont="1">
      <alignment horizontal="center" vertical="center"/>
    </xf>
    <xf borderId="23" fillId="10" fontId="62" numFmtId="0" xfId="0" applyAlignment="1" applyBorder="1" applyFont="1">
      <alignment vertical="center"/>
    </xf>
    <xf borderId="18" fillId="0" fontId="4" numFmtId="0" xfId="0" applyBorder="1" applyFont="1"/>
    <xf borderId="25" fillId="10" fontId="63" numFmtId="0" xfId="0" applyAlignment="1" applyBorder="1" applyFont="1">
      <alignment horizontal="center" vertical="center"/>
    </xf>
    <xf borderId="23" fillId="10" fontId="63" numFmtId="0" xfId="0" applyAlignment="1" applyBorder="1" applyFont="1">
      <alignment readingOrder="0" vertical="center"/>
    </xf>
    <xf borderId="23" fillId="0" fontId="64" numFmtId="0" xfId="0" applyAlignment="1" applyBorder="1" applyFont="1">
      <alignment horizontal="left"/>
    </xf>
    <xf borderId="44" fillId="10" fontId="62" numFmtId="0" xfId="0" applyAlignment="1" applyBorder="1" applyFont="1">
      <alignment horizontal="center" readingOrder="0" shrinkToFit="0" wrapText="0"/>
    </xf>
    <xf borderId="23" fillId="10" fontId="62" numFmtId="0" xfId="0" applyAlignment="1" applyBorder="1" applyFont="1">
      <alignment readingOrder="0" shrinkToFit="0" wrapText="0"/>
    </xf>
    <xf borderId="24" fillId="0" fontId="62" numFmtId="164" xfId="0" applyAlignment="1" applyBorder="1" applyFont="1" applyNumberFormat="1">
      <alignment horizontal="left" readingOrder="0" shrinkToFit="0" wrapText="0"/>
    </xf>
    <xf borderId="24" fillId="0" fontId="62" numFmtId="165" xfId="0" applyAlignment="1" applyBorder="1" applyFont="1" applyNumberFormat="1">
      <alignment horizontal="left" readingOrder="0" shrinkToFit="0" vertical="bottom" wrapText="0"/>
    </xf>
    <xf borderId="44" fillId="0" fontId="62" numFmtId="0" xfId="0" applyAlignment="1" applyBorder="1" applyFont="1">
      <alignment horizontal="center" vertical="center"/>
    </xf>
    <xf borderId="23" fillId="0" fontId="62" numFmtId="0" xfId="0" applyAlignment="1" applyBorder="1" applyFont="1">
      <alignment vertical="center"/>
    </xf>
    <xf borderId="24" fillId="10" fontId="62" numFmtId="164" xfId="0" applyAlignment="1" applyBorder="1" applyFont="1" applyNumberFormat="1">
      <alignment horizontal="left" readingOrder="0" shrinkToFit="0" wrapText="0"/>
    </xf>
    <xf borderId="44" fillId="0" fontId="65" numFmtId="0" xfId="0" applyAlignment="1" applyBorder="1" applyFont="1">
      <alignment horizontal="center" vertical="center"/>
    </xf>
    <xf borderId="23" fillId="0" fontId="66" numFmtId="0" xfId="0" applyAlignment="1" applyBorder="1" applyFont="1">
      <alignment vertical="center"/>
    </xf>
    <xf borderId="24" fillId="0" fontId="66" numFmtId="164" xfId="0" applyAlignment="1" applyBorder="1" applyFont="1" applyNumberFormat="1">
      <alignment horizontal="left" vertical="center"/>
    </xf>
    <xf borderId="23" fillId="0" fontId="6" numFmtId="165" xfId="0" applyAlignment="1" applyBorder="1" applyFont="1" applyNumberFormat="1">
      <alignment horizontal="left"/>
    </xf>
    <xf borderId="25" fillId="10" fontId="65" numFmtId="0" xfId="0" applyAlignment="1" applyBorder="1" applyFont="1">
      <alignment horizontal="center" vertical="center"/>
    </xf>
    <xf borderId="23" fillId="10" fontId="66" numFmtId="0" xfId="0" applyAlignment="1" applyBorder="1" applyFont="1">
      <alignment vertical="center"/>
    </xf>
    <xf borderId="23" fillId="0" fontId="64" numFmtId="0" xfId="0" applyAlignment="1" applyBorder="1" applyFont="1">
      <alignment vertical="center"/>
    </xf>
    <xf borderId="23" fillId="0" fontId="66" numFmtId="164" xfId="0" applyAlignment="1" applyBorder="1" applyFont="1" applyNumberFormat="1">
      <alignment horizontal="left" vertical="center"/>
    </xf>
    <xf borderId="44" fillId="0" fontId="67" numFmtId="0" xfId="0" applyAlignment="1" applyBorder="1" applyFont="1">
      <alignment horizontal="center" vertical="center"/>
    </xf>
    <xf borderId="0" fillId="0" fontId="44" numFmtId="0" xfId="0" applyAlignment="1" applyFont="1">
      <alignment vertical="center"/>
    </xf>
    <xf borderId="23" fillId="10" fontId="6" numFmtId="0" xfId="0" applyAlignment="1" applyBorder="1" applyFont="1">
      <alignment vertical="center"/>
    </xf>
    <xf borderId="23" fillId="0" fontId="65" numFmtId="0" xfId="0" applyAlignment="1" applyBorder="1" applyFont="1">
      <alignment vertical="center"/>
    </xf>
    <xf borderId="23" fillId="10" fontId="65" numFmtId="0" xfId="0" applyAlignment="1" applyBorder="1" applyFont="1">
      <alignment vertical="center"/>
    </xf>
    <xf borderId="43" fillId="10" fontId="66" numFmtId="164" xfId="0" applyAlignment="1" applyBorder="1" applyFont="1" applyNumberFormat="1">
      <alignment horizontal="left" vertical="center"/>
    </xf>
    <xf borderId="44" fillId="0" fontId="65" numFmtId="0" xfId="0" applyAlignment="1" applyBorder="1" applyFont="1">
      <alignment horizontal="center"/>
    </xf>
    <xf borderId="24" fillId="0" fontId="66" numFmtId="164" xfId="0" applyAlignment="1" applyBorder="1" applyFont="1" applyNumberFormat="1">
      <alignment horizontal="left"/>
    </xf>
    <xf borderId="23" fillId="0" fontId="68" numFmtId="0" xfId="0" applyAlignment="1" applyBorder="1" applyFont="1">
      <alignment horizontal="left" vertical="center"/>
    </xf>
    <xf borderId="23" fillId="0" fontId="69" numFmtId="0" xfId="0" applyAlignment="1" applyBorder="1" applyFont="1">
      <alignment horizontal="center" vertical="center"/>
    </xf>
    <xf borderId="18" fillId="0" fontId="70" numFmtId="0" xfId="0" applyAlignment="1" applyBorder="1" applyFont="1">
      <alignment horizontal="left" vertical="center"/>
    </xf>
    <xf borderId="23" fillId="0" fontId="69" numFmtId="164" xfId="0" applyAlignment="1" applyBorder="1" applyFont="1" applyNumberFormat="1">
      <alignment horizontal="left" vertical="center"/>
    </xf>
    <xf borderId="23" fillId="0" fontId="70" numFmtId="0" xfId="0" applyAlignment="1" applyBorder="1" applyFont="1">
      <alignment horizontal="left" vertical="center"/>
    </xf>
    <xf borderId="23" fillId="0" fontId="25" numFmtId="49" xfId="0" applyAlignment="1" applyBorder="1" applyFont="1" applyNumberFormat="1">
      <alignment horizontal="center" vertical="center"/>
    </xf>
    <xf borderId="23" fillId="0" fontId="18" numFmtId="0" xfId="0" applyAlignment="1" applyBorder="1" applyFont="1">
      <alignment horizontal="left" vertical="center"/>
    </xf>
    <xf borderId="23" fillId="0" fontId="71" numFmtId="164" xfId="0" applyAlignment="1" applyBorder="1" applyFont="1" applyNumberFormat="1">
      <alignment horizontal="left" vertical="center"/>
    </xf>
    <xf borderId="23" fillId="0" fontId="69" numFmtId="49" xfId="0" applyAlignment="1" applyBorder="1" applyFont="1" applyNumberFormat="1">
      <alignment horizontal="center" vertical="center"/>
    </xf>
    <xf borderId="23" fillId="0" fontId="25" numFmtId="0" xfId="0" applyAlignment="1" applyBorder="1" applyFont="1">
      <alignment horizontal="center" vertical="center"/>
    </xf>
    <xf borderId="23" fillId="0" fontId="18" numFmtId="49" xfId="0" applyAlignment="1" applyBorder="1" applyFont="1" applyNumberFormat="1">
      <alignment horizontal="left" vertical="center"/>
    </xf>
    <xf borderId="23" fillId="0" fontId="72" numFmtId="164" xfId="0" applyAlignment="1" applyBorder="1" applyFont="1" applyNumberFormat="1">
      <alignment horizontal="left" vertical="center"/>
    </xf>
    <xf borderId="23" fillId="0" fontId="73" numFmtId="0" xfId="0" applyAlignment="1" applyBorder="1" applyFont="1">
      <alignment horizontal="left" vertical="center"/>
    </xf>
    <xf borderId="23" fillId="0" fontId="74" numFmtId="49" xfId="0" applyAlignment="1" applyBorder="1" applyFont="1" applyNumberFormat="1">
      <alignment horizontal="center" vertical="center"/>
    </xf>
    <xf borderId="23" fillId="0" fontId="70" numFmtId="49" xfId="0" applyAlignment="1" applyBorder="1" applyFont="1" applyNumberFormat="1">
      <alignment horizontal="left" vertical="center"/>
    </xf>
    <xf borderId="45" fillId="0" fontId="17" numFmtId="0" xfId="0" applyAlignment="1" applyBorder="1" applyFont="1">
      <alignment vertical="center"/>
    </xf>
    <xf borderId="18" fillId="0" fontId="68" numFmtId="0" xfId="0" applyAlignment="1" applyBorder="1" applyFont="1">
      <alignment horizontal="left" shrinkToFit="0" vertical="center" wrapText="1"/>
    </xf>
    <xf borderId="18" fillId="0" fontId="57" numFmtId="0" xfId="0" applyAlignment="1" applyBorder="1" applyFont="1">
      <alignment horizontal="center" vertical="center"/>
    </xf>
    <xf borderId="18" fillId="0" fontId="70" numFmtId="49" xfId="0" applyAlignment="1" applyBorder="1" applyFont="1" applyNumberFormat="1">
      <alignment horizontal="left" shrinkToFit="0" vertical="center" wrapText="1"/>
    </xf>
    <xf borderId="18" fillId="0" fontId="20" numFmtId="164" xfId="0" applyAlignment="1" applyBorder="1" applyFont="1" applyNumberFormat="1">
      <alignment horizontal="center" vertical="center"/>
    </xf>
    <xf borderId="23" fillId="0" fontId="25" numFmtId="14" xfId="0" applyAlignment="1" applyBorder="1" applyFont="1" applyNumberFormat="1">
      <alignment vertical="center"/>
    </xf>
    <xf borderId="23" fillId="0" fontId="68" numFmtId="0" xfId="0" applyAlignment="1" applyBorder="1" applyFont="1">
      <alignment horizontal="left" shrinkToFit="0" vertical="center" wrapText="1"/>
    </xf>
    <xf borderId="23" fillId="0" fontId="57" numFmtId="49" xfId="0" applyAlignment="1" applyBorder="1" applyFont="1" applyNumberFormat="1">
      <alignment horizontal="center" shrinkToFit="0" vertical="center" wrapText="1"/>
    </xf>
    <xf borderId="23" fillId="0" fontId="18" numFmtId="49" xfId="0" applyAlignment="1" applyBorder="1" applyFont="1" applyNumberFormat="1">
      <alignment horizontal="left" shrinkToFit="0" vertical="center" wrapText="1"/>
    </xf>
    <xf borderId="23" fillId="0" fontId="20" numFmtId="164" xfId="0" applyAlignment="1" applyBorder="1" applyFont="1" applyNumberFormat="1">
      <alignment horizontal="right" vertical="center"/>
    </xf>
    <xf borderId="23" fillId="0" fontId="75" numFmtId="49" xfId="0" applyAlignment="1" applyBorder="1" applyFont="1" applyNumberFormat="1">
      <alignment horizontal="center" vertical="center"/>
    </xf>
    <xf borderId="23" fillId="0" fontId="57" numFmtId="0" xfId="0" applyAlignment="1" applyBorder="1" applyFont="1">
      <alignment horizontal="center" vertical="center"/>
    </xf>
    <xf borderId="23" fillId="0" fontId="20" numFmtId="164" xfId="0" applyAlignment="1" applyBorder="1" applyFont="1" applyNumberFormat="1">
      <alignment horizontal="right" shrinkToFit="0" vertical="center" wrapText="1"/>
    </xf>
    <xf borderId="23" fillId="0" fontId="18" numFmtId="0" xfId="0" applyAlignment="1" applyBorder="1" applyFont="1">
      <alignment horizontal="left" shrinkToFit="0" vertical="center" wrapText="1"/>
    </xf>
    <xf borderId="23" fillId="0" fontId="76" numFmtId="164" xfId="0" applyAlignment="1" applyBorder="1" applyFont="1" applyNumberFormat="1">
      <alignment horizontal="right" shrinkToFit="0" vertical="center" wrapText="1"/>
    </xf>
    <xf borderId="23" fillId="0" fontId="77" numFmtId="0" xfId="0" applyAlignment="1" applyBorder="1" applyFont="1">
      <alignment horizontal="left" shrinkToFit="0" vertical="center" wrapText="1"/>
    </xf>
    <xf borderId="23" fillId="0" fontId="57" numFmtId="0" xfId="0" applyAlignment="1" applyBorder="1" applyFont="1">
      <alignment horizontal="center" shrinkToFit="0" vertical="center" wrapText="1"/>
    </xf>
    <xf borderId="23" fillId="0" fontId="75" numFmtId="49" xfId="0" applyAlignment="1" applyBorder="1" applyFont="1" applyNumberFormat="1">
      <alignment horizontal="center" shrinkToFit="0" vertical="center" wrapText="1"/>
    </xf>
    <xf borderId="23" fillId="0" fontId="17" numFmtId="49" xfId="0" applyAlignment="1" applyBorder="1" applyFont="1" applyNumberFormat="1">
      <alignment horizontal="left" shrinkToFit="0" vertical="center" wrapText="1"/>
    </xf>
    <xf borderId="23" fillId="0" fontId="17" numFmtId="0" xfId="0" applyAlignment="1" applyBorder="1" applyFont="1">
      <alignment horizontal="left" shrinkToFit="0" vertical="center" wrapText="1"/>
    </xf>
    <xf borderId="23" fillId="0" fontId="75" numFmtId="0" xfId="0" applyAlignment="1" applyBorder="1" applyFont="1">
      <alignment horizontal="center" shrinkToFit="1" vertical="center" wrapText="0"/>
    </xf>
    <xf borderId="23" fillId="0" fontId="78" numFmtId="0" xfId="0" applyAlignment="1" applyBorder="1" applyFont="1">
      <alignment horizontal="left" shrinkToFit="1" vertical="center" wrapText="0"/>
    </xf>
    <xf borderId="23" fillId="0" fontId="79" numFmtId="0" xfId="0" applyAlignment="1" applyBorder="1" applyFont="1">
      <alignment horizontal="left" shrinkToFit="0" vertical="center" wrapText="1"/>
    </xf>
    <xf borderId="23" fillId="0" fontId="80" numFmtId="0" xfId="0" applyAlignment="1" applyBorder="1" applyFont="1">
      <alignment horizontal="left" shrinkToFit="0" vertical="center" wrapText="1"/>
    </xf>
    <xf borderId="23" fillId="9" fontId="57" numFmtId="0" xfId="0" applyAlignment="1" applyBorder="1" applyFont="1">
      <alignment horizontal="center" shrinkToFit="0" vertical="center" wrapText="1"/>
    </xf>
    <xf borderId="23" fillId="9" fontId="17" numFmtId="0" xfId="0" applyAlignment="1" applyBorder="1" applyFont="1">
      <alignment horizontal="left" shrinkToFit="0" vertical="center" wrapText="1"/>
    </xf>
    <xf borderId="23" fillId="9" fontId="20" numFmtId="164" xfId="0" applyAlignment="1" applyBorder="1" applyFont="1" applyNumberFormat="1">
      <alignment horizontal="center" shrinkToFit="0" vertical="center" wrapText="1"/>
    </xf>
    <xf borderId="23" fillId="0" fontId="20" numFmtId="164" xfId="0" applyAlignment="1" applyBorder="1" applyFont="1" applyNumberFormat="1">
      <alignment shrinkToFit="0" vertical="center" wrapText="1"/>
    </xf>
    <xf borderId="23" fillId="0" fontId="20" numFmtId="164" xfId="0" applyAlignment="1" applyBorder="1" applyFont="1" applyNumberFormat="1">
      <alignment horizontal="center" vertical="center"/>
    </xf>
    <xf borderId="41" fillId="0" fontId="22" numFmtId="14" xfId="0" applyAlignment="1" applyBorder="1" applyFont="1" applyNumberFormat="1">
      <alignment horizontal="center" vertical="center"/>
    </xf>
    <xf borderId="0" fillId="0" fontId="25" numFmtId="0" xfId="0" applyAlignment="1" applyFont="1">
      <alignment horizontal="center"/>
    </xf>
    <xf borderId="1" fillId="2" fontId="23" numFmtId="0" xfId="0" applyAlignment="1" applyBorder="1" applyFont="1">
      <alignment horizontal="center" readingOrder="0" shrinkToFit="0" vertical="center" wrapText="1"/>
    </xf>
    <xf borderId="1" fillId="2" fontId="23" numFmtId="0" xfId="0" applyAlignment="1" applyBorder="1" applyFont="1">
      <alignment horizontal="center" shrinkToFit="0" vertical="center" wrapText="1"/>
    </xf>
    <xf borderId="28" fillId="2" fontId="23" numFmtId="0" xfId="0" applyAlignment="1" applyBorder="1" applyFont="1">
      <alignment horizontal="center" shrinkToFit="0" vertical="center" wrapText="1"/>
    </xf>
    <xf borderId="2" fillId="2" fontId="23" numFmtId="0" xfId="0" applyAlignment="1" applyBorder="1" applyFont="1">
      <alignment horizontal="center" shrinkToFit="0" vertical="center" wrapText="1"/>
    </xf>
    <xf borderId="2" fillId="2" fontId="23" numFmtId="164" xfId="0" applyAlignment="1" applyBorder="1" applyFont="1" applyNumberFormat="1">
      <alignment horizontal="center" shrinkToFit="0" vertical="center" wrapText="1"/>
    </xf>
    <xf borderId="2" fillId="2" fontId="81" numFmtId="165" xfId="0" applyAlignment="1" applyBorder="1" applyFont="1" applyNumberFormat="1">
      <alignment horizontal="center" readingOrder="0" shrinkToFit="0" vertical="center" wrapText="1"/>
    </xf>
    <xf borderId="47" fillId="2" fontId="81" numFmtId="14" xfId="0" applyAlignment="1" applyBorder="1" applyFont="1" applyNumberFormat="1">
      <alignment horizontal="center" shrinkToFit="0" vertical="center" wrapText="1"/>
    </xf>
    <xf borderId="5" fillId="4" fontId="81" numFmtId="165" xfId="0" applyAlignment="1" applyBorder="1" applyFont="1" applyNumberFormat="1">
      <alignment horizontal="center" readingOrder="0" shrinkToFit="0" vertical="center" wrapText="1"/>
    </xf>
    <xf borderId="32" fillId="0" fontId="81" numFmtId="0" xfId="0" applyAlignment="1" applyBorder="1" applyFont="1">
      <alignment horizontal="center" shrinkToFit="0" vertical="center" wrapText="1"/>
    </xf>
    <xf borderId="0" fillId="0" fontId="82" numFmtId="4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0" fontId="12" numFmtId="4" xfId="0" applyAlignment="1" applyFont="1" applyNumberFormat="1">
      <alignment horizontal="center" readingOrder="0" shrinkToFit="0" vertical="center" wrapText="1"/>
    </xf>
    <xf borderId="0" fillId="0" fontId="12" numFmtId="4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5" fontId="12" numFmtId="4" xfId="0" applyAlignment="1" applyFont="1" applyNumberFormat="1">
      <alignment horizontal="center" shrinkToFit="0" vertical="center" wrapText="1"/>
    </xf>
    <xf borderId="0" fillId="5" fontId="12" numFmtId="0" xfId="0" applyAlignment="1" applyFont="1">
      <alignment horizontal="center" readingOrder="0" shrinkToFit="0" vertical="center" wrapText="1"/>
    </xf>
    <xf borderId="28" fillId="6" fontId="83" numFmtId="4" xfId="0" applyAlignment="1" applyBorder="1" applyFont="1" applyNumberFormat="1">
      <alignment horizontal="center" readingOrder="0" shrinkToFit="0" vertical="center" wrapText="1"/>
    </xf>
    <xf borderId="28" fillId="6" fontId="1" numFmtId="0" xfId="0" applyAlignment="1" applyBorder="1" applyFont="1">
      <alignment horizontal="center" readingOrder="0" shrinkToFit="0" vertical="center" wrapText="1"/>
    </xf>
    <xf borderId="28" fillId="7" fontId="1" numFmtId="4" xfId="0" applyAlignment="1" applyBorder="1" applyFont="1" applyNumberFormat="1">
      <alignment horizontal="center" readingOrder="0" shrinkToFit="0" vertical="center" wrapText="1"/>
    </xf>
    <xf borderId="28" fillId="6" fontId="3" numFmtId="4" xfId="0" applyAlignment="1" applyBorder="1" applyFont="1" applyNumberFormat="1">
      <alignment horizontal="center" readingOrder="0" shrinkToFit="0" vertical="center" wrapText="1"/>
    </xf>
    <xf borderId="28" fillId="12" fontId="1" numFmtId="4" xfId="0" applyAlignment="1" applyBorder="1" applyFill="1" applyFont="1" applyNumberFormat="1">
      <alignment horizontal="center" readingOrder="0" shrinkToFit="0" vertical="center" wrapText="1"/>
    </xf>
    <xf borderId="0" fillId="0" fontId="1" numFmtId="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48" fillId="0" fontId="4" numFmtId="0" xfId="0" applyBorder="1" applyFont="1"/>
    <xf borderId="0" fillId="0" fontId="8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23" fillId="0" fontId="34" numFmtId="0" xfId="0" applyAlignment="1" applyBorder="1" applyFont="1">
      <alignment horizontal="left" vertical="center"/>
    </xf>
    <xf borderId="23" fillId="9" fontId="34" numFmtId="0" xfId="0" applyAlignment="1" applyBorder="1" applyFont="1">
      <alignment horizontal="left" readingOrder="0"/>
    </xf>
    <xf borderId="23" fillId="10" fontId="84" numFmtId="0" xfId="0" applyAlignment="1" applyBorder="1" applyFont="1">
      <alignment readingOrder="0"/>
    </xf>
    <xf borderId="23" fillId="0" fontId="69" numFmtId="0" xfId="0" applyAlignment="1" applyBorder="1" applyFont="1">
      <alignment readingOrder="0" shrinkToFit="0" vertical="bottom" wrapText="0"/>
    </xf>
    <xf borderId="24" fillId="0" fontId="84" numFmtId="164" xfId="0" applyAlignment="1" applyBorder="1" applyFont="1" applyNumberFormat="1">
      <alignment horizontal="left" readingOrder="0" vertical="center"/>
    </xf>
    <xf borderId="23" fillId="0" fontId="85" numFmtId="165" xfId="0" applyAlignment="1" applyBorder="1" applyFont="1" applyNumberFormat="1">
      <alignment horizontal="left"/>
    </xf>
    <xf borderId="24" fillId="0" fontId="34" numFmtId="14" xfId="0" applyAlignment="1" applyBorder="1" applyFont="1" applyNumberFormat="1">
      <alignment vertical="center"/>
    </xf>
    <xf borderId="21" fillId="4" fontId="86" numFmtId="165" xfId="0" applyAlignment="1" applyBorder="1" applyFont="1" applyNumberFormat="1">
      <alignment horizontal="center" vertical="center"/>
    </xf>
    <xf borderId="24" fillId="0" fontId="34" numFmtId="0" xfId="0" applyAlignment="1" applyBorder="1" applyFont="1">
      <alignment readingOrder="0" vertical="center"/>
    </xf>
    <xf borderId="0" fillId="0" fontId="34" numFmtId="4" xfId="0" applyFont="1" applyNumberFormat="1"/>
    <xf borderId="0" fillId="0" fontId="34" numFmtId="0" xfId="0" applyAlignment="1" applyFont="1">
      <alignment horizontal="center" vertical="center"/>
    </xf>
    <xf borderId="0" fillId="0" fontId="34" numFmtId="165" xfId="0" applyFont="1" applyNumberFormat="1"/>
    <xf borderId="23" fillId="0" fontId="85" numFmtId="4" xfId="0" applyAlignment="1" applyBorder="1" applyFont="1" applyNumberFormat="1">
      <alignment readingOrder="0"/>
    </xf>
    <xf borderId="23" fillId="0" fontId="34" numFmtId="165" xfId="0" applyBorder="1" applyFont="1" applyNumberFormat="1"/>
    <xf borderId="23" fillId="7" fontId="34" numFmtId="4" xfId="0" applyBorder="1" applyFont="1" applyNumberFormat="1"/>
    <xf borderId="23" fillId="10" fontId="84" numFmtId="4" xfId="0" applyAlignment="1" applyBorder="1" applyFont="1" applyNumberFormat="1">
      <alignment readingOrder="0" vertical="center"/>
    </xf>
    <xf borderId="23" fillId="12" fontId="84" numFmtId="4" xfId="0" applyAlignment="1" applyBorder="1" applyFont="1" applyNumberFormat="1">
      <alignment horizontal="right" readingOrder="0" shrinkToFit="0" wrapText="0"/>
    </xf>
    <xf borderId="23" fillId="0" fontId="84" numFmtId="4" xfId="0" applyAlignment="1" applyBorder="1" applyFont="1" applyNumberFormat="1">
      <alignment horizontal="right" readingOrder="0" shrinkToFit="0" wrapText="0"/>
    </xf>
    <xf borderId="18" fillId="10" fontId="84" numFmtId="0" xfId="0" applyAlignment="1" applyBorder="1" applyFont="1">
      <alignment readingOrder="0"/>
    </xf>
    <xf borderId="18" fillId="12" fontId="84" numFmtId="4" xfId="0" applyAlignment="1" applyBorder="1" applyFont="1" applyNumberFormat="1">
      <alignment horizontal="right" readingOrder="0" shrinkToFit="0" wrapText="0"/>
    </xf>
    <xf borderId="18" fillId="0" fontId="84" numFmtId="4" xfId="0" applyAlignment="1" applyBorder="1" applyFont="1" applyNumberFormat="1">
      <alignment horizontal="right" readingOrder="0" shrinkToFit="0" wrapText="0"/>
    </xf>
    <xf borderId="18" fillId="0" fontId="34" numFmtId="0" xfId="0" applyAlignment="1" applyBorder="1" applyFont="1">
      <alignment readingOrder="0"/>
    </xf>
    <xf borderId="0" fillId="0" fontId="34" numFmtId="0" xfId="0" applyAlignment="1" applyFont="1">
      <alignment horizontal="center" readingOrder="0" vertical="center"/>
    </xf>
    <xf borderId="0" fillId="0" fontId="34" numFmtId="0" xfId="0" applyAlignment="1" applyFont="1">
      <alignment readingOrder="0"/>
    </xf>
    <xf borderId="23" fillId="9" fontId="34" numFmtId="0" xfId="0" applyAlignment="1" applyBorder="1" applyFont="1">
      <alignment horizontal="left" readingOrder="0" vertical="center"/>
    </xf>
    <xf borderId="18" fillId="10" fontId="84" numFmtId="0" xfId="0" applyAlignment="1" applyBorder="1" applyFont="1">
      <alignment readingOrder="0" vertical="center"/>
    </xf>
    <xf borderId="23" fillId="0" fontId="69" numFmtId="0" xfId="0" applyAlignment="1" applyBorder="1" applyFont="1">
      <alignment readingOrder="0" shrinkToFit="0" vertical="center" wrapText="0"/>
    </xf>
    <xf borderId="23" fillId="0" fontId="85" numFmtId="165" xfId="0" applyAlignment="1" applyBorder="1" applyFont="1" applyNumberFormat="1">
      <alignment horizontal="left" vertical="center"/>
    </xf>
    <xf borderId="0" fillId="0" fontId="34" numFmtId="4" xfId="0" applyAlignment="1" applyFont="1" applyNumberFormat="1">
      <alignment vertical="center"/>
    </xf>
    <xf borderId="0" fillId="0" fontId="34" numFmtId="0" xfId="0" applyAlignment="1" applyFont="1">
      <alignment vertical="center"/>
    </xf>
    <xf borderId="0" fillId="0" fontId="34" numFmtId="0" xfId="0" applyAlignment="1" applyFont="1">
      <alignment readingOrder="0" vertical="center"/>
    </xf>
    <xf borderId="0" fillId="0" fontId="34" numFmtId="165" xfId="0" applyAlignment="1" applyFont="1" applyNumberFormat="1">
      <alignment vertical="center"/>
    </xf>
    <xf borderId="23" fillId="0" fontId="85" numFmtId="4" xfId="0" applyAlignment="1" applyBorder="1" applyFont="1" applyNumberFormat="1">
      <alignment readingOrder="0" vertical="center"/>
    </xf>
    <xf borderId="23" fillId="0" fontId="34" numFmtId="165" xfId="0" applyAlignment="1" applyBorder="1" applyFont="1" applyNumberFormat="1">
      <alignment vertical="center"/>
    </xf>
    <xf borderId="23" fillId="7" fontId="34" numFmtId="4" xfId="0" applyAlignment="1" applyBorder="1" applyFont="1" applyNumberFormat="1">
      <alignment vertical="center"/>
    </xf>
    <xf borderId="24" fillId="0" fontId="34" numFmtId="164" xfId="0" applyAlignment="1" applyBorder="1" applyFont="1" applyNumberFormat="1">
      <alignment horizontal="left" readingOrder="0" vertical="center"/>
    </xf>
    <xf borderId="0" fillId="0" fontId="34" numFmtId="0" xfId="0" applyAlignment="1" applyFont="1">
      <alignment horizontal="center" vertical="center"/>
    </xf>
    <xf borderId="23" fillId="9" fontId="34" numFmtId="0" xfId="0" applyAlignment="1" applyBorder="1" applyFont="1">
      <alignment horizontal="left"/>
    </xf>
    <xf borderId="25" fillId="10" fontId="84" numFmtId="0" xfId="0" applyAlignment="1" applyBorder="1" applyFont="1">
      <alignment horizontal="left" vertical="center"/>
    </xf>
    <xf borderId="23" fillId="10" fontId="84" numFmtId="0" xfId="0" applyAlignment="1" applyBorder="1" applyFont="1">
      <alignment vertical="center"/>
    </xf>
    <xf borderId="24" fillId="0" fontId="84" numFmtId="164" xfId="0" applyAlignment="1" applyBorder="1" applyFont="1" applyNumberFormat="1">
      <alignment horizontal="left" vertical="center"/>
    </xf>
    <xf borderId="23" fillId="0" fontId="85" numFmtId="4" xfId="0" applyBorder="1" applyFont="1" applyNumberFormat="1"/>
    <xf borderId="23" fillId="10" fontId="84" numFmtId="4" xfId="0" applyAlignment="1" applyBorder="1" applyFont="1" applyNumberFormat="1">
      <alignment vertical="center"/>
    </xf>
    <xf borderId="23" fillId="12" fontId="34" numFmtId="4" xfId="0" applyAlignment="1" applyBorder="1" applyFont="1" applyNumberFormat="1">
      <alignment vertical="center"/>
    </xf>
    <xf borderId="23" fillId="0" fontId="34" numFmtId="4" xfId="0" applyAlignment="1" applyBorder="1" applyFont="1" applyNumberFormat="1">
      <alignment vertical="center"/>
    </xf>
    <xf borderId="44" fillId="0" fontId="84" numFmtId="0" xfId="0" applyAlignment="1" applyBorder="1" applyFont="1">
      <alignment horizontal="left" vertical="center"/>
    </xf>
    <xf borderId="23" fillId="0" fontId="84" numFmtId="0" xfId="0" applyAlignment="1" applyBorder="1" applyFont="1">
      <alignment vertical="center"/>
    </xf>
    <xf borderId="23" fillId="0" fontId="85" numFmtId="4" xfId="0" applyAlignment="1" applyBorder="1" applyFont="1" applyNumberFormat="1">
      <alignment vertical="center"/>
    </xf>
    <xf borderId="43" fillId="10" fontId="84" numFmtId="164" xfId="0" applyAlignment="1" applyBorder="1" applyFont="1" applyNumberFormat="1">
      <alignment horizontal="left" vertical="center"/>
    </xf>
    <xf borderId="23" fillId="9" fontId="34" numFmtId="0" xfId="0" applyAlignment="1" applyBorder="1" applyFont="1">
      <alignment horizontal="left" vertical="center"/>
    </xf>
    <xf borderId="44" fillId="0" fontId="84" numFmtId="0" xfId="0" applyAlignment="1" applyBorder="1" applyFont="1">
      <alignment horizontal="left"/>
    </xf>
    <xf borderId="24" fillId="0" fontId="84" numFmtId="164" xfId="0" applyAlignment="1" applyBorder="1" applyFont="1" applyNumberFormat="1">
      <alignment horizontal="left"/>
    </xf>
    <xf borderId="23" fillId="0" fontId="87" numFmtId="0" xfId="0" applyAlignment="1" applyBorder="1" applyFont="1">
      <alignment horizontal="left" vertical="center"/>
    </xf>
    <xf borderId="0" fillId="0" fontId="88" numFmtId="0" xfId="0" applyAlignment="1" applyFont="1">
      <alignment horizontal="center" vertical="center"/>
    </xf>
    <xf borderId="23" fillId="0" fontId="89" numFmtId="4" xfId="0" applyBorder="1" applyFont="1" applyNumberFormat="1"/>
    <xf borderId="23" fillId="10" fontId="90" numFmtId="4" xfId="0" applyAlignment="1" applyBorder="1" applyFont="1" applyNumberFormat="1">
      <alignment vertical="center"/>
    </xf>
    <xf borderId="23" fillId="0" fontId="88" numFmtId="4" xfId="0" applyAlignment="1" applyBorder="1" applyFont="1" applyNumberFormat="1">
      <alignment vertical="center"/>
    </xf>
    <xf borderId="0" fillId="0" fontId="88" numFmtId="4" xfId="0" applyFont="1" applyNumberFormat="1"/>
    <xf borderId="23" fillId="0" fontId="27" numFmtId="49" xfId="0" applyAlignment="1" applyBorder="1" applyFont="1" applyNumberFormat="1">
      <alignment horizontal="left" vertical="center"/>
    </xf>
    <xf borderId="23" fillId="0" fontId="87" numFmtId="49" xfId="0" applyAlignment="1" applyBorder="1" applyFont="1" applyNumberFormat="1">
      <alignment horizontal="left" vertical="center"/>
    </xf>
    <xf borderId="23" fillId="0" fontId="27" numFmtId="0" xfId="0" applyAlignment="1" applyBorder="1" applyFont="1">
      <alignment horizontal="left" vertical="center"/>
    </xf>
    <xf borderId="0" fillId="0" fontId="44" numFmtId="0" xfId="0" applyAlignment="1" applyFont="1">
      <alignment horizontal="center" vertical="center"/>
    </xf>
    <xf borderId="0" fillId="0" fontId="88" numFmtId="4" xfId="0" applyAlignment="1" applyFont="1" applyNumberFormat="1">
      <alignment vertical="center"/>
    </xf>
    <xf borderId="23" fillId="0" fontId="88" numFmtId="0" xfId="0" applyBorder="1" applyFont="1"/>
    <xf borderId="23" fillId="0" fontId="91" numFmtId="49" xfId="0" applyAlignment="1" applyBorder="1" applyFont="1" applyNumberFormat="1">
      <alignment horizontal="left" vertical="center"/>
    </xf>
    <xf borderId="18" fillId="0" fontId="19" numFmtId="0" xfId="0" applyAlignment="1" applyBorder="1" applyFont="1">
      <alignment horizontal="left" vertical="center"/>
    </xf>
    <xf borderId="23" fillId="0" fontId="19" numFmtId="49" xfId="0" applyAlignment="1" applyBorder="1" applyFont="1" applyNumberFormat="1">
      <alignment horizontal="left" shrinkToFit="0" vertical="center" wrapText="1"/>
    </xf>
    <xf borderId="23" fillId="0" fontId="92" numFmtId="49" xfId="0" applyAlignment="1" applyBorder="1" applyFont="1" applyNumberFormat="1">
      <alignment horizontal="left" vertical="center"/>
    </xf>
    <xf borderId="23" fillId="0" fontId="19" numFmtId="0" xfId="0" applyAlignment="1" applyBorder="1" applyFont="1">
      <alignment horizontal="left" shrinkToFit="0" vertical="center" wrapText="1"/>
    </xf>
    <xf borderId="23" fillId="0" fontId="92" numFmtId="49" xfId="0" applyAlignment="1" applyBorder="1" applyFont="1" applyNumberFormat="1">
      <alignment horizontal="left" shrinkToFit="0" vertical="center" wrapText="1"/>
    </xf>
    <xf borderId="23" fillId="0" fontId="92" numFmtId="0" xfId="0" applyAlignment="1" applyBorder="1" applyFont="1">
      <alignment horizontal="left" shrinkToFit="1" vertical="center" wrapText="0"/>
    </xf>
    <xf borderId="23" fillId="9" fontId="19" numFmtId="0" xfId="0" applyAlignment="1" applyBorder="1" applyFont="1">
      <alignment horizontal="left" shrinkToFit="0" vertical="center" wrapText="1"/>
    </xf>
    <xf borderId="23" fillId="0" fontId="21" numFmtId="165" xfId="0" applyAlignment="1" applyBorder="1" applyFont="1" applyNumberFormat="1">
      <alignment vertical="center"/>
    </xf>
    <xf borderId="0" fillId="0" fontId="24" numFmtId="4" xfId="0" applyFont="1" applyNumberFormat="1"/>
    <xf borderId="0" fillId="7" fontId="88" numFmtId="4" xfId="0" applyFont="1" applyNumberFormat="1"/>
    <xf borderId="0" fillId="0" fontId="8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32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20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20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52</xdr:row>
      <xdr:rowOff>0</xdr:rowOff>
    </xdr:from>
    <xdr:ext cx="447675" cy="0"/>
    <xdr:pic>
      <xdr:nvPicPr>
        <xdr:cNvPr descr="SKINS-Sale-Button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40</xdr:row>
      <xdr:rowOff>0</xdr:rowOff>
    </xdr:from>
    <xdr:ext cx="447675" cy="0"/>
    <xdr:pic>
      <xdr:nvPicPr>
        <xdr:cNvPr descr="SKINS-Sale-Button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40</xdr:row>
      <xdr:rowOff>0</xdr:rowOff>
    </xdr:from>
    <xdr:ext cx="447675" cy="0"/>
    <xdr:pic>
      <xdr:nvPicPr>
        <xdr:cNvPr descr="SKINS-Sale-Button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52</xdr:row>
      <xdr:rowOff>0</xdr:rowOff>
    </xdr:from>
    <xdr:ext cx="447675" cy="0"/>
    <xdr:pic>
      <xdr:nvPicPr>
        <xdr:cNvPr descr="SKINS-Sale-Button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40</xdr:row>
      <xdr:rowOff>0</xdr:rowOff>
    </xdr:from>
    <xdr:ext cx="447675" cy="0"/>
    <xdr:pic>
      <xdr:nvPicPr>
        <xdr:cNvPr descr="SKINS-Sale-Button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40</xdr:row>
      <xdr:rowOff>0</xdr:rowOff>
    </xdr:from>
    <xdr:ext cx="447675" cy="0"/>
    <xdr:pic>
      <xdr:nvPicPr>
        <xdr:cNvPr descr="SKINS-Sale-Button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32</xdr:row>
      <xdr:rowOff>0</xdr:rowOff>
    </xdr:from>
    <xdr:ext cx="447675" cy="0"/>
    <xdr:pic>
      <xdr:nvPicPr>
        <xdr:cNvPr descr="SKINS-Sale-Button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20</xdr:row>
      <xdr:rowOff>0</xdr:rowOff>
    </xdr:from>
    <xdr:ext cx="447675" cy="0"/>
    <xdr:pic>
      <xdr:nvPicPr>
        <xdr:cNvPr descr="SKINS-Sale-Button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20</xdr:row>
      <xdr:rowOff>0</xdr:rowOff>
    </xdr:from>
    <xdr:ext cx="447675" cy="0"/>
    <xdr:pic>
      <xdr:nvPicPr>
        <xdr:cNvPr descr="SKINS-Sale-Button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43"/>
    <col customWidth="1" min="3" max="3" width="25.29"/>
    <col customWidth="1" min="4" max="4" width="44.57"/>
    <col customWidth="1" min="5" max="5" width="11.71"/>
    <col customWidth="1" min="6" max="6" width="11.86"/>
    <col customWidth="1" hidden="1" min="7" max="7" width="8.29"/>
    <col customWidth="1" hidden="1" min="8" max="8" width="10.71"/>
    <col customWidth="1" hidden="1" min="9" max="9" width="10.14"/>
    <col customWidth="1" hidden="1" min="10" max="10" width="14.71"/>
    <col customWidth="1" hidden="1" min="11" max="11" width="17.0"/>
    <col customWidth="1" hidden="1" min="12" max="12" width="13.43"/>
    <col customWidth="1" hidden="1" min="13" max="13" width="4.43"/>
    <col customWidth="1" hidden="1" min="14" max="14" width="15.14"/>
    <col customWidth="1" hidden="1" min="15" max="15" width="5.0"/>
    <col customWidth="1" hidden="1" min="16" max="16" width="15.14"/>
    <col customWidth="1" hidden="1" min="17" max="17" width="11.43"/>
    <col customWidth="1" hidden="1" min="18" max="18" width="14.71"/>
    <col customWidth="1" hidden="1" min="19" max="20" width="14.14"/>
    <col customWidth="1" hidden="1" min="21" max="22" width="13.14"/>
    <col customWidth="1" hidden="1" min="23" max="23" width="11.14"/>
    <col customWidth="1" hidden="1" min="24" max="24" width="13.14"/>
    <col customWidth="1" hidden="1" min="25" max="26" width="14.43"/>
    <col customWidth="1" hidden="1" min="27" max="28" width="12.71"/>
    <col customWidth="1" hidden="1" min="29" max="29" width="9.86"/>
    <col customWidth="1" hidden="1" min="30" max="31" width="6.57"/>
    <col customWidth="1" hidden="1" min="32" max="32" width="25.0"/>
    <col customWidth="1" hidden="1" min="33" max="33" width="47.0"/>
    <col customWidth="1" hidden="1" min="34" max="34" width="22.14"/>
    <col customWidth="1" hidden="1" min="35" max="35" width="13.71"/>
    <col customWidth="1" hidden="1" min="36" max="37" width="14.14"/>
    <col customWidth="1" hidden="1" min="38" max="41" width="9.86"/>
    <col customWidth="1" hidden="1" min="42" max="42" width="14.43"/>
    <col customWidth="1" hidden="1" min="43" max="43" width="16.71"/>
    <col hidden="1" min="44" max="44" width="14.43"/>
    <col customWidth="1" min="45" max="45" width="18.29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/>
      <c r="M1" s="12"/>
      <c r="N1" s="13">
        <f>SUM(N3:N74)</f>
        <v>535</v>
      </c>
      <c r="O1" s="12"/>
      <c r="P1" s="11">
        <v>161050.0</v>
      </c>
      <c r="Q1" s="11">
        <f>P1/N1</f>
        <v>301.0280374</v>
      </c>
      <c r="R1" s="12">
        <v>17.0</v>
      </c>
      <c r="S1" s="11">
        <f>Q1*R1</f>
        <v>5117.476636</v>
      </c>
      <c r="T1" s="14">
        <f>P1+S1</f>
        <v>166167.4766</v>
      </c>
      <c r="U1" s="14">
        <f>T1/N1</f>
        <v>310.5934143</v>
      </c>
      <c r="V1" s="15" t="s">
        <v>11</v>
      </c>
      <c r="W1" s="16" t="s">
        <v>12</v>
      </c>
      <c r="X1" s="17" t="s">
        <v>13</v>
      </c>
      <c r="Y1" s="18" t="s">
        <v>14</v>
      </c>
      <c r="Z1" s="19" t="s">
        <v>15</v>
      </c>
      <c r="AA1" s="20" t="s">
        <v>16</v>
      </c>
      <c r="AB1" s="21" t="s">
        <v>17</v>
      </c>
      <c r="AC1" s="22" t="s">
        <v>18</v>
      </c>
      <c r="AD1" s="22" t="s">
        <v>19</v>
      </c>
      <c r="AE1" s="22" t="s">
        <v>20</v>
      </c>
      <c r="AF1" s="22" t="s">
        <v>21</v>
      </c>
      <c r="AG1" s="20" t="s">
        <v>22</v>
      </c>
      <c r="AH1" s="20" t="s">
        <v>23</v>
      </c>
      <c r="AI1" s="20" t="s">
        <v>24</v>
      </c>
      <c r="AJ1" s="23" t="s">
        <v>25</v>
      </c>
      <c r="AK1" s="9" t="s">
        <v>26</v>
      </c>
      <c r="AL1" s="20" t="s">
        <v>7</v>
      </c>
      <c r="AM1" s="2" t="s">
        <v>27</v>
      </c>
      <c r="AN1" s="24" t="s">
        <v>8</v>
      </c>
      <c r="AO1" s="24" t="s">
        <v>28</v>
      </c>
      <c r="AP1" s="24" t="s">
        <v>29</v>
      </c>
      <c r="AQ1" s="25" t="s">
        <v>8</v>
      </c>
      <c r="AR1" s="26" t="s">
        <v>30</v>
      </c>
      <c r="AS1" s="27" t="s">
        <v>30</v>
      </c>
    </row>
    <row r="2" ht="20.25" customHeight="1">
      <c r="A2" s="28"/>
      <c r="B2" s="28"/>
      <c r="C2" s="29"/>
      <c r="D2" s="29"/>
      <c r="E2" s="29"/>
      <c r="F2" s="29"/>
      <c r="G2" s="30"/>
      <c r="H2" s="29"/>
      <c r="I2" s="31"/>
      <c r="J2" s="32"/>
      <c r="K2" s="33"/>
      <c r="L2" s="34"/>
      <c r="M2" s="35"/>
      <c r="N2" s="35" t="s">
        <v>31</v>
      </c>
      <c r="O2" s="35"/>
      <c r="P2" s="35" t="s">
        <v>32</v>
      </c>
      <c r="Q2" s="35" t="s">
        <v>33</v>
      </c>
      <c r="R2" s="35" t="s">
        <v>34</v>
      </c>
      <c r="S2" s="35" t="s">
        <v>35</v>
      </c>
      <c r="T2" s="35" t="s">
        <v>36</v>
      </c>
      <c r="U2" s="35" t="s">
        <v>37</v>
      </c>
      <c r="V2" s="31"/>
      <c r="W2" s="29"/>
      <c r="X2" s="29"/>
      <c r="Y2" s="30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32"/>
      <c r="AL2" s="29"/>
      <c r="AM2" s="29"/>
      <c r="AN2" s="29"/>
      <c r="AO2" s="29"/>
      <c r="AP2" s="29"/>
      <c r="AQ2" s="29"/>
      <c r="AR2" s="36"/>
      <c r="AS2" s="36"/>
    </row>
    <row r="3">
      <c r="A3" s="37" t="s">
        <v>38</v>
      </c>
      <c r="B3" s="38" t="s">
        <v>39</v>
      </c>
      <c r="C3" s="39" t="s">
        <v>40</v>
      </c>
      <c r="D3" s="40" t="s">
        <v>41</v>
      </c>
      <c r="E3" s="41">
        <v>144.0</v>
      </c>
      <c r="F3" s="42">
        <f t="shared" ref="F3:F352" si="1">E3*62</f>
        <v>8928</v>
      </c>
      <c r="G3" s="43"/>
      <c r="H3" s="44">
        <f t="shared" ref="H3:H55" si="2">F3*50%+F3</f>
        <v>13392</v>
      </c>
      <c r="I3" s="44">
        <f t="shared" ref="I3:I55" si="3">F3*80%+F3</f>
        <v>16070.4</v>
      </c>
      <c r="J3" s="45">
        <f t="shared" ref="J3:J313" si="4">F3*120%+F3</f>
        <v>19641.6</v>
      </c>
      <c r="K3" s="46" t="s">
        <v>42</v>
      </c>
      <c r="L3" s="47">
        <f t="shared" ref="L3:L93" si="5">E3*57</f>
        <v>8208</v>
      </c>
      <c r="M3" s="48"/>
      <c r="N3" s="49"/>
      <c r="O3" s="48"/>
      <c r="P3" s="48"/>
      <c r="Q3" s="48"/>
      <c r="R3" s="48"/>
      <c r="S3" s="48"/>
      <c r="T3" s="48"/>
      <c r="U3" s="48"/>
      <c r="V3" s="50">
        <f t="shared" ref="V3:V55" si="6">F3+U3</f>
        <v>8928</v>
      </c>
      <c r="W3" s="51">
        <v>500.0</v>
      </c>
      <c r="X3" s="52">
        <f t="shared" ref="X3:X171" si="7">F3+W3</f>
        <v>9428</v>
      </c>
      <c r="Y3" s="53">
        <f t="shared" ref="Y3:Y366" si="8">X3*120%+X3</f>
        <v>20741.6</v>
      </c>
      <c r="Z3" s="54">
        <v>14.45</v>
      </c>
      <c r="AA3" s="55">
        <v>158.45</v>
      </c>
      <c r="AB3" s="56">
        <f t="shared" ref="AB3:AB55" si="9">AA3*60</f>
        <v>9507</v>
      </c>
      <c r="AC3" s="57">
        <v>293.5</v>
      </c>
      <c r="AD3" s="57">
        <v>195.0</v>
      </c>
      <c r="AE3" s="57">
        <v>382.39</v>
      </c>
      <c r="AF3" s="57">
        <f t="shared" ref="AF3:AF55" si="10">SUM(AC3:AE3)/3</f>
        <v>290.2966667</v>
      </c>
      <c r="AG3" s="57">
        <f t="shared" ref="AG3:AG55" si="11">AF3+Z3+1.15</f>
        <v>305.8966667</v>
      </c>
      <c r="AH3" s="58">
        <f t="shared" ref="AH3:AH55" si="12">AG3*60</f>
        <v>18353.8</v>
      </c>
      <c r="AI3" s="57">
        <f t="shared" ref="AI3:AI55" si="13">AG3-AA3</f>
        <v>147.4466667</v>
      </c>
      <c r="AJ3" s="59">
        <f t="shared" ref="AJ3:AJ55" si="14">AI3/AA3*1</f>
        <v>0.9305564321</v>
      </c>
      <c r="AK3" s="45">
        <f t="shared" ref="AK3:AK55" si="15">J3*0.2+J3</f>
        <v>23569.92</v>
      </c>
      <c r="AL3" s="60">
        <f t="shared" ref="AL3:AL55" si="16">AB3*AO3+AB3</f>
        <v>12359.1</v>
      </c>
      <c r="AM3" s="60">
        <f t="shared" ref="AM3:AM55" si="17">AL3*0.1+AL3</f>
        <v>13595.01</v>
      </c>
      <c r="AN3" s="60">
        <f t="shared" ref="AN3:AN55" si="18">AB3*AP3+AB3</f>
        <v>16161.9</v>
      </c>
      <c r="AO3" s="59">
        <v>0.3</v>
      </c>
      <c r="AP3" s="59">
        <v>0.7</v>
      </c>
      <c r="AQ3" s="61">
        <f t="shared" ref="AQ3:AQ55" si="19">AN3*0.1+AN3</f>
        <v>17778.09</v>
      </c>
      <c r="AR3" s="60">
        <f t="shared" ref="AR3:AR55" si="20">AN3*15%+AN3</f>
        <v>18586.185</v>
      </c>
      <c r="AS3" s="62">
        <f t="shared" ref="AS3:AS55" si="21">AR3*0.1+AR3</f>
        <v>20444.8035</v>
      </c>
    </row>
    <row r="4">
      <c r="A4" s="63" t="s">
        <v>38</v>
      </c>
      <c r="B4" s="64" t="s">
        <v>39</v>
      </c>
      <c r="C4" s="39" t="s">
        <v>43</v>
      </c>
      <c r="D4" s="65" t="s">
        <v>44</v>
      </c>
      <c r="E4" s="66">
        <v>228.0</v>
      </c>
      <c r="F4" s="67">
        <f t="shared" si="1"/>
        <v>14136</v>
      </c>
      <c r="G4" s="68"/>
      <c r="H4" s="44">
        <f t="shared" si="2"/>
        <v>21204</v>
      </c>
      <c r="I4" s="44">
        <f t="shared" si="3"/>
        <v>25444.8</v>
      </c>
      <c r="J4" s="45">
        <f t="shared" si="4"/>
        <v>31099.2</v>
      </c>
      <c r="K4" s="69" t="s">
        <v>42</v>
      </c>
      <c r="L4" s="47">
        <f t="shared" si="5"/>
        <v>12996</v>
      </c>
      <c r="M4" s="48"/>
      <c r="N4" s="49"/>
      <c r="O4" s="48"/>
      <c r="P4" s="48"/>
      <c r="Q4" s="48"/>
      <c r="R4" s="48"/>
      <c r="S4" s="48"/>
      <c r="T4" s="48"/>
      <c r="U4" s="48"/>
      <c r="V4" s="50">
        <f t="shared" si="6"/>
        <v>14136</v>
      </c>
      <c r="W4" s="70">
        <v>500.0</v>
      </c>
      <c r="X4" s="71">
        <f t="shared" si="7"/>
        <v>14636</v>
      </c>
      <c r="Y4" s="72">
        <f t="shared" si="8"/>
        <v>32199.2</v>
      </c>
      <c r="Z4" s="73">
        <v>23.0</v>
      </c>
      <c r="AA4" s="74">
        <v>251.0</v>
      </c>
      <c r="AB4" s="75">
        <f t="shared" si="9"/>
        <v>15060</v>
      </c>
      <c r="AC4" s="76">
        <v>360.51</v>
      </c>
      <c r="AD4" s="76">
        <v>254.95</v>
      </c>
      <c r="AE4" s="76">
        <v>278.0</v>
      </c>
      <c r="AF4" s="76">
        <f t="shared" si="10"/>
        <v>297.82</v>
      </c>
      <c r="AG4" s="76">
        <f t="shared" si="11"/>
        <v>321.97</v>
      </c>
      <c r="AH4" s="77">
        <f t="shared" si="12"/>
        <v>19318.2</v>
      </c>
      <c r="AI4" s="76">
        <f t="shared" si="13"/>
        <v>70.97</v>
      </c>
      <c r="AJ4" s="78">
        <f t="shared" si="14"/>
        <v>0.282749004</v>
      </c>
      <c r="AK4" s="45">
        <f t="shared" si="15"/>
        <v>37319.04</v>
      </c>
      <c r="AL4" s="79">
        <f t="shared" si="16"/>
        <v>16566</v>
      </c>
      <c r="AM4" s="60">
        <f t="shared" si="17"/>
        <v>18222.6</v>
      </c>
      <c r="AN4" s="79">
        <f t="shared" si="18"/>
        <v>18072</v>
      </c>
      <c r="AO4" s="78">
        <v>0.1</v>
      </c>
      <c r="AP4" s="78">
        <v>0.2</v>
      </c>
      <c r="AQ4" s="61">
        <f t="shared" si="19"/>
        <v>19879.2</v>
      </c>
      <c r="AR4" s="60">
        <f t="shared" si="20"/>
        <v>20782.8</v>
      </c>
      <c r="AS4" s="62">
        <f t="shared" si="21"/>
        <v>22861.08</v>
      </c>
    </row>
    <row r="5">
      <c r="A5" s="63" t="s">
        <v>38</v>
      </c>
      <c r="B5" s="64" t="s">
        <v>39</v>
      </c>
      <c r="C5" s="39" t="s">
        <v>45</v>
      </c>
      <c r="D5" s="65" t="s">
        <v>46</v>
      </c>
      <c r="E5" s="66">
        <v>216.0</v>
      </c>
      <c r="F5" s="67">
        <f t="shared" si="1"/>
        <v>13392</v>
      </c>
      <c r="G5" s="68"/>
      <c r="H5" s="44">
        <f t="shared" si="2"/>
        <v>20088</v>
      </c>
      <c r="I5" s="44">
        <f t="shared" si="3"/>
        <v>24105.6</v>
      </c>
      <c r="J5" s="45">
        <f t="shared" si="4"/>
        <v>29462.4</v>
      </c>
      <c r="K5" s="69" t="s">
        <v>42</v>
      </c>
      <c r="L5" s="47">
        <f t="shared" si="5"/>
        <v>12312</v>
      </c>
      <c r="M5" s="48"/>
      <c r="N5" s="49"/>
      <c r="O5" s="48"/>
      <c r="P5" s="48"/>
      <c r="Q5" s="48"/>
      <c r="R5" s="48"/>
      <c r="S5" s="48"/>
      <c r="T5" s="48"/>
      <c r="U5" s="48"/>
      <c r="V5" s="50">
        <f t="shared" si="6"/>
        <v>13392</v>
      </c>
      <c r="W5" s="70">
        <v>500.0</v>
      </c>
      <c r="X5" s="71">
        <f t="shared" si="7"/>
        <v>13892</v>
      </c>
      <c r="Y5" s="72">
        <f t="shared" si="8"/>
        <v>30562.4</v>
      </c>
      <c r="Z5" s="73">
        <v>22.0</v>
      </c>
      <c r="AA5" s="80">
        <v>238.0</v>
      </c>
      <c r="AB5" s="75">
        <f t="shared" si="9"/>
        <v>14280</v>
      </c>
      <c r="AC5" s="81">
        <v>233.74</v>
      </c>
      <c r="AD5" s="76">
        <v>399.9</v>
      </c>
      <c r="AE5" s="76">
        <v>414.95</v>
      </c>
      <c r="AF5" s="76">
        <f t="shared" si="10"/>
        <v>349.53</v>
      </c>
      <c r="AG5" s="76">
        <f t="shared" si="11"/>
        <v>372.68</v>
      </c>
      <c r="AH5" s="77">
        <f t="shared" si="12"/>
        <v>22360.8</v>
      </c>
      <c r="AI5" s="76">
        <f t="shared" si="13"/>
        <v>134.68</v>
      </c>
      <c r="AJ5" s="78">
        <f t="shared" si="14"/>
        <v>0.5658823529</v>
      </c>
      <c r="AK5" s="45">
        <f t="shared" si="15"/>
        <v>35354.88</v>
      </c>
      <c r="AL5" s="79">
        <f t="shared" si="16"/>
        <v>17136</v>
      </c>
      <c r="AM5" s="60">
        <f t="shared" si="17"/>
        <v>18849.6</v>
      </c>
      <c r="AN5" s="79">
        <f t="shared" si="18"/>
        <v>19278</v>
      </c>
      <c r="AO5" s="78">
        <v>0.2</v>
      </c>
      <c r="AP5" s="78">
        <v>0.35</v>
      </c>
      <c r="AQ5" s="61">
        <f t="shared" si="19"/>
        <v>21205.8</v>
      </c>
      <c r="AR5" s="60">
        <f t="shared" si="20"/>
        <v>22169.7</v>
      </c>
      <c r="AS5" s="62">
        <f t="shared" si="21"/>
        <v>24386.67</v>
      </c>
    </row>
    <row r="6">
      <c r="A6" s="63" t="s">
        <v>38</v>
      </c>
      <c r="B6" s="64" t="s">
        <v>39</v>
      </c>
      <c r="C6" s="39" t="s">
        <v>47</v>
      </c>
      <c r="D6" s="65" t="s">
        <v>48</v>
      </c>
      <c r="E6" s="66">
        <v>297.0</v>
      </c>
      <c r="F6" s="67">
        <f t="shared" si="1"/>
        <v>18414</v>
      </c>
      <c r="G6" s="68"/>
      <c r="H6" s="44">
        <f t="shared" si="2"/>
        <v>27621</v>
      </c>
      <c r="I6" s="44">
        <f t="shared" si="3"/>
        <v>33145.2</v>
      </c>
      <c r="J6" s="45">
        <f t="shared" si="4"/>
        <v>40510.8</v>
      </c>
      <c r="K6" s="69" t="s">
        <v>42</v>
      </c>
      <c r="L6" s="47">
        <f t="shared" si="5"/>
        <v>16929</v>
      </c>
      <c r="M6" s="48"/>
      <c r="N6" s="49"/>
      <c r="O6" s="48"/>
      <c r="P6" s="48"/>
      <c r="Q6" s="48"/>
      <c r="R6" s="48"/>
      <c r="S6" s="48"/>
      <c r="T6" s="48"/>
      <c r="U6" s="48"/>
      <c r="V6" s="50">
        <f t="shared" si="6"/>
        <v>18414</v>
      </c>
      <c r="W6" s="70">
        <v>500.0</v>
      </c>
      <c r="X6" s="71">
        <f t="shared" si="7"/>
        <v>18914</v>
      </c>
      <c r="Y6" s="72">
        <f t="shared" si="8"/>
        <v>41610.8</v>
      </c>
      <c r="Z6" s="73">
        <v>29.8</v>
      </c>
      <c r="AA6" s="74">
        <v>326.8</v>
      </c>
      <c r="AB6" s="75">
        <f t="shared" si="9"/>
        <v>19608</v>
      </c>
      <c r="AC6" s="76">
        <v>356.83</v>
      </c>
      <c r="AD6" s="76">
        <v>422.78</v>
      </c>
      <c r="AE6" s="76">
        <v>423.54</v>
      </c>
      <c r="AF6" s="76">
        <f t="shared" si="10"/>
        <v>401.05</v>
      </c>
      <c r="AG6" s="76">
        <f t="shared" si="11"/>
        <v>432</v>
      </c>
      <c r="AH6" s="77">
        <f t="shared" si="12"/>
        <v>25920</v>
      </c>
      <c r="AI6" s="76">
        <f t="shared" si="13"/>
        <v>105.2</v>
      </c>
      <c r="AJ6" s="78">
        <f t="shared" si="14"/>
        <v>0.3219094247</v>
      </c>
      <c r="AK6" s="45">
        <f t="shared" si="15"/>
        <v>48612.96</v>
      </c>
      <c r="AL6" s="79">
        <f t="shared" si="16"/>
        <v>23529.6</v>
      </c>
      <c r="AM6" s="60">
        <f t="shared" si="17"/>
        <v>25882.56</v>
      </c>
      <c r="AN6" s="79">
        <f t="shared" si="18"/>
        <v>22549.2</v>
      </c>
      <c r="AO6" s="78">
        <v>0.2</v>
      </c>
      <c r="AP6" s="78">
        <v>0.15</v>
      </c>
      <c r="AQ6" s="61">
        <f t="shared" si="19"/>
        <v>24804.12</v>
      </c>
      <c r="AR6" s="60">
        <f t="shared" si="20"/>
        <v>25931.58</v>
      </c>
      <c r="AS6" s="62">
        <f t="shared" si="21"/>
        <v>28524.738</v>
      </c>
    </row>
    <row r="7">
      <c r="A7" s="63" t="s">
        <v>38</v>
      </c>
      <c r="B7" s="64" t="s">
        <v>49</v>
      </c>
      <c r="C7" s="39" t="s">
        <v>50</v>
      </c>
      <c r="D7" s="65" t="s">
        <v>51</v>
      </c>
      <c r="E7" s="66">
        <v>81.0</v>
      </c>
      <c r="F7" s="67">
        <f t="shared" si="1"/>
        <v>5022</v>
      </c>
      <c r="G7" s="68"/>
      <c r="H7" s="44">
        <f t="shared" si="2"/>
        <v>7533</v>
      </c>
      <c r="I7" s="44">
        <f t="shared" si="3"/>
        <v>9039.6</v>
      </c>
      <c r="J7" s="45">
        <f t="shared" si="4"/>
        <v>11048.4</v>
      </c>
      <c r="K7" s="69" t="s">
        <v>42</v>
      </c>
      <c r="L7" s="47">
        <f t="shared" si="5"/>
        <v>4617</v>
      </c>
      <c r="M7" s="48"/>
      <c r="N7" s="49"/>
      <c r="O7" s="48"/>
      <c r="P7" s="48"/>
      <c r="Q7" s="48"/>
      <c r="R7" s="48"/>
      <c r="S7" s="48"/>
      <c r="T7" s="48"/>
      <c r="U7" s="48"/>
      <c r="V7" s="50">
        <f t="shared" si="6"/>
        <v>5022</v>
      </c>
      <c r="W7" s="70">
        <v>500.0</v>
      </c>
      <c r="X7" s="71">
        <f t="shared" si="7"/>
        <v>5522</v>
      </c>
      <c r="Y7" s="72">
        <f t="shared" si="8"/>
        <v>12148.4</v>
      </c>
      <c r="Z7" s="73">
        <v>8.05</v>
      </c>
      <c r="AA7" s="74">
        <v>89.05</v>
      </c>
      <c r="AB7" s="75">
        <f t="shared" si="9"/>
        <v>5343</v>
      </c>
      <c r="AC7" s="76">
        <v>135.42</v>
      </c>
      <c r="AD7" s="76">
        <v>254.95</v>
      </c>
      <c r="AE7" s="76">
        <v>139.74</v>
      </c>
      <c r="AF7" s="76">
        <f t="shared" si="10"/>
        <v>176.7033333</v>
      </c>
      <c r="AG7" s="76">
        <f t="shared" si="11"/>
        <v>185.9033333</v>
      </c>
      <c r="AH7" s="77">
        <f t="shared" si="12"/>
        <v>11154.2</v>
      </c>
      <c r="AI7" s="76">
        <f t="shared" si="13"/>
        <v>96.85333333</v>
      </c>
      <c r="AJ7" s="78">
        <f t="shared" si="14"/>
        <v>1.087628673</v>
      </c>
      <c r="AK7" s="45">
        <f t="shared" si="15"/>
        <v>13258.08</v>
      </c>
      <c r="AL7" s="79">
        <f t="shared" si="16"/>
        <v>6945.9</v>
      </c>
      <c r="AM7" s="60">
        <f t="shared" si="17"/>
        <v>7640.49</v>
      </c>
      <c r="AN7" s="79">
        <f t="shared" si="18"/>
        <v>9083.1</v>
      </c>
      <c r="AO7" s="78">
        <v>0.3</v>
      </c>
      <c r="AP7" s="78">
        <v>0.7</v>
      </c>
      <c r="AQ7" s="61">
        <f t="shared" si="19"/>
        <v>9991.41</v>
      </c>
      <c r="AR7" s="60">
        <f t="shared" si="20"/>
        <v>10445.565</v>
      </c>
      <c r="AS7" s="62">
        <f t="shared" si="21"/>
        <v>11490.1215</v>
      </c>
    </row>
    <row r="8">
      <c r="A8" s="63" t="s">
        <v>38</v>
      </c>
      <c r="B8" s="64" t="s">
        <v>49</v>
      </c>
      <c r="C8" s="39" t="s">
        <v>52</v>
      </c>
      <c r="D8" s="65" t="s">
        <v>53</v>
      </c>
      <c r="E8" s="66">
        <v>165.0</v>
      </c>
      <c r="F8" s="67">
        <f t="shared" si="1"/>
        <v>10230</v>
      </c>
      <c r="G8" s="68"/>
      <c r="H8" s="44">
        <f t="shared" si="2"/>
        <v>15345</v>
      </c>
      <c r="I8" s="44">
        <f t="shared" si="3"/>
        <v>18414</v>
      </c>
      <c r="J8" s="45">
        <f t="shared" si="4"/>
        <v>22506</v>
      </c>
      <c r="K8" s="69" t="s">
        <v>42</v>
      </c>
      <c r="L8" s="47">
        <f t="shared" si="5"/>
        <v>9405</v>
      </c>
      <c r="M8" s="48"/>
      <c r="N8" s="49"/>
      <c r="O8" s="48"/>
      <c r="P8" s="48"/>
      <c r="Q8" s="48"/>
      <c r="R8" s="48"/>
      <c r="S8" s="48"/>
      <c r="T8" s="48"/>
      <c r="U8" s="48"/>
      <c r="V8" s="50">
        <f t="shared" si="6"/>
        <v>10230</v>
      </c>
      <c r="W8" s="70">
        <v>500.0</v>
      </c>
      <c r="X8" s="71">
        <f t="shared" si="7"/>
        <v>10730</v>
      </c>
      <c r="Y8" s="72">
        <f t="shared" si="8"/>
        <v>23606</v>
      </c>
      <c r="Z8" s="73">
        <v>16.56</v>
      </c>
      <c r="AA8" s="80">
        <v>181.56</v>
      </c>
      <c r="AB8" s="75">
        <f t="shared" si="9"/>
        <v>10893.6</v>
      </c>
      <c r="AC8" s="81">
        <v>232.69</v>
      </c>
      <c r="AD8" s="76">
        <v>274.9</v>
      </c>
      <c r="AE8" s="76">
        <v>254.95</v>
      </c>
      <c r="AF8" s="76">
        <f t="shared" si="10"/>
        <v>254.18</v>
      </c>
      <c r="AG8" s="76">
        <f t="shared" si="11"/>
        <v>271.89</v>
      </c>
      <c r="AH8" s="77">
        <f t="shared" si="12"/>
        <v>16313.4</v>
      </c>
      <c r="AI8" s="76">
        <f t="shared" si="13"/>
        <v>90.33</v>
      </c>
      <c r="AJ8" s="78">
        <f t="shared" si="14"/>
        <v>0.4975214805</v>
      </c>
      <c r="AK8" s="45">
        <f t="shared" si="15"/>
        <v>27007.2</v>
      </c>
      <c r="AL8" s="79">
        <f t="shared" si="16"/>
        <v>13072.32</v>
      </c>
      <c r="AM8" s="60">
        <f t="shared" si="17"/>
        <v>14379.552</v>
      </c>
      <c r="AN8" s="79">
        <f t="shared" si="18"/>
        <v>14161.68</v>
      </c>
      <c r="AO8" s="78">
        <v>0.2</v>
      </c>
      <c r="AP8" s="78">
        <v>0.3</v>
      </c>
      <c r="AQ8" s="61">
        <f t="shared" si="19"/>
        <v>15577.848</v>
      </c>
      <c r="AR8" s="60">
        <f t="shared" si="20"/>
        <v>16285.932</v>
      </c>
      <c r="AS8" s="62">
        <f t="shared" si="21"/>
        <v>17914.5252</v>
      </c>
    </row>
    <row r="9">
      <c r="A9" s="63" t="s">
        <v>38</v>
      </c>
      <c r="B9" s="64" t="s">
        <v>49</v>
      </c>
      <c r="C9" s="82" t="s">
        <v>54</v>
      </c>
      <c r="D9" s="65" t="s">
        <v>55</v>
      </c>
      <c r="E9" s="66">
        <v>114.0</v>
      </c>
      <c r="F9" s="67">
        <f t="shared" si="1"/>
        <v>7068</v>
      </c>
      <c r="G9" s="68"/>
      <c r="H9" s="44">
        <f t="shared" si="2"/>
        <v>10602</v>
      </c>
      <c r="I9" s="44">
        <f t="shared" si="3"/>
        <v>12722.4</v>
      </c>
      <c r="J9" s="45">
        <f t="shared" si="4"/>
        <v>15549.6</v>
      </c>
      <c r="K9" s="69" t="s">
        <v>42</v>
      </c>
      <c r="L9" s="47">
        <f t="shared" si="5"/>
        <v>6498</v>
      </c>
      <c r="M9" s="48"/>
      <c r="N9" s="49">
        <v>3.0</v>
      </c>
      <c r="O9" s="48"/>
      <c r="P9" s="48"/>
      <c r="Q9" s="48"/>
      <c r="R9" s="48"/>
      <c r="S9" s="48"/>
      <c r="T9" s="48"/>
      <c r="U9" s="48">
        <v>310.59</v>
      </c>
      <c r="V9" s="50">
        <f t="shared" si="6"/>
        <v>7378.59</v>
      </c>
      <c r="W9" s="70">
        <v>500.0</v>
      </c>
      <c r="X9" s="71">
        <f t="shared" si="7"/>
        <v>7568</v>
      </c>
      <c r="Y9" s="72">
        <f t="shared" si="8"/>
        <v>16649.6</v>
      </c>
      <c r="Z9" s="73">
        <v>11.44</v>
      </c>
      <c r="AA9" s="74">
        <v>125.44</v>
      </c>
      <c r="AB9" s="75">
        <f t="shared" si="9"/>
        <v>7526.4</v>
      </c>
      <c r="AC9" s="76">
        <v>104.9</v>
      </c>
      <c r="AD9" s="76">
        <v>199.95</v>
      </c>
      <c r="AE9" s="76">
        <v>196.59</v>
      </c>
      <c r="AF9" s="76">
        <f t="shared" si="10"/>
        <v>167.1466667</v>
      </c>
      <c r="AG9" s="76">
        <f t="shared" si="11"/>
        <v>179.7366667</v>
      </c>
      <c r="AH9" s="77">
        <f t="shared" si="12"/>
        <v>10784.2</v>
      </c>
      <c r="AI9" s="76">
        <f t="shared" si="13"/>
        <v>54.29666667</v>
      </c>
      <c r="AJ9" s="78">
        <f t="shared" si="14"/>
        <v>0.4328497024</v>
      </c>
      <c r="AK9" s="45">
        <f t="shared" si="15"/>
        <v>18659.52</v>
      </c>
      <c r="AL9" s="79">
        <f t="shared" si="16"/>
        <v>9031.68</v>
      </c>
      <c r="AM9" s="60">
        <f t="shared" si="17"/>
        <v>9934.848</v>
      </c>
      <c r="AN9" s="79">
        <f t="shared" si="18"/>
        <v>8655.36</v>
      </c>
      <c r="AO9" s="78">
        <v>0.2</v>
      </c>
      <c r="AP9" s="78">
        <v>0.15</v>
      </c>
      <c r="AQ9" s="61">
        <f t="shared" si="19"/>
        <v>9520.896</v>
      </c>
      <c r="AR9" s="60">
        <f t="shared" si="20"/>
        <v>9953.664</v>
      </c>
      <c r="AS9" s="62">
        <f t="shared" si="21"/>
        <v>10949.0304</v>
      </c>
    </row>
    <row r="10">
      <c r="A10" s="63" t="s">
        <v>38</v>
      </c>
      <c r="B10" s="64" t="s">
        <v>49</v>
      </c>
      <c r="C10" s="82" t="s">
        <v>56</v>
      </c>
      <c r="D10" s="65" t="s">
        <v>57</v>
      </c>
      <c r="E10" s="66">
        <v>165.6</v>
      </c>
      <c r="F10" s="67">
        <f t="shared" si="1"/>
        <v>10267.2</v>
      </c>
      <c r="G10" s="68"/>
      <c r="H10" s="44">
        <f t="shared" si="2"/>
        <v>15400.8</v>
      </c>
      <c r="I10" s="44">
        <f t="shared" si="3"/>
        <v>18480.96</v>
      </c>
      <c r="J10" s="45">
        <f t="shared" si="4"/>
        <v>22587.84</v>
      </c>
      <c r="K10" s="69" t="s">
        <v>42</v>
      </c>
      <c r="L10" s="47">
        <f t="shared" si="5"/>
        <v>9439.2</v>
      </c>
      <c r="M10" s="48"/>
      <c r="N10" s="49">
        <v>19.0</v>
      </c>
      <c r="O10" s="48"/>
      <c r="P10" s="48"/>
      <c r="Q10" s="48"/>
      <c r="R10" s="48"/>
      <c r="S10" s="48"/>
      <c r="T10" s="48"/>
      <c r="U10" s="48">
        <v>310.59</v>
      </c>
      <c r="V10" s="50">
        <f t="shared" si="6"/>
        <v>10577.79</v>
      </c>
      <c r="W10" s="70">
        <v>500.0</v>
      </c>
      <c r="X10" s="71">
        <f t="shared" si="7"/>
        <v>10767.2</v>
      </c>
      <c r="Y10" s="72">
        <f t="shared" si="8"/>
        <v>23687.84</v>
      </c>
      <c r="Z10" s="73">
        <v>16.95</v>
      </c>
      <c r="AA10" s="74">
        <v>181.56</v>
      </c>
      <c r="AB10" s="75">
        <f t="shared" si="9"/>
        <v>10893.6</v>
      </c>
      <c r="AC10" s="76">
        <v>259.95</v>
      </c>
      <c r="AD10" s="76">
        <v>262.12</v>
      </c>
      <c r="AE10" s="76">
        <v>293.79</v>
      </c>
      <c r="AF10" s="76">
        <f t="shared" si="10"/>
        <v>271.9533333</v>
      </c>
      <c r="AG10" s="76">
        <f t="shared" si="11"/>
        <v>290.0533333</v>
      </c>
      <c r="AH10" s="77">
        <f t="shared" si="12"/>
        <v>17403.2</v>
      </c>
      <c r="AI10" s="76">
        <f t="shared" si="13"/>
        <v>108.4933333</v>
      </c>
      <c r="AJ10" s="78">
        <f t="shared" si="14"/>
        <v>0.5975618712</v>
      </c>
      <c r="AK10" s="45">
        <f t="shared" si="15"/>
        <v>27105.408</v>
      </c>
      <c r="AL10" s="79">
        <f t="shared" si="16"/>
        <v>13072.32</v>
      </c>
      <c r="AM10" s="60">
        <f t="shared" si="17"/>
        <v>14379.552</v>
      </c>
      <c r="AN10" s="79">
        <f t="shared" si="18"/>
        <v>15251.04</v>
      </c>
      <c r="AO10" s="78">
        <v>0.2</v>
      </c>
      <c r="AP10" s="78">
        <v>0.4</v>
      </c>
      <c r="AQ10" s="61">
        <f t="shared" si="19"/>
        <v>16776.144</v>
      </c>
      <c r="AR10" s="60">
        <f t="shared" si="20"/>
        <v>17538.696</v>
      </c>
      <c r="AS10" s="62">
        <f t="shared" si="21"/>
        <v>19292.5656</v>
      </c>
    </row>
    <row r="11">
      <c r="A11" s="63" t="s">
        <v>38</v>
      </c>
      <c r="B11" s="64" t="s">
        <v>49</v>
      </c>
      <c r="C11" s="39" t="s">
        <v>58</v>
      </c>
      <c r="D11" s="65" t="s">
        <v>59</v>
      </c>
      <c r="E11" s="66">
        <v>195.0</v>
      </c>
      <c r="F11" s="67">
        <f t="shared" si="1"/>
        <v>12090</v>
      </c>
      <c r="G11" s="68"/>
      <c r="H11" s="44">
        <f t="shared" si="2"/>
        <v>18135</v>
      </c>
      <c r="I11" s="44">
        <f t="shared" si="3"/>
        <v>21762</v>
      </c>
      <c r="J11" s="45">
        <f t="shared" si="4"/>
        <v>26598</v>
      </c>
      <c r="K11" s="69" t="s">
        <v>42</v>
      </c>
      <c r="L11" s="47">
        <f t="shared" si="5"/>
        <v>11115</v>
      </c>
      <c r="M11" s="48"/>
      <c r="N11" s="49">
        <v>25.0</v>
      </c>
      <c r="O11" s="48"/>
      <c r="P11" s="48"/>
      <c r="Q11" s="48"/>
      <c r="R11" s="48"/>
      <c r="S11" s="48"/>
      <c r="T11" s="48"/>
      <c r="U11" s="48">
        <v>310.59</v>
      </c>
      <c r="V11" s="50">
        <f t="shared" si="6"/>
        <v>12400.59</v>
      </c>
      <c r="W11" s="70">
        <v>500.0</v>
      </c>
      <c r="X11" s="71">
        <f t="shared" si="7"/>
        <v>12590</v>
      </c>
      <c r="Y11" s="72">
        <f t="shared" si="8"/>
        <v>27698</v>
      </c>
      <c r="Z11" s="73">
        <v>19.57</v>
      </c>
      <c r="AA11" s="80">
        <v>214.57</v>
      </c>
      <c r="AB11" s="75">
        <f t="shared" si="9"/>
        <v>12874.2</v>
      </c>
      <c r="AC11" s="81">
        <v>399.0</v>
      </c>
      <c r="AD11" s="76">
        <v>279.95</v>
      </c>
      <c r="AE11" s="76">
        <v>294.95</v>
      </c>
      <c r="AF11" s="76">
        <f t="shared" si="10"/>
        <v>324.6333333</v>
      </c>
      <c r="AG11" s="76">
        <f t="shared" si="11"/>
        <v>345.3533333</v>
      </c>
      <c r="AH11" s="77">
        <f t="shared" si="12"/>
        <v>20721.2</v>
      </c>
      <c r="AI11" s="76">
        <f t="shared" si="13"/>
        <v>130.7833333</v>
      </c>
      <c r="AJ11" s="78">
        <f t="shared" si="14"/>
        <v>0.6095136008</v>
      </c>
      <c r="AK11" s="45">
        <f t="shared" si="15"/>
        <v>31917.6</v>
      </c>
      <c r="AL11" s="79">
        <f t="shared" si="16"/>
        <v>15449.04</v>
      </c>
      <c r="AM11" s="60">
        <f t="shared" si="17"/>
        <v>16993.944</v>
      </c>
      <c r="AN11" s="79">
        <f t="shared" si="18"/>
        <v>18023.88</v>
      </c>
      <c r="AO11" s="78">
        <v>0.2</v>
      </c>
      <c r="AP11" s="78">
        <v>0.4</v>
      </c>
      <c r="AQ11" s="61">
        <f t="shared" si="19"/>
        <v>19826.268</v>
      </c>
      <c r="AR11" s="60">
        <f t="shared" si="20"/>
        <v>20727.462</v>
      </c>
      <c r="AS11" s="62">
        <f t="shared" si="21"/>
        <v>22800.2082</v>
      </c>
    </row>
    <row r="12">
      <c r="A12" s="63" t="s">
        <v>38</v>
      </c>
      <c r="B12" s="64" t="s">
        <v>49</v>
      </c>
      <c r="C12" s="82" t="s">
        <v>60</v>
      </c>
      <c r="D12" s="65" t="s">
        <v>61</v>
      </c>
      <c r="E12" s="66">
        <v>60.0</v>
      </c>
      <c r="F12" s="67">
        <f t="shared" si="1"/>
        <v>3720</v>
      </c>
      <c r="G12" s="68"/>
      <c r="H12" s="44">
        <f t="shared" si="2"/>
        <v>5580</v>
      </c>
      <c r="I12" s="44">
        <f t="shared" si="3"/>
        <v>6696</v>
      </c>
      <c r="J12" s="45">
        <f t="shared" si="4"/>
        <v>8184</v>
      </c>
      <c r="K12" s="69" t="s">
        <v>42</v>
      </c>
      <c r="L12" s="47">
        <f t="shared" si="5"/>
        <v>3420</v>
      </c>
      <c r="M12" s="48"/>
      <c r="N12" s="49"/>
      <c r="O12" s="48"/>
      <c r="P12" s="48"/>
      <c r="Q12" s="48"/>
      <c r="R12" s="48"/>
      <c r="S12" s="48"/>
      <c r="T12" s="48"/>
      <c r="U12" s="48"/>
      <c r="V12" s="50">
        <f t="shared" si="6"/>
        <v>3720</v>
      </c>
      <c r="W12" s="70">
        <v>500.0</v>
      </c>
      <c r="X12" s="71">
        <f t="shared" si="7"/>
        <v>4220</v>
      </c>
      <c r="Y12" s="72">
        <f t="shared" si="8"/>
        <v>9284</v>
      </c>
      <c r="Z12" s="73">
        <v>5.87</v>
      </c>
      <c r="AA12" s="80">
        <v>65.87</v>
      </c>
      <c r="AB12" s="75">
        <f t="shared" si="9"/>
        <v>3952.2</v>
      </c>
      <c r="AC12" s="81">
        <v>109.95</v>
      </c>
      <c r="AD12" s="76">
        <v>158.58</v>
      </c>
      <c r="AE12" s="76">
        <v>145.26</v>
      </c>
      <c r="AF12" s="76">
        <f t="shared" si="10"/>
        <v>137.93</v>
      </c>
      <c r="AG12" s="76">
        <f t="shared" si="11"/>
        <v>144.95</v>
      </c>
      <c r="AH12" s="77">
        <f t="shared" si="12"/>
        <v>8697</v>
      </c>
      <c r="AI12" s="76">
        <f t="shared" si="13"/>
        <v>79.08</v>
      </c>
      <c r="AJ12" s="78">
        <f t="shared" si="14"/>
        <v>1.200546531</v>
      </c>
      <c r="AK12" s="45">
        <f t="shared" si="15"/>
        <v>9820.8</v>
      </c>
      <c r="AL12" s="79">
        <f t="shared" si="16"/>
        <v>5137.86</v>
      </c>
      <c r="AM12" s="60">
        <f t="shared" si="17"/>
        <v>5651.646</v>
      </c>
      <c r="AN12" s="79">
        <f t="shared" si="18"/>
        <v>6718.74</v>
      </c>
      <c r="AO12" s="78">
        <v>0.3</v>
      </c>
      <c r="AP12" s="78">
        <v>0.7</v>
      </c>
      <c r="AQ12" s="61">
        <f t="shared" si="19"/>
        <v>7390.614</v>
      </c>
      <c r="AR12" s="60">
        <f t="shared" si="20"/>
        <v>7726.551</v>
      </c>
      <c r="AS12" s="62">
        <f t="shared" si="21"/>
        <v>8499.2061</v>
      </c>
    </row>
    <row r="13">
      <c r="A13" s="63" t="s">
        <v>38</v>
      </c>
      <c r="B13" s="64" t="s">
        <v>49</v>
      </c>
      <c r="C13" s="82" t="s">
        <v>62</v>
      </c>
      <c r="D13" s="65" t="s">
        <v>63</v>
      </c>
      <c r="E13" s="66">
        <v>84.0</v>
      </c>
      <c r="F13" s="67">
        <f t="shared" si="1"/>
        <v>5208</v>
      </c>
      <c r="G13" s="68"/>
      <c r="H13" s="44">
        <f t="shared" si="2"/>
        <v>7812</v>
      </c>
      <c r="I13" s="44">
        <f t="shared" si="3"/>
        <v>9374.4</v>
      </c>
      <c r="J13" s="45">
        <f t="shared" si="4"/>
        <v>11457.6</v>
      </c>
      <c r="K13" s="69" t="s">
        <v>42</v>
      </c>
      <c r="L13" s="47">
        <f t="shared" si="5"/>
        <v>4788</v>
      </c>
      <c r="M13" s="48"/>
      <c r="N13" s="49">
        <v>6.0</v>
      </c>
      <c r="O13" s="48"/>
      <c r="P13" s="48"/>
      <c r="Q13" s="48"/>
      <c r="R13" s="48"/>
      <c r="S13" s="48"/>
      <c r="T13" s="48"/>
      <c r="U13" s="48">
        <v>310.59</v>
      </c>
      <c r="V13" s="50">
        <f t="shared" si="6"/>
        <v>5518.59</v>
      </c>
      <c r="W13" s="70">
        <v>500.0</v>
      </c>
      <c r="X13" s="71">
        <f t="shared" si="7"/>
        <v>5708</v>
      </c>
      <c r="Y13" s="72">
        <f t="shared" si="8"/>
        <v>12557.6</v>
      </c>
      <c r="Z13" s="73">
        <v>8.43</v>
      </c>
      <c r="AA13" s="80">
        <v>92.43</v>
      </c>
      <c r="AB13" s="75">
        <f t="shared" si="9"/>
        <v>5545.8</v>
      </c>
      <c r="AC13" s="81">
        <v>139.95</v>
      </c>
      <c r="AD13" s="76">
        <v>145.26</v>
      </c>
      <c r="AE13" s="76">
        <v>149.62</v>
      </c>
      <c r="AF13" s="76">
        <f t="shared" si="10"/>
        <v>144.9433333</v>
      </c>
      <c r="AG13" s="76">
        <f t="shared" si="11"/>
        <v>154.5233333</v>
      </c>
      <c r="AH13" s="77">
        <f t="shared" si="12"/>
        <v>9271.4</v>
      </c>
      <c r="AI13" s="76">
        <f t="shared" si="13"/>
        <v>62.09333333</v>
      </c>
      <c r="AJ13" s="78">
        <f t="shared" si="14"/>
        <v>0.6717876591</v>
      </c>
      <c r="AK13" s="45">
        <f t="shared" si="15"/>
        <v>13749.12</v>
      </c>
      <c r="AL13" s="79">
        <f t="shared" si="16"/>
        <v>6654.96</v>
      </c>
      <c r="AM13" s="60">
        <f t="shared" si="17"/>
        <v>7320.456</v>
      </c>
      <c r="AN13" s="79">
        <f t="shared" si="18"/>
        <v>7764.12</v>
      </c>
      <c r="AO13" s="78">
        <v>0.2</v>
      </c>
      <c r="AP13" s="78">
        <v>0.4</v>
      </c>
      <c r="AQ13" s="61">
        <f t="shared" si="19"/>
        <v>8540.532</v>
      </c>
      <c r="AR13" s="60">
        <f t="shared" si="20"/>
        <v>8928.738</v>
      </c>
      <c r="AS13" s="62">
        <f t="shared" si="21"/>
        <v>9821.6118</v>
      </c>
    </row>
    <row r="14">
      <c r="A14" s="63" t="s">
        <v>38</v>
      </c>
      <c r="B14" s="64" t="s">
        <v>49</v>
      </c>
      <c r="C14" s="82" t="s">
        <v>64</v>
      </c>
      <c r="D14" s="65" t="s">
        <v>65</v>
      </c>
      <c r="E14" s="66">
        <v>15.0</v>
      </c>
      <c r="F14" s="67">
        <f t="shared" si="1"/>
        <v>930</v>
      </c>
      <c r="G14" s="68"/>
      <c r="H14" s="44">
        <f t="shared" si="2"/>
        <v>1395</v>
      </c>
      <c r="I14" s="44">
        <f t="shared" si="3"/>
        <v>1674</v>
      </c>
      <c r="J14" s="45">
        <f t="shared" si="4"/>
        <v>2046</v>
      </c>
      <c r="K14" s="69" t="s">
        <v>42</v>
      </c>
      <c r="L14" s="47">
        <f t="shared" si="5"/>
        <v>855</v>
      </c>
      <c r="M14" s="48"/>
      <c r="N14" s="49">
        <v>10.0</v>
      </c>
      <c r="O14" s="48"/>
      <c r="P14" s="48"/>
      <c r="Q14" s="48"/>
      <c r="R14" s="48"/>
      <c r="S14" s="48"/>
      <c r="T14" s="48"/>
      <c r="U14" s="48">
        <v>310.59</v>
      </c>
      <c r="V14" s="50">
        <f t="shared" si="6"/>
        <v>1240.59</v>
      </c>
      <c r="W14" s="70">
        <v>500.0</v>
      </c>
      <c r="X14" s="71">
        <f t="shared" si="7"/>
        <v>1430</v>
      </c>
      <c r="Y14" s="72">
        <f t="shared" si="8"/>
        <v>3146</v>
      </c>
      <c r="Z14" s="73">
        <v>1.51</v>
      </c>
      <c r="AA14" s="80">
        <v>16.51</v>
      </c>
      <c r="AB14" s="75">
        <f t="shared" si="9"/>
        <v>990.6</v>
      </c>
      <c r="AC14" s="83">
        <v>25.12</v>
      </c>
      <c r="AD14" s="83">
        <v>26.21</v>
      </c>
      <c r="AE14" s="83">
        <v>29.41</v>
      </c>
      <c r="AF14" s="76">
        <f t="shared" si="10"/>
        <v>26.91333333</v>
      </c>
      <c r="AG14" s="76">
        <f t="shared" si="11"/>
        <v>29.57333333</v>
      </c>
      <c r="AH14" s="77">
        <f t="shared" si="12"/>
        <v>1774.4</v>
      </c>
      <c r="AI14" s="76">
        <f t="shared" si="13"/>
        <v>13.06333333</v>
      </c>
      <c r="AJ14" s="78">
        <f t="shared" si="14"/>
        <v>0.7912376338</v>
      </c>
      <c r="AK14" s="45">
        <f t="shared" si="15"/>
        <v>2455.2</v>
      </c>
      <c r="AL14" s="79">
        <f t="shared" si="16"/>
        <v>1287.78</v>
      </c>
      <c r="AM14" s="60">
        <f t="shared" si="17"/>
        <v>1416.558</v>
      </c>
      <c r="AN14" s="79">
        <f t="shared" si="18"/>
        <v>1386.84</v>
      </c>
      <c r="AO14" s="78">
        <v>0.3</v>
      </c>
      <c r="AP14" s="78">
        <v>0.4</v>
      </c>
      <c r="AQ14" s="61">
        <f t="shared" si="19"/>
        <v>1525.524</v>
      </c>
      <c r="AR14" s="60">
        <f t="shared" si="20"/>
        <v>1594.866</v>
      </c>
      <c r="AS14" s="62">
        <f t="shared" si="21"/>
        <v>1754.3526</v>
      </c>
    </row>
    <row r="15">
      <c r="A15" s="63" t="s">
        <v>38</v>
      </c>
      <c r="B15" s="64" t="s">
        <v>49</v>
      </c>
      <c r="C15" s="82" t="s">
        <v>66</v>
      </c>
      <c r="D15" s="65" t="s">
        <v>67</v>
      </c>
      <c r="E15" s="66">
        <v>18.0</v>
      </c>
      <c r="F15" s="67">
        <f t="shared" si="1"/>
        <v>1116</v>
      </c>
      <c r="G15" s="68"/>
      <c r="H15" s="44">
        <f t="shared" si="2"/>
        <v>1674</v>
      </c>
      <c r="I15" s="44">
        <f t="shared" si="3"/>
        <v>2008.8</v>
      </c>
      <c r="J15" s="45">
        <f t="shared" si="4"/>
        <v>2455.2</v>
      </c>
      <c r="K15" s="69" t="s">
        <v>42</v>
      </c>
      <c r="L15" s="47">
        <f t="shared" si="5"/>
        <v>1026</v>
      </c>
      <c r="M15" s="48"/>
      <c r="N15" s="49">
        <v>100.0</v>
      </c>
      <c r="O15" s="48"/>
      <c r="P15" s="48"/>
      <c r="Q15" s="48"/>
      <c r="R15" s="48"/>
      <c r="S15" s="48"/>
      <c r="T15" s="48"/>
      <c r="U15" s="48">
        <v>310.59</v>
      </c>
      <c r="V15" s="50">
        <f t="shared" si="6"/>
        <v>1426.59</v>
      </c>
      <c r="W15" s="70">
        <v>500.0</v>
      </c>
      <c r="X15" s="71">
        <f t="shared" si="7"/>
        <v>1616</v>
      </c>
      <c r="Y15" s="72">
        <f t="shared" si="8"/>
        <v>3555.2</v>
      </c>
      <c r="Z15" s="73">
        <v>1.81</v>
      </c>
      <c r="AA15" s="80">
        <v>19.81</v>
      </c>
      <c r="AB15" s="75">
        <f t="shared" si="9"/>
        <v>1188.6</v>
      </c>
      <c r="AC15" s="81">
        <v>30.03</v>
      </c>
      <c r="AD15" s="76">
        <v>31.67</v>
      </c>
      <c r="AE15" s="76">
        <v>39.95</v>
      </c>
      <c r="AF15" s="76">
        <f t="shared" si="10"/>
        <v>33.88333333</v>
      </c>
      <c r="AG15" s="76">
        <f t="shared" si="11"/>
        <v>36.84333333</v>
      </c>
      <c r="AH15" s="77">
        <f t="shared" si="12"/>
        <v>2210.6</v>
      </c>
      <c r="AI15" s="76">
        <f t="shared" si="13"/>
        <v>17.03333333</v>
      </c>
      <c r="AJ15" s="78">
        <f t="shared" si="14"/>
        <v>0.8598351001</v>
      </c>
      <c r="AK15" s="45">
        <f t="shared" si="15"/>
        <v>2946.24</v>
      </c>
      <c r="AL15" s="79">
        <f t="shared" si="16"/>
        <v>1545.18</v>
      </c>
      <c r="AM15" s="60">
        <f t="shared" si="17"/>
        <v>1699.698</v>
      </c>
      <c r="AN15" s="79">
        <f t="shared" si="18"/>
        <v>1782.9</v>
      </c>
      <c r="AO15" s="78">
        <v>0.3</v>
      </c>
      <c r="AP15" s="78">
        <v>0.5</v>
      </c>
      <c r="AQ15" s="61">
        <f t="shared" si="19"/>
        <v>1961.19</v>
      </c>
      <c r="AR15" s="60">
        <f t="shared" si="20"/>
        <v>2050.335</v>
      </c>
      <c r="AS15" s="62">
        <f t="shared" si="21"/>
        <v>2255.3685</v>
      </c>
    </row>
    <row r="16">
      <c r="A16" s="63" t="s">
        <v>38</v>
      </c>
      <c r="B16" s="64" t="s">
        <v>49</v>
      </c>
      <c r="C16" s="82" t="s">
        <v>68</v>
      </c>
      <c r="D16" s="65" t="s">
        <v>69</v>
      </c>
      <c r="E16" s="66">
        <v>27.0</v>
      </c>
      <c r="F16" s="67">
        <f t="shared" si="1"/>
        <v>1674</v>
      </c>
      <c r="G16" s="68"/>
      <c r="H16" s="44">
        <f t="shared" si="2"/>
        <v>2511</v>
      </c>
      <c r="I16" s="44">
        <f t="shared" si="3"/>
        <v>3013.2</v>
      </c>
      <c r="J16" s="45">
        <f t="shared" si="4"/>
        <v>3682.8</v>
      </c>
      <c r="K16" s="69" t="s">
        <v>42</v>
      </c>
      <c r="L16" s="47">
        <f t="shared" si="5"/>
        <v>1539</v>
      </c>
      <c r="M16" s="48"/>
      <c r="N16" s="49">
        <v>31.0</v>
      </c>
      <c r="O16" s="48"/>
      <c r="P16" s="48"/>
      <c r="Q16" s="48"/>
      <c r="R16" s="48"/>
      <c r="S16" s="48"/>
      <c r="T16" s="48"/>
      <c r="U16" s="48">
        <v>310.59</v>
      </c>
      <c r="V16" s="50">
        <f t="shared" si="6"/>
        <v>1984.59</v>
      </c>
      <c r="W16" s="70">
        <v>500.0</v>
      </c>
      <c r="X16" s="71">
        <f t="shared" si="7"/>
        <v>2174</v>
      </c>
      <c r="Y16" s="72">
        <f t="shared" si="8"/>
        <v>4782.8</v>
      </c>
      <c r="Z16" s="73">
        <v>2.71</v>
      </c>
      <c r="AA16" s="80">
        <v>29.71</v>
      </c>
      <c r="AB16" s="75">
        <f t="shared" si="9"/>
        <v>1782.6</v>
      </c>
      <c r="AC16" s="81">
        <v>45.87</v>
      </c>
      <c r="AD16" s="76">
        <v>54.95</v>
      </c>
      <c r="AE16" s="84">
        <v>61.0</v>
      </c>
      <c r="AF16" s="76">
        <f t="shared" si="10"/>
        <v>53.94</v>
      </c>
      <c r="AG16" s="76">
        <f t="shared" si="11"/>
        <v>57.8</v>
      </c>
      <c r="AH16" s="77">
        <f t="shared" si="12"/>
        <v>3468</v>
      </c>
      <c r="AI16" s="76">
        <f t="shared" si="13"/>
        <v>28.09</v>
      </c>
      <c r="AJ16" s="78">
        <f t="shared" si="14"/>
        <v>0.9454729047</v>
      </c>
      <c r="AK16" s="45">
        <f t="shared" si="15"/>
        <v>4419.36</v>
      </c>
      <c r="AL16" s="79">
        <f t="shared" si="16"/>
        <v>2317.38</v>
      </c>
      <c r="AM16" s="60">
        <f t="shared" si="17"/>
        <v>2549.118</v>
      </c>
      <c r="AN16" s="79">
        <f t="shared" si="18"/>
        <v>3030.42</v>
      </c>
      <c r="AO16" s="78">
        <v>0.3</v>
      </c>
      <c r="AP16" s="78">
        <v>0.7</v>
      </c>
      <c r="AQ16" s="61">
        <f t="shared" si="19"/>
        <v>3333.462</v>
      </c>
      <c r="AR16" s="60">
        <f t="shared" si="20"/>
        <v>3484.983</v>
      </c>
      <c r="AS16" s="62">
        <f t="shared" si="21"/>
        <v>3833.4813</v>
      </c>
    </row>
    <row r="17">
      <c r="A17" s="63" t="s">
        <v>38</v>
      </c>
      <c r="B17" s="64" t="s">
        <v>49</v>
      </c>
      <c r="C17" s="39" t="s">
        <v>70</v>
      </c>
      <c r="D17" s="65" t="s">
        <v>71</v>
      </c>
      <c r="E17" s="66">
        <v>30.0</v>
      </c>
      <c r="F17" s="67">
        <f t="shared" si="1"/>
        <v>1860</v>
      </c>
      <c r="G17" s="68"/>
      <c r="H17" s="44">
        <f t="shared" si="2"/>
        <v>2790</v>
      </c>
      <c r="I17" s="44">
        <f t="shared" si="3"/>
        <v>3348</v>
      </c>
      <c r="J17" s="45">
        <f t="shared" si="4"/>
        <v>4092</v>
      </c>
      <c r="K17" s="69" t="s">
        <v>42</v>
      </c>
      <c r="L17" s="47">
        <f t="shared" si="5"/>
        <v>1710</v>
      </c>
      <c r="M17" s="48"/>
      <c r="N17" s="49"/>
      <c r="O17" s="48"/>
      <c r="P17" s="48"/>
      <c r="Q17" s="48"/>
      <c r="R17" s="48"/>
      <c r="S17" s="48"/>
      <c r="T17" s="48"/>
      <c r="U17" s="48"/>
      <c r="V17" s="50">
        <f t="shared" si="6"/>
        <v>1860</v>
      </c>
      <c r="W17" s="70">
        <v>500.0</v>
      </c>
      <c r="X17" s="71">
        <f t="shared" si="7"/>
        <v>2360</v>
      </c>
      <c r="Y17" s="72">
        <f t="shared" si="8"/>
        <v>5192</v>
      </c>
      <c r="Z17" s="73">
        <v>3.01</v>
      </c>
      <c r="AA17" s="80">
        <v>33.01</v>
      </c>
      <c r="AB17" s="75">
        <f t="shared" si="9"/>
        <v>1980.6</v>
      </c>
      <c r="AC17" s="81">
        <v>75.95</v>
      </c>
      <c r="AD17" s="76">
        <v>87.27</v>
      </c>
      <c r="AE17" s="76">
        <v>46.96</v>
      </c>
      <c r="AF17" s="76">
        <f t="shared" si="10"/>
        <v>70.06</v>
      </c>
      <c r="AG17" s="76">
        <f t="shared" si="11"/>
        <v>74.22</v>
      </c>
      <c r="AH17" s="77">
        <f t="shared" si="12"/>
        <v>4453.2</v>
      </c>
      <c r="AI17" s="76">
        <f t="shared" si="13"/>
        <v>41.21</v>
      </c>
      <c r="AJ17" s="78">
        <f t="shared" si="14"/>
        <v>1.248409573</v>
      </c>
      <c r="AK17" s="45">
        <f t="shared" si="15"/>
        <v>4910.4</v>
      </c>
      <c r="AL17" s="79">
        <f t="shared" si="16"/>
        <v>2574.78</v>
      </c>
      <c r="AM17" s="60">
        <f t="shared" si="17"/>
        <v>2832.258</v>
      </c>
      <c r="AN17" s="79">
        <f t="shared" si="18"/>
        <v>3367.02</v>
      </c>
      <c r="AO17" s="78">
        <v>0.3</v>
      </c>
      <c r="AP17" s="78">
        <v>0.7</v>
      </c>
      <c r="AQ17" s="61">
        <f t="shared" si="19"/>
        <v>3703.722</v>
      </c>
      <c r="AR17" s="60">
        <f t="shared" si="20"/>
        <v>3872.073</v>
      </c>
      <c r="AS17" s="62">
        <f t="shared" si="21"/>
        <v>4259.2803</v>
      </c>
    </row>
    <row r="18">
      <c r="A18" s="63" t="s">
        <v>38</v>
      </c>
      <c r="B18" s="64" t="s">
        <v>49</v>
      </c>
      <c r="C18" s="82" t="s">
        <v>72</v>
      </c>
      <c r="D18" s="65" t="s">
        <v>73</v>
      </c>
      <c r="E18" s="66">
        <v>42.0</v>
      </c>
      <c r="F18" s="67">
        <f t="shared" si="1"/>
        <v>2604</v>
      </c>
      <c r="G18" s="68"/>
      <c r="H18" s="44">
        <f t="shared" si="2"/>
        <v>3906</v>
      </c>
      <c r="I18" s="44">
        <f t="shared" si="3"/>
        <v>4687.2</v>
      </c>
      <c r="J18" s="45">
        <f t="shared" si="4"/>
        <v>5728.8</v>
      </c>
      <c r="K18" s="69" t="s">
        <v>42</v>
      </c>
      <c r="L18" s="47">
        <f t="shared" si="5"/>
        <v>2394</v>
      </c>
      <c r="M18" s="48"/>
      <c r="N18" s="49">
        <v>20.0</v>
      </c>
      <c r="O18" s="48"/>
      <c r="P18" s="48"/>
      <c r="Q18" s="48"/>
      <c r="R18" s="48"/>
      <c r="S18" s="48"/>
      <c r="T18" s="48"/>
      <c r="U18" s="48">
        <v>310.59</v>
      </c>
      <c r="V18" s="50">
        <f t="shared" si="6"/>
        <v>2914.59</v>
      </c>
      <c r="W18" s="70">
        <v>500.0</v>
      </c>
      <c r="X18" s="71">
        <f t="shared" si="7"/>
        <v>3104</v>
      </c>
      <c r="Y18" s="72">
        <f t="shared" si="8"/>
        <v>6828.8</v>
      </c>
      <c r="Z18" s="73">
        <v>4.22</v>
      </c>
      <c r="AA18" s="80">
        <v>46.22</v>
      </c>
      <c r="AB18" s="75">
        <f t="shared" si="9"/>
        <v>2773.2</v>
      </c>
      <c r="AC18" s="81">
        <v>97.22</v>
      </c>
      <c r="AD18" s="76">
        <v>69.95</v>
      </c>
      <c r="AE18" s="76">
        <v>74.95</v>
      </c>
      <c r="AF18" s="76">
        <f t="shared" si="10"/>
        <v>80.70666667</v>
      </c>
      <c r="AG18" s="76">
        <f t="shared" si="11"/>
        <v>86.07666667</v>
      </c>
      <c r="AH18" s="77">
        <f t="shared" si="12"/>
        <v>5164.6</v>
      </c>
      <c r="AI18" s="76">
        <f t="shared" si="13"/>
        <v>39.85666667</v>
      </c>
      <c r="AJ18" s="78">
        <f t="shared" si="14"/>
        <v>0.8623251118</v>
      </c>
      <c r="AK18" s="45">
        <f t="shared" si="15"/>
        <v>6874.56</v>
      </c>
      <c r="AL18" s="79">
        <f t="shared" si="16"/>
        <v>3605.16</v>
      </c>
      <c r="AM18" s="60">
        <f t="shared" si="17"/>
        <v>3965.676</v>
      </c>
      <c r="AN18" s="79">
        <f t="shared" si="18"/>
        <v>4159.8</v>
      </c>
      <c r="AO18" s="78">
        <v>0.3</v>
      </c>
      <c r="AP18" s="78">
        <v>0.5</v>
      </c>
      <c r="AQ18" s="61">
        <f t="shared" si="19"/>
        <v>4575.78</v>
      </c>
      <c r="AR18" s="60">
        <f t="shared" si="20"/>
        <v>4783.77</v>
      </c>
      <c r="AS18" s="62">
        <f t="shared" si="21"/>
        <v>5262.147</v>
      </c>
    </row>
    <row r="19">
      <c r="A19" s="63" t="s">
        <v>38</v>
      </c>
      <c r="B19" s="64" t="s">
        <v>49</v>
      </c>
      <c r="C19" s="82" t="s">
        <v>74</v>
      </c>
      <c r="D19" s="65" t="s">
        <v>75</v>
      </c>
      <c r="E19" s="66">
        <v>105.0</v>
      </c>
      <c r="F19" s="67">
        <f t="shared" si="1"/>
        <v>6510</v>
      </c>
      <c r="G19" s="68"/>
      <c r="H19" s="44">
        <f t="shared" si="2"/>
        <v>9765</v>
      </c>
      <c r="I19" s="44">
        <f t="shared" si="3"/>
        <v>11718</v>
      </c>
      <c r="J19" s="45">
        <f t="shared" si="4"/>
        <v>14322</v>
      </c>
      <c r="K19" s="69" t="s">
        <v>42</v>
      </c>
      <c r="L19" s="47">
        <f t="shared" si="5"/>
        <v>5985</v>
      </c>
      <c r="M19" s="48"/>
      <c r="N19" s="49">
        <v>10.0</v>
      </c>
      <c r="O19" s="48"/>
      <c r="P19" s="48"/>
      <c r="Q19" s="48"/>
      <c r="R19" s="48"/>
      <c r="S19" s="48"/>
      <c r="T19" s="48"/>
      <c r="U19" s="48">
        <v>310.59</v>
      </c>
      <c r="V19" s="50">
        <f t="shared" si="6"/>
        <v>6820.59</v>
      </c>
      <c r="W19" s="70">
        <v>500.0</v>
      </c>
      <c r="X19" s="71">
        <f t="shared" si="7"/>
        <v>7010</v>
      </c>
      <c r="Y19" s="72">
        <f t="shared" si="8"/>
        <v>15422</v>
      </c>
      <c r="Z19" s="73">
        <v>10.54</v>
      </c>
      <c r="AA19" s="80">
        <v>115.54</v>
      </c>
      <c r="AB19" s="75">
        <f t="shared" si="9"/>
        <v>6932.4</v>
      </c>
      <c r="AC19" s="81">
        <v>249.13</v>
      </c>
      <c r="AD19" s="76">
        <v>152.9</v>
      </c>
      <c r="AE19" s="76">
        <v>183.65</v>
      </c>
      <c r="AF19" s="76">
        <f t="shared" si="10"/>
        <v>195.2266667</v>
      </c>
      <c r="AG19" s="76">
        <f t="shared" si="11"/>
        <v>206.9166667</v>
      </c>
      <c r="AH19" s="77">
        <f t="shared" si="12"/>
        <v>12415</v>
      </c>
      <c r="AI19" s="76">
        <f t="shared" si="13"/>
        <v>91.37666667</v>
      </c>
      <c r="AJ19" s="78">
        <f t="shared" si="14"/>
        <v>0.7908660781</v>
      </c>
      <c r="AK19" s="45">
        <f t="shared" si="15"/>
        <v>17186.4</v>
      </c>
      <c r="AL19" s="79">
        <f t="shared" si="16"/>
        <v>9012.12</v>
      </c>
      <c r="AM19" s="60">
        <f t="shared" si="17"/>
        <v>9913.332</v>
      </c>
      <c r="AN19" s="79">
        <f t="shared" si="18"/>
        <v>10398.6</v>
      </c>
      <c r="AO19" s="78">
        <v>0.3</v>
      </c>
      <c r="AP19" s="78">
        <v>0.5</v>
      </c>
      <c r="AQ19" s="61">
        <f t="shared" si="19"/>
        <v>11438.46</v>
      </c>
      <c r="AR19" s="60">
        <f t="shared" si="20"/>
        <v>11958.39</v>
      </c>
      <c r="AS19" s="62">
        <f t="shared" si="21"/>
        <v>13154.229</v>
      </c>
    </row>
    <row r="20">
      <c r="A20" s="63" t="s">
        <v>38</v>
      </c>
      <c r="B20" s="64" t="s">
        <v>49</v>
      </c>
      <c r="C20" s="82" t="s">
        <v>76</v>
      </c>
      <c r="D20" s="85" t="s">
        <v>77</v>
      </c>
      <c r="E20" s="66">
        <v>6.0</v>
      </c>
      <c r="F20" s="67">
        <f t="shared" si="1"/>
        <v>372</v>
      </c>
      <c r="G20" s="68"/>
      <c r="H20" s="44">
        <f t="shared" si="2"/>
        <v>558</v>
      </c>
      <c r="I20" s="44">
        <f t="shared" si="3"/>
        <v>669.6</v>
      </c>
      <c r="J20" s="45">
        <f t="shared" si="4"/>
        <v>818.4</v>
      </c>
      <c r="K20" s="69" t="s">
        <v>42</v>
      </c>
      <c r="L20" s="47">
        <f t="shared" si="5"/>
        <v>342</v>
      </c>
      <c r="M20" s="48"/>
      <c r="N20" s="49">
        <v>10.0</v>
      </c>
      <c r="O20" s="48"/>
      <c r="P20" s="48"/>
      <c r="Q20" s="48"/>
      <c r="R20" s="48"/>
      <c r="S20" s="48"/>
      <c r="T20" s="48"/>
      <c r="U20" s="48">
        <v>310.59</v>
      </c>
      <c r="V20" s="50">
        <f t="shared" si="6"/>
        <v>682.59</v>
      </c>
      <c r="W20" s="70">
        <v>500.0</v>
      </c>
      <c r="X20" s="71">
        <f t="shared" si="7"/>
        <v>872</v>
      </c>
      <c r="Y20" s="72">
        <f t="shared" si="8"/>
        <v>1918.4</v>
      </c>
      <c r="Z20" s="73">
        <v>0.6</v>
      </c>
      <c r="AA20" s="80">
        <v>6.6</v>
      </c>
      <c r="AB20" s="75">
        <f t="shared" si="9"/>
        <v>396</v>
      </c>
      <c r="AC20" s="81">
        <v>16.01</v>
      </c>
      <c r="AD20" s="76">
        <v>10.92</v>
      </c>
      <c r="AE20" s="76">
        <v>19.9</v>
      </c>
      <c r="AF20" s="76">
        <f t="shared" si="10"/>
        <v>15.61</v>
      </c>
      <c r="AG20" s="76">
        <f t="shared" si="11"/>
        <v>17.36</v>
      </c>
      <c r="AH20" s="77">
        <f t="shared" si="12"/>
        <v>1041.6</v>
      </c>
      <c r="AI20" s="76">
        <f t="shared" si="13"/>
        <v>10.76</v>
      </c>
      <c r="AJ20" s="78">
        <f t="shared" si="14"/>
        <v>1.63030303</v>
      </c>
      <c r="AK20" s="45">
        <f t="shared" si="15"/>
        <v>982.08</v>
      </c>
      <c r="AL20" s="79">
        <f t="shared" si="16"/>
        <v>514.8</v>
      </c>
      <c r="AM20" s="60">
        <f t="shared" si="17"/>
        <v>566.28</v>
      </c>
      <c r="AN20" s="79">
        <f t="shared" si="18"/>
        <v>673.2</v>
      </c>
      <c r="AO20" s="78">
        <v>0.3</v>
      </c>
      <c r="AP20" s="78">
        <v>0.7</v>
      </c>
      <c r="AQ20" s="61">
        <f t="shared" si="19"/>
        <v>740.52</v>
      </c>
      <c r="AR20" s="60">
        <f t="shared" si="20"/>
        <v>774.18</v>
      </c>
      <c r="AS20" s="62">
        <f t="shared" si="21"/>
        <v>851.598</v>
      </c>
    </row>
    <row r="21" ht="15.75" customHeight="1">
      <c r="A21" s="63" t="s">
        <v>38</v>
      </c>
      <c r="B21" s="64" t="s">
        <v>49</v>
      </c>
      <c r="C21" s="39" t="s">
        <v>78</v>
      </c>
      <c r="D21" s="85" t="s">
        <v>79</v>
      </c>
      <c r="E21" s="66">
        <v>141.6</v>
      </c>
      <c r="F21" s="67">
        <f t="shared" si="1"/>
        <v>8779.2</v>
      </c>
      <c r="G21" s="68"/>
      <c r="H21" s="44">
        <f t="shared" si="2"/>
        <v>13168.8</v>
      </c>
      <c r="I21" s="44">
        <f t="shared" si="3"/>
        <v>15802.56</v>
      </c>
      <c r="J21" s="45">
        <f t="shared" si="4"/>
        <v>19314.24</v>
      </c>
      <c r="K21" s="69" t="s">
        <v>42</v>
      </c>
      <c r="L21" s="47">
        <f t="shared" si="5"/>
        <v>8071.2</v>
      </c>
      <c r="M21" s="48"/>
      <c r="N21" s="49">
        <v>11.0</v>
      </c>
      <c r="O21" s="48"/>
      <c r="P21" s="48"/>
      <c r="Q21" s="48"/>
      <c r="R21" s="48"/>
      <c r="S21" s="48"/>
      <c r="T21" s="48"/>
      <c r="U21" s="48">
        <v>310.59</v>
      </c>
      <c r="V21" s="50">
        <f t="shared" si="6"/>
        <v>9089.79</v>
      </c>
      <c r="W21" s="70">
        <v>500.0</v>
      </c>
      <c r="X21" s="71">
        <f t="shared" si="7"/>
        <v>9279.2</v>
      </c>
      <c r="Y21" s="72">
        <f t="shared" si="8"/>
        <v>20414.24</v>
      </c>
      <c r="Z21" s="73">
        <v>14.15</v>
      </c>
      <c r="AA21" s="74">
        <v>155.15</v>
      </c>
      <c r="AB21" s="75">
        <f t="shared" si="9"/>
        <v>9309</v>
      </c>
      <c r="AC21" s="76">
        <v>199.95</v>
      </c>
      <c r="AD21" s="76">
        <v>246.5</v>
      </c>
      <c r="AE21" s="76">
        <v>194.74</v>
      </c>
      <c r="AF21" s="76">
        <f t="shared" si="10"/>
        <v>213.73</v>
      </c>
      <c r="AG21" s="76">
        <f t="shared" si="11"/>
        <v>229.03</v>
      </c>
      <c r="AH21" s="77">
        <f t="shared" si="12"/>
        <v>13741.8</v>
      </c>
      <c r="AI21" s="76">
        <f t="shared" si="13"/>
        <v>73.88</v>
      </c>
      <c r="AJ21" s="78">
        <f t="shared" si="14"/>
        <v>0.4761843377</v>
      </c>
      <c r="AK21" s="45">
        <f t="shared" si="15"/>
        <v>23177.088</v>
      </c>
      <c r="AL21" s="79">
        <f t="shared" si="16"/>
        <v>11170.8</v>
      </c>
      <c r="AM21" s="60">
        <f t="shared" si="17"/>
        <v>12287.88</v>
      </c>
      <c r="AN21" s="79">
        <f t="shared" si="18"/>
        <v>12101.7</v>
      </c>
      <c r="AO21" s="78">
        <v>0.2</v>
      </c>
      <c r="AP21" s="78">
        <v>0.3</v>
      </c>
      <c r="AQ21" s="61">
        <f t="shared" si="19"/>
        <v>13311.87</v>
      </c>
      <c r="AR21" s="60">
        <f t="shared" si="20"/>
        <v>13916.955</v>
      </c>
      <c r="AS21" s="62">
        <f t="shared" si="21"/>
        <v>15308.6505</v>
      </c>
    </row>
    <row r="22" ht="15.75" customHeight="1">
      <c r="A22" s="63" t="s">
        <v>38</v>
      </c>
      <c r="B22" s="64" t="s">
        <v>49</v>
      </c>
      <c r="C22" s="39" t="s">
        <v>80</v>
      </c>
      <c r="D22" s="85" t="s">
        <v>81</v>
      </c>
      <c r="E22" s="66">
        <v>105.0</v>
      </c>
      <c r="F22" s="67">
        <f t="shared" si="1"/>
        <v>6510</v>
      </c>
      <c r="G22" s="68"/>
      <c r="H22" s="44">
        <f t="shared" si="2"/>
        <v>9765</v>
      </c>
      <c r="I22" s="44">
        <f t="shared" si="3"/>
        <v>11718</v>
      </c>
      <c r="J22" s="45">
        <f t="shared" si="4"/>
        <v>14322</v>
      </c>
      <c r="K22" s="69" t="s">
        <v>42</v>
      </c>
      <c r="L22" s="47">
        <f t="shared" si="5"/>
        <v>5985</v>
      </c>
      <c r="M22" s="48"/>
      <c r="N22" s="49">
        <v>2.0</v>
      </c>
      <c r="O22" s="48"/>
      <c r="P22" s="48"/>
      <c r="Q22" s="48"/>
      <c r="R22" s="48"/>
      <c r="S22" s="48"/>
      <c r="T22" s="48"/>
      <c r="U22" s="48">
        <v>310.59</v>
      </c>
      <c r="V22" s="50">
        <f t="shared" si="6"/>
        <v>6820.59</v>
      </c>
      <c r="W22" s="70">
        <v>500.0</v>
      </c>
      <c r="X22" s="71">
        <f t="shared" si="7"/>
        <v>7010</v>
      </c>
      <c r="Y22" s="72">
        <f t="shared" si="8"/>
        <v>15422</v>
      </c>
      <c r="Z22" s="73">
        <v>10.54</v>
      </c>
      <c r="AA22" s="74">
        <v>115.54</v>
      </c>
      <c r="AB22" s="75">
        <f t="shared" si="9"/>
        <v>6932.4</v>
      </c>
      <c r="AC22" s="76">
        <v>179.95</v>
      </c>
      <c r="AD22" s="76">
        <v>219.95</v>
      </c>
      <c r="AE22" s="76">
        <v>186.41</v>
      </c>
      <c r="AF22" s="76">
        <f t="shared" si="10"/>
        <v>195.4366667</v>
      </c>
      <c r="AG22" s="76">
        <f t="shared" si="11"/>
        <v>207.1266667</v>
      </c>
      <c r="AH22" s="77">
        <f t="shared" si="12"/>
        <v>12427.6</v>
      </c>
      <c r="AI22" s="76">
        <f t="shared" si="13"/>
        <v>91.58666667</v>
      </c>
      <c r="AJ22" s="78">
        <f t="shared" si="14"/>
        <v>0.7926836305</v>
      </c>
      <c r="AK22" s="45">
        <f t="shared" si="15"/>
        <v>17186.4</v>
      </c>
      <c r="AL22" s="79">
        <f t="shared" si="16"/>
        <v>9012.12</v>
      </c>
      <c r="AM22" s="60">
        <f t="shared" si="17"/>
        <v>9913.332</v>
      </c>
      <c r="AN22" s="79">
        <f t="shared" si="18"/>
        <v>10398.6</v>
      </c>
      <c r="AO22" s="78">
        <v>0.3</v>
      </c>
      <c r="AP22" s="78">
        <v>0.5</v>
      </c>
      <c r="AQ22" s="61">
        <f t="shared" si="19"/>
        <v>11438.46</v>
      </c>
      <c r="AR22" s="60">
        <f t="shared" si="20"/>
        <v>11958.39</v>
      </c>
      <c r="AS22" s="62">
        <f t="shared" si="21"/>
        <v>13154.229</v>
      </c>
    </row>
    <row r="23" ht="15.75" customHeight="1">
      <c r="A23" s="63" t="s">
        <v>38</v>
      </c>
      <c r="B23" s="64" t="s">
        <v>49</v>
      </c>
      <c r="C23" s="39" t="s">
        <v>82</v>
      </c>
      <c r="D23" s="65" t="s">
        <v>83</v>
      </c>
      <c r="E23" s="66">
        <v>36.0</v>
      </c>
      <c r="F23" s="67">
        <f t="shared" si="1"/>
        <v>2232</v>
      </c>
      <c r="G23" s="68"/>
      <c r="H23" s="44">
        <f t="shared" si="2"/>
        <v>3348</v>
      </c>
      <c r="I23" s="44">
        <f t="shared" si="3"/>
        <v>4017.6</v>
      </c>
      <c r="J23" s="45">
        <f t="shared" si="4"/>
        <v>4910.4</v>
      </c>
      <c r="K23" s="69" t="s">
        <v>42</v>
      </c>
      <c r="L23" s="47">
        <f t="shared" si="5"/>
        <v>2052</v>
      </c>
      <c r="M23" s="48"/>
      <c r="N23" s="49">
        <v>10.0</v>
      </c>
      <c r="O23" s="48"/>
      <c r="P23" s="48"/>
      <c r="Q23" s="48"/>
      <c r="R23" s="48"/>
      <c r="S23" s="48"/>
      <c r="T23" s="48"/>
      <c r="U23" s="48">
        <v>310.59</v>
      </c>
      <c r="V23" s="50">
        <f t="shared" si="6"/>
        <v>2542.59</v>
      </c>
      <c r="W23" s="70">
        <v>500.0</v>
      </c>
      <c r="X23" s="71">
        <f t="shared" si="7"/>
        <v>2732</v>
      </c>
      <c r="Y23" s="72">
        <f t="shared" si="8"/>
        <v>6010.4</v>
      </c>
      <c r="Z23" s="73">
        <v>3.61</v>
      </c>
      <c r="AA23" s="74">
        <v>39.61</v>
      </c>
      <c r="AB23" s="75">
        <f t="shared" si="9"/>
        <v>2376.6</v>
      </c>
      <c r="AC23" s="76">
        <v>74.95</v>
      </c>
      <c r="AD23" s="76">
        <v>69.95</v>
      </c>
      <c r="AE23" s="76">
        <v>83.0</v>
      </c>
      <c r="AF23" s="76">
        <f t="shared" si="10"/>
        <v>75.96666667</v>
      </c>
      <c r="AG23" s="76">
        <f t="shared" si="11"/>
        <v>80.72666667</v>
      </c>
      <c r="AH23" s="77">
        <f t="shared" si="12"/>
        <v>4843.6</v>
      </c>
      <c r="AI23" s="76">
        <f t="shared" si="13"/>
        <v>41.11666667</v>
      </c>
      <c r="AJ23" s="78">
        <f t="shared" si="14"/>
        <v>1.038037533</v>
      </c>
      <c r="AK23" s="45">
        <f t="shared" si="15"/>
        <v>5892.48</v>
      </c>
      <c r="AL23" s="79">
        <f t="shared" si="16"/>
        <v>3089.58</v>
      </c>
      <c r="AM23" s="60">
        <f t="shared" si="17"/>
        <v>3398.538</v>
      </c>
      <c r="AN23" s="79">
        <f t="shared" si="18"/>
        <v>4040.22</v>
      </c>
      <c r="AO23" s="78">
        <v>0.3</v>
      </c>
      <c r="AP23" s="78">
        <v>0.7</v>
      </c>
      <c r="AQ23" s="61">
        <f t="shared" si="19"/>
        <v>4444.242</v>
      </c>
      <c r="AR23" s="60">
        <f t="shared" si="20"/>
        <v>4646.253</v>
      </c>
      <c r="AS23" s="62">
        <f t="shared" si="21"/>
        <v>5110.8783</v>
      </c>
    </row>
    <row r="24" ht="15.75" customHeight="1">
      <c r="A24" s="63" t="s">
        <v>38</v>
      </c>
      <c r="B24" s="64" t="s">
        <v>49</v>
      </c>
      <c r="C24" s="39" t="s">
        <v>84</v>
      </c>
      <c r="D24" s="65" t="s">
        <v>85</v>
      </c>
      <c r="E24" s="66">
        <v>42.0</v>
      </c>
      <c r="F24" s="67">
        <f t="shared" si="1"/>
        <v>2604</v>
      </c>
      <c r="G24" s="68"/>
      <c r="H24" s="44">
        <f t="shared" si="2"/>
        <v>3906</v>
      </c>
      <c r="I24" s="44">
        <f t="shared" si="3"/>
        <v>4687.2</v>
      </c>
      <c r="J24" s="45">
        <f t="shared" si="4"/>
        <v>5728.8</v>
      </c>
      <c r="K24" s="69" t="s">
        <v>42</v>
      </c>
      <c r="L24" s="47">
        <f t="shared" si="5"/>
        <v>2394</v>
      </c>
      <c r="M24" s="48"/>
      <c r="N24" s="49"/>
      <c r="O24" s="48"/>
      <c r="P24" s="48"/>
      <c r="Q24" s="48"/>
      <c r="R24" s="48"/>
      <c r="S24" s="48"/>
      <c r="T24" s="48"/>
      <c r="U24" s="48"/>
      <c r="V24" s="50">
        <f t="shared" si="6"/>
        <v>2604</v>
      </c>
      <c r="W24" s="70">
        <v>500.0</v>
      </c>
      <c r="X24" s="71">
        <f t="shared" si="7"/>
        <v>3104</v>
      </c>
      <c r="Y24" s="72">
        <f t="shared" si="8"/>
        <v>6828.8</v>
      </c>
      <c r="Z24" s="73">
        <v>4.21</v>
      </c>
      <c r="AA24" s="74">
        <v>46.21</v>
      </c>
      <c r="AB24" s="75">
        <f t="shared" si="9"/>
        <v>2772.6</v>
      </c>
      <c r="AC24" s="76">
        <v>73.6</v>
      </c>
      <c r="AD24" s="76">
        <v>114.31</v>
      </c>
      <c r="AE24" s="76">
        <v>125.31</v>
      </c>
      <c r="AF24" s="76">
        <f t="shared" si="10"/>
        <v>104.4066667</v>
      </c>
      <c r="AG24" s="76">
        <f t="shared" si="11"/>
        <v>109.7666667</v>
      </c>
      <c r="AH24" s="77">
        <f t="shared" si="12"/>
        <v>6586</v>
      </c>
      <c r="AI24" s="76">
        <f t="shared" si="13"/>
        <v>63.55666667</v>
      </c>
      <c r="AJ24" s="78">
        <f t="shared" si="14"/>
        <v>1.375387723</v>
      </c>
      <c r="AK24" s="45">
        <f t="shared" si="15"/>
        <v>6874.56</v>
      </c>
      <c r="AL24" s="79">
        <f t="shared" si="16"/>
        <v>4158.9</v>
      </c>
      <c r="AM24" s="60">
        <f t="shared" si="17"/>
        <v>4574.79</v>
      </c>
      <c r="AN24" s="79">
        <f t="shared" si="18"/>
        <v>4990.68</v>
      </c>
      <c r="AO24" s="78">
        <v>0.5</v>
      </c>
      <c r="AP24" s="78">
        <v>0.8</v>
      </c>
      <c r="AQ24" s="61">
        <f t="shared" si="19"/>
        <v>5489.748</v>
      </c>
      <c r="AR24" s="60">
        <f t="shared" si="20"/>
        <v>5739.282</v>
      </c>
      <c r="AS24" s="62">
        <f t="shared" si="21"/>
        <v>6313.2102</v>
      </c>
    </row>
    <row r="25" ht="15.75" customHeight="1">
      <c r="A25" s="63" t="s">
        <v>38</v>
      </c>
      <c r="B25" s="64" t="s">
        <v>49</v>
      </c>
      <c r="C25" s="39" t="s">
        <v>86</v>
      </c>
      <c r="D25" s="65" t="s">
        <v>87</v>
      </c>
      <c r="E25" s="66">
        <v>30.0</v>
      </c>
      <c r="F25" s="67">
        <f t="shared" si="1"/>
        <v>1860</v>
      </c>
      <c r="G25" s="68"/>
      <c r="H25" s="44">
        <f t="shared" si="2"/>
        <v>2790</v>
      </c>
      <c r="I25" s="44">
        <f t="shared" si="3"/>
        <v>3348</v>
      </c>
      <c r="J25" s="45">
        <f t="shared" si="4"/>
        <v>4092</v>
      </c>
      <c r="K25" s="69" t="s">
        <v>42</v>
      </c>
      <c r="L25" s="47">
        <f t="shared" si="5"/>
        <v>1710</v>
      </c>
      <c r="M25" s="48"/>
      <c r="N25" s="49">
        <v>10.0</v>
      </c>
      <c r="O25" s="48"/>
      <c r="P25" s="48"/>
      <c r="Q25" s="48"/>
      <c r="R25" s="48"/>
      <c r="S25" s="48"/>
      <c r="T25" s="48"/>
      <c r="U25" s="48">
        <v>310.59</v>
      </c>
      <c r="V25" s="50">
        <f t="shared" si="6"/>
        <v>2170.59</v>
      </c>
      <c r="W25" s="70">
        <v>500.0</v>
      </c>
      <c r="X25" s="71">
        <f t="shared" si="7"/>
        <v>2360</v>
      </c>
      <c r="Y25" s="72">
        <f t="shared" si="8"/>
        <v>5192</v>
      </c>
      <c r="Z25" s="73">
        <v>3.01</v>
      </c>
      <c r="AA25" s="74">
        <v>33.01</v>
      </c>
      <c r="AB25" s="75">
        <f t="shared" si="9"/>
        <v>1980.6</v>
      </c>
      <c r="AC25" s="76">
        <v>63.0</v>
      </c>
      <c r="AD25" s="76">
        <v>60.0</v>
      </c>
      <c r="AE25" s="76">
        <v>54.95</v>
      </c>
      <c r="AF25" s="76">
        <f t="shared" si="10"/>
        <v>59.31666667</v>
      </c>
      <c r="AG25" s="76">
        <f t="shared" si="11"/>
        <v>63.47666667</v>
      </c>
      <c r="AH25" s="77">
        <f t="shared" si="12"/>
        <v>3808.6</v>
      </c>
      <c r="AI25" s="76">
        <f t="shared" si="13"/>
        <v>30.46666667</v>
      </c>
      <c r="AJ25" s="78">
        <f t="shared" si="14"/>
        <v>0.9229526406</v>
      </c>
      <c r="AK25" s="45">
        <f t="shared" si="15"/>
        <v>4910.4</v>
      </c>
      <c r="AL25" s="79">
        <f t="shared" si="16"/>
        <v>2574.78</v>
      </c>
      <c r="AM25" s="60">
        <f t="shared" si="17"/>
        <v>2832.258</v>
      </c>
      <c r="AN25" s="79">
        <f t="shared" si="18"/>
        <v>3367.02</v>
      </c>
      <c r="AO25" s="78">
        <v>0.3</v>
      </c>
      <c r="AP25" s="78">
        <v>0.7</v>
      </c>
      <c r="AQ25" s="61">
        <f t="shared" si="19"/>
        <v>3703.722</v>
      </c>
      <c r="AR25" s="60">
        <f t="shared" si="20"/>
        <v>3872.073</v>
      </c>
      <c r="AS25" s="62">
        <f t="shared" si="21"/>
        <v>4259.2803</v>
      </c>
    </row>
    <row r="26" ht="15.75" customHeight="1">
      <c r="A26" s="63" t="s">
        <v>38</v>
      </c>
      <c r="B26" s="64" t="s">
        <v>49</v>
      </c>
      <c r="C26" s="39" t="s">
        <v>88</v>
      </c>
      <c r="D26" s="85" t="s">
        <v>89</v>
      </c>
      <c r="E26" s="66">
        <v>69.0</v>
      </c>
      <c r="F26" s="67">
        <f t="shared" si="1"/>
        <v>4278</v>
      </c>
      <c r="G26" s="68"/>
      <c r="H26" s="44">
        <f t="shared" si="2"/>
        <v>6417</v>
      </c>
      <c r="I26" s="44">
        <f t="shared" si="3"/>
        <v>7700.4</v>
      </c>
      <c r="J26" s="45">
        <f t="shared" si="4"/>
        <v>9411.6</v>
      </c>
      <c r="K26" s="69" t="s">
        <v>42</v>
      </c>
      <c r="L26" s="47">
        <f t="shared" si="5"/>
        <v>3933</v>
      </c>
      <c r="M26" s="48"/>
      <c r="N26" s="49">
        <v>30.0</v>
      </c>
      <c r="O26" s="48"/>
      <c r="P26" s="48"/>
      <c r="Q26" s="48"/>
      <c r="R26" s="48"/>
      <c r="S26" s="48"/>
      <c r="T26" s="48"/>
      <c r="U26" s="48">
        <v>310.59</v>
      </c>
      <c r="V26" s="50">
        <f t="shared" si="6"/>
        <v>4588.59</v>
      </c>
      <c r="W26" s="70">
        <v>500.0</v>
      </c>
      <c r="X26" s="71">
        <f t="shared" si="7"/>
        <v>4778</v>
      </c>
      <c r="Y26" s="72">
        <f t="shared" si="8"/>
        <v>10511.6</v>
      </c>
      <c r="Z26" s="73">
        <v>6.93</v>
      </c>
      <c r="AA26" s="74">
        <v>75.93</v>
      </c>
      <c r="AB26" s="75">
        <f t="shared" si="9"/>
        <v>4555.8</v>
      </c>
      <c r="AC26" s="76">
        <v>114.95</v>
      </c>
      <c r="AD26" s="76">
        <v>155.05</v>
      </c>
      <c r="AE26" s="76">
        <v>194.74</v>
      </c>
      <c r="AF26" s="76">
        <f t="shared" si="10"/>
        <v>154.9133333</v>
      </c>
      <c r="AG26" s="76">
        <f t="shared" si="11"/>
        <v>162.9933333</v>
      </c>
      <c r="AH26" s="77">
        <f t="shared" si="12"/>
        <v>9779.6</v>
      </c>
      <c r="AI26" s="76">
        <f t="shared" si="13"/>
        <v>87.06333333</v>
      </c>
      <c r="AJ26" s="78">
        <f t="shared" si="14"/>
        <v>1.146626279</v>
      </c>
      <c r="AK26" s="45">
        <f t="shared" si="15"/>
        <v>11293.92</v>
      </c>
      <c r="AL26" s="79">
        <f t="shared" si="16"/>
        <v>6378.12</v>
      </c>
      <c r="AM26" s="60">
        <f t="shared" si="17"/>
        <v>7015.932</v>
      </c>
      <c r="AN26" s="79">
        <f t="shared" si="18"/>
        <v>7972.65</v>
      </c>
      <c r="AO26" s="78">
        <v>0.4</v>
      </c>
      <c r="AP26" s="78">
        <v>0.75</v>
      </c>
      <c r="AQ26" s="61">
        <f t="shared" si="19"/>
        <v>8769.915</v>
      </c>
      <c r="AR26" s="60">
        <f t="shared" si="20"/>
        <v>9168.5475</v>
      </c>
      <c r="AS26" s="62">
        <f t="shared" si="21"/>
        <v>10085.40225</v>
      </c>
    </row>
    <row r="27" ht="15.75" customHeight="1">
      <c r="A27" s="63" t="s">
        <v>38</v>
      </c>
      <c r="B27" s="64" t="s">
        <v>49</v>
      </c>
      <c r="C27" s="39" t="s">
        <v>90</v>
      </c>
      <c r="D27" s="65" t="s">
        <v>91</v>
      </c>
      <c r="E27" s="66">
        <v>60.0</v>
      </c>
      <c r="F27" s="67">
        <f t="shared" si="1"/>
        <v>3720</v>
      </c>
      <c r="G27" s="68"/>
      <c r="H27" s="44">
        <f t="shared" si="2"/>
        <v>5580</v>
      </c>
      <c r="I27" s="44">
        <f t="shared" si="3"/>
        <v>6696</v>
      </c>
      <c r="J27" s="45">
        <f t="shared" si="4"/>
        <v>8184</v>
      </c>
      <c r="K27" s="69" t="s">
        <v>42</v>
      </c>
      <c r="L27" s="47">
        <f t="shared" si="5"/>
        <v>3420</v>
      </c>
      <c r="M27" s="48"/>
      <c r="N27" s="49">
        <v>18.0</v>
      </c>
      <c r="O27" s="48"/>
      <c r="P27" s="48"/>
      <c r="Q27" s="48"/>
      <c r="R27" s="48"/>
      <c r="S27" s="48"/>
      <c r="T27" s="48"/>
      <c r="U27" s="48">
        <v>310.59</v>
      </c>
      <c r="V27" s="50">
        <f t="shared" si="6"/>
        <v>4030.59</v>
      </c>
      <c r="W27" s="70">
        <v>500.0</v>
      </c>
      <c r="X27" s="71">
        <f t="shared" si="7"/>
        <v>4220</v>
      </c>
      <c r="Y27" s="72">
        <f t="shared" si="8"/>
        <v>9284</v>
      </c>
      <c r="Z27" s="73">
        <v>6.02</v>
      </c>
      <c r="AA27" s="74">
        <v>66.02</v>
      </c>
      <c r="AB27" s="75">
        <f t="shared" si="9"/>
        <v>3961.2</v>
      </c>
      <c r="AC27" s="76">
        <v>109.95</v>
      </c>
      <c r="AD27" s="76">
        <v>129.9</v>
      </c>
      <c r="AE27" s="76">
        <v>104.5</v>
      </c>
      <c r="AF27" s="76">
        <f t="shared" si="10"/>
        <v>114.7833333</v>
      </c>
      <c r="AG27" s="76">
        <f t="shared" si="11"/>
        <v>121.9533333</v>
      </c>
      <c r="AH27" s="77">
        <f t="shared" si="12"/>
        <v>7317.2</v>
      </c>
      <c r="AI27" s="76">
        <f t="shared" si="13"/>
        <v>55.93333333</v>
      </c>
      <c r="AJ27" s="78">
        <f t="shared" si="14"/>
        <v>0.8472180147</v>
      </c>
      <c r="AK27" s="45">
        <f t="shared" si="15"/>
        <v>9820.8</v>
      </c>
      <c r="AL27" s="79">
        <f t="shared" si="16"/>
        <v>5149.56</v>
      </c>
      <c r="AM27" s="60">
        <f t="shared" si="17"/>
        <v>5664.516</v>
      </c>
      <c r="AN27" s="79">
        <f t="shared" si="18"/>
        <v>6932.1</v>
      </c>
      <c r="AO27" s="78">
        <v>0.3</v>
      </c>
      <c r="AP27" s="78">
        <v>0.75</v>
      </c>
      <c r="AQ27" s="61">
        <f t="shared" si="19"/>
        <v>7625.31</v>
      </c>
      <c r="AR27" s="60">
        <f t="shared" si="20"/>
        <v>7971.915</v>
      </c>
      <c r="AS27" s="62">
        <f t="shared" si="21"/>
        <v>8769.1065</v>
      </c>
    </row>
    <row r="28" ht="15.75" customHeight="1">
      <c r="A28" s="63" t="s">
        <v>38</v>
      </c>
      <c r="B28" s="64" t="s">
        <v>49</v>
      </c>
      <c r="C28" s="39" t="s">
        <v>92</v>
      </c>
      <c r="D28" s="65" t="s">
        <v>93</v>
      </c>
      <c r="E28" s="66">
        <v>30.0</v>
      </c>
      <c r="F28" s="67">
        <f t="shared" si="1"/>
        <v>1860</v>
      </c>
      <c r="G28" s="68"/>
      <c r="H28" s="44">
        <f t="shared" si="2"/>
        <v>2790</v>
      </c>
      <c r="I28" s="44">
        <f t="shared" si="3"/>
        <v>3348</v>
      </c>
      <c r="J28" s="45">
        <f t="shared" si="4"/>
        <v>4092</v>
      </c>
      <c r="K28" s="69" t="s">
        <v>42</v>
      </c>
      <c r="L28" s="47">
        <f t="shared" si="5"/>
        <v>1710</v>
      </c>
      <c r="M28" s="48"/>
      <c r="N28" s="49">
        <v>30.0</v>
      </c>
      <c r="O28" s="48"/>
      <c r="P28" s="48"/>
      <c r="Q28" s="48"/>
      <c r="R28" s="48"/>
      <c r="S28" s="48"/>
      <c r="T28" s="48"/>
      <c r="U28" s="48">
        <v>310.59</v>
      </c>
      <c r="V28" s="50">
        <f t="shared" si="6"/>
        <v>2170.59</v>
      </c>
      <c r="W28" s="70">
        <v>500.0</v>
      </c>
      <c r="X28" s="71">
        <f t="shared" si="7"/>
        <v>2360</v>
      </c>
      <c r="Y28" s="72">
        <f t="shared" si="8"/>
        <v>5192</v>
      </c>
      <c r="Z28" s="73">
        <v>3.01</v>
      </c>
      <c r="AA28" s="74">
        <v>33.01</v>
      </c>
      <c r="AB28" s="75">
        <f t="shared" si="9"/>
        <v>1980.6</v>
      </c>
      <c r="AC28" s="76">
        <v>59.95</v>
      </c>
      <c r="AD28" s="84">
        <v>65.0</v>
      </c>
      <c r="AE28" s="76">
        <v>57.95</v>
      </c>
      <c r="AF28" s="76">
        <f t="shared" si="10"/>
        <v>60.96666667</v>
      </c>
      <c r="AG28" s="76">
        <f t="shared" si="11"/>
        <v>65.12666667</v>
      </c>
      <c r="AH28" s="77">
        <f t="shared" si="12"/>
        <v>3907.6</v>
      </c>
      <c r="AI28" s="76">
        <f t="shared" si="13"/>
        <v>32.11666667</v>
      </c>
      <c r="AJ28" s="78">
        <f t="shared" si="14"/>
        <v>0.9729374937</v>
      </c>
      <c r="AK28" s="45">
        <f t="shared" si="15"/>
        <v>4910.4</v>
      </c>
      <c r="AL28" s="79">
        <f t="shared" si="16"/>
        <v>2574.78</v>
      </c>
      <c r="AM28" s="60">
        <f t="shared" si="17"/>
        <v>2832.258</v>
      </c>
      <c r="AN28" s="79">
        <f t="shared" si="18"/>
        <v>3367.02</v>
      </c>
      <c r="AO28" s="78">
        <v>0.3</v>
      </c>
      <c r="AP28" s="78">
        <v>0.7</v>
      </c>
      <c r="AQ28" s="61">
        <f t="shared" si="19"/>
        <v>3703.722</v>
      </c>
      <c r="AR28" s="60">
        <f t="shared" si="20"/>
        <v>3872.073</v>
      </c>
      <c r="AS28" s="62">
        <f t="shared" si="21"/>
        <v>4259.2803</v>
      </c>
    </row>
    <row r="29" ht="15.75" customHeight="1">
      <c r="A29" s="63" t="s">
        <v>38</v>
      </c>
      <c r="B29" s="64" t="s">
        <v>49</v>
      </c>
      <c r="C29" s="39" t="s">
        <v>94</v>
      </c>
      <c r="D29" s="65" t="s">
        <v>95</v>
      </c>
      <c r="E29" s="66">
        <v>60.0</v>
      </c>
      <c r="F29" s="67">
        <f t="shared" si="1"/>
        <v>3720</v>
      </c>
      <c r="G29" s="68"/>
      <c r="H29" s="44">
        <f t="shared" si="2"/>
        <v>5580</v>
      </c>
      <c r="I29" s="44">
        <f t="shared" si="3"/>
        <v>6696</v>
      </c>
      <c r="J29" s="45">
        <f t="shared" si="4"/>
        <v>8184</v>
      </c>
      <c r="K29" s="69" t="s">
        <v>42</v>
      </c>
      <c r="L29" s="47">
        <f t="shared" si="5"/>
        <v>3420</v>
      </c>
      <c r="M29" s="48"/>
      <c r="N29" s="49"/>
      <c r="O29" s="48"/>
      <c r="P29" s="48"/>
      <c r="Q29" s="48"/>
      <c r="R29" s="48"/>
      <c r="S29" s="48"/>
      <c r="T29" s="48"/>
      <c r="U29" s="48"/>
      <c r="V29" s="50">
        <f t="shared" si="6"/>
        <v>3720</v>
      </c>
      <c r="W29" s="70">
        <v>500.0</v>
      </c>
      <c r="X29" s="71">
        <f t="shared" si="7"/>
        <v>4220</v>
      </c>
      <c r="Y29" s="72">
        <f t="shared" si="8"/>
        <v>9284</v>
      </c>
      <c r="Z29" s="73">
        <v>6.02</v>
      </c>
      <c r="AA29" s="74">
        <v>66.02</v>
      </c>
      <c r="AB29" s="75">
        <f t="shared" si="9"/>
        <v>3961.2</v>
      </c>
      <c r="AC29" s="76">
        <v>218.77</v>
      </c>
      <c r="AD29" s="76">
        <v>110.79</v>
      </c>
      <c r="AE29" s="76">
        <v>115.62</v>
      </c>
      <c r="AF29" s="76">
        <f t="shared" si="10"/>
        <v>148.3933333</v>
      </c>
      <c r="AG29" s="76">
        <f t="shared" si="11"/>
        <v>155.5633333</v>
      </c>
      <c r="AH29" s="77">
        <f t="shared" si="12"/>
        <v>9333.8</v>
      </c>
      <c r="AI29" s="76">
        <f t="shared" si="13"/>
        <v>89.54333333</v>
      </c>
      <c r="AJ29" s="78">
        <f t="shared" si="14"/>
        <v>1.35630617</v>
      </c>
      <c r="AK29" s="45">
        <f t="shared" si="15"/>
        <v>9820.8</v>
      </c>
      <c r="AL29" s="79">
        <f t="shared" si="16"/>
        <v>5941.8</v>
      </c>
      <c r="AM29" s="60">
        <f t="shared" si="17"/>
        <v>6535.98</v>
      </c>
      <c r="AN29" s="79">
        <f t="shared" si="18"/>
        <v>7130.16</v>
      </c>
      <c r="AO29" s="78">
        <v>0.5</v>
      </c>
      <c r="AP29" s="78">
        <v>0.8</v>
      </c>
      <c r="AQ29" s="61">
        <f t="shared" si="19"/>
        <v>7843.176</v>
      </c>
      <c r="AR29" s="60">
        <f t="shared" si="20"/>
        <v>8199.684</v>
      </c>
      <c r="AS29" s="62">
        <f t="shared" si="21"/>
        <v>9019.6524</v>
      </c>
    </row>
    <row r="30" ht="15.75" customHeight="1">
      <c r="A30" s="63" t="s">
        <v>38</v>
      </c>
      <c r="B30" s="64" t="s">
        <v>49</v>
      </c>
      <c r="C30" s="39" t="s">
        <v>96</v>
      </c>
      <c r="D30" s="65" t="s">
        <v>97</v>
      </c>
      <c r="E30" s="66">
        <v>39.0</v>
      </c>
      <c r="F30" s="67">
        <f t="shared" si="1"/>
        <v>2418</v>
      </c>
      <c r="G30" s="68"/>
      <c r="H30" s="44">
        <f t="shared" si="2"/>
        <v>3627</v>
      </c>
      <c r="I30" s="44">
        <f t="shared" si="3"/>
        <v>4352.4</v>
      </c>
      <c r="J30" s="45">
        <f t="shared" si="4"/>
        <v>5319.6</v>
      </c>
      <c r="K30" s="69" t="s">
        <v>42</v>
      </c>
      <c r="L30" s="47">
        <f t="shared" si="5"/>
        <v>2223</v>
      </c>
      <c r="M30" s="48"/>
      <c r="N30" s="49"/>
      <c r="O30" s="48"/>
      <c r="P30" s="48"/>
      <c r="Q30" s="48"/>
      <c r="R30" s="48"/>
      <c r="S30" s="48"/>
      <c r="T30" s="48"/>
      <c r="U30" s="48"/>
      <c r="V30" s="50">
        <f t="shared" si="6"/>
        <v>2418</v>
      </c>
      <c r="W30" s="70">
        <v>500.0</v>
      </c>
      <c r="X30" s="71">
        <f t="shared" si="7"/>
        <v>2918</v>
      </c>
      <c r="Y30" s="72">
        <f t="shared" si="8"/>
        <v>6419.6</v>
      </c>
      <c r="Z30" s="73">
        <v>3.89</v>
      </c>
      <c r="AA30" s="74">
        <v>42.89</v>
      </c>
      <c r="AB30" s="75">
        <f t="shared" si="9"/>
        <v>2573.4</v>
      </c>
      <c r="AC30" s="76">
        <v>63.69</v>
      </c>
      <c r="AD30" s="76">
        <v>108.61</v>
      </c>
      <c r="AE30" s="76">
        <v>110.61</v>
      </c>
      <c r="AF30" s="76">
        <f t="shared" si="10"/>
        <v>94.30333333</v>
      </c>
      <c r="AG30" s="76">
        <f t="shared" si="11"/>
        <v>99.34333333</v>
      </c>
      <c r="AH30" s="77">
        <f t="shared" si="12"/>
        <v>5960.6</v>
      </c>
      <c r="AI30" s="76">
        <f t="shared" si="13"/>
        <v>56.45333333</v>
      </c>
      <c r="AJ30" s="78">
        <f t="shared" si="14"/>
        <v>1.316235331</v>
      </c>
      <c r="AK30" s="45">
        <f t="shared" si="15"/>
        <v>6383.52</v>
      </c>
      <c r="AL30" s="79">
        <f t="shared" si="16"/>
        <v>3860.1</v>
      </c>
      <c r="AM30" s="60">
        <f t="shared" si="17"/>
        <v>4246.11</v>
      </c>
      <c r="AN30" s="79">
        <f t="shared" si="18"/>
        <v>4632.12</v>
      </c>
      <c r="AO30" s="78">
        <v>0.5</v>
      </c>
      <c r="AP30" s="78">
        <v>0.8</v>
      </c>
      <c r="AQ30" s="61">
        <f t="shared" si="19"/>
        <v>5095.332</v>
      </c>
      <c r="AR30" s="60">
        <f t="shared" si="20"/>
        <v>5326.938</v>
      </c>
      <c r="AS30" s="62">
        <f t="shared" si="21"/>
        <v>5859.6318</v>
      </c>
    </row>
    <row r="31" ht="15.75" customHeight="1">
      <c r="A31" s="63" t="s">
        <v>38</v>
      </c>
      <c r="B31" s="64" t="s">
        <v>49</v>
      </c>
      <c r="C31" s="39" t="s">
        <v>98</v>
      </c>
      <c r="D31" s="65" t="s">
        <v>99</v>
      </c>
      <c r="E31" s="66">
        <v>24.0</v>
      </c>
      <c r="F31" s="67">
        <f t="shared" si="1"/>
        <v>1488</v>
      </c>
      <c r="G31" s="68"/>
      <c r="H31" s="44">
        <f t="shared" si="2"/>
        <v>2232</v>
      </c>
      <c r="I31" s="44">
        <f t="shared" si="3"/>
        <v>2678.4</v>
      </c>
      <c r="J31" s="45">
        <f t="shared" si="4"/>
        <v>3273.6</v>
      </c>
      <c r="K31" s="69" t="s">
        <v>42</v>
      </c>
      <c r="L31" s="47">
        <f t="shared" si="5"/>
        <v>1368</v>
      </c>
      <c r="M31" s="48"/>
      <c r="N31" s="49">
        <v>20.0</v>
      </c>
      <c r="O31" s="48"/>
      <c r="P31" s="48"/>
      <c r="Q31" s="48"/>
      <c r="R31" s="48"/>
      <c r="S31" s="48"/>
      <c r="T31" s="48"/>
      <c r="U31" s="48">
        <v>310.59</v>
      </c>
      <c r="V31" s="50">
        <f t="shared" si="6"/>
        <v>1798.59</v>
      </c>
      <c r="W31" s="70">
        <v>500.0</v>
      </c>
      <c r="X31" s="71">
        <f t="shared" si="7"/>
        <v>1988</v>
      </c>
      <c r="Y31" s="72">
        <f t="shared" si="8"/>
        <v>4373.6</v>
      </c>
      <c r="Z31" s="73">
        <v>2.41</v>
      </c>
      <c r="AA31" s="74">
        <v>26.41</v>
      </c>
      <c r="AB31" s="75">
        <f t="shared" si="9"/>
        <v>1584.6</v>
      </c>
      <c r="AC31" s="76">
        <v>54.9</v>
      </c>
      <c r="AD31" s="76">
        <v>44.95</v>
      </c>
      <c r="AE31" s="76">
        <v>54.84</v>
      </c>
      <c r="AF31" s="76">
        <f t="shared" si="10"/>
        <v>51.56333333</v>
      </c>
      <c r="AG31" s="76">
        <f t="shared" si="11"/>
        <v>55.12333333</v>
      </c>
      <c r="AH31" s="77">
        <f t="shared" si="12"/>
        <v>3307.4</v>
      </c>
      <c r="AI31" s="76">
        <f t="shared" si="13"/>
        <v>28.71333333</v>
      </c>
      <c r="AJ31" s="78">
        <f t="shared" si="14"/>
        <v>1.087214439</v>
      </c>
      <c r="AK31" s="45">
        <f t="shared" si="15"/>
        <v>3928.32</v>
      </c>
      <c r="AL31" s="79">
        <f t="shared" si="16"/>
        <v>2059.98</v>
      </c>
      <c r="AM31" s="60">
        <f t="shared" si="17"/>
        <v>2265.978</v>
      </c>
      <c r="AN31" s="79">
        <f t="shared" si="18"/>
        <v>2693.82</v>
      </c>
      <c r="AO31" s="78">
        <v>0.3</v>
      </c>
      <c r="AP31" s="78">
        <v>0.7</v>
      </c>
      <c r="AQ31" s="61">
        <f t="shared" si="19"/>
        <v>2963.202</v>
      </c>
      <c r="AR31" s="60">
        <f t="shared" si="20"/>
        <v>3097.893</v>
      </c>
      <c r="AS31" s="62">
        <f t="shared" si="21"/>
        <v>3407.6823</v>
      </c>
    </row>
    <row r="32" ht="15.75" customHeight="1">
      <c r="A32" s="63" t="s">
        <v>38</v>
      </c>
      <c r="B32" s="64" t="s">
        <v>49</v>
      </c>
      <c r="C32" s="39" t="s">
        <v>100</v>
      </c>
      <c r="D32" s="65" t="s">
        <v>101</v>
      </c>
      <c r="E32" s="66">
        <v>36.0</v>
      </c>
      <c r="F32" s="67">
        <f t="shared" si="1"/>
        <v>2232</v>
      </c>
      <c r="G32" s="68"/>
      <c r="H32" s="44">
        <f t="shared" si="2"/>
        <v>3348</v>
      </c>
      <c r="I32" s="44">
        <f t="shared" si="3"/>
        <v>4017.6</v>
      </c>
      <c r="J32" s="45">
        <f t="shared" si="4"/>
        <v>4910.4</v>
      </c>
      <c r="K32" s="69" t="s">
        <v>42</v>
      </c>
      <c r="L32" s="47">
        <f t="shared" si="5"/>
        <v>2052</v>
      </c>
      <c r="M32" s="48"/>
      <c r="N32" s="49">
        <v>73.0</v>
      </c>
      <c r="O32" s="48"/>
      <c r="P32" s="48"/>
      <c r="Q32" s="48"/>
      <c r="R32" s="48"/>
      <c r="S32" s="48"/>
      <c r="T32" s="48"/>
      <c r="U32" s="48">
        <v>310.59</v>
      </c>
      <c r="V32" s="50">
        <f t="shared" si="6"/>
        <v>2542.59</v>
      </c>
      <c r="W32" s="70">
        <v>500.0</v>
      </c>
      <c r="X32" s="71">
        <f t="shared" si="7"/>
        <v>2732</v>
      </c>
      <c r="Y32" s="72">
        <f t="shared" si="8"/>
        <v>6010.4</v>
      </c>
      <c r="Z32" s="73">
        <v>3.61</v>
      </c>
      <c r="AA32" s="74">
        <v>39.61</v>
      </c>
      <c r="AB32" s="75">
        <f t="shared" si="9"/>
        <v>2376.6</v>
      </c>
      <c r="AC32" s="76">
        <v>74.95</v>
      </c>
      <c r="AD32" s="76">
        <v>62.25</v>
      </c>
      <c r="AE32" s="76">
        <v>79.58</v>
      </c>
      <c r="AF32" s="76">
        <f t="shared" si="10"/>
        <v>72.26</v>
      </c>
      <c r="AG32" s="76">
        <f t="shared" si="11"/>
        <v>77.02</v>
      </c>
      <c r="AH32" s="77">
        <f t="shared" si="12"/>
        <v>4621.2</v>
      </c>
      <c r="AI32" s="76">
        <f t="shared" si="13"/>
        <v>37.41</v>
      </c>
      <c r="AJ32" s="78">
        <f t="shared" si="14"/>
        <v>0.9444584701</v>
      </c>
      <c r="AK32" s="45">
        <f t="shared" si="15"/>
        <v>5892.48</v>
      </c>
      <c r="AL32" s="79">
        <f t="shared" si="16"/>
        <v>3089.58</v>
      </c>
      <c r="AM32" s="60">
        <f t="shared" si="17"/>
        <v>3398.538</v>
      </c>
      <c r="AN32" s="79">
        <f t="shared" si="18"/>
        <v>4040.22</v>
      </c>
      <c r="AO32" s="78">
        <v>0.3</v>
      </c>
      <c r="AP32" s="78">
        <v>0.7</v>
      </c>
      <c r="AQ32" s="61">
        <f t="shared" si="19"/>
        <v>4444.242</v>
      </c>
      <c r="AR32" s="60">
        <f t="shared" si="20"/>
        <v>4646.253</v>
      </c>
      <c r="AS32" s="62">
        <f t="shared" si="21"/>
        <v>5110.8783</v>
      </c>
    </row>
    <row r="33" ht="15.75" customHeight="1">
      <c r="A33" s="63" t="s">
        <v>38</v>
      </c>
      <c r="B33" s="64" t="s">
        <v>49</v>
      </c>
      <c r="C33" s="39" t="s">
        <v>102</v>
      </c>
      <c r="D33" s="65" t="s">
        <v>103</v>
      </c>
      <c r="E33" s="66">
        <v>54.0</v>
      </c>
      <c r="F33" s="67">
        <f t="shared" si="1"/>
        <v>3348</v>
      </c>
      <c r="G33" s="68"/>
      <c r="H33" s="44">
        <f t="shared" si="2"/>
        <v>5022</v>
      </c>
      <c r="I33" s="44">
        <f t="shared" si="3"/>
        <v>6026.4</v>
      </c>
      <c r="J33" s="45">
        <f t="shared" si="4"/>
        <v>7365.6</v>
      </c>
      <c r="K33" s="69" t="s">
        <v>42</v>
      </c>
      <c r="L33" s="47">
        <f t="shared" si="5"/>
        <v>3078</v>
      </c>
      <c r="M33" s="48"/>
      <c r="N33" s="49">
        <v>30.0</v>
      </c>
      <c r="O33" s="48"/>
      <c r="P33" s="48"/>
      <c r="Q33" s="48"/>
      <c r="R33" s="48"/>
      <c r="S33" s="48"/>
      <c r="T33" s="48"/>
      <c r="U33" s="48">
        <v>310.59</v>
      </c>
      <c r="V33" s="50">
        <f t="shared" si="6"/>
        <v>3658.59</v>
      </c>
      <c r="W33" s="70">
        <v>500.0</v>
      </c>
      <c r="X33" s="71">
        <f t="shared" si="7"/>
        <v>3848</v>
      </c>
      <c r="Y33" s="72">
        <f t="shared" si="8"/>
        <v>8465.6</v>
      </c>
      <c r="Z33" s="73">
        <v>5.42</v>
      </c>
      <c r="AA33" s="74">
        <v>59.42</v>
      </c>
      <c r="AB33" s="75">
        <f t="shared" si="9"/>
        <v>3565.2</v>
      </c>
      <c r="AC33" s="76">
        <v>99.95</v>
      </c>
      <c r="AD33" s="76">
        <v>92.91</v>
      </c>
      <c r="AE33" s="76">
        <v>94.95</v>
      </c>
      <c r="AF33" s="76">
        <f t="shared" si="10"/>
        <v>95.93666667</v>
      </c>
      <c r="AG33" s="76">
        <f t="shared" si="11"/>
        <v>102.5066667</v>
      </c>
      <c r="AH33" s="77">
        <f t="shared" si="12"/>
        <v>6150.4</v>
      </c>
      <c r="AI33" s="76">
        <f t="shared" si="13"/>
        <v>43.08666667</v>
      </c>
      <c r="AJ33" s="78">
        <f t="shared" si="14"/>
        <v>0.7251206103</v>
      </c>
      <c r="AK33" s="45">
        <f t="shared" si="15"/>
        <v>8838.72</v>
      </c>
      <c r="AL33" s="79">
        <f t="shared" si="16"/>
        <v>4634.76</v>
      </c>
      <c r="AM33" s="60">
        <f t="shared" si="17"/>
        <v>5098.236</v>
      </c>
      <c r="AN33" s="79">
        <f t="shared" si="18"/>
        <v>4991.28</v>
      </c>
      <c r="AO33" s="78">
        <v>0.3</v>
      </c>
      <c r="AP33" s="78">
        <v>0.4</v>
      </c>
      <c r="AQ33" s="61">
        <f t="shared" si="19"/>
        <v>5490.408</v>
      </c>
      <c r="AR33" s="60">
        <f t="shared" si="20"/>
        <v>5739.972</v>
      </c>
      <c r="AS33" s="62">
        <f t="shared" si="21"/>
        <v>6313.9692</v>
      </c>
    </row>
    <row r="34" ht="15.75" customHeight="1">
      <c r="A34" s="63" t="s">
        <v>38</v>
      </c>
      <c r="B34" s="64" t="s">
        <v>49</v>
      </c>
      <c r="C34" s="39" t="s">
        <v>104</v>
      </c>
      <c r="D34" s="65" t="s">
        <v>105</v>
      </c>
      <c r="E34" s="66">
        <v>48.0</v>
      </c>
      <c r="F34" s="67">
        <f t="shared" si="1"/>
        <v>2976</v>
      </c>
      <c r="G34" s="68"/>
      <c r="H34" s="44">
        <f t="shared" si="2"/>
        <v>4464</v>
      </c>
      <c r="I34" s="44">
        <f t="shared" si="3"/>
        <v>5356.8</v>
      </c>
      <c r="J34" s="45">
        <f t="shared" si="4"/>
        <v>6547.2</v>
      </c>
      <c r="K34" s="69" t="s">
        <v>42</v>
      </c>
      <c r="L34" s="47">
        <f t="shared" si="5"/>
        <v>2736</v>
      </c>
      <c r="M34" s="48"/>
      <c r="N34" s="49">
        <v>3.0</v>
      </c>
      <c r="O34" s="48"/>
      <c r="P34" s="48"/>
      <c r="Q34" s="48"/>
      <c r="R34" s="48"/>
      <c r="S34" s="48"/>
      <c r="T34" s="48"/>
      <c r="U34" s="48">
        <v>310.59</v>
      </c>
      <c r="V34" s="50">
        <f t="shared" si="6"/>
        <v>3286.59</v>
      </c>
      <c r="W34" s="70">
        <v>500.0</v>
      </c>
      <c r="X34" s="71">
        <f t="shared" si="7"/>
        <v>3476</v>
      </c>
      <c r="Y34" s="72">
        <f t="shared" si="8"/>
        <v>7647.2</v>
      </c>
      <c r="Z34" s="73">
        <v>4.82</v>
      </c>
      <c r="AA34" s="74">
        <v>52.82</v>
      </c>
      <c r="AB34" s="75">
        <f t="shared" si="9"/>
        <v>3169.2</v>
      </c>
      <c r="AC34" s="83">
        <v>109.95</v>
      </c>
      <c r="AD34" s="76">
        <v>92.44</v>
      </c>
      <c r="AE34" s="76">
        <v>74.95</v>
      </c>
      <c r="AF34" s="76">
        <f t="shared" si="10"/>
        <v>92.44666667</v>
      </c>
      <c r="AG34" s="76">
        <f t="shared" si="11"/>
        <v>98.41666667</v>
      </c>
      <c r="AH34" s="77">
        <f t="shared" si="12"/>
        <v>5905</v>
      </c>
      <c r="AI34" s="76">
        <f t="shared" si="13"/>
        <v>45.59666667</v>
      </c>
      <c r="AJ34" s="78">
        <f t="shared" si="14"/>
        <v>0.8632462451</v>
      </c>
      <c r="AK34" s="45">
        <f t="shared" si="15"/>
        <v>7856.64</v>
      </c>
      <c r="AL34" s="79">
        <f t="shared" si="16"/>
        <v>4119.96</v>
      </c>
      <c r="AM34" s="60">
        <f t="shared" si="17"/>
        <v>4531.956</v>
      </c>
      <c r="AN34" s="79">
        <f t="shared" si="18"/>
        <v>4753.8</v>
      </c>
      <c r="AO34" s="78">
        <v>0.3</v>
      </c>
      <c r="AP34" s="78">
        <v>0.5</v>
      </c>
      <c r="AQ34" s="61">
        <f t="shared" si="19"/>
        <v>5229.18</v>
      </c>
      <c r="AR34" s="60">
        <f t="shared" si="20"/>
        <v>5466.87</v>
      </c>
      <c r="AS34" s="62">
        <f t="shared" si="21"/>
        <v>6013.557</v>
      </c>
    </row>
    <row r="35" ht="15.75" customHeight="1">
      <c r="A35" s="63" t="s">
        <v>38</v>
      </c>
      <c r="B35" s="64" t="s">
        <v>49</v>
      </c>
      <c r="C35" s="39" t="s">
        <v>106</v>
      </c>
      <c r="D35" s="65" t="s">
        <v>107</v>
      </c>
      <c r="E35" s="66">
        <v>60.0</v>
      </c>
      <c r="F35" s="67">
        <f t="shared" si="1"/>
        <v>3720</v>
      </c>
      <c r="G35" s="68"/>
      <c r="H35" s="44">
        <f t="shared" si="2"/>
        <v>5580</v>
      </c>
      <c r="I35" s="44">
        <f t="shared" si="3"/>
        <v>6696</v>
      </c>
      <c r="J35" s="45">
        <f t="shared" si="4"/>
        <v>8184</v>
      </c>
      <c r="K35" s="69" t="s">
        <v>42</v>
      </c>
      <c r="L35" s="47">
        <f t="shared" si="5"/>
        <v>3420</v>
      </c>
      <c r="M35" s="48"/>
      <c r="N35" s="49">
        <v>16.0</v>
      </c>
      <c r="O35" s="48"/>
      <c r="P35" s="48"/>
      <c r="Q35" s="48"/>
      <c r="R35" s="48"/>
      <c r="S35" s="48"/>
      <c r="T35" s="48"/>
      <c r="U35" s="48">
        <v>310.59</v>
      </c>
      <c r="V35" s="50">
        <f t="shared" si="6"/>
        <v>4030.59</v>
      </c>
      <c r="W35" s="70">
        <v>500.0</v>
      </c>
      <c r="X35" s="71">
        <f t="shared" si="7"/>
        <v>4220</v>
      </c>
      <c r="Y35" s="72">
        <f t="shared" si="8"/>
        <v>9284</v>
      </c>
      <c r="Z35" s="73">
        <v>6.02</v>
      </c>
      <c r="AA35" s="74">
        <v>66.02</v>
      </c>
      <c r="AB35" s="75">
        <f t="shared" si="9"/>
        <v>3961.2</v>
      </c>
      <c r="AC35" s="76">
        <v>98.46</v>
      </c>
      <c r="AD35" s="76">
        <v>109.95</v>
      </c>
      <c r="AE35" s="76">
        <v>108.31</v>
      </c>
      <c r="AF35" s="76">
        <f t="shared" si="10"/>
        <v>105.5733333</v>
      </c>
      <c r="AG35" s="76">
        <f t="shared" si="11"/>
        <v>112.7433333</v>
      </c>
      <c r="AH35" s="77">
        <f t="shared" si="12"/>
        <v>6764.6</v>
      </c>
      <c r="AI35" s="76">
        <f t="shared" si="13"/>
        <v>46.72333333</v>
      </c>
      <c r="AJ35" s="78">
        <f t="shared" si="14"/>
        <v>0.7077148339</v>
      </c>
      <c r="AK35" s="45">
        <f t="shared" si="15"/>
        <v>9820.8</v>
      </c>
      <c r="AL35" s="79">
        <f t="shared" si="16"/>
        <v>5149.56</v>
      </c>
      <c r="AM35" s="60">
        <f t="shared" si="17"/>
        <v>5664.516</v>
      </c>
      <c r="AN35" s="79">
        <f t="shared" si="18"/>
        <v>5545.68</v>
      </c>
      <c r="AO35" s="78">
        <v>0.3</v>
      </c>
      <c r="AP35" s="78">
        <v>0.4</v>
      </c>
      <c r="AQ35" s="61">
        <f t="shared" si="19"/>
        <v>6100.248</v>
      </c>
      <c r="AR35" s="60">
        <f t="shared" si="20"/>
        <v>6377.532</v>
      </c>
      <c r="AS35" s="62">
        <f t="shared" si="21"/>
        <v>7015.2852</v>
      </c>
    </row>
    <row r="36" ht="15.75" customHeight="1">
      <c r="A36" s="63" t="s">
        <v>38</v>
      </c>
      <c r="B36" s="64" t="s">
        <v>49</v>
      </c>
      <c r="C36" s="39" t="s">
        <v>108</v>
      </c>
      <c r="D36" s="65" t="s">
        <v>109</v>
      </c>
      <c r="E36" s="66">
        <v>9.0</v>
      </c>
      <c r="F36" s="67">
        <f t="shared" si="1"/>
        <v>558</v>
      </c>
      <c r="G36" s="68"/>
      <c r="H36" s="44">
        <f t="shared" si="2"/>
        <v>837</v>
      </c>
      <c r="I36" s="44">
        <f t="shared" si="3"/>
        <v>1004.4</v>
      </c>
      <c r="J36" s="45">
        <f t="shared" si="4"/>
        <v>1227.6</v>
      </c>
      <c r="K36" s="69" t="s">
        <v>42</v>
      </c>
      <c r="L36" s="47">
        <f t="shared" si="5"/>
        <v>513</v>
      </c>
      <c r="M36" s="48"/>
      <c r="N36" s="49"/>
      <c r="O36" s="48"/>
      <c r="P36" s="48"/>
      <c r="Q36" s="48"/>
      <c r="R36" s="48"/>
      <c r="S36" s="48"/>
      <c r="T36" s="48"/>
      <c r="U36" s="48"/>
      <c r="V36" s="50">
        <f t="shared" si="6"/>
        <v>558</v>
      </c>
      <c r="W36" s="70">
        <v>500.0</v>
      </c>
      <c r="X36" s="71">
        <f t="shared" si="7"/>
        <v>1058</v>
      </c>
      <c r="Y36" s="72">
        <f t="shared" si="8"/>
        <v>2327.6</v>
      </c>
      <c r="Z36" s="73">
        <v>0.4</v>
      </c>
      <c r="AA36" s="74">
        <v>9.4</v>
      </c>
      <c r="AB36" s="75">
        <f t="shared" si="9"/>
        <v>564</v>
      </c>
      <c r="AC36" s="76">
        <v>12.32</v>
      </c>
      <c r="AD36" s="76">
        <v>29.95</v>
      </c>
      <c r="AE36" s="76">
        <v>35.95</v>
      </c>
      <c r="AF36" s="76">
        <f t="shared" si="10"/>
        <v>26.07333333</v>
      </c>
      <c r="AG36" s="76">
        <f t="shared" si="11"/>
        <v>27.62333333</v>
      </c>
      <c r="AH36" s="77">
        <f t="shared" si="12"/>
        <v>1657.4</v>
      </c>
      <c r="AI36" s="76">
        <f t="shared" si="13"/>
        <v>18.22333333</v>
      </c>
      <c r="AJ36" s="78">
        <f t="shared" si="14"/>
        <v>1.938652482</v>
      </c>
      <c r="AK36" s="45">
        <f t="shared" si="15"/>
        <v>1473.12</v>
      </c>
      <c r="AL36" s="79">
        <f t="shared" si="16"/>
        <v>846</v>
      </c>
      <c r="AM36" s="60">
        <f t="shared" si="17"/>
        <v>930.6</v>
      </c>
      <c r="AN36" s="79">
        <f t="shared" si="18"/>
        <v>1128</v>
      </c>
      <c r="AO36" s="78">
        <v>0.5</v>
      </c>
      <c r="AP36" s="78">
        <v>1.0</v>
      </c>
      <c r="AQ36" s="61">
        <f t="shared" si="19"/>
        <v>1240.8</v>
      </c>
      <c r="AR36" s="60">
        <f t="shared" si="20"/>
        <v>1297.2</v>
      </c>
      <c r="AS36" s="62">
        <f t="shared" si="21"/>
        <v>1426.92</v>
      </c>
    </row>
    <row r="37" ht="15.75" customHeight="1">
      <c r="A37" s="63" t="s">
        <v>38</v>
      </c>
      <c r="B37" s="64" t="s">
        <v>49</v>
      </c>
      <c r="C37" s="82" t="s">
        <v>110</v>
      </c>
      <c r="D37" s="65" t="s">
        <v>109</v>
      </c>
      <c r="E37" s="66">
        <v>27.6</v>
      </c>
      <c r="F37" s="67">
        <f t="shared" si="1"/>
        <v>1711.2</v>
      </c>
      <c r="G37" s="68"/>
      <c r="H37" s="44">
        <f t="shared" si="2"/>
        <v>2566.8</v>
      </c>
      <c r="I37" s="44">
        <f t="shared" si="3"/>
        <v>3080.16</v>
      </c>
      <c r="J37" s="45">
        <f t="shared" si="4"/>
        <v>3764.64</v>
      </c>
      <c r="K37" s="69" t="s">
        <v>42</v>
      </c>
      <c r="L37" s="47">
        <f t="shared" si="5"/>
        <v>1573.2</v>
      </c>
      <c r="M37" s="48"/>
      <c r="N37" s="49"/>
      <c r="O37" s="48"/>
      <c r="P37" s="48"/>
      <c r="Q37" s="48"/>
      <c r="R37" s="48"/>
      <c r="S37" s="48"/>
      <c r="T37" s="48"/>
      <c r="U37" s="48"/>
      <c r="V37" s="50">
        <f t="shared" si="6"/>
        <v>1711.2</v>
      </c>
      <c r="W37" s="70">
        <v>500.0</v>
      </c>
      <c r="X37" s="71">
        <f t="shared" si="7"/>
        <v>2211.2</v>
      </c>
      <c r="Y37" s="72">
        <f t="shared" si="8"/>
        <v>4864.64</v>
      </c>
      <c r="Z37" s="73">
        <v>2.6</v>
      </c>
      <c r="AA37" s="74">
        <v>30.2</v>
      </c>
      <c r="AB37" s="75">
        <f t="shared" si="9"/>
        <v>1812</v>
      </c>
      <c r="AC37" s="76">
        <v>13.47</v>
      </c>
      <c r="AD37" s="76">
        <v>59.95</v>
      </c>
      <c r="AE37" s="76">
        <v>70.95</v>
      </c>
      <c r="AF37" s="76">
        <f t="shared" si="10"/>
        <v>48.12333333</v>
      </c>
      <c r="AG37" s="76">
        <f t="shared" si="11"/>
        <v>51.87333333</v>
      </c>
      <c r="AH37" s="77">
        <f t="shared" si="12"/>
        <v>3112.4</v>
      </c>
      <c r="AI37" s="76">
        <f t="shared" si="13"/>
        <v>21.67333333</v>
      </c>
      <c r="AJ37" s="78">
        <f t="shared" si="14"/>
        <v>0.7176600442</v>
      </c>
      <c r="AK37" s="45">
        <f t="shared" si="15"/>
        <v>4517.568</v>
      </c>
      <c r="AL37" s="79">
        <f t="shared" si="16"/>
        <v>2355.6</v>
      </c>
      <c r="AM37" s="60">
        <f t="shared" si="17"/>
        <v>2591.16</v>
      </c>
      <c r="AN37" s="79">
        <f t="shared" si="18"/>
        <v>2536.8</v>
      </c>
      <c r="AO37" s="78">
        <v>0.3</v>
      </c>
      <c r="AP37" s="78">
        <v>0.4</v>
      </c>
      <c r="AQ37" s="61">
        <f t="shared" si="19"/>
        <v>2790.48</v>
      </c>
      <c r="AR37" s="60">
        <f t="shared" si="20"/>
        <v>2917.32</v>
      </c>
      <c r="AS37" s="62">
        <f t="shared" si="21"/>
        <v>3209.052</v>
      </c>
    </row>
    <row r="38" ht="15.75" customHeight="1">
      <c r="A38" s="63" t="s">
        <v>38</v>
      </c>
      <c r="B38" s="64" t="s">
        <v>49</v>
      </c>
      <c r="C38" s="82" t="s">
        <v>111</v>
      </c>
      <c r="D38" s="65" t="s">
        <v>109</v>
      </c>
      <c r="E38" s="66">
        <v>243.6</v>
      </c>
      <c r="F38" s="67">
        <f t="shared" si="1"/>
        <v>15103.2</v>
      </c>
      <c r="G38" s="68"/>
      <c r="H38" s="44">
        <f t="shared" si="2"/>
        <v>22654.8</v>
      </c>
      <c r="I38" s="44">
        <f t="shared" si="3"/>
        <v>27185.76</v>
      </c>
      <c r="J38" s="45">
        <f t="shared" si="4"/>
        <v>33227.04</v>
      </c>
      <c r="K38" s="69" t="s">
        <v>42</v>
      </c>
      <c r="L38" s="47">
        <f t="shared" si="5"/>
        <v>13885.2</v>
      </c>
      <c r="M38" s="48"/>
      <c r="N38" s="49"/>
      <c r="O38" s="48"/>
      <c r="P38" s="48"/>
      <c r="Q38" s="48"/>
      <c r="R38" s="48"/>
      <c r="S38" s="48"/>
      <c r="T38" s="48"/>
      <c r="U38" s="48"/>
      <c r="V38" s="50">
        <f t="shared" si="6"/>
        <v>15103.2</v>
      </c>
      <c r="W38" s="70">
        <v>500.0</v>
      </c>
      <c r="X38" s="71">
        <f t="shared" si="7"/>
        <v>15603.2</v>
      </c>
      <c r="Y38" s="72">
        <f t="shared" si="8"/>
        <v>34327.04</v>
      </c>
      <c r="Z38" s="73">
        <v>24.69</v>
      </c>
      <c r="AA38" s="74">
        <v>268.29</v>
      </c>
      <c r="AB38" s="75">
        <f t="shared" si="9"/>
        <v>16097.4</v>
      </c>
      <c r="AC38" s="76">
        <v>130.0</v>
      </c>
      <c r="AD38" s="76">
        <v>399.95</v>
      </c>
      <c r="AE38" s="76">
        <v>407.9</v>
      </c>
      <c r="AF38" s="76">
        <f t="shared" si="10"/>
        <v>312.6166667</v>
      </c>
      <c r="AG38" s="76">
        <f t="shared" si="11"/>
        <v>338.4566667</v>
      </c>
      <c r="AH38" s="77">
        <f t="shared" si="12"/>
        <v>20307.4</v>
      </c>
      <c r="AI38" s="76">
        <f t="shared" si="13"/>
        <v>70.16666667</v>
      </c>
      <c r="AJ38" s="78">
        <f t="shared" si="14"/>
        <v>0.2615329184</v>
      </c>
      <c r="AK38" s="45">
        <f t="shared" si="15"/>
        <v>39872.448</v>
      </c>
      <c r="AL38" s="79">
        <f t="shared" si="16"/>
        <v>17707.14</v>
      </c>
      <c r="AM38" s="60">
        <f t="shared" si="17"/>
        <v>19477.854</v>
      </c>
      <c r="AN38" s="79">
        <f t="shared" si="18"/>
        <v>18512.01</v>
      </c>
      <c r="AO38" s="78">
        <v>0.1</v>
      </c>
      <c r="AP38" s="78">
        <v>0.15</v>
      </c>
      <c r="AQ38" s="61">
        <f t="shared" si="19"/>
        <v>20363.211</v>
      </c>
      <c r="AR38" s="60">
        <f t="shared" si="20"/>
        <v>21288.8115</v>
      </c>
      <c r="AS38" s="62">
        <f t="shared" si="21"/>
        <v>23417.69265</v>
      </c>
    </row>
    <row r="39" ht="15.75" customHeight="1">
      <c r="A39" s="63" t="s">
        <v>38</v>
      </c>
      <c r="B39" s="64" t="s">
        <v>49</v>
      </c>
      <c r="C39" s="82" t="s">
        <v>112</v>
      </c>
      <c r="D39" s="65" t="s">
        <v>113</v>
      </c>
      <c r="E39" s="66">
        <v>9.0</v>
      </c>
      <c r="F39" s="67">
        <f t="shared" si="1"/>
        <v>558</v>
      </c>
      <c r="G39" s="68"/>
      <c r="H39" s="44">
        <f t="shared" si="2"/>
        <v>837</v>
      </c>
      <c r="I39" s="44">
        <f t="shared" si="3"/>
        <v>1004.4</v>
      </c>
      <c r="J39" s="45">
        <f t="shared" si="4"/>
        <v>1227.6</v>
      </c>
      <c r="K39" s="69" t="s">
        <v>42</v>
      </c>
      <c r="L39" s="47">
        <f t="shared" si="5"/>
        <v>513</v>
      </c>
      <c r="M39" s="48"/>
      <c r="N39" s="49"/>
      <c r="O39" s="48"/>
      <c r="P39" s="48"/>
      <c r="Q39" s="48"/>
      <c r="R39" s="48"/>
      <c r="S39" s="48"/>
      <c r="T39" s="48"/>
      <c r="U39" s="48"/>
      <c r="V39" s="50">
        <f t="shared" si="6"/>
        <v>558</v>
      </c>
      <c r="W39" s="70">
        <v>500.0</v>
      </c>
      <c r="X39" s="71">
        <f t="shared" si="7"/>
        <v>1058</v>
      </c>
      <c r="Y39" s="72">
        <f t="shared" si="8"/>
        <v>2327.6</v>
      </c>
      <c r="Z39" s="73">
        <v>0.9</v>
      </c>
      <c r="AA39" s="74">
        <v>10.0</v>
      </c>
      <c r="AB39" s="75">
        <f t="shared" si="9"/>
        <v>600</v>
      </c>
      <c r="AC39" s="76">
        <v>14.79</v>
      </c>
      <c r="AD39" s="76">
        <v>30.8</v>
      </c>
      <c r="AE39" s="76">
        <v>30.77</v>
      </c>
      <c r="AF39" s="76">
        <f t="shared" si="10"/>
        <v>25.45333333</v>
      </c>
      <c r="AG39" s="76">
        <f t="shared" si="11"/>
        <v>27.50333333</v>
      </c>
      <c r="AH39" s="77">
        <f t="shared" si="12"/>
        <v>1650.2</v>
      </c>
      <c r="AI39" s="76">
        <f t="shared" si="13"/>
        <v>17.50333333</v>
      </c>
      <c r="AJ39" s="78">
        <f t="shared" si="14"/>
        <v>1.750333333</v>
      </c>
      <c r="AK39" s="45">
        <f t="shared" si="15"/>
        <v>1473.12</v>
      </c>
      <c r="AL39" s="79">
        <f t="shared" si="16"/>
        <v>900</v>
      </c>
      <c r="AM39" s="60">
        <f t="shared" si="17"/>
        <v>990</v>
      </c>
      <c r="AN39" s="79">
        <f t="shared" si="18"/>
        <v>1020</v>
      </c>
      <c r="AO39" s="78">
        <v>0.5</v>
      </c>
      <c r="AP39" s="78">
        <v>0.7</v>
      </c>
      <c r="AQ39" s="61">
        <f t="shared" si="19"/>
        <v>1122</v>
      </c>
      <c r="AR39" s="60">
        <f t="shared" si="20"/>
        <v>1173</v>
      </c>
      <c r="AS39" s="62">
        <f t="shared" si="21"/>
        <v>1290.3</v>
      </c>
    </row>
    <row r="40" ht="15.75" customHeight="1">
      <c r="A40" s="63" t="s">
        <v>38</v>
      </c>
      <c r="B40" s="64" t="s">
        <v>49</v>
      </c>
      <c r="C40" s="82" t="s">
        <v>114</v>
      </c>
      <c r="D40" s="65" t="s">
        <v>113</v>
      </c>
      <c r="E40" s="66">
        <v>30.0</v>
      </c>
      <c r="F40" s="67">
        <f t="shared" si="1"/>
        <v>1860</v>
      </c>
      <c r="G40" s="68"/>
      <c r="H40" s="44">
        <f t="shared" si="2"/>
        <v>2790</v>
      </c>
      <c r="I40" s="44">
        <f t="shared" si="3"/>
        <v>3348</v>
      </c>
      <c r="J40" s="45">
        <f t="shared" si="4"/>
        <v>4092</v>
      </c>
      <c r="K40" s="69" t="s">
        <v>42</v>
      </c>
      <c r="L40" s="47">
        <f t="shared" si="5"/>
        <v>1710</v>
      </c>
      <c r="M40" s="48"/>
      <c r="N40" s="49"/>
      <c r="O40" s="48"/>
      <c r="P40" s="48"/>
      <c r="Q40" s="48"/>
      <c r="R40" s="48"/>
      <c r="S40" s="48"/>
      <c r="T40" s="48"/>
      <c r="U40" s="48"/>
      <c r="V40" s="50">
        <f t="shared" si="6"/>
        <v>1860</v>
      </c>
      <c r="W40" s="70">
        <v>500.0</v>
      </c>
      <c r="X40" s="71">
        <f t="shared" si="7"/>
        <v>2360</v>
      </c>
      <c r="Y40" s="72">
        <f t="shared" si="8"/>
        <v>5192</v>
      </c>
      <c r="Z40" s="73">
        <v>3.0</v>
      </c>
      <c r="AA40" s="74">
        <v>33.0</v>
      </c>
      <c r="AB40" s="75">
        <f t="shared" si="9"/>
        <v>1980</v>
      </c>
      <c r="AC40" s="76">
        <v>65.98</v>
      </c>
      <c r="AD40" s="76">
        <v>59.95</v>
      </c>
      <c r="AE40" s="76">
        <v>64.95</v>
      </c>
      <c r="AF40" s="76">
        <f t="shared" si="10"/>
        <v>63.62666667</v>
      </c>
      <c r="AG40" s="76">
        <f t="shared" si="11"/>
        <v>67.77666667</v>
      </c>
      <c r="AH40" s="77">
        <f t="shared" si="12"/>
        <v>4066.6</v>
      </c>
      <c r="AI40" s="76">
        <f t="shared" si="13"/>
        <v>34.77666667</v>
      </c>
      <c r="AJ40" s="78">
        <f t="shared" si="14"/>
        <v>1.053838384</v>
      </c>
      <c r="AK40" s="45">
        <f t="shared" si="15"/>
        <v>4910.4</v>
      </c>
      <c r="AL40" s="79">
        <f t="shared" si="16"/>
        <v>2574</v>
      </c>
      <c r="AM40" s="60">
        <f t="shared" si="17"/>
        <v>2831.4</v>
      </c>
      <c r="AN40" s="79">
        <f t="shared" si="18"/>
        <v>3366</v>
      </c>
      <c r="AO40" s="78">
        <v>0.3</v>
      </c>
      <c r="AP40" s="78">
        <v>0.7</v>
      </c>
      <c r="AQ40" s="61">
        <f t="shared" si="19"/>
        <v>3702.6</v>
      </c>
      <c r="AR40" s="60">
        <f t="shared" si="20"/>
        <v>3870.9</v>
      </c>
      <c r="AS40" s="62">
        <f t="shared" si="21"/>
        <v>4257.99</v>
      </c>
    </row>
    <row r="41" ht="15.75" customHeight="1">
      <c r="A41" s="63" t="s">
        <v>38</v>
      </c>
      <c r="B41" s="64" t="s">
        <v>49</v>
      </c>
      <c r="C41" s="82" t="s">
        <v>115</v>
      </c>
      <c r="D41" s="65" t="s">
        <v>113</v>
      </c>
      <c r="E41" s="66">
        <v>276.0</v>
      </c>
      <c r="F41" s="67">
        <f t="shared" si="1"/>
        <v>17112</v>
      </c>
      <c r="G41" s="68"/>
      <c r="H41" s="44">
        <f t="shared" si="2"/>
        <v>25668</v>
      </c>
      <c r="I41" s="44">
        <f t="shared" si="3"/>
        <v>30801.6</v>
      </c>
      <c r="J41" s="45">
        <f t="shared" si="4"/>
        <v>37646.4</v>
      </c>
      <c r="K41" s="69" t="s">
        <v>42</v>
      </c>
      <c r="L41" s="47">
        <f t="shared" si="5"/>
        <v>15732</v>
      </c>
      <c r="M41" s="48"/>
      <c r="N41" s="49"/>
      <c r="O41" s="48"/>
      <c r="P41" s="48"/>
      <c r="Q41" s="48"/>
      <c r="R41" s="48"/>
      <c r="S41" s="48"/>
      <c r="T41" s="48"/>
      <c r="U41" s="48"/>
      <c r="V41" s="50">
        <f t="shared" si="6"/>
        <v>17112</v>
      </c>
      <c r="W41" s="70">
        <v>500.0</v>
      </c>
      <c r="X41" s="71">
        <f t="shared" si="7"/>
        <v>17612</v>
      </c>
      <c r="Y41" s="72">
        <f t="shared" si="8"/>
        <v>38746.4</v>
      </c>
      <c r="Z41" s="73">
        <v>28.0</v>
      </c>
      <c r="AA41" s="74">
        <v>304.0</v>
      </c>
      <c r="AB41" s="75">
        <f t="shared" si="9"/>
        <v>18240</v>
      </c>
      <c r="AC41" s="76">
        <v>650.0</v>
      </c>
      <c r="AD41" s="76">
        <v>399.95</v>
      </c>
      <c r="AE41" s="76">
        <v>449.95</v>
      </c>
      <c r="AF41" s="76">
        <f t="shared" si="10"/>
        <v>499.9666667</v>
      </c>
      <c r="AG41" s="76">
        <f t="shared" si="11"/>
        <v>529.1166667</v>
      </c>
      <c r="AH41" s="77">
        <f t="shared" si="12"/>
        <v>31747</v>
      </c>
      <c r="AI41" s="76">
        <f t="shared" si="13"/>
        <v>225.1166667</v>
      </c>
      <c r="AJ41" s="78">
        <f t="shared" si="14"/>
        <v>0.7405153509</v>
      </c>
      <c r="AK41" s="45">
        <f t="shared" si="15"/>
        <v>45175.68</v>
      </c>
      <c r="AL41" s="79">
        <f t="shared" si="16"/>
        <v>23712</v>
      </c>
      <c r="AM41" s="60">
        <f t="shared" si="17"/>
        <v>26083.2</v>
      </c>
      <c r="AN41" s="79">
        <f t="shared" si="18"/>
        <v>25536</v>
      </c>
      <c r="AO41" s="78">
        <v>0.3</v>
      </c>
      <c r="AP41" s="78">
        <v>0.4</v>
      </c>
      <c r="AQ41" s="61">
        <f t="shared" si="19"/>
        <v>28089.6</v>
      </c>
      <c r="AR41" s="60">
        <f t="shared" si="20"/>
        <v>29366.4</v>
      </c>
      <c r="AS41" s="62">
        <f t="shared" si="21"/>
        <v>32303.04</v>
      </c>
    </row>
    <row r="42" ht="15.75" customHeight="1">
      <c r="A42" s="63" t="s">
        <v>38</v>
      </c>
      <c r="B42" s="64" t="s">
        <v>49</v>
      </c>
      <c r="C42" s="82" t="s">
        <v>116</v>
      </c>
      <c r="D42" s="65" t="s">
        <v>117</v>
      </c>
      <c r="E42" s="86">
        <v>15.0</v>
      </c>
      <c r="F42" s="67">
        <f t="shared" si="1"/>
        <v>930</v>
      </c>
      <c r="G42" s="68"/>
      <c r="H42" s="44">
        <f t="shared" si="2"/>
        <v>1395</v>
      </c>
      <c r="I42" s="44">
        <f t="shared" si="3"/>
        <v>1674</v>
      </c>
      <c r="J42" s="45">
        <f t="shared" si="4"/>
        <v>2046</v>
      </c>
      <c r="K42" s="69" t="s">
        <v>42</v>
      </c>
      <c r="L42" s="47">
        <f t="shared" si="5"/>
        <v>855</v>
      </c>
      <c r="M42" s="48"/>
      <c r="N42" s="49">
        <v>40.0</v>
      </c>
      <c r="O42" s="48"/>
      <c r="P42" s="48"/>
      <c r="Q42" s="48"/>
      <c r="R42" s="48"/>
      <c r="S42" s="48"/>
      <c r="T42" s="48"/>
      <c r="U42" s="48">
        <v>310.59</v>
      </c>
      <c r="V42" s="50">
        <f t="shared" si="6"/>
        <v>1240.59</v>
      </c>
      <c r="W42" s="70">
        <v>500.0</v>
      </c>
      <c r="X42" s="71">
        <f t="shared" si="7"/>
        <v>1430</v>
      </c>
      <c r="Y42" s="72">
        <f t="shared" si="8"/>
        <v>3146</v>
      </c>
      <c r="Z42" s="73">
        <v>1.51</v>
      </c>
      <c r="AA42" s="74">
        <v>16.51</v>
      </c>
      <c r="AB42" s="75">
        <f t="shared" si="9"/>
        <v>990.6</v>
      </c>
      <c r="AC42" s="76">
        <v>38.9</v>
      </c>
      <c r="AD42" s="76">
        <v>29.99</v>
      </c>
      <c r="AE42" s="76">
        <v>28.78</v>
      </c>
      <c r="AF42" s="76">
        <f t="shared" si="10"/>
        <v>32.55666667</v>
      </c>
      <c r="AG42" s="76">
        <f t="shared" si="11"/>
        <v>35.21666667</v>
      </c>
      <c r="AH42" s="77">
        <f t="shared" si="12"/>
        <v>2113</v>
      </c>
      <c r="AI42" s="76">
        <f t="shared" si="13"/>
        <v>18.70666667</v>
      </c>
      <c r="AJ42" s="78">
        <f t="shared" si="14"/>
        <v>1.133050676</v>
      </c>
      <c r="AK42" s="45">
        <f t="shared" si="15"/>
        <v>2455.2</v>
      </c>
      <c r="AL42" s="79">
        <f t="shared" si="16"/>
        <v>1287.78</v>
      </c>
      <c r="AM42" s="60">
        <f t="shared" si="17"/>
        <v>1416.558</v>
      </c>
      <c r="AN42" s="79">
        <f t="shared" si="18"/>
        <v>1783.08</v>
      </c>
      <c r="AO42" s="78">
        <v>0.3</v>
      </c>
      <c r="AP42" s="78">
        <v>0.8</v>
      </c>
      <c r="AQ42" s="61">
        <f t="shared" si="19"/>
        <v>1961.388</v>
      </c>
      <c r="AR42" s="60">
        <f t="shared" si="20"/>
        <v>2050.542</v>
      </c>
      <c r="AS42" s="62">
        <f t="shared" si="21"/>
        <v>2255.5962</v>
      </c>
    </row>
    <row r="43" ht="15.75" customHeight="1">
      <c r="A43" s="63" t="s">
        <v>38</v>
      </c>
      <c r="B43" s="64" t="s">
        <v>49</v>
      </c>
      <c r="C43" s="39" t="s">
        <v>118</v>
      </c>
      <c r="D43" s="85" t="s">
        <v>119</v>
      </c>
      <c r="E43" s="66">
        <v>15.0</v>
      </c>
      <c r="F43" s="67">
        <f t="shared" si="1"/>
        <v>930</v>
      </c>
      <c r="G43" s="68"/>
      <c r="H43" s="44">
        <f t="shared" si="2"/>
        <v>1395</v>
      </c>
      <c r="I43" s="44">
        <f t="shared" si="3"/>
        <v>1674</v>
      </c>
      <c r="J43" s="45">
        <f t="shared" si="4"/>
        <v>2046</v>
      </c>
      <c r="K43" s="69" t="s">
        <v>42</v>
      </c>
      <c r="L43" s="47">
        <f t="shared" si="5"/>
        <v>855</v>
      </c>
      <c r="M43" s="48"/>
      <c r="N43" s="49"/>
      <c r="O43" s="48"/>
      <c r="P43" s="48"/>
      <c r="Q43" s="48"/>
      <c r="R43" s="48"/>
      <c r="S43" s="48"/>
      <c r="T43" s="48"/>
      <c r="U43" s="48"/>
      <c r="V43" s="50">
        <f t="shared" si="6"/>
        <v>930</v>
      </c>
      <c r="W43" s="70">
        <v>500.0</v>
      </c>
      <c r="X43" s="71">
        <f t="shared" si="7"/>
        <v>1430</v>
      </c>
      <c r="Y43" s="72">
        <f t="shared" si="8"/>
        <v>3146</v>
      </c>
      <c r="Z43" s="73">
        <v>1.6</v>
      </c>
      <c r="AA43" s="74">
        <v>16.6</v>
      </c>
      <c r="AB43" s="75">
        <f t="shared" si="9"/>
        <v>996</v>
      </c>
      <c r="AC43" s="76">
        <v>28.78</v>
      </c>
      <c r="AD43" s="76">
        <v>32.7</v>
      </c>
      <c r="AE43" s="76">
        <v>34.95</v>
      </c>
      <c r="AF43" s="76">
        <f t="shared" si="10"/>
        <v>32.14333333</v>
      </c>
      <c r="AG43" s="76">
        <f t="shared" si="11"/>
        <v>34.89333333</v>
      </c>
      <c r="AH43" s="77">
        <f t="shared" si="12"/>
        <v>2093.6</v>
      </c>
      <c r="AI43" s="76">
        <f t="shared" si="13"/>
        <v>18.29333333</v>
      </c>
      <c r="AJ43" s="78">
        <f t="shared" si="14"/>
        <v>1.102008032</v>
      </c>
      <c r="AK43" s="45">
        <f t="shared" si="15"/>
        <v>2455.2</v>
      </c>
      <c r="AL43" s="79">
        <f t="shared" si="16"/>
        <v>1294.8</v>
      </c>
      <c r="AM43" s="60">
        <f t="shared" si="17"/>
        <v>1424.28</v>
      </c>
      <c r="AN43" s="79">
        <f t="shared" si="18"/>
        <v>1792.8</v>
      </c>
      <c r="AO43" s="78">
        <v>0.3</v>
      </c>
      <c r="AP43" s="78">
        <v>0.8</v>
      </c>
      <c r="AQ43" s="61">
        <f t="shared" si="19"/>
        <v>1972.08</v>
      </c>
      <c r="AR43" s="60">
        <f t="shared" si="20"/>
        <v>2061.72</v>
      </c>
      <c r="AS43" s="62">
        <f t="shared" si="21"/>
        <v>2267.892</v>
      </c>
    </row>
    <row r="44" ht="15.75" customHeight="1">
      <c r="A44" s="63" t="s">
        <v>38</v>
      </c>
      <c r="B44" s="64" t="s">
        <v>49</v>
      </c>
      <c r="C44" s="39" t="s">
        <v>120</v>
      </c>
      <c r="D44" s="65" t="s">
        <v>121</v>
      </c>
      <c r="E44" s="66">
        <v>2.4</v>
      </c>
      <c r="F44" s="67">
        <f t="shared" si="1"/>
        <v>148.8</v>
      </c>
      <c r="G44" s="68"/>
      <c r="H44" s="44">
        <f t="shared" si="2"/>
        <v>223.2</v>
      </c>
      <c r="I44" s="44">
        <f t="shared" si="3"/>
        <v>267.84</v>
      </c>
      <c r="J44" s="45">
        <f t="shared" si="4"/>
        <v>327.36</v>
      </c>
      <c r="K44" s="69" t="s">
        <v>42</v>
      </c>
      <c r="L44" s="47">
        <f t="shared" si="5"/>
        <v>136.8</v>
      </c>
      <c r="M44" s="48"/>
      <c r="N44" s="49"/>
      <c r="O44" s="48"/>
      <c r="P44" s="48"/>
      <c r="Q44" s="48"/>
      <c r="R44" s="48"/>
      <c r="S44" s="48"/>
      <c r="T44" s="48"/>
      <c r="U44" s="48"/>
      <c r="V44" s="50">
        <f t="shared" si="6"/>
        <v>148.8</v>
      </c>
      <c r="W44" s="70">
        <v>500.0</v>
      </c>
      <c r="X44" s="71">
        <f t="shared" si="7"/>
        <v>648.8</v>
      </c>
      <c r="Y44" s="72">
        <f t="shared" si="8"/>
        <v>1427.36</v>
      </c>
      <c r="Z44" s="73">
        <v>0.24</v>
      </c>
      <c r="AA44" s="74">
        <v>10.24</v>
      </c>
      <c r="AB44" s="75">
        <f t="shared" si="9"/>
        <v>614.4</v>
      </c>
      <c r="AC44" s="76">
        <v>4.39</v>
      </c>
      <c r="AD44" s="76">
        <v>23.76</v>
      </c>
      <c r="AE44" s="76">
        <v>14.95</v>
      </c>
      <c r="AF44" s="76">
        <f t="shared" si="10"/>
        <v>14.36666667</v>
      </c>
      <c r="AG44" s="76">
        <f t="shared" si="11"/>
        <v>15.75666667</v>
      </c>
      <c r="AH44" s="77">
        <f t="shared" si="12"/>
        <v>945.4</v>
      </c>
      <c r="AI44" s="76">
        <f t="shared" si="13"/>
        <v>5.516666667</v>
      </c>
      <c r="AJ44" s="78">
        <f t="shared" si="14"/>
        <v>0.5387369792</v>
      </c>
      <c r="AK44" s="45">
        <f t="shared" si="15"/>
        <v>392.832</v>
      </c>
      <c r="AL44" s="79">
        <f t="shared" si="16"/>
        <v>737.28</v>
      </c>
      <c r="AM44" s="60">
        <f t="shared" si="17"/>
        <v>811.008</v>
      </c>
      <c r="AN44" s="79">
        <f t="shared" si="18"/>
        <v>829.44</v>
      </c>
      <c r="AO44" s="78">
        <v>0.2</v>
      </c>
      <c r="AP44" s="78">
        <v>0.35</v>
      </c>
      <c r="AQ44" s="61">
        <f t="shared" si="19"/>
        <v>912.384</v>
      </c>
      <c r="AR44" s="60">
        <f t="shared" si="20"/>
        <v>953.856</v>
      </c>
      <c r="AS44" s="62">
        <f t="shared" si="21"/>
        <v>1049.2416</v>
      </c>
    </row>
    <row r="45" ht="15.75" customHeight="1">
      <c r="A45" s="63" t="s">
        <v>38</v>
      </c>
      <c r="B45" s="64" t="s">
        <v>49</v>
      </c>
      <c r="C45" s="39" t="s">
        <v>122</v>
      </c>
      <c r="D45" s="65" t="s">
        <v>123</v>
      </c>
      <c r="E45" s="66">
        <v>36.0</v>
      </c>
      <c r="F45" s="67">
        <f t="shared" si="1"/>
        <v>2232</v>
      </c>
      <c r="G45" s="68"/>
      <c r="H45" s="44">
        <f t="shared" si="2"/>
        <v>3348</v>
      </c>
      <c r="I45" s="44">
        <f t="shared" si="3"/>
        <v>4017.6</v>
      </c>
      <c r="J45" s="45">
        <f t="shared" si="4"/>
        <v>4910.4</v>
      </c>
      <c r="K45" s="69" t="s">
        <v>42</v>
      </c>
      <c r="L45" s="47">
        <f t="shared" si="5"/>
        <v>2052</v>
      </c>
      <c r="M45" s="48"/>
      <c r="N45" s="49"/>
      <c r="O45" s="48"/>
      <c r="P45" s="48"/>
      <c r="Q45" s="48"/>
      <c r="R45" s="48"/>
      <c r="S45" s="48"/>
      <c r="T45" s="48"/>
      <c r="U45" s="48"/>
      <c r="V45" s="50">
        <f t="shared" si="6"/>
        <v>2232</v>
      </c>
      <c r="W45" s="70">
        <v>500.0</v>
      </c>
      <c r="X45" s="71">
        <f t="shared" si="7"/>
        <v>2732</v>
      </c>
      <c r="Y45" s="72">
        <f t="shared" si="8"/>
        <v>6010.4</v>
      </c>
      <c r="Z45" s="73">
        <v>3.61</v>
      </c>
      <c r="AA45" s="74">
        <v>39.61</v>
      </c>
      <c r="AB45" s="75">
        <f t="shared" si="9"/>
        <v>2376.6</v>
      </c>
      <c r="AC45" s="76">
        <v>70.39</v>
      </c>
      <c r="AD45" s="76">
        <v>98.14</v>
      </c>
      <c r="AE45" s="76">
        <v>96.8</v>
      </c>
      <c r="AF45" s="76">
        <f t="shared" si="10"/>
        <v>88.44333333</v>
      </c>
      <c r="AG45" s="76">
        <f t="shared" si="11"/>
        <v>93.20333333</v>
      </c>
      <c r="AH45" s="77">
        <f t="shared" si="12"/>
        <v>5592.2</v>
      </c>
      <c r="AI45" s="76">
        <f t="shared" si="13"/>
        <v>53.59333333</v>
      </c>
      <c r="AJ45" s="78">
        <f t="shared" si="14"/>
        <v>1.35302533</v>
      </c>
      <c r="AK45" s="45">
        <f t="shared" si="15"/>
        <v>5892.48</v>
      </c>
      <c r="AL45" s="79">
        <f t="shared" si="16"/>
        <v>3564.9</v>
      </c>
      <c r="AM45" s="60">
        <f t="shared" si="17"/>
        <v>3921.39</v>
      </c>
      <c r="AN45" s="79">
        <f t="shared" si="18"/>
        <v>4277.88</v>
      </c>
      <c r="AO45" s="78">
        <v>0.5</v>
      </c>
      <c r="AP45" s="78">
        <v>0.8</v>
      </c>
      <c r="AQ45" s="61">
        <f t="shared" si="19"/>
        <v>4705.668</v>
      </c>
      <c r="AR45" s="60">
        <f t="shared" si="20"/>
        <v>4919.562</v>
      </c>
      <c r="AS45" s="62">
        <f t="shared" si="21"/>
        <v>5411.5182</v>
      </c>
    </row>
    <row r="46" ht="15.75" customHeight="1">
      <c r="A46" s="63" t="s">
        <v>38</v>
      </c>
      <c r="B46" s="64" t="s">
        <v>49</v>
      </c>
      <c r="C46" s="39" t="s">
        <v>124</v>
      </c>
      <c r="D46" s="65" t="s">
        <v>123</v>
      </c>
      <c r="E46" s="66">
        <v>27.0</v>
      </c>
      <c r="F46" s="67">
        <f t="shared" si="1"/>
        <v>1674</v>
      </c>
      <c r="G46" s="68"/>
      <c r="H46" s="44">
        <f t="shared" si="2"/>
        <v>2511</v>
      </c>
      <c r="I46" s="44">
        <f t="shared" si="3"/>
        <v>3013.2</v>
      </c>
      <c r="J46" s="45">
        <f t="shared" si="4"/>
        <v>3682.8</v>
      </c>
      <c r="K46" s="69" t="s">
        <v>42</v>
      </c>
      <c r="L46" s="47">
        <f t="shared" si="5"/>
        <v>1539</v>
      </c>
      <c r="M46" s="48"/>
      <c r="N46" s="49"/>
      <c r="O46" s="48"/>
      <c r="P46" s="48"/>
      <c r="Q46" s="48"/>
      <c r="R46" s="48"/>
      <c r="S46" s="48"/>
      <c r="T46" s="48"/>
      <c r="U46" s="48"/>
      <c r="V46" s="50">
        <f t="shared" si="6"/>
        <v>1674</v>
      </c>
      <c r="W46" s="70">
        <v>500.0</v>
      </c>
      <c r="X46" s="71">
        <f t="shared" si="7"/>
        <v>2174</v>
      </c>
      <c r="Y46" s="72">
        <f t="shared" si="8"/>
        <v>4782.8</v>
      </c>
      <c r="Z46" s="73">
        <v>2.7</v>
      </c>
      <c r="AA46" s="74">
        <v>29.71</v>
      </c>
      <c r="AB46" s="75">
        <f t="shared" si="9"/>
        <v>1782.6</v>
      </c>
      <c r="AC46" s="76">
        <v>34.51</v>
      </c>
      <c r="AD46" s="76">
        <v>60.39</v>
      </c>
      <c r="AE46" s="76">
        <v>42.84</v>
      </c>
      <c r="AF46" s="76">
        <f t="shared" si="10"/>
        <v>45.91333333</v>
      </c>
      <c r="AG46" s="76">
        <f t="shared" si="11"/>
        <v>49.76333333</v>
      </c>
      <c r="AH46" s="77">
        <f t="shared" si="12"/>
        <v>2985.8</v>
      </c>
      <c r="AI46" s="76">
        <f t="shared" si="13"/>
        <v>20.05333333</v>
      </c>
      <c r="AJ46" s="78">
        <f t="shared" si="14"/>
        <v>0.6749691462</v>
      </c>
      <c r="AK46" s="45">
        <f t="shared" si="15"/>
        <v>4419.36</v>
      </c>
      <c r="AL46" s="79">
        <f t="shared" si="16"/>
        <v>2317.38</v>
      </c>
      <c r="AM46" s="60">
        <f t="shared" si="17"/>
        <v>2549.118</v>
      </c>
      <c r="AN46" s="79">
        <f t="shared" si="18"/>
        <v>2495.64</v>
      </c>
      <c r="AO46" s="78">
        <v>0.3</v>
      </c>
      <c r="AP46" s="78">
        <v>0.4</v>
      </c>
      <c r="AQ46" s="61">
        <f t="shared" si="19"/>
        <v>2745.204</v>
      </c>
      <c r="AR46" s="60">
        <f t="shared" si="20"/>
        <v>2869.986</v>
      </c>
      <c r="AS46" s="62">
        <f t="shared" si="21"/>
        <v>3156.9846</v>
      </c>
    </row>
    <row r="47" ht="15.75" customHeight="1">
      <c r="A47" s="63" t="s">
        <v>38</v>
      </c>
      <c r="B47" s="64" t="s">
        <v>49</v>
      </c>
      <c r="C47" s="39" t="s">
        <v>125</v>
      </c>
      <c r="D47" s="65" t="s">
        <v>126</v>
      </c>
      <c r="E47" s="66">
        <v>21.0</v>
      </c>
      <c r="F47" s="67">
        <f t="shared" si="1"/>
        <v>1302</v>
      </c>
      <c r="G47" s="68"/>
      <c r="H47" s="44">
        <f t="shared" si="2"/>
        <v>1953</v>
      </c>
      <c r="I47" s="44">
        <f t="shared" si="3"/>
        <v>2343.6</v>
      </c>
      <c r="J47" s="45">
        <f t="shared" si="4"/>
        <v>2864.4</v>
      </c>
      <c r="K47" s="69" t="s">
        <v>42</v>
      </c>
      <c r="L47" s="47">
        <f t="shared" si="5"/>
        <v>1197</v>
      </c>
      <c r="M47" s="48"/>
      <c r="N47" s="49"/>
      <c r="O47" s="48"/>
      <c r="P47" s="48"/>
      <c r="Q47" s="48"/>
      <c r="R47" s="48"/>
      <c r="S47" s="48"/>
      <c r="T47" s="48"/>
      <c r="U47" s="48"/>
      <c r="V47" s="50">
        <f t="shared" si="6"/>
        <v>1302</v>
      </c>
      <c r="W47" s="70">
        <v>500.0</v>
      </c>
      <c r="X47" s="71">
        <f t="shared" si="7"/>
        <v>1802</v>
      </c>
      <c r="Y47" s="72">
        <f t="shared" si="8"/>
        <v>3964.4</v>
      </c>
      <c r="Z47" s="73">
        <v>2.11</v>
      </c>
      <c r="AA47" s="74">
        <v>23.11</v>
      </c>
      <c r="AB47" s="75">
        <f t="shared" si="9"/>
        <v>1386.6</v>
      </c>
      <c r="AC47" s="76">
        <v>40.12</v>
      </c>
      <c r="AD47" s="76">
        <v>45.97</v>
      </c>
      <c r="AE47" s="76">
        <v>36.1</v>
      </c>
      <c r="AF47" s="76">
        <f t="shared" si="10"/>
        <v>40.73</v>
      </c>
      <c r="AG47" s="76">
        <f t="shared" si="11"/>
        <v>43.99</v>
      </c>
      <c r="AH47" s="77">
        <f t="shared" si="12"/>
        <v>2639.4</v>
      </c>
      <c r="AI47" s="76">
        <f t="shared" si="13"/>
        <v>20.88</v>
      </c>
      <c r="AJ47" s="78">
        <f t="shared" si="14"/>
        <v>0.9035049762</v>
      </c>
      <c r="AK47" s="45">
        <f t="shared" si="15"/>
        <v>3437.28</v>
      </c>
      <c r="AL47" s="79">
        <f t="shared" si="16"/>
        <v>1802.58</v>
      </c>
      <c r="AM47" s="60">
        <f t="shared" si="17"/>
        <v>1982.838</v>
      </c>
      <c r="AN47" s="79">
        <f t="shared" si="18"/>
        <v>2357.22</v>
      </c>
      <c r="AO47" s="78">
        <v>0.3</v>
      </c>
      <c r="AP47" s="78">
        <v>0.7</v>
      </c>
      <c r="AQ47" s="61">
        <f t="shared" si="19"/>
        <v>2592.942</v>
      </c>
      <c r="AR47" s="60">
        <f t="shared" si="20"/>
        <v>2710.803</v>
      </c>
      <c r="AS47" s="62">
        <f t="shared" si="21"/>
        <v>2981.8833</v>
      </c>
    </row>
    <row r="48" ht="15.75" customHeight="1">
      <c r="A48" s="63" t="s">
        <v>38</v>
      </c>
      <c r="B48" s="64" t="s">
        <v>49</v>
      </c>
      <c r="C48" s="39" t="s">
        <v>125</v>
      </c>
      <c r="D48" s="65" t="s">
        <v>127</v>
      </c>
      <c r="E48" s="66">
        <v>21.0</v>
      </c>
      <c r="F48" s="67">
        <f t="shared" si="1"/>
        <v>1302</v>
      </c>
      <c r="G48" s="68"/>
      <c r="H48" s="44">
        <f t="shared" si="2"/>
        <v>1953</v>
      </c>
      <c r="I48" s="44">
        <f t="shared" si="3"/>
        <v>2343.6</v>
      </c>
      <c r="J48" s="45">
        <f t="shared" si="4"/>
        <v>2864.4</v>
      </c>
      <c r="K48" s="69" t="s">
        <v>42</v>
      </c>
      <c r="L48" s="47">
        <f t="shared" si="5"/>
        <v>1197</v>
      </c>
      <c r="M48" s="48"/>
      <c r="N48" s="49">
        <v>2.0</v>
      </c>
      <c r="O48" s="48"/>
      <c r="P48" s="48"/>
      <c r="Q48" s="48"/>
      <c r="R48" s="48"/>
      <c r="S48" s="48"/>
      <c r="T48" s="48"/>
      <c r="U48" s="48">
        <v>310.59</v>
      </c>
      <c r="V48" s="50">
        <f t="shared" si="6"/>
        <v>1612.59</v>
      </c>
      <c r="W48" s="70">
        <v>500.0</v>
      </c>
      <c r="X48" s="71">
        <f t="shared" si="7"/>
        <v>1802</v>
      </c>
      <c r="Y48" s="72">
        <f t="shared" si="8"/>
        <v>3964.4</v>
      </c>
      <c r="Z48" s="73">
        <v>2.11</v>
      </c>
      <c r="AA48" s="74">
        <v>23.11</v>
      </c>
      <c r="AB48" s="75">
        <f t="shared" si="9"/>
        <v>1386.6</v>
      </c>
      <c r="AC48" s="76">
        <v>46.25</v>
      </c>
      <c r="AD48" s="76">
        <v>96.8</v>
      </c>
      <c r="AE48" s="76">
        <v>53.0</v>
      </c>
      <c r="AF48" s="76">
        <f t="shared" si="10"/>
        <v>65.35</v>
      </c>
      <c r="AG48" s="76">
        <f t="shared" si="11"/>
        <v>68.61</v>
      </c>
      <c r="AH48" s="77">
        <f t="shared" si="12"/>
        <v>4116.6</v>
      </c>
      <c r="AI48" s="76">
        <f t="shared" si="13"/>
        <v>45.5</v>
      </c>
      <c r="AJ48" s="78">
        <f t="shared" si="14"/>
        <v>1.968844656</v>
      </c>
      <c r="AK48" s="45">
        <f t="shared" si="15"/>
        <v>3437.28</v>
      </c>
      <c r="AL48" s="79">
        <f t="shared" si="16"/>
        <v>2079.9</v>
      </c>
      <c r="AM48" s="60">
        <f t="shared" si="17"/>
        <v>2287.89</v>
      </c>
      <c r="AN48" s="79">
        <f t="shared" si="18"/>
        <v>2773.2</v>
      </c>
      <c r="AO48" s="78">
        <v>0.5</v>
      </c>
      <c r="AP48" s="78">
        <v>1.0</v>
      </c>
      <c r="AQ48" s="61">
        <f t="shared" si="19"/>
        <v>3050.52</v>
      </c>
      <c r="AR48" s="60">
        <f t="shared" si="20"/>
        <v>3189.18</v>
      </c>
      <c r="AS48" s="62">
        <f t="shared" si="21"/>
        <v>3508.098</v>
      </c>
    </row>
    <row r="49" ht="15.75" customHeight="1">
      <c r="A49" s="63" t="s">
        <v>38</v>
      </c>
      <c r="B49" s="64" t="s">
        <v>49</v>
      </c>
      <c r="C49" s="39" t="s">
        <v>128</v>
      </c>
      <c r="D49" s="85" t="s">
        <v>129</v>
      </c>
      <c r="E49" s="66">
        <v>63.6</v>
      </c>
      <c r="F49" s="67">
        <f t="shared" si="1"/>
        <v>3943.2</v>
      </c>
      <c r="G49" s="68"/>
      <c r="H49" s="44">
        <f t="shared" si="2"/>
        <v>5914.8</v>
      </c>
      <c r="I49" s="44">
        <f t="shared" si="3"/>
        <v>7097.76</v>
      </c>
      <c r="J49" s="45">
        <f t="shared" si="4"/>
        <v>8675.04</v>
      </c>
      <c r="K49" s="69" t="s">
        <v>42</v>
      </c>
      <c r="L49" s="47">
        <f t="shared" si="5"/>
        <v>3625.2</v>
      </c>
      <c r="M49" s="48"/>
      <c r="N49" s="49"/>
      <c r="O49" s="48"/>
      <c r="P49" s="48"/>
      <c r="Q49" s="48"/>
      <c r="R49" s="48"/>
      <c r="S49" s="48"/>
      <c r="T49" s="48"/>
      <c r="U49" s="48"/>
      <c r="V49" s="50">
        <f t="shared" si="6"/>
        <v>3943.2</v>
      </c>
      <c r="W49" s="70">
        <v>500.0</v>
      </c>
      <c r="X49" s="71">
        <f t="shared" si="7"/>
        <v>4443.2</v>
      </c>
      <c r="Y49" s="72">
        <f t="shared" si="8"/>
        <v>9775.04</v>
      </c>
      <c r="Z49" s="73">
        <v>6.34</v>
      </c>
      <c r="AA49" s="74">
        <v>69.5</v>
      </c>
      <c r="AB49" s="75">
        <f t="shared" si="9"/>
        <v>4170</v>
      </c>
      <c r="AC49" s="76">
        <v>134.68</v>
      </c>
      <c r="AD49" s="76">
        <v>134.68</v>
      </c>
      <c r="AE49" s="76">
        <v>190.27</v>
      </c>
      <c r="AF49" s="76">
        <f t="shared" si="10"/>
        <v>153.21</v>
      </c>
      <c r="AG49" s="76">
        <f t="shared" si="11"/>
        <v>160.7</v>
      </c>
      <c r="AH49" s="77">
        <f t="shared" si="12"/>
        <v>9642</v>
      </c>
      <c r="AI49" s="76">
        <f t="shared" si="13"/>
        <v>91.2</v>
      </c>
      <c r="AJ49" s="78">
        <f t="shared" si="14"/>
        <v>1.312230216</v>
      </c>
      <c r="AK49" s="45">
        <f t="shared" si="15"/>
        <v>10410.048</v>
      </c>
      <c r="AL49" s="79">
        <f t="shared" si="16"/>
        <v>5838</v>
      </c>
      <c r="AM49" s="60">
        <f t="shared" si="17"/>
        <v>6421.8</v>
      </c>
      <c r="AN49" s="79">
        <f t="shared" si="18"/>
        <v>7923</v>
      </c>
      <c r="AO49" s="78">
        <v>0.4</v>
      </c>
      <c r="AP49" s="78">
        <v>0.9</v>
      </c>
      <c r="AQ49" s="61">
        <f t="shared" si="19"/>
        <v>8715.3</v>
      </c>
      <c r="AR49" s="60">
        <f t="shared" si="20"/>
        <v>9111.45</v>
      </c>
      <c r="AS49" s="62">
        <f t="shared" si="21"/>
        <v>10022.595</v>
      </c>
    </row>
    <row r="50" ht="15.75" customHeight="1">
      <c r="A50" s="63" t="s">
        <v>38</v>
      </c>
      <c r="B50" s="64" t="s">
        <v>49</v>
      </c>
      <c r="C50" s="39" t="s">
        <v>130</v>
      </c>
      <c r="D50" s="65" t="s">
        <v>129</v>
      </c>
      <c r="E50" s="66">
        <v>51.6</v>
      </c>
      <c r="F50" s="67">
        <f t="shared" si="1"/>
        <v>3199.2</v>
      </c>
      <c r="G50" s="68"/>
      <c r="H50" s="44">
        <f t="shared" si="2"/>
        <v>4798.8</v>
      </c>
      <c r="I50" s="44">
        <f t="shared" si="3"/>
        <v>5758.56</v>
      </c>
      <c r="J50" s="45">
        <f t="shared" si="4"/>
        <v>7038.24</v>
      </c>
      <c r="K50" s="69" t="s">
        <v>42</v>
      </c>
      <c r="L50" s="47">
        <f t="shared" si="5"/>
        <v>2941.2</v>
      </c>
      <c r="M50" s="48"/>
      <c r="N50" s="49"/>
      <c r="O50" s="48"/>
      <c r="P50" s="48"/>
      <c r="Q50" s="48"/>
      <c r="R50" s="48"/>
      <c r="S50" s="48"/>
      <c r="T50" s="48"/>
      <c r="U50" s="48"/>
      <c r="V50" s="50">
        <f t="shared" si="6"/>
        <v>3199.2</v>
      </c>
      <c r="W50" s="70">
        <v>500.0</v>
      </c>
      <c r="X50" s="71">
        <f t="shared" si="7"/>
        <v>3699.2</v>
      </c>
      <c r="Y50" s="72">
        <f t="shared" si="8"/>
        <v>8138.24</v>
      </c>
      <c r="Z50" s="73">
        <v>5.37</v>
      </c>
      <c r="AA50" s="74">
        <v>56.97</v>
      </c>
      <c r="AB50" s="75">
        <f t="shared" si="9"/>
        <v>3418.2</v>
      </c>
      <c r="AC50" s="76">
        <v>103.0</v>
      </c>
      <c r="AD50" s="76">
        <v>102.0</v>
      </c>
      <c r="AE50" s="76">
        <v>104.0</v>
      </c>
      <c r="AF50" s="76">
        <f t="shared" si="10"/>
        <v>103</v>
      </c>
      <c r="AG50" s="76">
        <f t="shared" si="11"/>
        <v>109.52</v>
      </c>
      <c r="AH50" s="77">
        <f t="shared" si="12"/>
        <v>6571.2</v>
      </c>
      <c r="AI50" s="76">
        <f t="shared" si="13"/>
        <v>52.55</v>
      </c>
      <c r="AJ50" s="78">
        <f t="shared" si="14"/>
        <v>0.9224153063</v>
      </c>
      <c r="AK50" s="45">
        <f t="shared" si="15"/>
        <v>8445.888</v>
      </c>
      <c r="AL50" s="79">
        <f t="shared" si="16"/>
        <v>4443.66</v>
      </c>
      <c r="AM50" s="60">
        <f t="shared" si="17"/>
        <v>4888.026</v>
      </c>
      <c r="AN50" s="79">
        <f t="shared" si="18"/>
        <v>5810.94</v>
      </c>
      <c r="AO50" s="78">
        <v>0.3</v>
      </c>
      <c r="AP50" s="78">
        <v>0.7</v>
      </c>
      <c r="AQ50" s="61">
        <f t="shared" si="19"/>
        <v>6392.034</v>
      </c>
      <c r="AR50" s="60">
        <f t="shared" si="20"/>
        <v>6682.581</v>
      </c>
      <c r="AS50" s="62">
        <f t="shared" si="21"/>
        <v>7350.8391</v>
      </c>
    </row>
    <row r="51" ht="15.75" customHeight="1">
      <c r="A51" s="63" t="s">
        <v>38</v>
      </c>
      <c r="B51" s="64" t="s">
        <v>49</v>
      </c>
      <c r="C51" s="39" t="s">
        <v>131</v>
      </c>
      <c r="D51" s="65" t="s">
        <v>132</v>
      </c>
      <c r="E51" s="66">
        <v>24.0</v>
      </c>
      <c r="F51" s="67">
        <f t="shared" si="1"/>
        <v>1488</v>
      </c>
      <c r="G51" s="68"/>
      <c r="H51" s="44">
        <f t="shared" si="2"/>
        <v>2232</v>
      </c>
      <c r="I51" s="44">
        <f t="shared" si="3"/>
        <v>2678.4</v>
      </c>
      <c r="J51" s="45">
        <f t="shared" si="4"/>
        <v>3273.6</v>
      </c>
      <c r="K51" s="69" t="s">
        <v>42</v>
      </c>
      <c r="L51" s="47">
        <f t="shared" si="5"/>
        <v>1368</v>
      </c>
      <c r="M51" s="48"/>
      <c r="N51" s="49"/>
      <c r="O51" s="48"/>
      <c r="P51" s="48"/>
      <c r="Q51" s="48"/>
      <c r="R51" s="48"/>
      <c r="S51" s="48"/>
      <c r="T51" s="48"/>
      <c r="U51" s="48"/>
      <c r="V51" s="50">
        <f t="shared" si="6"/>
        <v>1488</v>
      </c>
      <c r="W51" s="70">
        <v>500.0</v>
      </c>
      <c r="X51" s="71">
        <f t="shared" si="7"/>
        <v>1988</v>
      </c>
      <c r="Y51" s="72">
        <f t="shared" si="8"/>
        <v>4373.6</v>
      </c>
      <c r="Z51" s="73">
        <v>2.41</v>
      </c>
      <c r="AA51" s="74">
        <v>26.41</v>
      </c>
      <c r="AB51" s="75">
        <f t="shared" si="9"/>
        <v>1584.6</v>
      </c>
      <c r="AC51" s="76">
        <v>50.0</v>
      </c>
      <c r="AD51" s="76">
        <v>55.0</v>
      </c>
      <c r="AE51" s="76">
        <v>61.54</v>
      </c>
      <c r="AF51" s="76">
        <f t="shared" si="10"/>
        <v>55.51333333</v>
      </c>
      <c r="AG51" s="76">
        <f t="shared" si="11"/>
        <v>59.07333333</v>
      </c>
      <c r="AH51" s="77">
        <f t="shared" si="12"/>
        <v>3544.4</v>
      </c>
      <c r="AI51" s="76">
        <f t="shared" si="13"/>
        <v>32.66333333</v>
      </c>
      <c r="AJ51" s="78">
        <f t="shared" si="14"/>
        <v>1.236778998</v>
      </c>
      <c r="AK51" s="45">
        <f t="shared" si="15"/>
        <v>3928.32</v>
      </c>
      <c r="AL51" s="79">
        <f t="shared" si="16"/>
        <v>2218.44</v>
      </c>
      <c r="AM51" s="60">
        <f t="shared" si="17"/>
        <v>2440.284</v>
      </c>
      <c r="AN51" s="79">
        <f t="shared" si="18"/>
        <v>2852.28</v>
      </c>
      <c r="AO51" s="78">
        <v>0.4</v>
      </c>
      <c r="AP51" s="78">
        <v>0.8</v>
      </c>
      <c r="AQ51" s="61">
        <f t="shared" si="19"/>
        <v>3137.508</v>
      </c>
      <c r="AR51" s="60">
        <f t="shared" si="20"/>
        <v>3280.122</v>
      </c>
      <c r="AS51" s="62">
        <f t="shared" si="21"/>
        <v>3608.1342</v>
      </c>
    </row>
    <row r="52" ht="15.75" customHeight="1">
      <c r="A52" s="63" t="s">
        <v>38</v>
      </c>
      <c r="B52" s="64" t="s">
        <v>49</v>
      </c>
      <c r="C52" s="39" t="s">
        <v>133</v>
      </c>
      <c r="D52" s="65" t="s">
        <v>134</v>
      </c>
      <c r="E52" s="66">
        <v>75.0</v>
      </c>
      <c r="F52" s="67">
        <f t="shared" si="1"/>
        <v>4650</v>
      </c>
      <c r="G52" s="68"/>
      <c r="H52" s="44">
        <f t="shared" si="2"/>
        <v>6975</v>
      </c>
      <c r="I52" s="44">
        <f t="shared" si="3"/>
        <v>8370</v>
      </c>
      <c r="J52" s="45">
        <f t="shared" si="4"/>
        <v>10230</v>
      </c>
      <c r="K52" s="69" t="s">
        <v>42</v>
      </c>
      <c r="L52" s="47">
        <f t="shared" si="5"/>
        <v>4275</v>
      </c>
      <c r="M52" s="48"/>
      <c r="N52" s="49">
        <v>2.0</v>
      </c>
      <c r="O52" s="48"/>
      <c r="P52" s="48"/>
      <c r="Q52" s="48"/>
      <c r="R52" s="48"/>
      <c r="S52" s="48"/>
      <c r="T52" s="48"/>
      <c r="U52" s="48">
        <v>310.59</v>
      </c>
      <c r="V52" s="50">
        <f t="shared" si="6"/>
        <v>4960.59</v>
      </c>
      <c r="W52" s="70">
        <v>500.0</v>
      </c>
      <c r="X52" s="71">
        <f t="shared" si="7"/>
        <v>5150</v>
      </c>
      <c r="Y52" s="72">
        <f t="shared" si="8"/>
        <v>11330</v>
      </c>
      <c r="Z52" s="73">
        <v>7.53</v>
      </c>
      <c r="AA52" s="74">
        <v>82.53</v>
      </c>
      <c r="AB52" s="75">
        <f t="shared" si="9"/>
        <v>4951.8</v>
      </c>
      <c r="AC52" s="76">
        <v>150.0</v>
      </c>
      <c r="AD52" s="76">
        <v>175.0</v>
      </c>
      <c r="AE52" s="76">
        <v>204.9</v>
      </c>
      <c r="AF52" s="76">
        <f t="shared" si="10"/>
        <v>176.6333333</v>
      </c>
      <c r="AG52" s="76">
        <f t="shared" si="11"/>
        <v>185.3133333</v>
      </c>
      <c r="AH52" s="77">
        <f t="shared" si="12"/>
        <v>11118.8</v>
      </c>
      <c r="AI52" s="76">
        <f t="shared" si="13"/>
        <v>102.7833333</v>
      </c>
      <c r="AJ52" s="78">
        <f t="shared" si="14"/>
        <v>1.245405711</v>
      </c>
      <c r="AK52" s="45">
        <f t="shared" si="15"/>
        <v>12276</v>
      </c>
      <c r="AL52" s="79">
        <f t="shared" si="16"/>
        <v>6932.52</v>
      </c>
      <c r="AM52" s="60">
        <f t="shared" si="17"/>
        <v>7625.772</v>
      </c>
      <c r="AN52" s="79">
        <f t="shared" si="18"/>
        <v>8913.24</v>
      </c>
      <c r="AO52" s="78">
        <v>0.4</v>
      </c>
      <c r="AP52" s="78">
        <v>0.8</v>
      </c>
      <c r="AQ52" s="61">
        <f t="shared" si="19"/>
        <v>9804.564</v>
      </c>
      <c r="AR52" s="60">
        <f t="shared" si="20"/>
        <v>10250.226</v>
      </c>
      <c r="AS52" s="62">
        <f t="shared" si="21"/>
        <v>11275.2486</v>
      </c>
    </row>
    <row r="53" ht="15.75" customHeight="1">
      <c r="A53" s="63" t="s">
        <v>38</v>
      </c>
      <c r="B53" s="64" t="s">
        <v>49</v>
      </c>
      <c r="C53" s="39" t="s">
        <v>135</v>
      </c>
      <c r="D53" s="65" t="s">
        <v>136</v>
      </c>
      <c r="E53" s="66">
        <v>12.0</v>
      </c>
      <c r="F53" s="67">
        <f t="shared" si="1"/>
        <v>744</v>
      </c>
      <c r="G53" s="68"/>
      <c r="H53" s="44">
        <f t="shared" si="2"/>
        <v>1116</v>
      </c>
      <c r="I53" s="44">
        <f t="shared" si="3"/>
        <v>1339.2</v>
      </c>
      <c r="J53" s="45">
        <f t="shared" si="4"/>
        <v>1636.8</v>
      </c>
      <c r="K53" s="69" t="s">
        <v>42</v>
      </c>
      <c r="L53" s="47">
        <f t="shared" si="5"/>
        <v>684</v>
      </c>
      <c r="M53" s="48"/>
      <c r="N53" s="49">
        <v>1.0</v>
      </c>
      <c r="O53" s="48"/>
      <c r="P53" s="48"/>
      <c r="Q53" s="48"/>
      <c r="R53" s="48"/>
      <c r="S53" s="48"/>
      <c r="T53" s="48"/>
      <c r="U53" s="48">
        <v>310.59</v>
      </c>
      <c r="V53" s="50">
        <f t="shared" si="6"/>
        <v>1054.59</v>
      </c>
      <c r="W53" s="70">
        <v>500.0</v>
      </c>
      <c r="X53" s="71">
        <f t="shared" si="7"/>
        <v>1244</v>
      </c>
      <c r="Y53" s="72">
        <f t="shared" si="8"/>
        <v>2736.8</v>
      </c>
      <c r="Z53" s="73">
        <v>1.2</v>
      </c>
      <c r="AA53" s="74">
        <v>13.2</v>
      </c>
      <c r="AB53" s="75">
        <f t="shared" si="9"/>
        <v>792</v>
      </c>
      <c r="AC53" s="76">
        <v>24.0</v>
      </c>
      <c r="AD53" s="76">
        <v>20.0</v>
      </c>
      <c r="AE53" s="76">
        <v>30.0</v>
      </c>
      <c r="AF53" s="76">
        <f t="shared" si="10"/>
        <v>24.66666667</v>
      </c>
      <c r="AG53" s="76">
        <f t="shared" si="11"/>
        <v>27.01666667</v>
      </c>
      <c r="AH53" s="77">
        <f t="shared" si="12"/>
        <v>1621</v>
      </c>
      <c r="AI53" s="76">
        <f t="shared" si="13"/>
        <v>13.81666667</v>
      </c>
      <c r="AJ53" s="78">
        <f t="shared" si="14"/>
        <v>1.046717172</v>
      </c>
      <c r="AK53" s="45">
        <f t="shared" si="15"/>
        <v>1964.16</v>
      </c>
      <c r="AL53" s="79">
        <f t="shared" si="16"/>
        <v>1029.6</v>
      </c>
      <c r="AM53" s="60">
        <f t="shared" si="17"/>
        <v>1132.56</v>
      </c>
      <c r="AN53" s="79">
        <f t="shared" si="18"/>
        <v>1346.4</v>
      </c>
      <c r="AO53" s="78">
        <v>0.3</v>
      </c>
      <c r="AP53" s="78">
        <v>0.7</v>
      </c>
      <c r="AQ53" s="61">
        <f t="shared" si="19"/>
        <v>1481.04</v>
      </c>
      <c r="AR53" s="60">
        <f t="shared" si="20"/>
        <v>1548.36</v>
      </c>
      <c r="AS53" s="62">
        <f t="shared" si="21"/>
        <v>1703.196</v>
      </c>
    </row>
    <row r="54" ht="15.75" customHeight="1">
      <c r="A54" s="63" t="s">
        <v>38</v>
      </c>
      <c r="B54" s="64" t="s">
        <v>49</v>
      </c>
      <c r="C54" s="39" t="s">
        <v>137</v>
      </c>
      <c r="D54" s="65" t="s">
        <v>138</v>
      </c>
      <c r="E54" s="66">
        <v>12.0</v>
      </c>
      <c r="F54" s="67">
        <f t="shared" si="1"/>
        <v>744</v>
      </c>
      <c r="G54" s="68"/>
      <c r="H54" s="44">
        <f t="shared" si="2"/>
        <v>1116</v>
      </c>
      <c r="I54" s="44">
        <f t="shared" si="3"/>
        <v>1339.2</v>
      </c>
      <c r="J54" s="45">
        <f t="shared" si="4"/>
        <v>1636.8</v>
      </c>
      <c r="K54" s="69" t="s">
        <v>42</v>
      </c>
      <c r="L54" s="47">
        <f t="shared" si="5"/>
        <v>684</v>
      </c>
      <c r="M54" s="48"/>
      <c r="N54" s="49"/>
      <c r="O54" s="48"/>
      <c r="P54" s="48"/>
      <c r="Q54" s="48"/>
      <c r="R54" s="48"/>
      <c r="S54" s="48"/>
      <c r="T54" s="48"/>
      <c r="U54" s="48"/>
      <c r="V54" s="50">
        <f t="shared" si="6"/>
        <v>744</v>
      </c>
      <c r="W54" s="70">
        <v>500.0</v>
      </c>
      <c r="X54" s="71">
        <f t="shared" si="7"/>
        <v>1244</v>
      </c>
      <c r="Y54" s="72">
        <f t="shared" si="8"/>
        <v>2736.8</v>
      </c>
      <c r="Z54" s="73">
        <v>1.07</v>
      </c>
      <c r="AA54" s="74">
        <v>13.07</v>
      </c>
      <c r="AB54" s="75">
        <f t="shared" si="9"/>
        <v>784.2</v>
      </c>
      <c r="AC54" s="76">
        <v>30.0</v>
      </c>
      <c r="AD54" s="76">
        <v>24.0</v>
      </c>
      <c r="AE54" s="76">
        <v>20.0</v>
      </c>
      <c r="AF54" s="76">
        <f t="shared" si="10"/>
        <v>24.66666667</v>
      </c>
      <c r="AG54" s="76">
        <f t="shared" si="11"/>
        <v>26.88666667</v>
      </c>
      <c r="AH54" s="77">
        <f t="shared" si="12"/>
        <v>1613.2</v>
      </c>
      <c r="AI54" s="76">
        <f t="shared" si="13"/>
        <v>13.81666667</v>
      </c>
      <c r="AJ54" s="78">
        <f t="shared" si="14"/>
        <v>1.057128284</v>
      </c>
      <c r="AK54" s="45">
        <f t="shared" si="15"/>
        <v>1964.16</v>
      </c>
      <c r="AL54" s="79">
        <f t="shared" si="16"/>
        <v>1019.46</v>
      </c>
      <c r="AM54" s="60">
        <f t="shared" si="17"/>
        <v>1121.406</v>
      </c>
      <c r="AN54" s="79">
        <f t="shared" si="18"/>
        <v>1333.14</v>
      </c>
      <c r="AO54" s="78">
        <v>0.3</v>
      </c>
      <c r="AP54" s="78">
        <v>0.7</v>
      </c>
      <c r="AQ54" s="61">
        <f t="shared" si="19"/>
        <v>1466.454</v>
      </c>
      <c r="AR54" s="60">
        <f t="shared" si="20"/>
        <v>1533.111</v>
      </c>
      <c r="AS54" s="62">
        <f t="shared" si="21"/>
        <v>1686.4221</v>
      </c>
    </row>
    <row r="55" ht="15.75" customHeight="1">
      <c r="A55" s="63" t="s">
        <v>38</v>
      </c>
      <c r="B55" s="64" t="s">
        <v>49</v>
      </c>
      <c r="C55" s="87" t="s">
        <v>139</v>
      </c>
      <c r="D55" s="65" t="s">
        <v>136</v>
      </c>
      <c r="E55" s="88">
        <v>12.0</v>
      </c>
      <c r="F55" s="67">
        <f t="shared" si="1"/>
        <v>744</v>
      </c>
      <c r="G55" s="89"/>
      <c r="H55" s="90">
        <f t="shared" si="2"/>
        <v>1116</v>
      </c>
      <c r="I55" s="90">
        <f t="shared" si="3"/>
        <v>1339.2</v>
      </c>
      <c r="J55" s="91">
        <f t="shared" si="4"/>
        <v>1636.8</v>
      </c>
      <c r="K55" s="92" t="s">
        <v>42</v>
      </c>
      <c r="L55" s="93">
        <f t="shared" si="5"/>
        <v>684</v>
      </c>
      <c r="M55" s="92"/>
      <c r="N55" s="94">
        <v>3.0</v>
      </c>
      <c r="O55" s="92"/>
      <c r="P55" s="92"/>
      <c r="Q55" s="92"/>
      <c r="R55" s="92"/>
      <c r="S55" s="92"/>
      <c r="T55" s="92"/>
      <c r="U55" s="92">
        <v>310.59</v>
      </c>
      <c r="V55" s="71">
        <f t="shared" si="6"/>
        <v>1054.59</v>
      </c>
      <c r="W55" s="70">
        <v>500.0</v>
      </c>
      <c r="X55" s="71">
        <f t="shared" si="7"/>
        <v>1244</v>
      </c>
      <c r="Y55" s="95">
        <f t="shared" si="8"/>
        <v>2736.8</v>
      </c>
      <c r="Z55" s="73">
        <v>1.07</v>
      </c>
      <c r="AA55" s="74">
        <v>13.07</v>
      </c>
      <c r="AB55" s="75">
        <f t="shared" si="9"/>
        <v>784.2</v>
      </c>
      <c r="AC55" s="76">
        <v>20.0</v>
      </c>
      <c r="AD55" s="76">
        <v>30.0</v>
      </c>
      <c r="AE55" s="76">
        <v>24.0</v>
      </c>
      <c r="AF55" s="76">
        <f t="shared" si="10"/>
        <v>24.66666667</v>
      </c>
      <c r="AG55" s="76">
        <f t="shared" si="11"/>
        <v>26.88666667</v>
      </c>
      <c r="AH55" s="77">
        <f t="shared" si="12"/>
        <v>1613.2</v>
      </c>
      <c r="AI55" s="76">
        <f t="shared" si="13"/>
        <v>13.81666667</v>
      </c>
      <c r="AJ55" s="78">
        <f t="shared" si="14"/>
        <v>1.057128284</v>
      </c>
      <c r="AK55" s="91">
        <f t="shared" si="15"/>
        <v>1964.16</v>
      </c>
      <c r="AL55" s="79">
        <f t="shared" si="16"/>
        <v>1019.46</v>
      </c>
      <c r="AM55" s="79">
        <f t="shared" si="17"/>
        <v>1121.406</v>
      </c>
      <c r="AN55" s="79">
        <f t="shared" si="18"/>
        <v>1333.14</v>
      </c>
      <c r="AO55" s="78">
        <v>0.3</v>
      </c>
      <c r="AP55" s="78">
        <v>0.7</v>
      </c>
      <c r="AQ55" s="96">
        <f t="shared" si="19"/>
        <v>1466.454</v>
      </c>
      <c r="AR55" s="79">
        <f t="shared" si="20"/>
        <v>1533.111</v>
      </c>
      <c r="AS55" s="97">
        <f t="shared" si="21"/>
        <v>1686.4221</v>
      </c>
    </row>
    <row r="56" ht="15.75" customHeight="1">
      <c r="A56" s="98"/>
      <c r="B56" s="99"/>
      <c r="C56" s="100"/>
      <c r="D56" s="101"/>
      <c r="E56" s="102"/>
      <c r="F56" s="103">
        <f t="shared" si="1"/>
        <v>0</v>
      </c>
      <c r="G56" s="104"/>
      <c r="H56" s="104"/>
      <c r="I56" s="104"/>
      <c r="J56" s="105">
        <f t="shared" si="4"/>
        <v>0</v>
      </c>
      <c r="K56" s="48" t="s">
        <v>42</v>
      </c>
      <c r="L56" s="47">
        <f t="shared" si="5"/>
        <v>0</v>
      </c>
      <c r="M56" s="48"/>
      <c r="N56" s="49"/>
      <c r="O56" s="48"/>
      <c r="P56" s="48"/>
      <c r="Q56" s="48"/>
      <c r="R56" s="48"/>
      <c r="S56" s="48"/>
      <c r="T56" s="48"/>
      <c r="U56" s="48"/>
      <c r="V56" s="48"/>
      <c r="W56" s="106"/>
      <c r="X56" s="50">
        <f t="shared" si="7"/>
        <v>0</v>
      </c>
      <c r="Y56" s="107">
        <f t="shared" si="8"/>
        <v>0</v>
      </c>
      <c r="Z56" s="108"/>
      <c r="AA56" s="109"/>
      <c r="AB56" s="110"/>
      <c r="AC56" s="84"/>
      <c r="AD56" s="84"/>
      <c r="AE56" s="84"/>
      <c r="AF56" s="84"/>
      <c r="AG56" s="48"/>
      <c r="AH56" s="48"/>
      <c r="AI56" s="48"/>
      <c r="AJ56" s="111"/>
      <c r="AK56" s="105">
        <f t="shared" ref="AK56:AK313" si="22">AG56*120%+AG56</f>
        <v>0</v>
      </c>
      <c r="AL56" s="48"/>
      <c r="AM56" s="48"/>
      <c r="AN56" s="48"/>
      <c r="AO56" s="48"/>
      <c r="AP56" s="48"/>
      <c r="AQ56" s="112"/>
      <c r="AR56" s="48"/>
      <c r="AS56" s="113"/>
    </row>
    <row r="57" ht="15.75" customHeight="1">
      <c r="A57" s="98"/>
      <c r="B57" s="114"/>
      <c r="C57" s="100"/>
      <c r="D57" s="101"/>
      <c r="E57" s="102"/>
      <c r="F57" s="103">
        <f t="shared" si="1"/>
        <v>0</v>
      </c>
      <c r="G57" s="104"/>
      <c r="H57" s="104"/>
      <c r="I57" s="104"/>
      <c r="J57" s="115">
        <f t="shared" si="4"/>
        <v>0</v>
      </c>
      <c r="K57" s="48" t="s">
        <v>42</v>
      </c>
      <c r="L57" s="47">
        <f t="shared" si="5"/>
        <v>0</v>
      </c>
      <c r="M57" s="48"/>
      <c r="N57" s="49"/>
      <c r="O57" s="48"/>
      <c r="P57" s="48"/>
      <c r="Q57" s="48"/>
      <c r="R57" s="48"/>
      <c r="S57" s="48"/>
      <c r="T57" s="48"/>
      <c r="U57" s="48"/>
      <c r="V57" s="48"/>
      <c r="W57" s="106"/>
      <c r="X57" s="50">
        <f t="shared" si="7"/>
        <v>0</v>
      </c>
      <c r="Y57" s="116">
        <f t="shared" si="8"/>
        <v>0</v>
      </c>
      <c r="Z57" s="108"/>
      <c r="AA57" s="109"/>
      <c r="AB57" s="110"/>
      <c r="AC57" s="84"/>
      <c r="AD57" s="84"/>
      <c r="AE57" s="84"/>
      <c r="AF57" s="84"/>
      <c r="AG57" s="48"/>
      <c r="AH57" s="48"/>
      <c r="AI57" s="48"/>
      <c r="AJ57" s="111"/>
      <c r="AK57" s="115">
        <f t="shared" si="22"/>
        <v>0</v>
      </c>
      <c r="AL57" s="48"/>
      <c r="AM57" s="48"/>
      <c r="AN57" s="48"/>
      <c r="AO57" s="48"/>
      <c r="AP57" s="48"/>
      <c r="AQ57" s="112"/>
      <c r="AR57" s="48"/>
      <c r="AS57" s="113"/>
    </row>
    <row r="58" ht="15.75" customHeight="1">
      <c r="A58" s="98"/>
      <c r="B58" s="114"/>
      <c r="C58" s="100"/>
      <c r="D58" s="101"/>
      <c r="E58" s="102"/>
      <c r="F58" s="103">
        <f t="shared" si="1"/>
        <v>0</v>
      </c>
      <c r="G58" s="104"/>
      <c r="H58" s="104"/>
      <c r="I58" s="104"/>
      <c r="J58" s="115">
        <f t="shared" si="4"/>
        <v>0</v>
      </c>
      <c r="K58" s="48" t="s">
        <v>42</v>
      </c>
      <c r="L58" s="47">
        <f t="shared" si="5"/>
        <v>0</v>
      </c>
      <c r="M58" s="48"/>
      <c r="N58" s="49"/>
      <c r="O58" s="48"/>
      <c r="P58" s="48"/>
      <c r="Q58" s="48"/>
      <c r="R58" s="48"/>
      <c r="S58" s="48"/>
      <c r="T58" s="48"/>
      <c r="U58" s="48"/>
      <c r="V58" s="48"/>
      <c r="W58" s="106"/>
      <c r="X58" s="50">
        <f t="shared" si="7"/>
        <v>0</v>
      </c>
      <c r="Y58" s="116">
        <f t="shared" si="8"/>
        <v>0</v>
      </c>
      <c r="Z58" s="108"/>
      <c r="AA58" s="109"/>
      <c r="AB58" s="110"/>
      <c r="AC58" s="84"/>
      <c r="AD58" s="84"/>
      <c r="AE58" s="84"/>
      <c r="AF58" s="84"/>
      <c r="AG58" s="48"/>
      <c r="AH58" s="48"/>
      <c r="AI58" s="48"/>
      <c r="AJ58" s="111"/>
      <c r="AK58" s="115">
        <f t="shared" si="22"/>
        <v>0</v>
      </c>
      <c r="AL58" s="48"/>
      <c r="AM58" s="48"/>
      <c r="AN58" s="48"/>
      <c r="AO58" s="48"/>
      <c r="AP58" s="48"/>
      <c r="AQ58" s="112"/>
      <c r="AR58" s="48"/>
      <c r="AS58" s="113"/>
    </row>
    <row r="59" ht="15.75" customHeight="1">
      <c r="A59" s="98"/>
      <c r="B59" s="114"/>
      <c r="C59" s="100"/>
      <c r="D59" s="101"/>
      <c r="E59" s="102"/>
      <c r="F59" s="103">
        <f t="shared" si="1"/>
        <v>0</v>
      </c>
      <c r="G59" s="104"/>
      <c r="H59" s="104"/>
      <c r="I59" s="104"/>
      <c r="J59" s="115">
        <f t="shared" si="4"/>
        <v>0</v>
      </c>
      <c r="K59" s="48" t="s">
        <v>42</v>
      </c>
      <c r="L59" s="47">
        <f t="shared" si="5"/>
        <v>0</v>
      </c>
      <c r="M59" s="48"/>
      <c r="N59" s="49"/>
      <c r="O59" s="48"/>
      <c r="P59" s="48"/>
      <c r="Q59" s="48"/>
      <c r="R59" s="48"/>
      <c r="S59" s="48"/>
      <c r="T59" s="48"/>
      <c r="U59" s="48"/>
      <c r="V59" s="48"/>
      <c r="W59" s="106"/>
      <c r="X59" s="50">
        <f t="shared" si="7"/>
        <v>0</v>
      </c>
      <c r="Y59" s="116">
        <f t="shared" si="8"/>
        <v>0</v>
      </c>
      <c r="Z59" s="108"/>
      <c r="AA59" s="109"/>
      <c r="AB59" s="110"/>
      <c r="AC59" s="84"/>
      <c r="AD59" s="84"/>
      <c r="AE59" s="84"/>
      <c r="AF59" s="84"/>
      <c r="AG59" s="48"/>
      <c r="AH59" s="48"/>
      <c r="AI59" s="48"/>
      <c r="AJ59" s="111"/>
      <c r="AK59" s="115">
        <f t="shared" si="22"/>
        <v>0</v>
      </c>
      <c r="AL59" s="48"/>
      <c r="AM59" s="48"/>
      <c r="AN59" s="48"/>
      <c r="AO59" s="48"/>
      <c r="AP59" s="48"/>
      <c r="AQ59" s="112"/>
      <c r="AR59" s="48"/>
      <c r="AS59" s="113"/>
    </row>
    <row r="60" ht="15.75" customHeight="1">
      <c r="A60" s="98"/>
      <c r="B60" s="114"/>
      <c r="C60" s="117"/>
      <c r="D60" s="118"/>
      <c r="E60" s="102"/>
      <c r="F60" s="103">
        <f t="shared" si="1"/>
        <v>0</v>
      </c>
      <c r="G60" s="104"/>
      <c r="H60" s="104"/>
      <c r="I60" s="104"/>
      <c r="J60" s="115">
        <f t="shared" si="4"/>
        <v>0</v>
      </c>
      <c r="K60" s="48" t="s">
        <v>42</v>
      </c>
      <c r="L60" s="47">
        <f t="shared" si="5"/>
        <v>0</v>
      </c>
      <c r="M60" s="48"/>
      <c r="N60" s="49"/>
      <c r="O60" s="48"/>
      <c r="P60" s="48"/>
      <c r="Q60" s="48"/>
      <c r="R60" s="48"/>
      <c r="S60" s="48"/>
      <c r="T60" s="48"/>
      <c r="U60" s="48"/>
      <c r="V60" s="48"/>
      <c r="W60" s="106"/>
      <c r="X60" s="50">
        <f t="shared" si="7"/>
        <v>0</v>
      </c>
      <c r="Y60" s="116">
        <f t="shared" si="8"/>
        <v>0</v>
      </c>
      <c r="Z60" s="108"/>
      <c r="AA60" s="109"/>
      <c r="AB60" s="110"/>
      <c r="AC60" s="84"/>
      <c r="AD60" s="84"/>
      <c r="AE60" s="84"/>
      <c r="AF60" s="84"/>
      <c r="AG60" s="48"/>
      <c r="AH60" s="48"/>
      <c r="AI60" s="48"/>
      <c r="AJ60" s="111"/>
      <c r="AK60" s="115">
        <f t="shared" si="22"/>
        <v>0</v>
      </c>
      <c r="AL60" s="48"/>
      <c r="AM60" s="48"/>
      <c r="AN60" s="48"/>
      <c r="AO60" s="48"/>
      <c r="AP60" s="48"/>
      <c r="AQ60" s="112"/>
      <c r="AR60" s="48"/>
      <c r="AS60" s="113"/>
    </row>
    <row r="61" ht="15.75" customHeight="1">
      <c r="A61" s="98"/>
      <c r="B61" s="114"/>
      <c r="C61" s="100"/>
      <c r="D61" s="101"/>
      <c r="E61" s="102"/>
      <c r="F61" s="103">
        <f t="shared" si="1"/>
        <v>0</v>
      </c>
      <c r="G61" s="104"/>
      <c r="H61" s="104"/>
      <c r="I61" s="104"/>
      <c r="J61" s="115">
        <f t="shared" si="4"/>
        <v>0</v>
      </c>
      <c r="K61" s="48" t="s">
        <v>42</v>
      </c>
      <c r="L61" s="47">
        <f t="shared" si="5"/>
        <v>0</v>
      </c>
      <c r="M61" s="48"/>
      <c r="N61" s="49"/>
      <c r="O61" s="48"/>
      <c r="P61" s="48"/>
      <c r="Q61" s="48"/>
      <c r="R61" s="48"/>
      <c r="S61" s="48"/>
      <c r="T61" s="48"/>
      <c r="U61" s="48"/>
      <c r="V61" s="48"/>
      <c r="W61" s="106"/>
      <c r="X61" s="50">
        <f t="shared" si="7"/>
        <v>0</v>
      </c>
      <c r="Y61" s="116">
        <f t="shared" si="8"/>
        <v>0</v>
      </c>
      <c r="Z61" s="108"/>
      <c r="AA61" s="109"/>
      <c r="AB61" s="110"/>
      <c r="AC61" s="84"/>
      <c r="AD61" s="84"/>
      <c r="AE61" s="84"/>
      <c r="AF61" s="84"/>
      <c r="AG61" s="48"/>
      <c r="AH61" s="48"/>
      <c r="AI61" s="48"/>
      <c r="AJ61" s="111"/>
      <c r="AK61" s="115">
        <f t="shared" si="22"/>
        <v>0</v>
      </c>
      <c r="AL61" s="48"/>
      <c r="AM61" s="48"/>
      <c r="AN61" s="48"/>
      <c r="AO61" s="48"/>
      <c r="AP61" s="48"/>
      <c r="AQ61" s="112"/>
      <c r="AR61" s="48"/>
      <c r="AS61" s="113"/>
    </row>
    <row r="62" ht="15.75" customHeight="1">
      <c r="A62" s="98"/>
      <c r="B62" s="114"/>
      <c r="C62" s="100"/>
      <c r="D62" s="101"/>
      <c r="E62" s="102"/>
      <c r="F62" s="103">
        <f t="shared" si="1"/>
        <v>0</v>
      </c>
      <c r="G62" s="104"/>
      <c r="H62" s="104"/>
      <c r="I62" s="104"/>
      <c r="J62" s="115">
        <f t="shared" si="4"/>
        <v>0</v>
      </c>
      <c r="K62" s="48" t="s">
        <v>42</v>
      </c>
      <c r="L62" s="47">
        <f t="shared" si="5"/>
        <v>0</v>
      </c>
      <c r="M62" s="48"/>
      <c r="N62" s="49"/>
      <c r="O62" s="48"/>
      <c r="P62" s="48"/>
      <c r="Q62" s="48"/>
      <c r="R62" s="48"/>
      <c r="S62" s="48"/>
      <c r="T62" s="48"/>
      <c r="U62" s="48"/>
      <c r="V62" s="48"/>
      <c r="W62" s="106"/>
      <c r="X62" s="50">
        <f t="shared" si="7"/>
        <v>0</v>
      </c>
      <c r="Y62" s="116">
        <f t="shared" si="8"/>
        <v>0</v>
      </c>
      <c r="Z62" s="108"/>
      <c r="AA62" s="109"/>
      <c r="AB62" s="110"/>
      <c r="AC62" s="84"/>
      <c r="AD62" s="84"/>
      <c r="AE62" s="84"/>
      <c r="AF62" s="84"/>
      <c r="AG62" s="48"/>
      <c r="AH62" s="48"/>
      <c r="AI62" s="48"/>
      <c r="AJ62" s="111"/>
      <c r="AK62" s="115">
        <f t="shared" si="22"/>
        <v>0</v>
      </c>
      <c r="AL62" s="48"/>
      <c r="AM62" s="48"/>
      <c r="AN62" s="48"/>
      <c r="AO62" s="48"/>
      <c r="AP62" s="48"/>
      <c r="AQ62" s="112"/>
      <c r="AR62" s="48"/>
      <c r="AS62" s="113"/>
    </row>
    <row r="63" ht="15.75" customHeight="1">
      <c r="A63" s="98"/>
      <c r="B63" s="114"/>
      <c r="C63" s="100"/>
      <c r="D63" s="101"/>
      <c r="E63" s="102"/>
      <c r="F63" s="103">
        <f t="shared" si="1"/>
        <v>0</v>
      </c>
      <c r="G63" s="104"/>
      <c r="H63" s="104"/>
      <c r="I63" s="104"/>
      <c r="J63" s="115">
        <f t="shared" si="4"/>
        <v>0</v>
      </c>
      <c r="K63" s="48" t="s">
        <v>42</v>
      </c>
      <c r="L63" s="47">
        <f t="shared" si="5"/>
        <v>0</v>
      </c>
      <c r="M63" s="48"/>
      <c r="N63" s="49"/>
      <c r="O63" s="48"/>
      <c r="P63" s="48"/>
      <c r="Q63" s="48"/>
      <c r="R63" s="48"/>
      <c r="S63" s="48"/>
      <c r="T63" s="48"/>
      <c r="U63" s="48"/>
      <c r="V63" s="48"/>
      <c r="W63" s="106"/>
      <c r="X63" s="50">
        <f t="shared" si="7"/>
        <v>0</v>
      </c>
      <c r="Y63" s="116">
        <f t="shared" si="8"/>
        <v>0</v>
      </c>
      <c r="Z63" s="108"/>
      <c r="AA63" s="109"/>
      <c r="AB63" s="110"/>
      <c r="AC63" s="84"/>
      <c r="AD63" s="84"/>
      <c r="AE63" s="84"/>
      <c r="AF63" s="84"/>
      <c r="AG63" s="48"/>
      <c r="AH63" s="48"/>
      <c r="AI63" s="48"/>
      <c r="AJ63" s="111"/>
      <c r="AK63" s="115">
        <f t="shared" si="22"/>
        <v>0</v>
      </c>
      <c r="AL63" s="48"/>
      <c r="AM63" s="48"/>
      <c r="AN63" s="48"/>
      <c r="AO63" s="48"/>
      <c r="AP63" s="48"/>
      <c r="AQ63" s="112"/>
      <c r="AR63" s="48"/>
      <c r="AS63" s="113"/>
    </row>
    <row r="64" ht="15.75" customHeight="1">
      <c r="A64" s="98"/>
      <c r="B64" s="114"/>
      <c r="C64" s="117"/>
      <c r="D64" s="118"/>
      <c r="E64" s="102"/>
      <c r="F64" s="103">
        <f t="shared" si="1"/>
        <v>0</v>
      </c>
      <c r="G64" s="104"/>
      <c r="H64" s="104"/>
      <c r="I64" s="104"/>
      <c r="J64" s="115">
        <f t="shared" si="4"/>
        <v>0</v>
      </c>
      <c r="K64" s="48" t="s">
        <v>42</v>
      </c>
      <c r="L64" s="47">
        <f t="shared" si="5"/>
        <v>0</v>
      </c>
      <c r="M64" s="48"/>
      <c r="N64" s="49"/>
      <c r="O64" s="48"/>
      <c r="P64" s="48"/>
      <c r="Q64" s="48"/>
      <c r="R64" s="48"/>
      <c r="S64" s="48"/>
      <c r="T64" s="48"/>
      <c r="U64" s="48"/>
      <c r="V64" s="48"/>
      <c r="W64" s="106"/>
      <c r="X64" s="50">
        <f t="shared" si="7"/>
        <v>0</v>
      </c>
      <c r="Y64" s="116">
        <f t="shared" si="8"/>
        <v>0</v>
      </c>
      <c r="Z64" s="108"/>
      <c r="AA64" s="109"/>
      <c r="AB64" s="110"/>
      <c r="AC64" s="84"/>
      <c r="AD64" s="84"/>
      <c r="AE64" s="84"/>
      <c r="AF64" s="84"/>
      <c r="AG64" s="48"/>
      <c r="AH64" s="48"/>
      <c r="AI64" s="48"/>
      <c r="AJ64" s="111"/>
      <c r="AK64" s="115">
        <f t="shared" si="22"/>
        <v>0</v>
      </c>
      <c r="AL64" s="48"/>
      <c r="AM64" s="48"/>
      <c r="AN64" s="48"/>
      <c r="AO64" s="48"/>
      <c r="AP64" s="48"/>
      <c r="AQ64" s="112"/>
      <c r="AR64" s="48"/>
      <c r="AS64" s="113"/>
    </row>
    <row r="65" ht="15.75" customHeight="1">
      <c r="A65" s="98"/>
      <c r="B65" s="114"/>
      <c r="C65" s="117"/>
      <c r="D65" s="118"/>
      <c r="E65" s="102"/>
      <c r="F65" s="103">
        <f t="shared" si="1"/>
        <v>0</v>
      </c>
      <c r="G65" s="104"/>
      <c r="H65" s="104"/>
      <c r="I65" s="104"/>
      <c r="J65" s="115">
        <f t="shared" si="4"/>
        <v>0</v>
      </c>
      <c r="K65" s="48" t="s">
        <v>42</v>
      </c>
      <c r="L65" s="47">
        <f t="shared" si="5"/>
        <v>0</v>
      </c>
      <c r="M65" s="48"/>
      <c r="N65" s="49"/>
      <c r="O65" s="48"/>
      <c r="P65" s="48"/>
      <c r="Q65" s="48"/>
      <c r="R65" s="48"/>
      <c r="S65" s="48"/>
      <c r="T65" s="48"/>
      <c r="U65" s="48"/>
      <c r="V65" s="48"/>
      <c r="W65" s="106"/>
      <c r="X65" s="50">
        <f t="shared" si="7"/>
        <v>0</v>
      </c>
      <c r="Y65" s="116">
        <f t="shared" si="8"/>
        <v>0</v>
      </c>
      <c r="Z65" s="108"/>
      <c r="AA65" s="109"/>
      <c r="AB65" s="110"/>
      <c r="AC65" s="84"/>
      <c r="AD65" s="84"/>
      <c r="AE65" s="84"/>
      <c r="AF65" s="84"/>
      <c r="AG65" s="48"/>
      <c r="AH65" s="48"/>
      <c r="AI65" s="48"/>
      <c r="AJ65" s="111"/>
      <c r="AK65" s="115">
        <f t="shared" si="22"/>
        <v>0</v>
      </c>
      <c r="AL65" s="48"/>
      <c r="AM65" s="48"/>
      <c r="AN65" s="48"/>
      <c r="AO65" s="48"/>
      <c r="AP65" s="48"/>
      <c r="AQ65" s="112"/>
      <c r="AR65" s="48"/>
      <c r="AS65" s="113"/>
    </row>
    <row r="66" ht="15.75" customHeight="1">
      <c r="A66" s="98"/>
      <c r="B66" s="114"/>
      <c r="C66" s="117"/>
      <c r="D66" s="118"/>
      <c r="E66" s="102"/>
      <c r="F66" s="103">
        <f t="shared" si="1"/>
        <v>0</v>
      </c>
      <c r="G66" s="104"/>
      <c r="H66" s="104"/>
      <c r="I66" s="104"/>
      <c r="J66" s="115">
        <f t="shared" si="4"/>
        <v>0</v>
      </c>
      <c r="K66" s="48" t="s">
        <v>42</v>
      </c>
      <c r="L66" s="47">
        <f t="shared" si="5"/>
        <v>0</v>
      </c>
      <c r="M66" s="48"/>
      <c r="N66" s="49"/>
      <c r="O66" s="48"/>
      <c r="P66" s="48"/>
      <c r="Q66" s="48"/>
      <c r="R66" s="48"/>
      <c r="S66" s="48"/>
      <c r="T66" s="48"/>
      <c r="U66" s="48"/>
      <c r="V66" s="48"/>
      <c r="W66" s="106"/>
      <c r="X66" s="50">
        <f t="shared" si="7"/>
        <v>0</v>
      </c>
      <c r="Y66" s="116">
        <f t="shared" si="8"/>
        <v>0</v>
      </c>
      <c r="Z66" s="108"/>
      <c r="AA66" s="109"/>
      <c r="AB66" s="110"/>
      <c r="AC66" s="84"/>
      <c r="AD66" s="84"/>
      <c r="AE66" s="84"/>
      <c r="AF66" s="84"/>
      <c r="AG66" s="48"/>
      <c r="AH66" s="48"/>
      <c r="AI66" s="48"/>
      <c r="AJ66" s="111"/>
      <c r="AK66" s="115">
        <f t="shared" si="22"/>
        <v>0</v>
      </c>
      <c r="AL66" s="48"/>
      <c r="AM66" s="48"/>
      <c r="AN66" s="48"/>
      <c r="AO66" s="48"/>
      <c r="AP66" s="48"/>
      <c r="AQ66" s="112"/>
      <c r="AR66" s="48"/>
      <c r="AS66" s="113"/>
    </row>
    <row r="67" ht="15.75" customHeight="1">
      <c r="A67" s="98"/>
      <c r="B67" s="114"/>
      <c r="C67" s="117"/>
      <c r="D67" s="118"/>
      <c r="E67" s="102"/>
      <c r="F67" s="103">
        <f t="shared" si="1"/>
        <v>0</v>
      </c>
      <c r="G67" s="104"/>
      <c r="H67" s="104"/>
      <c r="I67" s="104"/>
      <c r="J67" s="115">
        <f t="shared" si="4"/>
        <v>0</v>
      </c>
      <c r="K67" s="48" t="s">
        <v>42</v>
      </c>
      <c r="L67" s="47">
        <f t="shared" si="5"/>
        <v>0</v>
      </c>
      <c r="M67" s="48"/>
      <c r="N67" s="49"/>
      <c r="O67" s="48"/>
      <c r="P67" s="48"/>
      <c r="Q67" s="48"/>
      <c r="R67" s="48"/>
      <c r="S67" s="48"/>
      <c r="T67" s="48"/>
      <c r="U67" s="48"/>
      <c r="V67" s="48"/>
      <c r="W67" s="106"/>
      <c r="X67" s="50">
        <f t="shared" si="7"/>
        <v>0</v>
      </c>
      <c r="Y67" s="116">
        <f t="shared" si="8"/>
        <v>0</v>
      </c>
      <c r="Z67" s="108"/>
      <c r="AA67" s="119"/>
      <c r="AB67" s="110"/>
      <c r="AC67" s="84"/>
      <c r="AD67" s="84"/>
      <c r="AE67" s="84"/>
      <c r="AF67" s="84"/>
      <c r="AG67" s="48"/>
      <c r="AH67" s="48"/>
      <c r="AI67" s="48"/>
      <c r="AJ67" s="111"/>
      <c r="AK67" s="115">
        <f t="shared" si="22"/>
        <v>0</v>
      </c>
      <c r="AL67" s="48"/>
      <c r="AM67" s="48"/>
      <c r="AN67" s="48"/>
      <c r="AO67" s="48"/>
      <c r="AP67" s="48"/>
      <c r="AQ67" s="112"/>
      <c r="AR67" s="48"/>
      <c r="AS67" s="113"/>
    </row>
    <row r="68" ht="15.75" customHeight="1">
      <c r="A68" s="98"/>
      <c r="B68" s="114"/>
      <c r="C68" s="117"/>
      <c r="D68" s="118"/>
      <c r="E68" s="102"/>
      <c r="F68" s="103">
        <f t="shared" si="1"/>
        <v>0</v>
      </c>
      <c r="G68" s="104"/>
      <c r="H68" s="104"/>
      <c r="I68" s="104"/>
      <c r="J68" s="115">
        <f t="shared" si="4"/>
        <v>0</v>
      </c>
      <c r="K68" s="48" t="s">
        <v>42</v>
      </c>
      <c r="L68" s="47">
        <f t="shared" si="5"/>
        <v>0</v>
      </c>
      <c r="M68" s="48"/>
      <c r="N68" s="49"/>
      <c r="O68" s="48"/>
      <c r="P68" s="48"/>
      <c r="Q68" s="48"/>
      <c r="R68" s="48"/>
      <c r="S68" s="48"/>
      <c r="T68" s="48"/>
      <c r="U68" s="48"/>
      <c r="V68" s="48"/>
      <c r="W68" s="106"/>
      <c r="X68" s="50">
        <f t="shared" si="7"/>
        <v>0</v>
      </c>
      <c r="Y68" s="116">
        <f t="shared" si="8"/>
        <v>0</v>
      </c>
      <c r="Z68" s="108"/>
      <c r="AA68" s="48"/>
      <c r="AB68" s="110"/>
      <c r="AC68" s="84"/>
      <c r="AD68" s="84"/>
      <c r="AE68" s="84"/>
      <c r="AF68" s="84"/>
      <c r="AG68" s="48"/>
      <c r="AH68" s="48"/>
      <c r="AI68" s="48"/>
      <c r="AJ68" s="111"/>
      <c r="AK68" s="115">
        <f t="shared" si="22"/>
        <v>0</v>
      </c>
      <c r="AL68" s="48"/>
      <c r="AM68" s="48"/>
      <c r="AN68" s="48"/>
      <c r="AO68" s="48"/>
      <c r="AP68" s="48"/>
      <c r="AQ68" s="112"/>
      <c r="AR68" s="48"/>
      <c r="AS68" s="113"/>
    </row>
    <row r="69" ht="15.75" customHeight="1">
      <c r="A69" s="98"/>
      <c r="B69" s="114"/>
      <c r="C69" s="100"/>
      <c r="D69" s="101"/>
      <c r="E69" s="102"/>
      <c r="F69" s="103">
        <f t="shared" si="1"/>
        <v>0</v>
      </c>
      <c r="G69" s="104"/>
      <c r="H69" s="104"/>
      <c r="I69" s="104"/>
      <c r="J69" s="115">
        <f t="shared" si="4"/>
        <v>0</v>
      </c>
      <c r="K69" s="48" t="s">
        <v>42</v>
      </c>
      <c r="L69" s="47">
        <f t="shared" si="5"/>
        <v>0</v>
      </c>
      <c r="M69" s="48"/>
      <c r="N69" s="49"/>
      <c r="O69" s="48"/>
      <c r="P69" s="48"/>
      <c r="Q69" s="48"/>
      <c r="R69" s="48"/>
      <c r="S69" s="48"/>
      <c r="T69" s="48"/>
      <c r="U69" s="48"/>
      <c r="V69" s="48"/>
      <c r="W69" s="106"/>
      <c r="X69" s="50">
        <f t="shared" si="7"/>
        <v>0</v>
      </c>
      <c r="Y69" s="116">
        <f t="shared" si="8"/>
        <v>0</v>
      </c>
      <c r="Z69" s="108"/>
      <c r="AA69" s="48"/>
      <c r="AB69" s="110"/>
      <c r="AC69" s="84"/>
      <c r="AD69" s="84"/>
      <c r="AE69" s="84"/>
      <c r="AF69" s="84"/>
      <c r="AG69" s="48"/>
      <c r="AH69" s="48"/>
      <c r="AI69" s="48"/>
      <c r="AJ69" s="111"/>
      <c r="AK69" s="115">
        <f t="shared" si="22"/>
        <v>0</v>
      </c>
      <c r="AL69" s="48"/>
      <c r="AM69" s="48"/>
      <c r="AN69" s="48"/>
      <c r="AO69" s="48"/>
      <c r="AP69" s="48"/>
      <c r="AQ69" s="112"/>
      <c r="AR69" s="48"/>
      <c r="AS69" s="113"/>
    </row>
    <row r="70" ht="15.75" customHeight="1">
      <c r="A70" s="98"/>
      <c r="B70" s="114"/>
      <c r="C70" s="100"/>
      <c r="D70" s="101"/>
      <c r="E70" s="102"/>
      <c r="F70" s="103">
        <f t="shared" si="1"/>
        <v>0</v>
      </c>
      <c r="G70" s="104"/>
      <c r="H70" s="104"/>
      <c r="I70" s="104"/>
      <c r="J70" s="115">
        <f t="shared" si="4"/>
        <v>0</v>
      </c>
      <c r="K70" s="48" t="s">
        <v>42</v>
      </c>
      <c r="L70" s="47">
        <f t="shared" si="5"/>
        <v>0</v>
      </c>
      <c r="M70" s="48"/>
      <c r="N70" s="49"/>
      <c r="O70" s="48"/>
      <c r="P70" s="48"/>
      <c r="Q70" s="48"/>
      <c r="R70" s="48"/>
      <c r="S70" s="48"/>
      <c r="T70" s="48"/>
      <c r="U70" s="48"/>
      <c r="V70" s="48"/>
      <c r="W70" s="106"/>
      <c r="X70" s="50">
        <f t="shared" si="7"/>
        <v>0</v>
      </c>
      <c r="Y70" s="116">
        <f t="shared" si="8"/>
        <v>0</v>
      </c>
      <c r="Z70" s="108"/>
      <c r="AA70" s="48"/>
      <c r="AB70" s="110"/>
      <c r="AC70" s="84"/>
      <c r="AD70" s="84"/>
      <c r="AE70" s="84"/>
      <c r="AF70" s="84"/>
      <c r="AG70" s="48"/>
      <c r="AH70" s="48"/>
      <c r="AI70" s="48"/>
      <c r="AJ70" s="111"/>
      <c r="AK70" s="115">
        <f t="shared" si="22"/>
        <v>0</v>
      </c>
      <c r="AL70" s="48"/>
      <c r="AM70" s="48"/>
      <c r="AN70" s="48"/>
      <c r="AO70" s="48"/>
      <c r="AP70" s="48"/>
      <c r="AQ70" s="112"/>
      <c r="AR70" s="48"/>
      <c r="AS70" s="113"/>
    </row>
    <row r="71" ht="15.75" customHeight="1">
      <c r="A71" s="98"/>
      <c r="B71" s="114"/>
      <c r="C71" s="117"/>
      <c r="D71" s="118"/>
      <c r="E71" s="102"/>
      <c r="F71" s="103">
        <f t="shared" si="1"/>
        <v>0</v>
      </c>
      <c r="G71" s="104"/>
      <c r="H71" s="104"/>
      <c r="I71" s="104"/>
      <c r="J71" s="115">
        <f t="shared" si="4"/>
        <v>0</v>
      </c>
      <c r="K71" s="48" t="s">
        <v>42</v>
      </c>
      <c r="L71" s="47">
        <f t="shared" si="5"/>
        <v>0</v>
      </c>
      <c r="M71" s="48"/>
      <c r="N71" s="49"/>
      <c r="O71" s="48"/>
      <c r="P71" s="48"/>
      <c r="Q71" s="48"/>
      <c r="R71" s="48"/>
      <c r="S71" s="48"/>
      <c r="T71" s="48"/>
      <c r="U71" s="48"/>
      <c r="V71" s="48"/>
      <c r="W71" s="106"/>
      <c r="X71" s="50">
        <f t="shared" si="7"/>
        <v>0</v>
      </c>
      <c r="Y71" s="116">
        <f t="shared" si="8"/>
        <v>0</v>
      </c>
      <c r="Z71" s="108"/>
      <c r="AA71" s="48"/>
      <c r="AB71" s="110"/>
      <c r="AC71" s="84"/>
      <c r="AD71" s="84"/>
      <c r="AE71" s="84"/>
      <c r="AF71" s="84"/>
      <c r="AG71" s="48"/>
      <c r="AH71" s="48"/>
      <c r="AI71" s="48"/>
      <c r="AJ71" s="111"/>
      <c r="AK71" s="115">
        <f t="shared" si="22"/>
        <v>0</v>
      </c>
      <c r="AL71" s="48"/>
      <c r="AM71" s="48"/>
      <c r="AN71" s="48"/>
      <c r="AO71" s="48"/>
      <c r="AP71" s="48"/>
      <c r="AQ71" s="112"/>
      <c r="AR71" s="48"/>
      <c r="AS71" s="113"/>
    </row>
    <row r="72" ht="15.75" customHeight="1">
      <c r="A72" s="98"/>
      <c r="B72" s="114"/>
      <c r="C72" s="117"/>
      <c r="D72" s="118"/>
      <c r="E72" s="102"/>
      <c r="F72" s="103">
        <f t="shared" si="1"/>
        <v>0</v>
      </c>
      <c r="G72" s="104"/>
      <c r="H72" s="104"/>
      <c r="I72" s="104"/>
      <c r="J72" s="115">
        <f t="shared" si="4"/>
        <v>0</v>
      </c>
      <c r="K72" s="48" t="s">
        <v>42</v>
      </c>
      <c r="L72" s="47">
        <f t="shared" si="5"/>
        <v>0</v>
      </c>
      <c r="M72" s="48"/>
      <c r="N72" s="49"/>
      <c r="O72" s="48"/>
      <c r="P72" s="48"/>
      <c r="Q72" s="48"/>
      <c r="R72" s="48"/>
      <c r="S72" s="48"/>
      <c r="T72" s="48"/>
      <c r="U72" s="48"/>
      <c r="V72" s="48"/>
      <c r="W72" s="106"/>
      <c r="X72" s="50">
        <f t="shared" si="7"/>
        <v>0</v>
      </c>
      <c r="Y72" s="116">
        <f t="shared" si="8"/>
        <v>0</v>
      </c>
      <c r="Z72" s="108"/>
      <c r="AA72" s="48"/>
      <c r="AB72" s="110"/>
      <c r="AC72" s="84"/>
      <c r="AD72" s="84"/>
      <c r="AE72" s="84"/>
      <c r="AF72" s="84"/>
      <c r="AG72" s="48"/>
      <c r="AH72" s="48"/>
      <c r="AI72" s="48"/>
      <c r="AJ72" s="111"/>
      <c r="AK72" s="115">
        <f t="shared" si="22"/>
        <v>0</v>
      </c>
      <c r="AL72" s="48"/>
      <c r="AM72" s="48"/>
      <c r="AN72" s="48"/>
      <c r="AO72" s="48"/>
      <c r="AP72" s="48"/>
      <c r="AQ72" s="112"/>
      <c r="AR72" s="48"/>
      <c r="AS72" s="113"/>
    </row>
    <row r="73" ht="15.75" customHeight="1">
      <c r="A73" s="98"/>
      <c r="B73" s="114"/>
      <c r="C73" s="117"/>
      <c r="D73" s="118"/>
      <c r="E73" s="102"/>
      <c r="F73" s="103">
        <f t="shared" si="1"/>
        <v>0</v>
      </c>
      <c r="G73" s="104"/>
      <c r="H73" s="104"/>
      <c r="I73" s="104"/>
      <c r="J73" s="115">
        <f t="shared" si="4"/>
        <v>0</v>
      </c>
      <c r="K73" s="48" t="s">
        <v>42</v>
      </c>
      <c r="L73" s="47">
        <f t="shared" si="5"/>
        <v>0</v>
      </c>
      <c r="M73" s="48"/>
      <c r="N73" s="49"/>
      <c r="O73" s="48"/>
      <c r="P73" s="48"/>
      <c r="Q73" s="48"/>
      <c r="R73" s="48"/>
      <c r="S73" s="48"/>
      <c r="T73" s="48"/>
      <c r="U73" s="48"/>
      <c r="V73" s="48"/>
      <c r="W73" s="106"/>
      <c r="X73" s="50">
        <f t="shared" si="7"/>
        <v>0</v>
      </c>
      <c r="Y73" s="116">
        <f t="shared" si="8"/>
        <v>0</v>
      </c>
      <c r="Z73" s="108"/>
      <c r="AA73" s="48"/>
      <c r="AB73" s="110"/>
      <c r="AC73" s="84"/>
      <c r="AD73" s="84"/>
      <c r="AE73" s="84"/>
      <c r="AF73" s="84"/>
      <c r="AG73" s="48"/>
      <c r="AH73" s="48"/>
      <c r="AI73" s="48"/>
      <c r="AJ73" s="111"/>
      <c r="AK73" s="115">
        <f t="shared" si="22"/>
        <v>0</v>
      </c>
      <c r="AL73" s="48"/>
      <c r="AM73" s="48"/>
      <c r="AN73" s="48"/>
      <c r="AO73" s="48"/>
      <c r="AP73" s="48"/>
      <c r="AQ73" s="112"/>
      <c r="AR73" s="48"/>
      <c r="AS73" s="113"/>
    </row>
    <row r="74" ht="15.75" customHeight="1">
      <c r="A74" s="98"/>
      <c r="B74" s="114"/>
      <c r="C74" s="100"/>
      <c r="D74" s="101"/>
      <c r="E74" s="102"/>
      <c r="F74" s="103">
        <f t="shared" si="1"/>
        <v>0</v>
      </c>
      <c r="G74" s="104"/>
      <c r="H74" s="104"/>
      <c r="I74" s="104"/>
      <c r="J74" s="115">
        <f t="shared" si="4"/>
        <v>0</v>
      </c>
      <c r="K74" s="48" t="s">
        <v>42</v>
      </c>
      <c r="L74" s="47">
        <f t="shared" si="5"/>
        <v>0</v>
      </c>
      <c r="M74" s="48"/>
      <c r="N74" s="49"/>
      <c r="O74" s="48"/>
      <c r="P74" s="48"/>
      <c r="Q74" s="48"/>
      <c r="R74" s="48"/>
      <c r="S74" s="48"/>
      <c r="T74" s="48"/>
      <c r="U74" s="48"/>
      <c r="V74" s="48"/>
      <c r="W74" s="106"/>
      <c r="X74" s="50">
        <f t="shared" si="7"/>
        <v>0</v>
      </c>
      <c r="Y74" s="116">
        <f t="shared" si="8"/>
        <v>0</v>
      </c>
      <c r="Z74" s="108"/>
      <c r="AA74" s="48"/>
      <c r="AB74" s="110"/>
      <c r="AC74" s="84"/>
      <c r="AD74" s="84"/>
      <c r="AE74" s="84"/>
      <c r="AF74" s="84"/>
      <c r="AG74" s="48"/>
      <c r="AH74" s="48"/>
      <c r="AI74" s="48"/>
      <c r="AJ74" s="111"/>
      <c r="AK74" s="115">
        <f t="shared" si="22"/>
        <v>0</v>
      </c>
      <c r="AL74" s="48"/>
      <c r="AM74" s="48"/>
      <c r="AN74" s="48"/>
      <c r="AO74" s="48"/>
      <c r="AP74" s="48"/>
      <c r="AQ74" s="112"/>
      <c r="AR74" s="48"/>
      <c r="AS74" s="113"/>
    </row>
    <row r="75" ht="15.75" customHeight="1">
      <c r="A75" s="98"/>
      <c r="B75" s="114"/>
      <c r="C75" s="100"/>
      <c r="D75" s="101"/>
      <c r="E75" s="102"/>
      <c r="F75" s="103">
        <f t="shared" si="1"/>
        <v>0</v>
      </c>
      <c r="G75" s="104"/>
      <c r="H75" s="104"/>
      <c r="I75" s="104"/>
      <c r="J75" s="115">
        <f t="shared" si="4"/>
        <v>0</v>
      </c>
      <c r="K75" s="48" t="s">
        <v>42</v>
      </c>
      <c r="L75" s="47">
        <f t="shared" si="5"/>
        <v>0</v>
      </c>
      <c r="M75" s="48"/>
      <c r="N75" s="49"/>
      <c r="O75" s="48"/>
      <c r="P75" s="48"/>
      <c r="Q75" s="48"/>
      <c r="R75" s="48"/>
      <c r="S75" s="48"/>
      <c r="T75" s="48"/>
      <c r="U75" s="48"/>
      <c r="V75" s="48"/>
      <c r="W75" s="106"/>
      <c r="X75" s="50">
        <f t="shared" si="7"/>
        <v>0</v>
      </c>
      <c r="Y75" s="116">
        <f t="shared" si="8"/>
        <v>0</v>
      </c>
      <c r="Z75" s="108"/>
      <c r="AA75" s="48"/>
      <c r="AB75" s="110"/>
      <c r="AC75" s="84"/>
      <c r="AD75" s="84"/>
      <c r="AE75" s="84"/>
      <c r="AF75" s="84"/>
      <c r="AG75" s="48"/>
      <c r="AH75" s="48"/>
      <c r="AI75" s="48"/>
      <c r="AJ75" s="111"/>
      <c r="AK75" s="115">
        <f t="shared" si="22"/>
        <v>0</v>
      </c>
      <c r="AL75" s="48"/>
      <c r="AM75" s="48"/>
      <c r="AN75" s="48"/>
      <c r="AO75" s="48"/>
      <c r="AP75" s="48"/>
      <c r="AQ75" s="112"/>
      <c r="AR75" s="48"/>
      <c r="AS75" s="113"/>
    </row>
    <row r="76" ht="15.75" customHeight="1">
      <c r="A76" s="98"/>
      <c r="B76" s="114"/>
      <c r="C76" s="117"/>
      <c r="D76" s="118"/>
      <c r="E76" s="102"/>
      <c r="F76" s="103">
        <f t="shared" si="1"/>
        <v>0</v>
      </c>
      <c r="G76" s="104"/>
      <c r="H76" s="104"/>
      <c r="I76" s="104"/>
      <c r="J76" s="115">
        <f t="shared" si="4"/>
        <v>0</v>
      </c>
      <c r="K76" s="48" t="s">
        <v>42</v>
      </c>
      <c r="L76" s="47">
        <f t="shared" si="5"/>
        <v>0</v>
      </c>
      <c r="M76" s="48"/>
      <c r="N76" s="49"/>
      <c r="O76" s="48"/>
      <c r="P76" s="48"/>
      <c r="Q76" s="48"/>
      <c r="R76" s="48"/>
      <c r="S76" s="48"/>
      <c r="T76" s="48"/>
      <c r="U76" s="48"/>
      <c r="V76" s="48"/>
      <c r="W76" s="106"/>
      <c r="X76" s="50">
        <f t="shared" si="7"/>
        <v>0</v>
      </c>
      <c r="Y76" s="116">
        <f t="shared" si="8"/>
        <v>0</v>
      </c>
      <c r="Z76" s="108"/>
      <c r="AA76" s="48"/>
      <c r="AB76" s="110"/>
      <c r="AC76" s="84"/>
      <c r="AD76" s="84"/>
      <c r="AE76" s="84"/>
      <c r="AF76" s="84"/>
      <c r="AG76" s="48"/>
      <c r="AH76" s="48"/>
      <c r="AI76" s="48"/>
      <c r="AJ76" s="111"/>
      <c r="AK76" s="115">
        <f t="shared" si="22"/>
        <v>0</v>
      </c>
      <c r="AL76" s="48"/>
      <c r="AM76" s="48"/>
      <c r="AN76" s="48"/>
      <c r="AO76" s="48"/>
      <c r="AP76" s="48"/>
      <c r="AQ76" s="112"/>
      <c r="AR76" s="48"/>
      <c r="AS76" s="113"/>
    </row>
    <row r="77" ht="15.75" customHeight="1">
      <c r="A77" s="98"/>
      <c r="B77" s="114"/>
      <c r="C77" s="117"/>
      <c r="D77" s="118"/>
      <c r="E77" s="102"/>
      <c r="F77" s="103">
        <f t="shared" si="1"/>
        <v>0</v>
      </c>
      <c r="G77" s="104"/>
      <c r="H77" s="104"/>
      <c r="I77" s="104"/>
      <c r="J77" s="115">
        <f t="shared" si="4"/>
        <v>0</v>
      </c>
      <c r="K77" s="48" t="s">
        <v>42</v>
      </c>
      <c r="L77" s="47">
        <f t="shared" si="5"/>
        <v>0</v>
      </c>
      <c r="M77" s="48"/>
      <c r="N77" s="49"/>
      <c r="O77" s="48"/>
      <c r="P77" s="48"/>
      <c r="Q77" s="48"/>
      <c r="R77" s="48"/>
      <c r="S77" s="48"/>
      <c r="T77" s="48"/>
      <c r="U77" s="48"/>
      <c r="V77" s="48"/>
      <c r="W77" s="106"/>
      <c r="X77" s="50">
        <f t="shared" si="7"/>
        <v>0</v>
      </c>
      <c r="Y77" s="116">
        <f t="shared" si="8"/>
        <v>0</v>
      </c>
      <c r="Z77" s="108"/>
      <c r="AA77" s="48"/>
      <c r="AB77" s="110"/>
      <c r="AC77" s="84"/>
      <c r="AD77" s="84"/>
      <c r="AE77" s="84"/>
      <c r="AF77" s="84"/>
      <c r="AG77" s="48"/>
      <c r="AH77" s="48"/>
      <c r="AI77" s="48"/>
      <c r="AJ77" s="111"/>
      <c r="AK77" s="115">
        <f t="shared" si="22"/>
        <v>0</v>
      </c>
      <c r="AL77" s="48"/>
      <c r="AM77" s="48"/>
      <c r="AN77" s="48"/>
      <c r="AO77" s="48"/>
      <c r="AP77" s="48"/>
      <c r="AQ77" s="112"/>
      <c r="AR77" s="48"/>
      <c r="AS77" s="113"/>
    </row>
    <row r="78" ht="15.75" customHeight="1">
      <c r="A78" s="98"/>
      <c r="B78" s="114"/>
      <c r="C78" s="100"/>
      <c r="D78" s="101"/>
      <c r="E78" s="102"/>
      <c r="F78" s="103">
        <f t="shared" si="1"/>
        <v>0</v>
      </c>
      <c r="G78" s="104"/>
      <c r="H78" s="104"/>
      <c r="I78" s="104"/>
      <c r="J78" s="115">
        <f t="shared" si="4"/>
        <v>0</v>
      </c>
      <c r="K78" s="48" t="s">
        <v>42</v>
      </c>
      <c r="L78" s="47">
        <f t="shared" si="5"/>
        <v>0</v>
      </c>
      <c r="M78" s="48"/>
      <c r="N78" s="49"/>
      <c r="O78" s="48"/>
      <c r="P78" s="48"/>
      <c r="Q78" s="48"/>
      <c r="R78" s="48"/>
      <c r="S78" s="48"/>
      <c r="T78" s="48"/>
      <c r="U78" s="48"/>
      <c r="V78" s="48"/>
      <c r="W78" s="106"/>
      <c r="X78" s="50">
        <f t="shared" si="7"/>
        <v>0</v>
      </c>
      <c r="Y78" s="116">
        <f t="shared" si="8"/>
        <v>0</v>
      </c>
      <c r="Z78" s="108"/>
      <c r="AA78" s="48"/>
      <c r="AB78" s="110"/>
      <c r="AC78" s="84"/>
      <c r="AD78" s="84"/>
      <c r="AE78" s="84"/>
      <c r="AF78" s="84"/>
      <c r="AG78" s="48"/>
      <c r="AH78" s="48"/>
      <c r="AI78" s="48"/>
      <c r="AJ78" s="111"/>
      <c r="AK78" s="115">
        <f t="shared" si="22"/>
        <v>0</v>
      </c>
      <c r="AL78" s="48"/>
      <c r="AM78" s="48"/>
      <c r="AN78" s="48"/>
      <c r="AO78" s="48"/>
      <c r="AP78" s="48"/>
      <c r="AQ78" s="112"/>
      <c r="AR78" s="48"/>
      <c r="AS78" s="113"/>
    </row>
    <row r="79" ht="15.75" customHeight="1">
      <c r="A79" s="98"/>
      <c r="B79" s="114"/>
      <c r="C79" s="100"/>
      <c r="D79" s="101"/>
      <c r="E79" s="102"/>
      <c r="F79" s="103">
        <f t="shared" si="1"/>
        <v>0</v>
      </c>
      <c r="G79" s="104"/>
      <c r="H79" s="104"/>
      <c r="I79" s="104"/>
      <c r="J79" s="115">
        <f t="shared" si="4"/>
        <v>0</v>
      </c>
      <c r="K79" s="48" t="s">
        <v>42</v>
      </c>
      <c r="L79" s="47">
        <f t="shared" si="5"/>
        <v>0</v>
      </c>
      <c r="M79" s="48"/>
      <c r="N79" s="49"/>
      <c r="O79" s="48"/>
      <c r="P79" s="48"/>
      <c r="Q79" s="48"/>
      <c r="R79" s="48"/>
      <c r="S79" s="48"/>
      <c r="T79" s="48"/>
      <c r="U79" s="48"/>
      <c r="V79" s="48"/>
      <c r="W79" s="106"/>
      <c r="X79" s="50">
        <f t="shared" si="7"/>
        <v>0</v>
      </c>
      <c r="Y79" s="116">
        <f t="shared" si="8"/>
        <v>0</v>
      </c>
      <c r="Z79" s="108"/>
      <c r="AA79" s="48"/>
      <c r="AB79" s="110"/>
      <c r="AC79" s="84"/>
      <c r="AD79" s="84"/>
      <c r="AE79" s="84"/>
      <c r="AF79" s="84"/>
      <c r="AG79" s="48"/>
      <c r="AH79" s="48"/>
      <c r="AI79" s="48"/>
      <c r="AJ79" s="111"/>
      <c r="AK79" s="115">
        <f t="shared" si="22"/>
        <v>0</v>
      </c>
      <c r="AL79" s="48"/>
      <c r="AM79" s="48"/>
      <c r="AN79" s="48"/>
      <c r="AO79" s="48"/>
      <c r="AP79" s="48"/>
      <c r="AQ79" s="112"/>
      <c r="AR79" s="48"/>
      <c r="AS79" s="113"/>
    </row>
    <row r="80" ht="15.75" customHeight="1">
      <c r="A80" s="98"/>
      <c r="B80" s="114"/>
      <c r="C80" s="100"/>
      <c r="D80" s="101"/>
      <c r="E80" s="102"/>
      <c r="F80" s="103">
        <f t="shared" si="1"/>
        <v>0</v>
      </c>
      <c r="G80" s="104"/>
      <c r="H80" s="104"/>
      <c r="I80" s="104"/>
      <c r="J80" s="115">
        <f t="shared" si="4"/>
        <v>0</v>
      </c>
      <c r="K80" s="48" t="s">
        <v>42</v>
      </c>
      <c r="L80" s="47">
        <f t="shared" si="5"/>
        <v>0</v>
      </c>
      <c r="M80" s="48"/>
      <c r="N80" s="49"/>
      <c r="O80" s="48"/>
      <c r="P80" s="48"/>
      <c r="Q80" s="48"/>
      <c r="R80" s="48"/>
      <c r="S80" s="48"/>
      <c r="T80" s="48"/>
      <c r="U80" s="48"/>
      <c r="V80" s="48"/>
      <c r="W80" s="106"/>
      <c r="X80" s="50">
        <f t="shared" si="7"/>
        <v>0</v>
      </c>
      <c r="Y80" s="116">
        <f t="shared" si="8"/>
        <v>0</v>
      </c>
      <c r="Z80" s="108"/>
      <c r="AA80" s="48"/>
      <c r="AB80" s="110"/>
      <c r="AC80" s="84"/>
      <c r="AD80" s="84"/>
      <c r="AE80" s="84"/>
      <c r="AF80" s="84"/>
      <c r="AG80" s="48"/>
      <c r="AH80" s="48"/>
      <c r="AI80" s="48"/>
      <c r="AJ80" s="111"/>
      <c r="AK80" s="115">
        <f t="shared" si="22"/>
        <v>0</v>
      </c>
      <c r="AL80" s="48"/>
      <c r="AM80" s="48"/>
      <c r="AN80" s="48"/>
      <c r="AO80" s="48"/>
      <c r="AP80" s="48"/>
      <c r="AQ80" s="112"/>
      <c r="AR80" s="48"/>
      <c r="AS80" s="113"/>
    </row>
    <row r="81" ht="15.75" customHeight="1">
      <c r="A81" s="98"/>
      <c r="B81" s="114"/>
      <c r="C81" s="117"/>
      <c r="D81" s="118"/>
      <c r="E81" s="102"/>
      <c r="F81" s="103">
        <f t="shared" si="1"/>
        <v>0</v>
      </c>
      <c r="G81" s="104"/>
      <c r="H81" s="104"/>
      <c r="I81" s="104"/>
      <c r="J81" s="115">
        <f t="shared" si="4"/>
        <v>0</v>
      </c>
      <c r="K81" s="48" t="s">
        <v>42</v>
      </c>
      <c r="L81" s="47">
        <f t="shared" si="5"/>
        <v>0</v>
      </c>
      <c r="M81" s="48"/>
      <c r="N81" s="49"/>
      <c r="O81" s="48"/>
      <c r="P81" s="48"/>
      <c r="Q81" s="48"/>
      <c r="R81" s="48"/>
      <c r="S81" s="48"/>
      <c r="T81" s="48"/>
      <c r="U81" s="48"/>
      <c r="V81" s="48"/>
      <c r="W81" s="106"/>
      <c r="X81" s="50">
        <f t="shared" si="7"/>
        <v>0</v>
      </c>
      <c r="Y81" s="116">
        <f t="shared" si="8"/>
        <v>0</v>
      </c>
      <c r="Z81" s="108"/>
      <c r="AA81" s="48"/>
      <c r="AB81" s="110"/>
      <c r="AC81" s="84"/>
      <c r="AD81" s="84"/>
      <c r="AE81" s="84"/>
      <c r="AF81" s="84"/>
      <c r="AG81" s="48"/>
      <c r="AH81" s="48"/>
      <c r="AI81" s="48"/>
      <c r="AJ81" s="111"/>
      <c r="AK81" s="115">
        <f t="shared" si="22"/>
        <v>0</v>
      </c>
      <c r="AL81" s="48"/>
      <c r="AM81" s="48"/>
      <c r="AN81" s="48"/>
      <c r="AO81" s="48"/>
      <c r="AP81" s="48"/>
      <c r="AQ81" s="112"/>
      <c r="AR81" s="48"/>
      <c r="AS81" s="113"/>
    </row>
    <row r="82" ht="15.75" customHeight="1">
      <c r="A82" s="98"/>
      <c r="B82" s="114"/>
      <c r="C82" s="117"/>
      <c r="D82" s="118"/>
      <c r="E82" s="102"/>
      <c r="F82" s="103">
        <f t="shared" si="1"/>
        <v>0</v>
      </c>
      <c r="G82" s="104"/>
      <c r="H82" s="104"/>
      <c r="I82" s="104"/>
      <c r="J82" s="115">
        <f t="shared" si="4"/>
        <v>0</v>
      </c>
      <c r="K82" s="48" t="s">
        <v>42</v>
      </c>
      <c r="L82" s="47">
        <f t="shared" si="5"/>
        <v>0</v>
      </c>
      <c r="M82" s="48"/>
      <c r="N82" s="49"/>
      <c r="O82" s="48"/>
      <c r="P82" s="48"/>
      <c r="Q82" s="48"/>
      <c r="R82" s="48"/>
      <c r="S82" s="48"/>
      <c r="T82" s="48"/>
      <c r="U82" s="48"/>
      <c r="V82" s="48"/>
      <c r="W82" s="106"/>
      <c r="X82" s="50">
        <f t="shared" si="7"/>
        <v>0</v>
      </c>
      <c r="Y82" s="116">
        <f t="shared" si="8"/>
        <v>0</v>
      </c>
      <c r="Z82" s="108"/>
      <c r="AA82" s="48"/>
      <c r="AB82" s="110"/>
      <c r="AC82" s="84"/>
      <c r="AD82" s="84"/>
      <c r="AE82" s="84"/>
      <c r="AF82" s="84"/>
      <c r="AG82" s="48"/>
      <c r="AH82" s="48"/>
      <c r="AI82" s="48"/>
      <c r="AJ82" s="111"/>
      <c r="AK82" s="115">
        <f t="shared" si="22"/>
        <v>0</v>
      </c>
      <c r="AL82" s="48"/>
      <c r="AM82" s="48"/>
      <c r="AN82" s="48"/>
      <c r="AO82" s="48"/>
      <c r="AP82" s="48"/>
      <c r="AQ82" s="112"/>
      <c r="AR82" s="48"/>
      <c r="AS82" s="113"/>
    </row>
    <row r="83" ht="15.75" customHeight="1">
      <c r="A83" s="98"/>
      <c r="B83" s="114"/>
      <c r="C83" s="100"/>
      <c r="D83" s="101"/>
      <c r="E83" s="102"/>
      <c r="F83" s="103">
        <f t="shared" si="1"/>
        <v>0</v>
      </c>
      <c r="G83" s="104"/>
      <c r="H83" s="104"/>
      <c r="I83" s="104"/>
      <c r="J83" s="115">
        <f t="shared" si="4"/>
        <v>0</v>
      </c>
      <c r="K83" s="48" t="s">
        <v>42</v>
      </c>
      <c r="L83" s="47">
        <f t="shared" si="5"/>
        <v>0</v>
      </c>
      <c r="M83" s="48"/>
      <c r="N83" s="49"/>
      <c r="O83" s="48"/>
      <c r="P83" s="48"/>
      <c r="Q83" s="48"/>
      <c r="R83" s="48"/>
      <c r="S83" s="48"/>
      <c r="T83" s="48"/>
      <c r="U83" s="48"/>
      <c r="V83" s="48"/>
      <c r="W83" s="106"/>
      <c r="X83" s="50">
        <f t="shared" si="7"/>
        <v>0</v>
      </c>
      <c r="Y83" s="116">
        <f t="shared" si="8"/>
        <v>0</v>
      </c>
      <c r="Z83" s="108"/>
      <c r="AA83" s="48"/>
      <c r="AB83" s="110"/>
      <c r="AC83" s="84"/>
      <c r="AD83" s="84"/>
      <c r="AE83" s="84"/>
      <c r="AF83" s="84"/>
      <c r="AG83" s="48"/>
      <c r="AH83" s="48"/>
      <c r="AI83" s="48"/>
      <c r="AJ83" s="111"/>
      <c r="AK83" s="115">
        <f t="shared" si="22"/>
        <v>0</v>
      </c>
      <c r="AL83" s="48"/>
      <c r="AM83" s="48"/>
      <c r="AN83" s="48"/>
      <c r="AO83" s="48"/>
      <c r="AP83" s="48"/>
      <c r="AQ83" s="112"/>
      <c r="AR83" s="48"/>
      <c r="AS83" s="113"/>
    </row>
    <row r="84" ht="15.75" customHeight="1">
      <c r="A84" s="98"/>
      <c r="B84" s="114"/>
      <c r="C84" s="100"/>
      <c r="D84" s="101"/>
      <c r="E84" s="102"/>
      <c r="F84" s="103">
        <f t="shared" si="1"/>
        <v>0</v>
      </c>
      <c r="G84" s="104"/>
      <c r="H84" s="104"/>
      <c r="I84" s="104"/>
      <c r="J84" s="115">
        <f t="shared" si="4"/>
        <v>0</v>
      </c>
      <c r="K84" s="48" t="s">
        <v>42</v>
      </c>
      <c r="L84" s="47">
        <f t="shared" si="5"/>
        <v>0</v>
      </c>
      <c r="M84" s="48"/>
      <c r="N84" s="49"/>
      <c r="O84" s="48"/>
      <c r="P84" s="48"/>
      <c r="Q84" s="48"/>
      <c r="R84" s="48"/>
      <c r="S84" s="48"/>
      <c r="T84" s="48"/>
      <c r="U84" s="48"/>
      <c r="V84" s="48"/>
      <c r="W84" s="106"/>
      <c r="X84" s="50">
        <f t="shared" si="7"/>
        <v>0</v>
      </c>
      <c r="Y84" s="116">
        <f t="shared" si="8"/>
        <v>0</v>
      </c>
      <c r="Z84" s="108"/>
      <c r="AA84" s="48"/>
      <c r="AB84" s="110"/>
      <c r="AC84" s="84"/>
      <c r="AD84" s="84"/>
      <c r="AE84" s="84"/>
      <c r="AF84" s="84"/>
      <c r="AG84" s="48"/>
      <c r="AH84" s="48"/>
      <c r="AI84" s="48"/>
      <c r="AJ84" s="111"/>
      <c r="AK84" s="115">
        <f t="shared" si="22"/>
        <v>0</v>
      </c>
      <c r="AL84" s="48"/>
      <c r="AM84" s="48"/>
      <c r="AN84" s="48"/>
      <c r="AO84" s="48"/>
      <c r="AP84" s="48"/>
      <c r="AQ84" s="112"/>
      <c r="AR84" s="48"/>
      <c r="AS84" s="113"/>
    </row>
    <row r="85" ht="15.75" customHeight="1">
      <c r="A85" s="98"/>
      <c r="B85" s="114"/>
      <c r="C85" s="100"/>
      <c r="D85" s="101"/>
      <c r="E85" s="102"/>
      <c r="F85" s="103">
        <f t="shared" si="1"/>
        <v>0</v>
      </c>
      <c r="G85" s="104"/>
      <c r="H85" s="104"/>
      <c r="I85" s="104"/>
      <c r="J85" s="115">
        <f t="shared" si="4"/>
        <v>0</v>
      </c>
      <c r="K85" s="48" t="s">
        <v>42</v>
      </c>
      <c r="L85" s="47">
        <f t="shared" si="5"/>
        <v>0</v>
      </c>
      <c r="M85" s="48"/>
      <c r="N85" s="49"/>
      <c r="O85" s="48"/>
      <c r="P85" s="48"/>
      <c r="Q85" s="48"/>
      <c r="R85" s="48"/>
      <c r="S85" s="48"/>
      <c r="T85" s="48"/>
      <c r="U85" s="48"/>
      <c r="V85" s="48"/>
      <c r="W85" s="106"/>
      <c r="X85" s="50">
        <f t="shared" si="7"/>
        <v>0</v>
      </c>
      <c r="Y85" s="116">
        <f t="shared" si="8"/>
        <v>0</v>
      </c>
      <c r="Z85" s="108"/>
      <c r="AA85" s="48"/>
      <c r="AB85" s="110"/>
      <c r="AC85" s="84"/>
      <c r="AD85" s="84"/>
      <c r="AE85" s="84"/>
      <c r="AF85" s="84"/>
      <c r="AG85" s="48"/>
      <c r="AH85" s="48"/>
      <c r="AI85" s="48"/>
      <c r="AJ85" s="111"/>
      <c r="AK85" s="115">
        <f t="shared" si="22"/>
        <v>0</v>
      </c>
      <c r="AL85" s="48"/>
      <c r="AM85" s="48"/>
      <c r="AN85" s="48"/>
      <c r="AO85" s="48"/>
      <c r="AP85" s="48"/>
      <c r="AQ85" s="112"/>
      <c r="AR85" s="48"/>
      <c r="AS85" s="113"/>
    </row>
    <row r="86" ht="15.75" customHeight="1">
      <c r="A86" s="98"/>
      <c r="B86" s="114"/>
      <c r="C86" s="100"/>
      <c r="D86" s="101"/>
      <c r="E86" s="102"/>
      <c r="F86" s="103">
        <f t="shared" si="1"/>
        <v>0</v>
      </c>
      <c r="G86" s="104"/>
      <c r="H86" s="104"/>
      <c r="I86" s="104"/>
      <c r="J86" s="115">
        <f t="shared" si="4"/>
        <v>0</v>
      </c>
      <c r="K86" s="48" t="s">
        <v>42</v>
      </c>
      <c r="L86" s="47">
        <f t="shared" si="5"/>
        <v>0</v>
      </c>
      <c r="M86" s="48"/>
      <c r="N86" s="49"/>
      <c r="O86" s="48"/>
      <c r="P86" s="48"/>
      <c r="Q86" s="48"/>
      <c r="R86" s="48"/>
      <c r="S86" s="48"/>
      <c r="T86" s="48"/>
      <c r="U86" s="48"/>
      <c r="V86" s="48"/>
      <c r="W86" s="106"/>
      <c r="X86" s="50">
        <f t="shared" si="7"/>
        <v>0</v>
      </c>
      <c r="Y86" s="116">
        <f t="shared" si="8"/>
        <v>0</v>
      </c>
      <c r="Z86" s="108"/>
      <c r="AA86" s="48"/>
      <c r="AB86" s="110"/>
      <c r="AC86" s="84"/>
      <c r="AD86" s="84"/>
      <c r="AE86" s="84"/>
      <c r="AF86" s="84"/>
      <c r="AG86" s="48"/>
      <c r="AH86" s="48"/>
      <c r="AI86" s="48"/>
      <c r="AJ86" s="111"/>
      <c r="AK86" s="115">
        <f t="shared" si="22"/>
        <v>0</v>
      </c>
      <c r="AL86" s="48"/>
      <c r="AM86" s="48"/>
      <c r="AN86" s="48"/>
      <c r="AO86" s="48"/>
      <c r="AP86" s="48"/>
      <c r="AQ86" s="112"/>
      <c r="AR86" s="48"/>
      <c r="AS86" s="113"/>
    </row>
    <row r="87" ht="15.75" customHeight="1">
      <c r="A87" s="98"/>
      <c r="B87" s="114"/>
      <c r="C87" s="100"/>
      <c r="D87" s="101"/>
      <c r="E87" s="102"/>
      <c r="F87" s="103">
        <f t="shared" si="1"/>
        <v>0</v>
      </c>
      <c r="G87" s="104"/>
      <c r="H87" s="104"/>
      <c r="I87" s="104"/>
      <c r="J87" s="115">
        <f t="shared" si="4"/>
        <v>0</v>
      </c>
      <c r="K87" s="48" t="s">
        <v>42</v>
      </c>
      <c r="L87" s="47">
        <f t="shared" si="5"/>
        <v>0</v>
      </c>
      <c r="M87" s="48"/>
      <c r="N87" s="49"/>
      <c r="O87" s="48"/>
      <c r="P87" s="48"/>
      <c r="Q87" s="48"/>
      <c r="R87" s="48"/>
      <c r="S87" s="48"/>
      <c r="T87" s="48"/>
      <c r="U87" s="48"/>
      <c r="V87" s="48"/>
      <c r="W87" s="106"/>
      <c r="X87" s="50">
        <f t="shared" si="7"/>
        <v>0</v>
      </c>
      <c r="Y87" s="116">
        <f t="shared" si="8"/>
        <v>0</v>
      </c>
      <c r="Z87" s="108"/>
      <c r="AA87" s="48"/>
      <c r="AB87" s="110"/>
      <c r="AC87" s="84"/>
      <c r="AD87" s="84"/>
      <c r="AE87" s="84"/>
      <c r="AF87" s="84"/>
      <c r="AG87" s="48"/>
      <c r="AH87" s="48"/>
      <c r="AI87" s="48"/>
      <c r="AJ87" s="111"/>
      <c r="AK87" s="115">
        <f t="shared" si="22"/>
        <v>0</v>
      </c>
      <c r="AL87" s="48"/>
      <c r="AM87" s="48"/>
      <c r="AN87" s="48"/>
      <c r="AO87" s="48"/>
      <c r="AP87" s="48"/>
      <c r="AQ87" s="112"/>
      <c r="AR87" s="48"/>
      <c r="AS87" s="113"/>
    </row>
    <row r="88" ht="15.75" customHeight="1">
      <c r="A88" s="98"/>
      <c r="B88" s="114"/>
      <c r="C88" s="100"/>
      <c r="D88" s="101"/>
      <c r="E88" s="102"/>
      <c r="F88" s="103">
        <f t="shared" si="1"/>
        <v>0</v>
      </c>
      <c r="G88" s="104"/>
      <c r="H88" s="104"/>
      <c r="I88" s="104"/>
      <c r="J88" s="115">
        <f t="shared" si="4"/>
        <v>0</v>
      </c>
      <c r="K88" s="48" t="s">
        <v>42</v>
      </c>
      <c r="L88" s="47">
        <f t="shared" si="5"/>
        <v>0</v>
      </c>
      <c r="M88" s="48"/>
      <c r="N88" s="49"/>
      <c r="O88" s="48"/>
      <c r="P88" s="48"/>
      <c r="Q88" s="48"/>
      <c r="R88" s="48"/>
      <c r="S88" s="48"/>
      <c r="T88" s="48"/>
      <c r="U88" s="48"/>
      <c r="V88" s="48"/>
      <c r="W88" s="106"/>
      <c r="X88" s="50">
        <f t="shared" si="7"/>
        <v>0</v>
      </c>
      <c r="Y88" s="116">
        <f t="shared" si="8"/>
        <v>0</v>
      </c>
      <c r="Z88" s="108"/>
      <c r="AA88" s="48"/>
      <c r="AB88" s="110"/>
      <c r="AC88" s="84"/>
      <c r="AD88" s="84"/>
      <c r="AE88" s="84"/>
      <c r="AF88" s="84"/>
      <c r="AG88" s="48"/>
      <c r="AH88" s="48"/>
      <c r="AI88" s="48"/>
      <c r="AJ88" s="111"/>
      <c r="AK88" s="115">
        <f t="shared" si="22"/>
        <v>0</v>
      </c>
      <c r="AL88" s="48"/>
      <c r="AM88" s="48"/>
      <c r="AN88" s="48"/>
      <c r="AO88" s="48"/>
      <c r="AP88" s="48"/>
      <c r="AQ88" s="112"/>
      <c r="AR88" s="48"/>
      <c r="AS88" s="113"/>
    </row>
    <row r="89" ht="15.75" customHeight="1">
      <c r="A89" s="98"/>
      <c r="B89" s="114"/>
      <c r="C89" s="117"/>
      <c r="D89" s="118"/>
      <c r="E89" s="102"/>
      <c r="F89" s="103">
        <f t="shared" si="1"/>
        <v>0</v>
      </c>
      <c r="G89" s="104"/>
      <c r="H89" s="104"/>
      <c r="I89" s="104"/>
      <c r="J89" s="115">
        <f t="shared" si="4"/>
        <v>0</v>
      </c>
      <c r="K89" s="48" t="s">
        <v>42</v>
      </c>
      <c r="L89" s="47">
        <f t="shared" si="5"/>
        <v>0</v>
      </c>
      <c r="M89" s="48"/>
      <c r="N89" s="49"/>
      <c r="O89" s="48"/>
      <c r="P89" s="48"/>
      <c r="Q89" s="48"/>
      <c r="R89" s="48"/>
      <c r="S89" s="48"/>
      <c r="T89" s="48"/>
      <c r="U89" s="48"/>
      <c r="V89" s="48"/>
      <c r="W89" s="106"/>
      <c r="X89" s="50">
        <f t="shared" si="7"/>
        <v>0</v>
      </c>
      <c r="Y89" s="116">
        <f t="shared" si="8"/>
        <v>0</v>
      </c>
      <c r="Z89" s="108"/>
      <c r="AA89" s="48"/>
      <c r="AB89" s="110"/>
      <c r="AC89" s="84"/>
      <c r="AD89" s="84"/>
      <c r="AE89" s="84"/>
      <c r="AF89" s="84"/>
      <c r="AG89" s="48"/>
      <c r="AH89" s="48"/>
      <c r="AI89" s="48"/>
      <c r="AJ89" s="111"/>
      <c r="AK89" s="115">
        <f t="shared" si="22"/>
        <v>0</v>
      </c>
      <c r="AL89" s="48"/>
      <c r="AM89" s="48"/>
      <c r="AN89" s="48"/>
      <c r="AO89" s="48"/>
      <c r="AP89" s="48"/>
      <c r="AQ89" s="112"/>
      <c r="AR89" s="48"/>
      <c r="AS89" s="113"/>
    </row>
    <row r="90" ht="15.75" customHeight="1">
      <c r="A90" s="98"/>
      <c r="B90" s="114"/>
      <c r="C90" s="117"/>
      <c r="D90" s="118"/>
      <c r="E90" s="102"/>
      <c r="F90" s="103">
        <f t="shared" si="1"/>
        <v>0</v>
      </c>
      <c r="G90" s="104"/>
      <c r="H90" s="104"/>
      <c r="I90" s="104"/>
      <c r="J90" s="115">
        <f t="shared" si="4"/>
        <v>0</v>
      </c>
      <c r="K90" s="48" t="s">
        <v>42</v>
      </c>
      <c r="L90" s="47">
        <f t="shared" si="5"/>
        <v>0</v>
      </c>
      <c r="M90" s="48"/>
      <c r="N90" s="49"/>
      <c r="O90" s="48"/>
      <c r="P90" s="48"/>
      <c r="Q90" s="48"/>
      <c r="R90" s="48"/>
      <c r="S90" s="48"/>
      <c r="T90" s="48"/>
      <c r="U90" s="48"/>
      <c r="V90" s="48"/>
      <c r="W90" s="106"/>
      <c r="X90" s="50">
        <f t="shared" si="7"/>
        <v>0</v>
      </c>
      <c r="Y90" s="116">
        <f t="shared" si="8"/>
        <v>0</v>
      </c>
      <c r="Z90" s="108"/>
      <c r="AA90" s="48"/>
      <c r="AB90" s="110"/>
      <c r="AC90" s="84"/>
      <c r="AD90" s="84"/>
      <c r="AE90" s="84"/>
      <c r="AF90" s="84"/>
      <c r="AG90" s="48"/>
      <c r="AH90" s="48"/>
      <c r="AI90" s="48"/>
      <c r="AJ90" s="111"/>
      <c r="AK90" s="115">
        <f t="shared" si="22"/>
        <v>0</v>
      </c>
      <c r="AL90" s="48"/>
      <c r="AM90" s="48"/>
      <c r="AN90" s="48"/>
      <c r="AO90" s="48"/>
      <c r="AP90" s="48"/>
      <c r="AQ90" s="112"/>
      <c r="AR90" s="48"/>
      <c r="AS90" s="113"/>
    </row>
    <row r="91" ht="15.75" customHeight="1">
      <c r="A91" s="98"/>
      <c r="B91" s="114"/>
      <c r="C91" s="117"/>
      <c r="D91" s="118"/>
      <c r="E91" s="102"/>
      <c r="F91" s="103">
        <f t="shared" si="1"/>
        <v>0</v>
      </c>
      <c r="G91" s="104"/>
      <c r="H91" s="104"/>
      <c r="I91" s="104"/>
      <c r="J91" s="115">
        <f t="shared" si="4"/>
        <v>0</v>
      </c>
      <c r="K91" s="48" t="s">
        <v>42</v>
      </c>
      <c r="L91" s="47">
        <f t="shared" si="5"/>
        <v>0</v>
      </c>
      <c r="M91" s="48"/>
      <c r="N91" s="49"/>
      <c r="O91" s="48"/>
      <c r="P91" s="48"/>
      <c r="Q91" s="48"/>
      <c r="R91" s="48"/>
      <c r="S91" s="48"/>
      <c r="T91" s="48"/>
      <c r="U91" s="48"/>
      <c r="V91" s="48"/>
      <c r="W91" s="106"/>
      <c r="X91" s="50">
        <f t="shared" si="7"/>
        <v>0</v>
      </c>
      <c r="Y91" s="116">
        <f t="shared" si="8"/>
        <v>0</v>
      </c>
      <c r="Z91" s="108"/>
      <c r="AA91" s="48"/>
      <c r="AB91" s="110"/>
      <c r="AC91" s="84"/>
      <c r="AD91" s="84"/>
      <c r="AE91" s="84"/>
      <c r="AF91" s="84"/>
      <c r="AG91" s="48"/>
      <c r="AH91" s="48"/>
      <c r="AI91" s="48"/>
      <c r="AJ91" s="111"/>
      <c r="AK91" s="115">
        <f t="shared" si="22"/>
        <v>0</v>
      </c>
      <c r="AL91" s="48"/>
      <c r="AM91" s="48"/>
      <c r="AN91" s="48"/>
      <c r="AO91" s="48"/>
      <c r="AP91" s="48"/>
      <c r="AQ91" s="112"/>
      <c r="AR91" s="48"/>
      <c r="AS91" s="113"/>
    </row>
    <row r="92" ht="15.75" customHeight="1">
      <c r="A92" s="98"/>
      <c r="B92" s="114"/>
      <c r="C92" s="117"/>
      <c r="D92" s="118"/>
      <c r="E92" s="120"/>
      <c r="F92" s="103">
        <f t="shared" si="1"/>
        <v>0</v>
      </c>
      <c r="G92" s="104"/>
      <c r="H92" s="104"/>
      <c r="I92" s="104"/>
      <c r="J92" s="115">
        <f t="shared" si="4"/>
        <v>0</v>
      </c>
      <c r="K92" s="48" t="s">
        <v>42</v>
      </c>
      <c r="L92" s="47">
        <f t="shared" si="5"/>
        <v>0</v>
      </c>
      <c r="M92" s="48"/>
      <c r="N92" s="49"/>
      <c r="O92" s="48"/>
      <c r="P92" s="48"/>
      <c r="Q92" s="48"/>
      <c r="R92" s="48"/>
      <c r="S92" s="48"/>
      <c r="T92" s="48"/>
      <c r="U92" s="48"/>
      <c r="V92" s="48"/>
      <c r="W92" s="106"/>
      <c r="X92" s="50">
        <f t="shared" si="7"/>
        <v>0</v>
      </c>
      <c r="Y92" s="116">
        <f t="shared" si="8"/>
        <v>0</v>
      </c>
      <c r="Z92" s="108"/>
      <c r="AA92" s="48"/>
      <c r="AB92" s="110"/>
      <c r="AC92" s="84"/>
      <c r="AD92" s="84"/>
      <c r="AE92" s="84"/>
      <c r="AF92" s="84"/>
      <c r="AG92" s="48"/>
      <c r="AH92" s="48"/>
      <c r="AI92" s="48"/>
      <c r="AJ92" s="111"/>
      <c r="AK92" s="115">
        <f t="shared" si="22"/>
        <v>0</v>
      </c>
      <c r="AL92" s="48"/>
      <c r="AM92" s="48"/>
      <c r="AN92" s="48"/>
      <c r="AO92" s="48"/>
      <c r="AP92" s="48"/>
      <c r="AQ92" s="112"/>
      <c r="AR92" s="48"/>
      <c r="AS92" s="113"/>
    </row>
    <row r="93" ht="15.75" customHeight="1">
      <c r="A93" s="98"/>
      <c r="B93" s="114"/>
      <c r="C93" s="117"/>
      <c r="D93" s="118"/>
      <c r="E93" s="120"/>
      <c r="F93" s="103">
        <f t="shared" si="1"/>
        <v>0</v>
      </c>
      <c r="G93" s="104"/>
      <c r="H93" s="104"/>
      <c r="I93" s="104"/>
      <c r="J93" s="115">
        <f t="shared" si="4"/>
        <v>0</v>
      </c>
      <c r="K93" s="48" t="s">
        <v>42</v>
      </c>
      <c r="L93" s="47">
        <f t="shared" si="5"/>
        <v>0</v>
      </c>
      <c r="M93" s="48"/>
      <c r="N93" s="49"/>
      <c r="O93" s="48"/>
      <c r="P93" s="48"/>
      <c r="Q93" s="48"/>
      <c r="R93" s="48"/>
      <c r="S93" s="48"/>
      <c r="T93" s="48"/>
      <c r="U93" s="48"/>
      <c r="V93" s="48"/>
      <c r="W93" s="106"/>
      <c r="X93" s="50">
        <f t="shared" si="7"/>
        <v>0</v>
      </c>
      <c r="Y93" s="116">
        <f t="shared" si="8"/>
        <v>0</v>
      </c>
      <c r="Z93" s="108"/>
      <c r="AA93" s="48"/>
      <c r="AB93" s="110"/>
      <c r="AC93" s="84"/>
      <c r="AD93" s="84"/>
      <c r="AE93" s="84"/>
      <c r="AF93" s="84"/>
      <c r="AG93" s="48"/>
      <c r="AH93" s="48"/>
      <c r="AI93" s="48"/>
      <c r="AJ93" s="111"/>
      <c r="AK93" s="115">
        <f t="shared" si="22"/>
        <v>0</v>
      </c>
      <c r="AL93" s="48"/>
      <c r="AM93" s="48"/>
      <c r="AN93" s="48"/>
      <c r="AO93" s="48"/>
      <c r="AP93" s="48"/>
      <c r="AQ93" s="112"/>
      <c r="AR93" s="48"/>
      <c r="AS93" s="113"/>
    </row>
    <row r="94" ht="15.75" customHeight="1">
      <c r="A94" s="98"/>
      <c r="B94" s="114"/>
      <c r="C94" s="117"/>
      <c r="D94" s="118"/>
      <c r="E94" s="102"/>
      <c r="F94" s="103">
        <f t="shared" si="1"/>
        <v>0</v>
      </c>
      <c r="G94" s="104"/>
      <c r="H94" s="104"/>
      <c r="I94" s="104"/>
      <c r="J94" s="115">
        <f t="shared" si="4"/>
        <v>0</v>
      </c>
      <c r="K94" s="48" t="s">
        <v>42</v>
      </c>
      <c r="L94" s="47">
        <f t="shared" ref="L94:L352" si="23">E94*57.99</f>
        <v>0</v>
      </c>
      <c r="M94" s="48"/>
      <c r="N94" s="49"/>
      <c r="O94" s="48"/>
      <c r="P94" s="48"/>
      <c r="Q94" s="48"/>
      <c r="R94" s="48"/>
      <c r="S94" s="48"/>
      <c r="T94" s="48"/>
      <c r="U94" s="48"/>
      <c r="V94" s="48"/>
      <c r="W94" s="106"/>
      <c r="X94" s="50">
        <f t="shared" si="7"/>
        <v>0</v>
      </c>
      <c r="Y94" s="116">
        <f t="shared" si="8"/>
        <v>0</v>
      </c>
      <c r="Z94" s="108"/>
      <c r="AA94" s="48"/>
      <c r="AB94" s="110"/>
      <c r="AC94" s="84"/>
      <c r="AD94" s="84"/>
      <c r="AE94" s="84"/>
      <c r="AF94" s="84"/>
      <c r="AG94" s="48"/>
      <c r="AH94" s="48"/>
      <c r="AI94" s="48"/>
      <c r="AJ94" s="111"/>
      <c r="AK94" s="115">
        <f t="shared" si="22"/>
        <v>0</v>
      </c>
      <c r="AL94" s="48"/>
      <c r="AM94" s="48"/>
      <c r="AN94" s="48"/>
      <c r="AO94" s="48"/>
      <c r="AP94" s="48"/>
      <c r="AQ94" s="112"/>
      <c r="AR94" s="48"/>
      <c r="AS94" s="113"/>
    </row>
    <row r="95" ht="15.75" customHeight="1">
      <c r="A95" s="98"/>
      <c r="B95" s="114"/>
      <c r="C95" s="117"/>
      <c r="D95" s="118"/>
      <c r="E95" s="102"/>
      <c r="F95" s="103">
        <f t="shared" si="1"/>
        <v>0</v>
      </c>
      <c r="G95" s="104"/>
      <c r="H95" s="104"/>
      <c r="I95" s="104"/>
      <c r="J95" s="115">
        <f t="shared" si="4"/>
        <v>0</v>
      </c>
      <c r="K95" s="48" t="s">
        <v>42</v>
      </c>
      <c r="L95" s="47">
        <f t="shared" si="23"/>
        <v>0</v>
      </c>
      <c r="M95" s="48"/>
      <c r="N95" s="49"/>
      <c r="O95" s="48"/>
      <c r="P95" s="48"/>
      <c r="Q95" s="48"/>
      <c r="R95" s="48"/>
      <c r="S95" s="48"/>
      <c r="T95" s="48"/>
      <c r="U95" s="48"/>
      <c r="V95" s="48"/>
      <c r="W95" s="106"/>
      <c r="X95" s="50">
        <f t="shared" si="7"/>
        <v>0</v>
      </c>
      <c r="Y95" s="116">
        <f t="shared" si="8"/>
        <v>0</v>
      </c>
      <c r="Z95" s="108"/>
      <c r="AA95" s="48"/>
      <c r="AB95" s="110"/>
      <c r="AC95" s="84"/>
      <c r="AD95" s="84"/>
      <c r="AE95" s="84"/>
      <c r="AF95" s="84"/>
      <c r="AG95" s="48"/>
      <c r="AH95" s="48"/>
      <c r="AI95" s="48"/>
      <c r="AJ95" s="111"/>
      <c r="AK95" s="115">
        <f t="shared" si="22"/>
        <v>0</v>
      </c>
      <c r="AL95" s="48"/>
      <c r="AM95" s="48"/>
      <c r="AN95" s="48"/>
      <c r="AO95" s="48"/>
      <c r="AP95" s="48"/>
      <c r="AQ95" s="112"/>
      <c r="AR95" s="48"/>
      <c r="AS95" s="113"/>
    </row>
    <row r="96" ht="15.75" customHeight="1">
      <c r="A96" s="98"/>
      <c r="B96" s="114"/>
      <c r="C96" s="117"/>
      <c r="D96" s="118"/>
      <c r="E96" s="102"/>
      <c r="F96" s="103">
        <f t="shared" si="1"/>
        <v>0</v>
      </c>
      <c r="G96" s="104"/>
      <c r="H96" s="104"/>
      <c r="I96" s="104"/>
      <c r="J96" s="115">
        <f t="shared" si="4"/>
        <v>0</v>
      </c>
      <c r="K96" s="48" t="s">
        <v>42</v>
      </c>
      <c r="L96" s="47">
        <f t="shared" si="23"/>
        <v>0</v>
      </c>
      <c r="M96" s="48"/>
      <c r="N96" s="49"/>
      <c r="O96" s="48"/>
      <c r="P96" s="48"/>
      <c r="Q96" s="48"/>
      <c r="R96" s="48"/>
      <c r="S96" s="48"/>
      <c r="T96" s="48"/>
      <c r="U96" s="48"/>
      <c r="V96" s="48"/>
      <c r="W96" s="106"/>
      <c r="X96" s="50">
        <f t="shared" si="7"/>
        <v>0</v>
      </c>
      <c r="Y96" s="116">
        <f t="shared" si="8"/>
        <v>0</v>
      </c>
      <c r="Z96" s="108"/>
      <c r="AA96" s="48"/>
      <c r="AB96" s="110"/>
      <c r="AC96" s="84"/>
      <c r="AD96" s="84"/>
      <c r="AE96" s="84"/>
      <c r="AF96" s="84"/>
      <c r="AG96" s="48"/>
      <c r="AH96" s="48"/>
      <c r="AI96" s="48"/>
      <c r="AJ96" s="111"/>
      <c r="AK96" s="115">
        <f t="shared" si="22"/>
        <v>0</v>
      </c>
      <c r="AL96" s="48"/>
      <c r="AM96" s="48"/>
      <c r="AN96" s="48"/>
      <c r="AO96" s="48"/>
      <c r="AP96" s="48"/>
      <c r="AQ96" s="112"/>
      <c r="AR96" s="48"/>
      <c r="AS96" s="113"/>
    </row>
    <row r="97" ht="15.75" customHeight="1">
      <c r="A97" s="98"/>
      <c r="B97" s="114"/>
      <c r="C97" s="117"/>
      <c r="D97" s="118"/>
      <c r="E97" s="102"/>
      <c r="F97" s="103">
        <f t="shared" si="1"/>
        <v>0</v>
      </c>
      <c r="G97" s="104"/>
      <c r="H97" s="104"/>
      <c r="I97" s="104"/>
      <c r="J97" s="115">
        <f t="shared" si="4"/>
        <v>0</v>
      </c>
      <c r="K97" s="48" t="s">
        <v>42</v>
      </c>
      <c r="L97" s="47">
        <f t="shared" si="23"/>
        <v>0</v>
      </c>
      <c r="M97" s="48"/>
      <c r="N97" s="49"/>
      <c r="O97" s="48"/>
      <c r="P97" s="48"/>
      <c r="Q97" s="48"/>
      <c r="R97" s="48"/>
      <c r="S97" s="48"/>
      <c r="T97" s="48"/>
      <c r="U97" s="48"/>
      <c r="V97" s="48"/>
      <c r="W97" s="106"/>
      <c r="X97" s="50">
        <f t="shared" si="7"/>
        <v>0</v>
      </c>
      <c r="Y97" s="116">
        <f t="shared" si="8"/>
        <v>0</v>
      </c>
      <c r="Z97" s="108"/>
      <c r="AA97" s="48"/>
      <c r="AB97" s="110"/>
      <c r="AC97" s="84"/>
      <c r="AD97" s="84"/>
      <c r="AE97" s="84"/>
      <c r="AF97" s="84"/>
      <c r="AG97" s="48"/>
      <c r="AH97" s="48"/>
      <c r="AI97" s="48"/>
      <c r="AJ97" s="111"/>
      <c r="AK97" s="115">
        <f t="shared" si="22"/>
        <v>0</v>
      </c>
      <c r="AL97" s="48"/>
      <c r="AM97" s="48"/>
      <c r="AN97" s="48"/>
      <c r="AO97" s="48"/>
      <c r="AP97" s="48"/>
      <c r="AQ97" s="112"/>
      <c r="AR97" s="48"/>
      <c r="AS97" s="113"/>
    </row>
    <row r="98" ht="15.75" customHeight="1">
      <c r="A98" s="98"/>
      <c r="B98" s="114"/>
      <c r="C98" s="117"/>
      <c r="D98" s="118"/>
      <c r="E98" s="102"/>
      <c r="F98" s="103">
        <f t="shared" si="1"/>
        <v>0</v>
      </c>
      <c r="G98" s="104"/>
      <c r="H98" s="104"/>
      <c r="I98" s="104"/>
      <c r="J98" s="115">
        <f t="shared" si="4"/>
        <v>0</v>
      </c>
      <c r="K98" s="48" t="s">
        <v>42</v>
      </c>
      <c r="L98" s="47">
        <f t="shared" si="23"/>
        <v>0</v>
      </c>
      <c r="M98" s="48"/>
      <c r="N98" s="49"/>
      <c r="O98" s="48"/>
      <c r="P98" s="48"/>
      <c r="Q98" s="48"/>
      <c r="R98" s="48"/>
      <c r="S98" s="48"/>
      <c r="T98" s="48"/>
      <c r="U98" s="48"/>
      <c r="V98" s="48"/>
      <c r="W98" s="106"/>
      <c r="X98" s="50">
        <f t="shared" si="7"/>
        <v>0</v>
      </c>
      <c r="Y98" s="116">
        <f t="shared" si="8"/>
        <v>0</v>
      </c>
      <c r="Z98" s="108"/>
      <c r="AA98" s="48"/>
      <c r="AB98" s="110"/>
      <c r="AC98" s="84"/>
      <c r="AD98" s="84"/>
      <c r="AE98" s="84"/>
      <c r="AF98" s="84"/>
      <c r="AG98" s="48"/>
      <c r="AH98" s="48"/>
      <c r="AI98" s="48"/>
      <c r="AJ98" s="111"/>
      <c r="AK98" s="115">
        <f t="shared" si="22"/>
        <v>0</v>
      </c>
      <c r="AL98" s="48"/>
      <c r="AM98" s="48"/>
      <c r="AN98" s="48"/>
      <c r="AO98" s="48"/>
      <c r="AP98" s="48"/>
      <c r="AQ98" s="112"/>
      <c r="AR98" s="48"/>
      <c r="AS98" s="113"/>
    </row>
    <row r="99" ht="15.75" customHeight="1">
      <c r="A99" s="98"/>
      <c r="B99" s="114"/>
      <c r="C99" s="117"/>
      <c r="D99" s="118"/>
      <c r="E99" s="102"/>
      <c r="F99" s="103">
        <f t="shared" si="1"/>
        <v>0</v>
      </c>
      <c r="G99" s="104"/>
      <c r="H99" s="104"/>
      <c r="I99" s="104"/>
      <c r="J99" s="115">
        <f t="shared" si="4"/>
        <v>0</v>
      </c>
      <c r="K99" s="48" t="s">
        <v>42</v>
      </c>
      <c r="L99" s="47">
        <f t="shared" si="23"/>
        <v>0</v>
      </c>
      <c r="M99" s="48"/>
      <c r="N99" s="49"/>
      <c r="O99" s="48"/>
      <c r="P99" s="48"/>
      <c r="Q99" s="48"/>
      <c r="R99" s="48"/>
      <c r="S99" s="48"/>
      <c r="T99" s="48"/>
      <c r="U99" s="48"/>
      <c r="V99" s="48"/>
      <c r="W99" s="106"/>
      <c r="X99" s="50">
        <f t="shared" si="7"/>
        <v>0</v>
      </c>
      <c r="Y99" s="116">
        <f t="shared" si="8"/>
        <v>0</v>
      </c>
      <c r="Z99" s="108"/>
      <c r="AA99" s="48"/>
      <c r="AB99" s="110"/>
      <c r="AC99" s="84"/>
      <c r="AD99" s="84"/>
      <c r="AE99" s="84"/>
      <c r="AF99" s="84"/>
      <c r="AG99" s="48"/>
      <c r="AH99" s="48"/>
      <c r="AI99" s="48"/>
      <c r="AJ99" s="111"/>
      <c r="AK99" s="115">
        <f t="shared" si="22"/>
        <v>0</v>
      </c>
      <c r="AL99" s="48"/>
      <c r="AM99" s="48"/>
      <c r="AN99" s="48"/>
      <c r="AO99" s="48"/>
      <c r="AP99" s="48"/>
      <c r="AQ99" s="112"/>
      <c r="AR99" s="48"/>
      <c r="AS99" s="113"/>
    </row>
    <row r="100" ht="15.75" customHeight="1">
      <c r="A100" s="98"/>
      <c r="B100" s="114"/>
      <c r="C100" s="117"/>
      <c r="D100" s="118"/>
      <c r="E100" s="102"/>
      <c r="F100" s="103">
        <f t="shared" si="1"/>
        <v>0</v>
      </c>
      <c r="G100" s="104"/>
      <c r="H100" s="104"/>
      <c r="I100" s="104"/>
      <c r="J100" s="115">
        <f t="shared" si="4"/>
        <v>0</v>
      </c>
      <c r="K100" s="48" t="s">
        <v>42</v>
      </c>
      <c r="L100" s="47">
        <f t="shared" si="23"/>
        <v>0</v>
      </c>
      <c r="M100" s="48"/>
      <c r="N100" s="49"/>
      <c r="O100" s="48"/>
      <c r="P100" s="48"/>
      <c r="Q100" s="48"/>
      <c r="R100" s="48"/>
      <c r="S100" s="48"/>
      <c r="T100" s="48"/>
      <c r="U100" s="48"/>
      <c r="V100" s="48"/>
      <c r="W100" s="106"/>
      <c r="X100" s="50">
        <f t="shared" si="7"/>
        <v>0</v>
      </c>
      <c r="Y100" s="116">
        <f t="shared" si="8"/>
        <v>0</v>
      </c>
      <c r="Z100" s="108"/>
      <c r="AA100" s="48"/>
      <c r="AB100" s="110"/>
      <c r="AC100" s="84"/>
      <c r="AD100" s="84"/>
      <c r="AE100" s="84"/>
      <c r="AF100" s="84"/>
      <c r="AG100" s="48"/>
      <c r="AH100" s="48"/>
      <c r="AI100" s="48"/>
      <c r="AJ100" s="111"/>
      <c r="AK100" s="115">
        <f t="shared" si="22"/>
        <v>0</v>
      </c>
      <c r="AL100" s="48"/>
      <c r="AM100" s="48"/>
      <c r="AN100" s="48"/>
      <c r="AO100" s="48"/>
      <c r="AP100" s="48"/>
      <c r="AQ100" s="112"/>
      <c r="AR100" s="48"/>
      <c r="AS100" s="113"/>
    </row>
    <row r="101" ht="15.75" customHeight="1">
      <c r="A101" s="98"/>
      <c r="B101" s="114"/>
      <c r="C101" s="117"/>
      <c r="D101" s="118"/>
      <c r="E101" s="102"/>
      <c r="F101" s="103">
        <f t="shared" si="1"/>
        <v>0</v>
      </c>
      <c r="G101" s="104"/>
      <c r="H101" s="104"/>
      <c r="I101" s="104"/>
      <c r="J101" s="115">
        <f t="shared" si="4"/>
        <v>0</v>
      </c>
      <c r="K101" s="48" t="s">
        <v>42</v>
      </c>
      <c r="L101" s="47">
        <f t="shared" si="23"/>
        <v>0</v>
      </c>
      <c r="M101" s="48"/>
      <c r="N101" s="49"/>
      <c r="O101" s="48"/>
      <c r="P101" s="48"/>
      <c r="Q101" s="48"/>
      <c r="R101" s="48"/>
      <c r="S101" s="48"/>
      <c r="T101" s="48"/>
      <c r="U101" s="48"/>
      <c r="V101" s="48"/>
      <c r="W101" s="106"/>
      <c r="X101" s="50">
        <f t="shared" si="7"/>
        <v>0</v>
      </c>
      <c r="Y101" s="116">
        <f t="shared" si="8"/>
        <v>0</v>
      </c>
      <c r="Z101" s="108"/>
      <c r="AA101" s="48"/>
      <c r="AB101" s="110"/>
      <c r="AC101" s="84"/>
      <c r="AD101" s="84"/>
      <c r="AE101" s="84"/>
      <c r="AF101" s="84"/>
      <c r="AG101" s="48"/>
      <c r="AH101" s="48"/>
      <c r="AI101" s="48"/>
      <c r="AJ101" s="111"/>
      <c r="AK101" s="115">
        <f t="shared" si="22"/>
        <v>0</v>
      </c>
      <c r="AL101" s="48"/>
      <c r="AM101" s="48"/>
      <c r="AN101" s="48"/>
      <c r="AO101" s="48"/>
      <c r="AP101" s="48"/>
      <c r="AQ101" s="112"/>
      <c r="AR101" s="48"/>
      <c r="AS101" s="113"/>
    </row>
    <row r="102" ht="15.75" customHeight="1">
      <c r="A102" s="98"/>
      <c r="B102" s="114"/>
      <c r="C102" s="117"/>
      <c r="D102" s="118"/>
      <c r="E102" s="102"/>
      <c r="F102" s="103">
        <f t="shared" si="1"/>
        <v>0</v>
      </c>
      <c r="G102" s="104"/>
      <c r="H102" s="104"/>
      <c r="I102" s="104"/>
      <c r="J102" s="115">
        <f t="shared" si="4"/>
        <v>0</v>
      </c>
      <c r="K102" s="48" t="s">
        <v>42</v>
      </c>
      <c r="L102" s="47">
        <f t="shared" si="23"/>
        <v>0</v>
      </c>
      <c r="M102" s="48"/>
      <c r="N102" s="49"/>
      <c r="O102" s="48"/>
      <c r="P102" s="48"/>
      <c r="Q102" s="48"/>
      <c r="R102" s="48"/>
      <c r="S102" s="48"/>
      <c r="T102" s="48"/>
      <c r="U102" s="48"/>
      <c r="V102" s="48"/>
      <c r="W102" s="106"/>
      <c r="X102" s="50">
        <f t="shared" si="7"/>
        <v>0</v>
      </c>
      <c r="Y102" s="116">
        <f t="shared" si="8"/>
        <v>0</v>
      </c>
      <c r="Z102" s="108"/>
      <c r="AA102" s="48"/>
      <c r="AB102" s="110"/>
      <c r="AC102" s="84"/>
      <c r="AD102" s="84"/>
      <c r="AE102" s="84"/>
      <c r="AF102" s="84"/>
      <c r="AG102" s="48"/>
      <c r="AH102" s="48"/>
      <c r="AI102" s="48"/>
      <c r="AJ102" s="111"/>
      <c r="AK102" s="115">
        <f t="shared" si="22"/>
        <v>0</v>
      </c>
      <c r="AL102" s="48"/>
      <c r="AM102" s="48"/>
      <c r="AN102" s="48"/>
      <c r="AO102" s="48"/>
      <c r="AP102" s="48"/>
      <c r="AQ102" s="112"/>
      <c r="AR102" s="48"/>
      <c r="AS102" s="113"/>
    </row>
    <row r="103" ht="15.75" customHeight="1">
      <c r="A103" s="98"/>
      <c r="B103" s="114"/>
      <c r="C103" s="117"/>
      <c r="D103" s="118"/>
      <c r="E103" s="102"/>
      <c r="F103" s="103">
        <f t="shared" si="1"/>
        <v>0</v>
      </c>
      <c r="G103" s="104"/>
      <c r="H103" s="104"/>
      <c r="I103" s="104"/>
      <c r="J103" s="115">
        <f t="shared" si="4"/>
        <v>0</v>
      </c>
      <c r="K103" s="48" t="s">
        <v>42</v>
      </c>
      <c r="L103" s="47">
        <f t="shared" si="23"/>
        <v>0</v>
      </c>
      <c r="M103" s="48"/>
      <c r="N103" s="49"/>
      <c r="O103" s="48"/>
      <c r="P103" s="48"/>
      <c r="Q103" s="48"/>
      <c r="R103" s="48"/>
      <c r="S103" s="48"/>
      <c r="T103" s="48"/>
      <c r="U103" s="48"/>
      <c r="V103" s="48"/>
      <c r="W103" s="106"/>
      <c r="X103" s="50">
        <f t="shared" si="7"/>
        <v>0</v>
      </c>
      <c r="Y103" s="116">
        <f t="shared" si="8"/>
        <v>0</v>
      </c>
      <c r="Z103" s="108"/>
      <c r="AA103" s="48"/>
      <c r="AB103" s="110"/>
      <c r="AC103" s="84"/>
      <c r="AD103" s="84"/>
      <c r="AE103" s="84"/>
      <c r="AF103" s="84"/>
      <c r="AG103" s="48"/>
      <c r="AH103" s="48"/>
      <c r="AI103" s="48"/>
      <c r="AJ103" s="111"/>
      <c r="AK103" s="115">
        <f t="shared" si="22"/>
        <v>0</v>
      </c>
      <c r="AL103" s="48"/>
      <c r="AM103" s="48"/>
      <c r="AN103" s="48"/>
      <c r="AO103" s="48"/>
      <c r="AP103" s="48"/>
      <c r="AQ103" s="112"/>
      <c r="AR103" s="48"/>
      <c r="AS103" s="113"/>
    </row>
    <row r="104" ht="15.75" customHeight="1">
      <c r="A104" s="98"/>
      <c r="B104" s="114"/>
      <c r="C104" s="117"/>
      <c r="D104" s="118"/>
      <c r="E104" s="102"/>
      <c r="F104" s="103">
        <f t="shared" si="1"/>
        <v>0</v>
      </c>
      <c r="G104" s="104"/>
      <c r="H104" s="104"/>
      <c r="I104" s="104"/>
      <c r="J104" s="115">
        <f t="shared" si="4"/>
        <v>0</v>
      </c>
      <c r="K104" s="48" t="s">
        <v>42</v>
      </c>
      <c r="L104" s="47">
        <f t="shared" si="23"/>
        <v>0</v>
      </c>
      <c r="M104" s="48"/>
      <c r="N104" s="49"/>
      <c r="O104" s="48"/>
      <c r="P104" s="48"/>
      <c r="Q104" s="48"/>
      <c r="R104" s="48"/>
      <c r="S104" s="48"/>
      <c r="T104" s="48"/>
      <c r="U104" s="48"/>
      <c r="V104" s="48"/>
      <c r="W104" s="106"/>
      <c r="X104" s="50">
        <f t="shared" si="7"/>
        <v>0</v>
      </c>
      <c r="Y104" s="116">
        <f t="shared" si="8"/>
        <v>0</v>
      </c>
      <c r="Z104" s="108"/>
      <c r="AA104" s="48"/>
      <c r="AB104" s="110"/>
      <c r="AC104" s="84"/>
      <c r="AD104" s="84"/>
      <c r="AE104" s="84"/>
      <c r="AF104" s="84"/>
      <c r="AG104" s="48"/>
      <c r="AH104" s="48"/>
      <c r="AI104" s="48"/>
      <c r="AJ104" s="111"/>
      <c r="AK104" s="115">
        <f t="shared" si="22"/>
        <v>0</v>
      </c>
      <c r="AL104" s="48"/>
      <c r="AM104" s="48"/>
      <c r="AN104" s="48"/>
      <c r="AO104" s="48"/>
      <c r="AP104" s="48"/>
      <c r="AQ104" s="112"/>
      <c r="AR104" s="48"/>
      <c r="AS104" s="113"/>
    </row>
    <row r="105" ht="15.75" customHeight="1">
      <c r="A105" s="98"/>
      <c r="B105" s="114"/>
      <c r="C105" s="100"/>
      <c r="D105" s="101"/>
      <c r="E105" s="102"/>
      <c r="F105" s="103">
        <f t="shared" si="1"/>
        <v>0</v>
      </c>
      <c r="G105" s="104"/>
      <c r="H105" s="104"/>
      <c r="I105" s="104"/>
      <c r="J105" s="115">
        <f t="shared" si="4"/>
        <v>0</v>
      </c>
      <c r="K105" s="48" t="s">
        <v>42</v>
      </c>
      <c r="L105" s="47">
        <f t="shared" si="23"/>
        <v>0</v>
      </c>
      <c r="M105" s="48"/>
      <c r="N105" s="49"/>
      <c r="O105" s="48"/>
      <c r="P105" s="48"/>
      <c r="Q105" s="48"/>
      <c r="R105" s="48"/>
      <c r="S105" s="48"/>
      <c r="T105" s="48"/>
      <c r="U105" s="48"/>
      <c r="V105" s="48"/>
      <c r="W105" s="106"/>
      <c r="X105" s="50">
        <f t="shared" si="7"/>
        <v>0</v>
      </c>
      <c r="Y105" s="116">
        <f t="shared" si="8"/>
        <v>0</v>
      </c>
      <c r="Z105" s="108"/>
      <c r="AA105" s="48"/>
      <c r="AB105" s="110"/>
      <c r="AC105" s="84"/>
      <c r="AD105" s="84"/>
      <c r="AE105" s="84"/>
      <c r="AF105" s="84"/>
      <c r="AG105" s="48"/>
      <c r="AH105" s="48"/>
      <c r="AI105" s="48"/>
      <c r="AJ105" s="111"/>
      <c r="AK105" s="115">
        <f t="shared" si="22"/>
        <v>0</v>
      </c>
      <c r="AL105" s="48"/>
      <c r="AM105" s="48"/>
      <c r="AN105" s="48"/>
      <c r="AO105" s="48"/>
      <c r="AP105" s="48"/>
      <c r="AQ105" s="112"/>
      <c r="AR105" s="48"/>
      <c r="AS105" s="113"/>
    </row>
    <row r="106" ht="15.75" customHeight="1">
      <c r="A106" s="98"/>
      <c r="B106" s="114"/>
      <c r="C106" s="100"/>
      <c r="D106" s="101"/>
      <c r="E106" s="102"/>
      <c r="F106" s="103">
        <f t="shared" si="1"/>
        <v>0</v>
      </c>
      <c r="G106" s="104"/>
      <c r="H106" s="104"/>
      <c r="I106" s="104"/>
      <c r="J106" s="115">
        <f t="shared" si="4"/>
        <v>0</v>
      </c>
      <c r="K106" s="48" t="s">
        <v>42</v>
      </c>
      <c r="L106" s="47">
        <f t="shared" si="23"/>
        <v>0</v>
      </c>
      <c r="M106" s="48"/>
      <c r="N106" s="49"/>
      <c r="O106" s="48"/>
      <c r="P106" s="48"/>
      <c r="Q106" s="48"/>
      <c r="R106" s="48"/>
      <c r="S106" s="48"/>
      <c r="T106" s="48"/>
      <c r="U106" s="48"/>
      <c r="V106" s="48"/>
      <c r="W106" s="106"/>
      <c r="X106" s="50">
        <f t="shared" si="7"/>
        <v>0</v>
      </c>
      <c r="Y106" s="116">
        <f t="shared" si="8"/>
        <v>0</v>
      </c>
      <c r="Z106" s="108"/>
      <c r="AA106" s="48"/>
      <c r="AB106" s="110"/>
      <c r="AC106" s="84"/>
      <c r="AD106" s="84"/>
      <c r="AE106" s="84"/>
      <c r="AF106" s="84"/>
      <c r="AG106" s="48"/>
      <c r="AH106" s="48"/>
      <c r="AI106" s="48"/>
      <c r="AJ106" s="111"/>
      <c r="AK106" s="115">
        <f t="shared" si="22"/>
        <v>0</v>
      </c>
      <c r="AL106" s="48"/>
      <c r="AM106" s="48"/>
      <c r="AN106" s="48"/>
      <c r="AO106" s="48"/>
      <c r="AP106" s="48"/>
      <c r="AQ106" s="112"/>
      <c r="AR106" s="48"/>
      <c r="AS106" s="113"/>
    </row>
    <row r="107" ht="15.75" customHeight="1">
      <c r="A107" s="98"/>
      <c r="B107" s="114"/>
      <c r="C107" s="117"/>
      <c r="D107" s="118"/>
      <c r="E107" s="102"/>
      <c r="F107" s="103">
        <f t="shared" si="1"/>
        <v>0</v>
      </c>
      <c r="G107" s="104"/>
      <c r="H107" s="104"/>
      <c r="I107" s="104"/>
      <c r="J107" s="115">
        <f t="shared" si="4"/>
        <v>0</v>
      </c>
      <c r="K107" s="48" t="s">
        <v>42</v>
      </c>
      <c r="L107" s="47">
        <f t="shared" si="23"/>
        <v>0</v>
      </c>
      <c r="M107" s="48"/>
      <c r="N107" s="49"/>
      <c r="O107" s="48"/>
      <c r="P107" s="48"/>
      <c r="Q107" s="48"/>
      <c r="R107" s="48"/>
      <c r="S107" s="48"/>
      <c r="T107" s="48"/>
      <c r="U107" s="48"/>
      <c r="V107" s="48"/>
      <c r="W107" s="106"/>
      <c r="X107" s="50">
        <f t="shared" si="7"/>
        <v>0</v>
      </c>
      <c r="Y107" s="116">
        <f t="shared" si="8"/>
        <v>0</v>
      </c>
      <c r="Z107" s="108"/>
      <c r="AA107" s="48"/>
      <c r="AB107" s="110"/>
      <c r="AC107" s="84"/>
      <c r="AD107" s="84"/>
      <c r="AE107" s="84"/>
      <c r="AF107" s="84"/>
      <c r="AG107" s="48"/>
      <c r="AH107" s="48"/>
      <c r="AI107" s="48"/>
      <c r="AJ107" s="111"/>
      <c r="AK107" s="115">
        <f t="shared" si="22"/>
        <v>0</v>
      </c>
      <c r="AL107" s="48"/>
      <c r="AM107" s="48"/>
      <c r="AN107" s="48"/>
      <c r="AO107" s="48"/>
      <c r="AP107" s="48"/>
      <c r="AQ107" s="112"/>
      <c r="AR107" s="48"/>
      <c r="AS107" s="113"/>
    </row>
    <row r="108" ht="15.75" customHeight="1">
      <c r="A108" s="98"/>
      <c r="B108" s="114"/>
      <c r="C108" s="117"/>
      <c r="D108" s="118"/>
      <c r="E108" s="102"/>
      <c r="F108" s="103">
        <f t="shared" si="1"/>
        <v>0</v>
      </c>
      <c r="G108" s="104"/>
      <c r="H108" s="104"/>
      <c r="I108" s="104"/>
      <c r="J108" s="115">
        <f t="shared" si="4"/>
        <v>0</v>
      </c>
      <c r="K108" s="48" t="s">
        <v>42</v>
      </c>
      <c r="L108" s="47">
        <f t="shared" si="23"/>
        <v>0</v>
      </c>
      <c r="M108" s="48"/>
      <c r="N108" s="49"/>
      <c r="O108" s="48"/>
      <c r="P108" s="48"/>
      <c r="Q108" s="48"/>
      <c r="R108" s="48"/>
      <c r="S108" s="48"/>
      <c r="T108" s="48"/>
      <c r="U108" s="48"/>
      <c r="V108" s="48"/>
      <c r="W108" s="106"/>
      <c r="X108" s="50">
        <f t="shared" si="7"/>
        <v>0</v>
      </c>
      <c r="Y108" s="116">
        <f t="shared" si="8"/>
        <v>0</v>
      </c>
      <c r="Z108" s="108"/>
      <c r="AA108" s="48"/>
      <c r="AB108" s="110"/>
      <c r="AC108" s="84"/>
      <c r="AD108" s="84"/>
      <c r="AE108" s="84"/>
      <c r="AF108" s="84"/>
      <c r="AG108" s="48"/>
      <c r="AH108" s="48"/>
      <c r="AI108" s="48"/>
      <c r="AJ108" s="111"/>
      <c r="AK108" s="115">
        <f t="shared" si="22"/>
        <v>0</v>
      </c>
      <c r="AL108" s="48"/>
      <c r="AM108" s="48"/>
      <c r="AN108" s="48"/>
      <c r="AO108" s="48"/>
      <c r="AP108" s="48"/>
      <c r="AQ108" s="112"/>
      <c r="AR108" s="48"/>
      <c r="AS108" s="113"/>
    </row>
    <row r="109" ht="15.75" customHeight="1">
      <c r="A109" s="98"/>
      <c r="B109" s="114"/>
      <c r="C109" s="117"/>
      <c r="D109" s="118"/>
      <c r="E109" s="102"/>
      <c r="F109" s="103">
        <f t="shared" si="1"/>
        <v>0</v>
      </c>
      <c r="G109" s="104"/>
      <c r="H109" s="104"/>
      <c r="I109" s="104"/>
      <c r="J109" s="115">
        <f t="shared" si="4"/>
        <v>0</v>
      </c>
      <c r="K109" s="48" t="s">
        <v>42</v>
      </c>
      <c r="L109" s="47">
        <f t="shared" si="23"/>
        <v>0</v>
      </c>
      <c r="M109" s="48"/>
      <c r="N109" s="49"/>
      <c r="O109" s="48"/>
      <c r="P109" s="48"/>
      <c r="Q109" s="48"/>
      <c r="R109" s="48"/>
      <c r="S109" s="48"/>
      <c r="T109" s="48"/>
      <c r="U109" s="48"/>
      <c r="V109" s="48"/>
      <c r="W109" s="106"/>
      <c r="X109" s="50">
        <f t="shared" si="7"/>
        <v>0</v>
      </c>
      <c r="Y109" s="116">
        <f t="shared" si="8"/>
        <v>0</v>
      </c>
      <c r="Z109" s="108"/>
      <c r="AA109" s="48"/>
      <c r="AB109" s="110"/>
      <c r="AC109" s="84"/>
      <c r="AD109" s="84"/>
      <c r="AE109" s="84"/>
      <c r="AF109" s="84"/>
      <c r="AG109" s="48"/>
      <c r="AH109" s="48"/>
      <c r="AI109" s="48"/>
      <c r="AJ109" s="111"/>
      <c r="AK109" s="115">
        <f t="shared" si="22"/>
        <v>0</v>
      </c>
      <c r="AL109" s="48"/>
      <c r="AM109" s="48"/>
      <c r="AN109" s="48"/>
      <c r="AO109" s="48"/>
      <c r="AP109" s="48"/>
      <c r="AQ109" s="112"/>
      <c r="AR109" s="48"/>
      <c r="AS109" s="113"/>
    </row>
    <row r="110" ht="15.75" customHeight="1">
      <c r="A110" s="98"/>
      <c r="B110" s="114"/>
      <c r="C110" s="100"/>
      <c r="D110" s="101"/>
      <c r="E110" s="102"/>
      <c r="F110" s="103">
        <f t="shared" si="1"/>
        <v>0</v>
      </c>
      <c r="G110" s="104"/>
      <c r="H110" s="104"/>
      <c r="I110" s="104"/>
      <c r="J110" s="115">
        <f t="shared" si="4"/>
        <v>0</v>
      </c>
      <c r="K110" s="48" t="s">
        <v>42</v>
      </c>
      <c r="L110" s="47">
        <f t="shared" si="23"/>
        <v>0</v>
      </c>
      <c r="M110" s="48"/>
      <c r="N110" s="49"/>
      <c r="O110" s="48"/>
      <c r="P110" s="48"/>
      <c r="Q110" s="48"/>
      <c r="R110" s="48"/>
      <c r="S110" s="48"/>
      <c r="T110" s="48"/>
      <c r="U110" s="48"/>
      <c r="V110" s="48"/>
      <c r="W110" s="106"/>
      <c r="X110" s="50">
        <f t="shared" si="7"/>
        <v>0</v>
      </c>
      <c r="Y110" s="116">
        <f t="shared" si="8"/>
        <v>0</v>
      </c>
      <c r="Z110" s="108"/>
      <c r="AA110" s="48"/>
      <c r="AB110" s="110"/>
      <c r="AC110" s="84"/>
      <c r="AD110" s="84"/>
      <c r="AE110" s="84"/>
      <c r="AF110" s="84"/>
      <c r="AG110" s="48"/>
      <c r="AH110" s="48"/>
      <c r="AI110" s="48"/>
      <c r="AJ110" s="111"/>
      <c r="AK110" s="115">
        <f t="shared" si="22"/>
        <v>0</v>
      </c>
      <c r="AL110" s="48"/>
      <c r="AM110" s="48"/>
      <c r="AN110" s="48"/>
      <c r="AO110" s="48"/>
      <c r="AP110" s="48"/>
      <c r="AQ110" s="112"/>
      <c r="AR110" s="48"/>
      <c r="AS110" s="113"/>
    </row>
    <row r="111" ht="15.75" customHeight="1">
      <c r="A111" s="98"/>
      <c r="B111" s="114"/>
      <c r="C111" s="100"/>
      <c r="D111" s="101"/>
      <c r="E111" s="102"/>
      <c r="F111" s="103">
        <f t="shared" si="1"/>
        <v>0</v>
      </c>
      <c r="G111" s="104"/>
      <c r="H111" s="104"/>
      <c r="I111" s="104"/>
      <c r="J111" s="115">
        <f t="shared" si="4"/>
        <v>0</v>
      </c>
      <c r="K111" s="48" t="s">
        <v>42</v>
      </c>
      <c r="L111" s="47">
        <f t="shared" si="23"/>
        <v>0</v>
      </c>
      <c r="M111" s="48"/>
      <c r="N111" s="49"/>
      <c r="O111" s="48"/>
      <c r="P111" s="48"/>
      <c r="Q111" s="48"/>
      <c r="R111" s="48"/>
      <c r="S111" s="48"/>
      <c r="T111" s="48"/>
      <c r="U111" s="48"/>
      <c r="V111" s="48"/>
      <c r="W111" s="106"/>
      <c r="X111" s="50">
        <f t="shared" si="7"/>
        <v>0</v>
      </c>
      <c r="Y111" s="116">
        <f t="shared" si="8"/>
        <v>0</v>
      </c>
      <c r="Z111" s="108"/>
      <c r="AA111" s="48"/>
      <c r="AB111" s="110"/>
      <c r="AC111" s="84"/>
      <c r="AD111" s="84"/>
      <c r="AE111" s="84"/>
      <c r="AF111" s="84"/>
      <c r="AG111" s="48"/>
      <c r="AH111" s="48"/>
      <c r="AI111" s="48"/>
      <c r="AJ111" s="111"/>
      <c r="AK111" s="115">
        <f t="shared" si="22"/>
        <v>0</v>
      </c>
      <c r="AL111" s="48"/>
      <c r="AM111" s="48"/>
      <c r="AN111" s="48"/>
      <c r="AO111" s="48"/>
      <c r="AP111" s="48"/>
      <c r="AQ111" s="112"/>
      <c r="AR111" s="48"/>
      <c r="AS111" s="113"/>
    </row>
    <row r="112" ht="15.75" customHeight="1">
      <c r="A112" s="98"/>
      <c r="B112" s="114"/>
      <c r="C112" s="117"/>
      <c r="D112" s="118"/>
      <c r="E112" s="120"/>
      <c r="F112" s="103">
        <f t="shared" si="1"/>
        <v>0</v>
      </c>
      <c r="G112" s="104"/>
      <c r="H112" s="104"/>
      <c r="I112" s="104"/>
      <c r="J112" s="115">
        <f t="shared" si="4"/>
        <v>0</v>
      </c>
      <c r="K112" s="48" t="s">
        <v>42</v>
      </c>
      <c r="L112" s="47">
        <f t="shared" si="23"/>
        <v>0</v>
      </c>
      <c r="M112" s="48"/>
      <c r="N112" s="49"/>
      <c r="O112" s="48"/>
      <c r="P112" s="48"/>
      <c r="Q112" s="48"/>
      <c r="R112" s="48"/>
      <c r="S112" s="48"/>
      <c r="T112" s="48"/>
      <c r="U112" s="48"/>
      <c r="V112" s="48"/>
      <c r="W112" s="106"/>
      <c r="X112" s="50">
        <f t="shared" si="7"/>
        <v>0</v>
      </c>
      <c r="Y112" s="116">
        <f t="shared" si="8"/>
        <v>0</v>
      </c>
      <c r="Z112" s="108"/>
      <c r="AA112" s="48"/>
      <c r="AB112" s="110"/>
      <c r="AC112" s="84"/>
      <c r="AD112" s="84"/>
      <c r="AE112" s="84"/>
      <c r="AF112" s="84"/>
      <c r="AG112" s="48"/>
      <c r="AH112" s="48"/>
      <c r="AI112" s="48"/>
      <c r="AJ112" s="111"/>
      <c r="AK112" s="115">
        <f t="shared" si="22"/>
        <v>0</v>
      </c>
      <c r="AL112" s="48"/>
      <c r="AM112" s="48"/>
      <c r="AN112" s="48"/>
      <c r="AO112" s="48"/>
      <c r="AP112" s="48"/>
      <c r="AQ112" s="112"/>
      <c r="AR112" s="48"/>
      <c r="AS112" s="113"/>
    </row>
    <row r="113" ht="15.75" customHeight="1">
      <c r="A113" s="98"/>
      <c r="B113" s="114"/>
      <c r="C113" s="100"/>
      <c r="D113" s="101"/>
      <c r="E113" s="102"/>
      <c r="F113" s="103">
        <f t="shared" si="1"/>
        <v>0</v>
      </c>
      <c r="G113" s="104"/>
      <c r="H113" s="104"/>
      <c r="I113" s="104"/>
      <c r="J113" s="115">
        <f t="shared" si="4"/>
        <v>0</v>
      </c>
      <c r="K113" s="48" t="s">
        <v>42</v>
      </c>
      <c r="L113" s="47">
        <f t="shared" si="23"/>
        <v>0</v>
      </c>
      <c r="M113" s="48"/>
      <c r="N113" s="49"/>
      <c r="O113" s="48"/>
      <c r="P113" s="48"/>
      <c r="Q113" s="48"/>
      <c r="R113" s="48"/>
      <c r="S113" s="48"/>
      <c r="T113" s="48"/>
      <c r="U113" s="48"/>
      <c r="V113" s="48"/>
      <c r="W113" s="106"/>
      <c r="X113" s="50">
        <f t="shared" si="7"/>
        <v>0</v>
      </c>
      <c r="Y113" s="116">
        <f t="shared" si="8"/>
        <v>0</v>
      </c>
      <c r="Z113" s="108"/>
      <c r="AA113" s="48"/>
      <c r="AB113" s="110"/>
      <c r="AC113" s="84"/>
      <c r="AD113" s="84"/>
      <c r="AE113" s="84"/>
      <c r="AF113" s="84"/>
      <c r="AG113" s="48"/>
      <c r="AH113" s="48"/>
      <c r="AI113" s="48"/>
      <c r="AJ113" s="111"/>
      <c r="AK113" s="115">
        <f t="shared" si="22"/>
        <v>0</v>
      </c>
      <c r="AL113" s="48"/>
      <c r="AM113" s="48"/>
      <c r="AN113" s="48"/>
      <c r="AO113" s="48"/>
      <c r="AP113" s="48"/>
      <c r="AQ113" s="112"/>
      <c r="AR113" s="48"/>
      <c r="AS113" s="113"/>
    </row>
    <row r="114" ht="15.75" customHeight="1">
      <c r="A114" s="98"/>
      <c r="B114" s="114"/>
      <c r="C114" s="100"/>
      <c r="D114" s="101"/>
      <c r="E114" s="102"/>
      <c r="F114" s="103">
        <f t="shared" si="1"/>
        <v>0</v>
      </c>
      <c r="G114" s="104"/>
      <c r="H114" s="104"/>
      <c r="I114" s="104"/>
      <c r="J114" s="115">
        <f t="shared" si="4"/>
        <v>0</v>
      </c>
      <c r="K114" s="48" t="s">
        <v>42</v>
      </c>
      <c r="L114" s="47">
        <f t="shared" si="23"/>
        <v>0</v>
      </c>
      <c r="M114" s="48"/>
      <c r="N114" s="49"/>
      <c r="O114" s="48"/>
      <c r="P114" s="48"/>
      <c r="Q114" s="48"/>
      <c r="R114" s="48"/>
      <c r="S114" s="48"/>
      <c r="T114" s="48"/>
      <c r="U114" s="48"/>
      <c r="V114" s="48"/>
      <c r="W114" s="106"/>
      <c r="X114" s="50">
        <f t="shared" si="7"/>
        <v>0</v>
      </c>
      <c r="Y114" s="116">
        <f t="shared" si="8"/>
        <v>0</v>
      </c>
      <c r="Z114" s="108"/>
      <c r="AA114" s="48"/>
      <c r="AB114" s="110"/>
      <c r="AC114" s="84"/>
      <c r="AD114" s="84"/>
      <c r="AE114" s="84"/>
      <c r="AF114" s="84"/>
      <c r="AG114" s="48"/>
      <c r="AH114" s="48"/>
      <c r="AI114" s="48"/>
      <c r="AJ114" s="111"/>
      <c r="AK114" s="115">
        <f t="shared" si="22"/>
        <v>0</v>
      </c>
      <c r="AL114" s="48"/>
      <c r="AM114" s="48"/>
      <c r="AN114" s="48"/>
      <c r="AO114" s="48"/>
      <c r="AP114" s="48"/>
      <c r="AQ114" s="112"/>
      <c r="AR114" s="48"/>
      <c r="AS114" s="113"/>
    </row>
    <row r="115" ht="15.75" customHeight="1">
      <c r="A115" s="98"/>
      <c r="B115" s="114"/>
      <c r="C115" s="100"/>
      <c r="D115" s="101"/>
      <c r="E115" s="102"/>
      <c r="F115" s="103">
        <f t="shared" si="1"/>
        <v>0</v>
      </c>
      <c r="G115" s="104"/>
      <c r="H115" s="104"/>
      <c r="I115" s="104"/>
      <c r="J115" s="115">
        <f t="shared" si="4"/>
        <v>0</v>
      </c>
      <c r="K115" s="48" t="s">
        <v>42</v>
      </c>
      <c r="L115" s="47">
        <f t="shared" si="23"/>
        <v>0</v>
      </c>
      <c r="M115" s="48"/>
      <c r="N115" s="49"/>
      <c r="O115" s="48"/>
      <c r="P115" s="48"/>
      <c r="Q115" s="48"/>
      <c r="R115" s="48"/>
      <c r="S115" s="48"/>
      <c r="T115" s="48"/>
      <c r="U115" s="48"/>
      <c r="V115" s="48"/>
      <c r="W115" s="106"/>
      <c r="X115" s="50">
        <f t="shared" si="7"/>
        <v>0</v>
      </c>
      <c r="Y115" s="116">
        <f t="shared" si="8"/>
        <v>0</v>
      </c>
      <c r="Z115" s="108"/>
      <c r="AA115" s="48"/>
      <c r="AB115" s="110"/>
      <c r="AC115" s="84"/>
      <c r="AD115" s="84"/>
      <c r="AE115" s="84"/>
      <c r="AF115" s="84"/>
      <c r="AG115" s="48"/>
      <c r="AH115" s="48"/>
      <c r="AI115" s="48"/>
      <c r="AJ115" s="111"/>
      <c r="AK115" s="115">
        <f t="shared" si="22"/>
        <v>0</v>
      </c>
      <c r="AL115" s="48"/>
      <c r="AM115" s="48"/>
      <c r="AN115" s="48"/>
      <c r="AO115" s="48"/>
      <c r="AP115" s="48"/>
      <c r="AQ115" s="112"/>
      <c r="AR115" s="48"/>
      <c r="AS115" s="113"/>
    </row>
    <row r="116" ht="15.75" customHeight="1">
      <c r="A116" s="98"/>
      <c r="B116" s="114"/>
      <c r="C116" s="100"/>
      <c r="D116" s="101"/>
      <c r="E116" s="102"/>
      <c r="F116" s="103">
        <f t="shared" si="1"/>
        <v>0</v>
      </c>
      <c r="G116" s="104"/>
      <c r="H116" s="104"/>
      <c r="I116" s="104"/>
      <c r="J116" s="115">
        <f t="shared" si="4"/>
        <v>0</v>
      </c>
      <c r="K116" s="48" t="s">
        <v>42</v>
      </c>
      <c r="L116" s="47">
        <f t="shared" si="23"/>
        <v>0</v>
      </c>
      <c r="M116" s="48"/>
      <c r="N116" s="49"/>
      <c r="O116" s="48"/>
      <c r="P116" s="48"/>
      <c r="Q116" s="48"/>
      <c r="R116" s="48"/>
      <c r="S116" s="48"/>
      <c r="T116" s="48"/>
      <c r="U116" s="48"/>
      <c r="V116" s="48"/>
      <c r="W116" s="106"/>
      <c r="X116" s="50">
        <f t="shared" si="7"/>
        <v>0</v>
      </c>
      <c r="Y116" s="116">
        <f t="shared" si="8"/>
        <v>0</v>
      </c>
      <c r="Z116" s="108"/>
      <c r="AA116" s="48"/>
      <c r="AB116" s="110"/>
      <c r="AC116" s="84"/>
      <c r="AD116" s="84"/>
      <c r="AE116" s="84"/>
      <c r="AF116" s="84"/>
      <c r="AG116" s="48"/>
      <c r="AH116" s="48"/>
      <c r="AI116" s="48"/>
      <c r="AJ116" s="111"/>
      <c r="AK116" s="115">
        <f t="shared" si="22"/>
        <v>0</v>
      </c>
      <c r="AL116" s="48"/>
      <c r="AM116" s="48"/>
      <c r="AN116" s="48"/>
      <c r="AO116" s="48"/>
      <c r="AP116" s="48"/>
      <c r="AQ116" s="112"/>
      <c r="AR116" s="48"/>
      <c r="AS116" s="113"/>
    </row>
    <row r="117" ht="15.75" customHeight="1">
      <c r="A117" s="98"/>
      <c r="B117" s="114"/>
      <c r="C117" s="100"/>
      <c r="D117" s="101"/>
      <c r="E117" s="102"/>
      <c r="F117" s="103">
        <f t="shared" si="1"/>
        <v>0</v>
      </c>
      <c r="G117" s="104"/>
      <c r="H117" s="104"/>
      <c r="I117" s="104"/>
      <c r="J117" s="115">
        <f t="shared" si="4"/>
        <v>0</v>
      </c>
      <c r="K117" s="48" t="s">
        <v>42</v>
      </c>
      <c r="L117" s="47">
        <f t="shared" si="23"/>
        <v>0</v>
      </c>
      <c r="M117" s="48"/>
      <c r="N117" s="49"/>
      <c r="O117" s="48"/>
      <c r="P117" s="48"/>
      <c r="Q117" s="48"/>
      <c r="R117" s="48"/>
      <c r="S117" s="48"/>
      <c r="T117" s="48"/>
      <c r="U117" s="48"/>
      <c r="V117" s="48"/>
      <c r="W117" s="106"/>
      <c r="X117" s="50">
        <f t="shared" si="7"/>
        <v>0</v>
      </c>
      <c r="Y117" s="116">
        <f t="shared" si="8"/>
        <v>0</v>
      </c>
      <c r="Z117" s="108"/>
      <c r="AA117" s="48"/>
      <c r="AB117" s="110"/>
      <c r="AC117" s="84"/>
      <c r="AD117" s="84"/>
      <c r="AE117" s="84"/>
      <c r="AF117" s="84"/>
      <c r="AG117" s="48"/>
      <c r="AH117" s="48"/>
      <c r="AI117" s="48"/>
      <c r="AJ117" s="111"/>
      <c r="AK117" s="115">
        <f t="shared" si="22"/>
        <v>0</v>
      </c>
      <c r="AL117" s="48"/>
      <c r="AM117" s="48"/>
      <c r="AN117" s="48"/>
      <c r="AO117" s="48"/>
      <c r="AP117" s="48"/>
      <c r="AQ117" s="112"/>
      <c r="AR117" s="48"/>
      <c r="AS117" s="113"/>
    </row>
    <row r="118" ht="15.75" customHeight="1">
      <c r="A118" s="98"/>
      <c r="B118" s="114"/>
      <c r="C118" s="117"/>
      <c r="D118" s="118"/>
      <c r="E118" s="102"/>
      <c r="F118" s="103">
        <f t="shared" si="1"/>
        <v>0</v>
      </c>
      <c r="G118" s="104"/>
      <c r="H118" s="104"/>
      <c r="I118" s="104"/>
      <c r="J118" s="115">
        <f t="shared" si="4"/>
        <v>0</v>
      </c>
      <c r="K118" s="48" t="s">
        <v>42</v>
      </c>
      <c r="L118" s="47">
        <f t="shared" si="23"/>
        <v>0</v>
      </c>
      <c r="M118" s="48"/>
      <c r="N118" s="49"/>
      <c r="O118" s="48"/>
      <c r="P118" s="48"/>
      <c r="Q118" s="48"/>
      <c r="R118" s="48"/>
      <c r="S118" s="48"/>
      <c r="T118" s="48"/>
      <c r="U118" s="48"/>
      <c r="V118" s="48"/>
      <c r="W118" s="106"/>
      <c r="X118" s="50">
        <f t="shared" si="7"/>
        <v>0</v>
      </c>
      <c r="Y118" s="116">
        <f t="shared" si="8"/>
        <v>0</v>
      </c>
      <c r="Z118" s="108"/>
      <c r="AA118" s="48"/>
      <c r="AB118" s="110"/>
      <c r="AC118" s="84"/>
      <c r="AD118" s="84"/>
      <c r="AE118" s="84"/>
      <c r="AF118" s="84"/>
      <c r="AG118" s="48"/>
      <c r="AH118" s="48"/>
      <c r="AI118" s="48"/>
      <c r="AJ118" s="111"/>
      <c r="AK118" s="115">
        <f t="shared" si="22"/>
        <v>0</v>
      </c>
      <c r="AL118" s="48"/>
      <c r="AM118" s="48"/>
      <c r="AN118" s="48"/>
      <c r="AO118" s="48"/>
      <c r="AP118" s="48"/>
      <c r="AQ118" s="112"/>
      <c r="AR118" s="48"/>
      <c r="AS118" s="113"/>
    </row>
    <row r="119" ht="15.75" customHeight="1">
      <c r="A119" s="98"/>
      <c r="B119" s="114"/>
      <c r="C119" s="117"/>
      <c r="D119" s="118"/>
      <c r="E119" s="102"/>
      <c r="F119" s="103">
        <f t="shared" si="1"/>
        <v>0</v>
      </c>
      <c r="G119" s="104"/>
      <c r="H119" s="104"/>
      <c r="I119" s="104"/>
      <c r="J119" s="115">
        <f t="shared" si="4"/>
        <v>0</v>
      </c>
      <c r="K119" s="48" t="s">
        <v>42</v>
      </c>
      <c r="L119" s="47">
        <f t="shared" si="23"/>
        <v>0</v>
      </c>
      <c r="M119" s="48"/>
      <c r="N119" s="49"/>
      <c r="O119" s="48"/>
      <c r="P119" s="48"/>
      <c r="Q119" s="48"/>
      <c r="R119" s="48"/>
      <c r="S119" s="48"/>
      <c r="T119" s="48"/>
      <c r="U119" s="48"/>
      <c r="V119" s="48"/>
      <c r="W119" s="106"/>
      <c r="X119" s="50">
        <f t="shared" si="7"/>
        <v>0</v>
      </c>
      <c r="Y119" s="116">
        <f t="shared" si="8"/>
        <v>0</v>
      </c>
      <c r="Z119" s="108"/>
      <c r="AA119" s="48"/>
      <c r="AB119" s="110"/>
      <c r="AC119" s="84"/>
      <c r="AD119" s="84"/>
      <c r="AE119" s="84"/>
      <c r="AF119" s="84"/>
      <c r="AG119" s="48"/>
      <c r="AH119" s="48"/>
      <c r="AI119" s="48"/>
      <c r="AJ119" s="111"/>
      <c r="AK119" s="115">
        <f t="shared" si="22"/>
        <v>0</v>
      </c>
      <c r="AL119" s="48"/>
      <c r="AM119" s="48"/>
      <c r="AN119" s="48"/>
      <c r="AO119" s="48"/>
      <c r="AP119" s="48"/>
      <c r="AQ119" s="112"/>
      <c r="AR119" s="48"/>
      <c r="AS119" s="113"/>
    </row>
    <row r="120" ht="15.75" customHeight="1">
      <c r="A120" s="98"/>
      <c r="B120" s="114"/>
      <c r="C120" s="117"/>
      <c r="D120" s="118"/>
      <c r="E120" s="102"/>
      <c r="F120" s="103">
        <f t="shared" si="1"/>
        <v>0</v>
      </c>
      <c r="G120" s="104"/>
      <c r="H120" s="104"/>
      <c r="I120" s="104"/>
      <c r="J120" s="115">
        <f t="shared" si="4"/>
        <v>0</v>
      </c>
      <c r="K120" s="48" t="s">
        <v>42</v>
      </c>
      <c r="L120" s="47">
        <f t="shared" si="23"/>
        <v>0</v>
      </c>
      <c r="M120" s="48"/>
      <c r="N120" s="49"/>
      <c r="O120" s="48"/>
      <c r="P120" s="48"/>
      <c r="Q120" s="48"/>
      <c r="R120" s="48"/>
      <c r="S120" s="48"/>
      <c r="T120" s="48"/>
      <c r="U120" s="48"/>
      <c r="V120" s="48"/>
      <c r="W120" s="106"/>
      <c r="X120" s="50">
        <f t="shared" si="7"/>
        <v>0</v>
      </c>
      <c r="Y120" s="116">
        <f t="shared" si="8"/>
        <v>0</v>
      </c>
      <c r="Z120" s="108"/>
      <c r="AA120" s="48"/>
      <c r="AB120" s="110"/>
      <c r="AC120" s="84"/>
      <c r="AD120" s="84"/>
      <c r="AE120" s="84"/>
      <c r="AF120" s="84"/>
      <c r="AG120" s="48"/>
      <c r="AH120" s="48"/>
      <c r="AI120" s="48"/>
      <c r="AJ120" s="111"/>
      <c r="AK120" s="115">
        <f t="shared" si="22"/>
        <v>0</v>
      </c>
      <c r="AL120" s="48"/>
      <c r="AM120" s="48"/>
      <c r="AN120" s="48"/>
      <c r="AO120" s="48"/>
      <c r="AP120" s="48"/>
      <c r="AQ120" s="112"/>
      <c r="AR120" s="48"/>
      <c r="AS120" s="113"/>
    </row>
    <row r="121" ht="15.75" customHeight="1">
      <c r="A121" s="98"/>
      <c r="B121" s="114"/>
      <c r="C121" s="117"/>
      <c r="D121" s="118"/>
      <c r="E121" s="102"/>
      <c r="F121" s="103">
        <f t="shared" si="1"/>
        <v>0</v>
      </c>
      <c r="G121" s="104"/>
      <c r="H121" s="104"/>
      <c r="I121" s="104"/>
      <c r="J121" s="115">
        <f t="shared" si="4"/>
        <v>0</v>
      </c>
      <c r="K121" s="48" t="s">
        <v>42</v>
      </c>
      <c r="L121" s="47">
        <f t="shared" si="23"/>
        <v>0</v>
      </c>
      <c r="M121" s="48"/>
      <c r="N121" s="49"/>
      <c r="O121" s="48"/>
      <c r="P121" s="48"/>
      <c r="Q121" s="48"/>
      <c r="R121" s="48"/>
      <c r="S121" s="48"/>
      <c r="T121" s="48"/>
      <c r="U121" s="48"/>
      <c r="V121" s="48"/>
      <c r="W121" s="106"/>
      <c r="X121" s="50">
        <f t="shared" si="7"/>
        <v>0</v>
      </c>
      <c r="Y121" s="116">
        <f t="shared" si="8"/>
        <v>0</v>
      </c>
      <c r="Z121" s="108"/>
      <c r="AA121" s="48"/>
      <c r="AB121" s="110"/>
      <c r="AC121" s="84"/>
      <c r="AD121" s="84"/>
      <c r="AE121" s="84"/>
      <c r="AF121" s="84"/>
      <c r="AG121" s="48"/>
      <c r="AH121" s="48"/>
      <c r="AI121" s="48"/>
      <c r="AJ121" s="111"/>
      <c r="AK121" s="115">
        <f t="shared" si="22"/>
        <v>0</v>
      </c>
      <c r="AL121" s="48"/>
      <c r="AM121" s="48"/>
      <c r="AN121" s="48"/>
      <c r="AO121" s="48"/>
      <c r="AP121" s="48"/>
      <c r="AQ121" s="112"/>
      <c r="AR121" s="48"/>
      <c r="AS121" s="113"/>
    </row>
    <row r="122" ht="15.75" customHeight="1">
      <c r="A122" s="98"/>
      <c r="B122" s="114"/>
      <c r="C122" s="117"/>
      <c r="D122" s="118"/>
      <c r="E122" s="102"/>
      <c r="F122" s="103">
        <f t="shared" si="1"/>
        <v>0</v>
      </c>
      <c r="G122" s="104"/>
      <c r="H122" s="104"/>
      <c r="I122" s="104"/>
      <c r="J122" s="115">
        <f t="shared" si="4"/>
        <v>0</v>
      </c>
      <c r="K122" s="48" t="s">
        <v>42</v>
      </c>
      <c r="L122" s="47">
        <f t="shared" si="23"/>
        <v>0</v>
      </c>
      <c r="M122" s="48"/>
      <c r="N122" s="49"/>
      <c r="O122" s="48"/>
      <c r="P122" s="48"/>
      <c r="Q122" s="48"/>
      <c r="R122" s="48"/>
      <c r="S122" s="48"/>
      <c r="T122" s="48"/>
      <c r="U122" s="48"/>
      <c r="V122" s="48"/>
      <c r="W122" s="106"/>
      <c r="X122" s="50">
        <f t="shared" si="7"/>
        <v>0</v>
      </c>
      <c r="Y122" s="116">
        <f t="shared" si="8"/>
        <v>0</v>
      </c>
      <c r="Z122" s="108"/>
      <c r="AA122" s="48"/>
      <c r="AB122" s="110"/>
      <c r="AC122" s="84"/>
      <c r="AD122" s="84"/>
      <c r="AE122" s="84"/>
      <c r="AF122" s="84"/>
      <c r="AG122" s="48"/>
      <c r="AH122" s="48"/>
      <c r="AI122" s="48"/>
      <c r="AJ122" s="111"/>
      <c r="AK122" s="115">
        <f t="shared" si="22"/>
        <v>0</v>
      </c>
      <c r="AL122" s="48"/>
      <c r="AM122" s="48"/>
      <c r="AN122" s="48"/>
      <c r="AO122" s="48"/>
      <c r="AP122" s="48"/>
      <c r="AQ122" s="112"/>
      <c r="AR122" s="48"/>
      <c r="AS122" s="113"/>
    </row>
    <row r="123" ht="15.75" customHeight="1">
      <c r="A123" s="98"/>
      <c r="B123" s="114"/>
      <c r="C123" s="117"/>
      <c r="D123" s="118"/>
      <c r="E123" s="102"/>
      <c r="F123" s="103">
        <f t="shared" si="1"/>
        <v>0</v>
      </c>
      <c r="G123" s="104"/>
      <c r="H123" s="104"/>
      <c r="I123" s="104"/>
      <c r="J123" s="115">
        <f t="shared" si="4"/>
        <v>0</v>
      </c>
      <c r="K123" s="48" t="s">
        <v>42</v>
      </c>
      <c r="L123" s="47">
        <f t="shared" si="23"/>
        <v>0</v>
      </c>
      <c r="M123" s="48"/>
      <c r="N123" s="49"/>
      <c r="O123" s="48"/>
      <c r="P123" s="48"/>
      <c r="Q123" s="48"/>
      <c r="R123" s="48"/>
      <c r="S123" s="48"/>
      <c r="T123" s="48"/>
      <c r="U123" s="48"/>
      <c r="V123" s="48"/>
      <c r="W123" s="106"/>
      <c r="X123" s="50">
        <f t="shared" si="7"/>
        <v>0</v>
      </c>
      <c r="Y123" s="116">
        <f t="shared" si="8"/>
        <v>0</v>
      </c>
      <c r="Z123" s="108"/>
      <c r="AA123" s="48"/>
      <c r="AB123" s="110"/>
      <c r="AC123" s="84"/>
      <c r="AD123" s="84"/>
      <c r="AE123" s="84"/>
      <c r="AF123" s="84"/>
      <c r="AG123" s="48"/>
      <c r="AH123" s="48"/>
      <c r="AI123" s="48"/>
      <c r="AJ123" s="111"/>
      <c r="AK123" s="115">
        <f t="shared" si="22"/>
        <v>0</v>
      </c>
      <c r="AL123" s="48"/>
      <c r="AM123" s="48"/>
      <c r="AN123" s="48"/>
      <c r="AO123" s="48"/>
      <c r="AP123" s="48"/>
      <c r="AQ123" s="112"/>
      <c r="AR123" s="48"/>
      <c r="AS123" s="113"/>
    </row>
    <row r="124" ht="15.75" customHeight="1">
      <c r="A124" s="98"/>
      <c r="B124" s="114"/>
      <c r="C124" s="117"/>
      <c r="D124" s="118"/>
      <c r="E124" s="102"/>
      <c r="F124" s="103">
        <f t="shared" si="1"/>
        <v>0</v>
      </c>
      <c r="G124" s="104"/>
      <c r="H124" s="104"/>
      <c r="I124" s="104"/>
      <c r="J124" s="115">
        <f t="shared" si="4"/>
        <v>0</v>
      </c>
      <c r="K124" s="48" t="s">
        <v>42</v>
      </c>
      <c r="L124" s="47">
        <f t="shared" si="23"/>
        <v>0</v>
      </c>
      <c r="M124" s="48"/>
      <c r="N124" s="49"/>
      <c r="O124" s="48"/>
      <c r="P124" s="48"/>
      <c r="Q124" s="48"/>
      <c r="R124" s="48"/>
      <c r="S124" s="48"/>
      <c r="T124" s="48"/>
      <c r="U124" s="48"/>
      <c r="V124" s="48"/>
      <c r="W124" s="106"/>
      <c r="X124" s="50">
        <f t="shared" si="7"/>
        <v>0</v>
      </c>
      <c r="Y124" s="116">
        <f t="shared" si="8"/>
        <v>0</v>
      </c>
      <c r="Z124" s="108"/>
      <c r="AA124" s="48"/>
      <c r="AB124" s="110"/>
      <c r="AC124" s="84"/>
      <c r="AD124" s="84"/>
      <c r="AE124" s="84"/>
      <c r="AF124" s="84"/>
      <c r="AG124" s="48"/>
      <c r="AH124" s="48"/>
      <c r="AI124" s="48"/>
      <c r="AJ124" s="111"/>
      <c r="AK124" s="115">
        <f t="shared" si="22"/>
        <v>0</v>
      </c>
      <c r="AL124" s="48"/>
      <c r="AM124" s="48"/>
      <c r="AN124" s="48"/>
      <c r="AO124" s="48"/>
      <c r="AP124" s="48"/>
      <c r="AQ124" s="112"/>
      <c r="AR124" s="48"/>
      <c r="AS124" s="113"/>
    </row>
    <row r="125" ht="15.75" customHeight="1">
      <c r="A125" s="98"/>
      <c r="B125" s="114"/>
      <c r="C125" s="117"/>
      <c r="D125" s="118"/>
      <c r="E125" s="102"/>
      <c r="F125" s="103">
        <f t="shared" si="1"/>
        <v>0</v>
      </c>
      <c r="G125" s="104"/>
      <c r="H125" s="104"/>
      <c r="I125" s="104"/>
      <c r="J125" s="115">
        <f t="shared" si="4"/>
        <v>0</v>
      </c>
      <c r="K125" s="48" t="s">
        <v>42</v>
      </c>
      <c r="L125" s="47">
        <f t="shared" si="23"/>
        <v>0</v>
      </c>
      <c r="M125" s="48"/>
      <c r="N125" s="49"/>
      <c r="O125" s="48"/>
      <c r="P125" s="48"/>
      <c r="Q125" s="48"/>
      <c r="R125" s="48"/>
      <c r="S125" s="48"/>
      <c r="T125" s="48"/>
      <c r="U125" s="48"/>
      <c r="V125" s="48"/>
      <c r="W125" s="106"/>
      <c r="X125" s="50">
        <f t="shared" si="7"/>
        <v>0</v>
      </c>
      <c r="Y125" s="116">
        <f t="shared" si="8"/>
        <v>0</v>
      </c>
      <c r="Z125" s="108"/>
      <c r="AA125" s="48"/>
      <c r="AB125" s="110"/>
      <c r="AC125" s="84"/>
      <c r="AD125" s="84"/>
      <c r="AE125" s="84"/>
      <c r="AF125" s="84"/>
      <c r="AG125" s="48"/>
      <c r="AH125" s="48"/>
      <c r="AI125" s="48"/>
      <c r="AJ125" s="111"/>
      <c r="AK125" s="115">
        <f t="shared" si="22"/>
        <v>0</v>
      </c>
      <c r="AL125" s="48"/>
      <c r="AM125" s="48"/>
      <c r="AN125" s="48"/>
      <c r="AO125" s="48"/>
      <c r="AP125" s="48"/>
      <c r="AQ125" s="112"/>
      <c r="AR125" s="48"/>
      <c r="AS125" s="113"/>
    </row>
    <row r="126" ht="15.75" customHeight="1">
      <c r="A126" s="98"/>
      <c r="B126" s="114"/>
      <c r="C126" s="117"/>
      <c r="D126" s="118"/>
      <c r="E126" s="102"/>
      <c r="F126" s="103">
        <f t="shared" si="1"/>
        <v>0</v>
      </c>
      <c r="G126" s="104"/>
      <c r="H126" s="104"/>
      <c r="I126" s="104"/>
      <c r="J126" s="115">
        <f t="shared" si="4"/>
        <v>0</v>
      </c>
      <c r="K126" s="48" t="s">
        <v>42</v>
      </c>
      <c r="L126" s="47">
        <f t="shared" si="23"/>
        <v>0</v>
      </c>
      <c r="M126" s="48"/>
      <c r="N126" s="49"/>
      <c r="O126" s="48"/>
      <c r="P126" s="48"/>
      <c r="Q126" s="48"/>
      <c r="R126" s="48"/>
      <c r="S126" s="48"/>
      <c r="T126" s="48"/>
      <c r="U126" s="48"/>
      <c r="V126" s="48"/>
      <c r="W126" s="106"/>
      <c r="X126" s="50">
        <f t="shared" si="7"/>
        <v>0</v>
      </c>
      <c r="Y126" s="116">
        <f t="shared" si="8"/>
        <v>0</v>
      </c>
      <c r="Z126" s="108"/>
      <c r="AA126" s="48"/>
      <c r="AB126" s="110"/>
      <c r="AC126" s="84"/>
      <c r="AD126" s="84"/>
      <c r="AE126" s="84"/>
      <c r="AF126" s="84"/>
      <c r="AG126" s="48"/>
      <c r="AH126" s="48"/>
      <c r="AI126" s="48"/>
      <c r="AJ126" s="111"/>
      <c r="AK126" s="115">
        <f t="shared" si="22"/>
        <v>0</v>
      </c>
      <c r="AL126" s="48"/>
      <c r="AM126" s="48"/>
      <c r="AN126" s="48"/>
      <c r="AO126" s="48"/>
      <c r="AP126" s="48"/>
      <c r="AQ126" s="112"/>
      <c r="AR126" s="48"/>
      <c r="AS126" s="113"/>
    </row>
    <row r="127" ht="15.75" customHeight="1">
      <c r="A127" s="98"/>
      <c r="B127" s="114"/>
      <c r="C127" s="117"/>
      <c r="D127" s="118"/>
      <c r="E127" s="102"/>
      <c r="F127" s="103">
        <f t="shared" si="1"/>
        <v>0</v>
      </c>
      <c r="G127" s="104"/>
      <c r="H127" s="104"/>
      <c r="I127" s="104"/>
      <c r="J127" s="115">
        <f t="shared" si="4"/>
        <v>0</v>
      </c>
      <c r="K127" s="48" t="s">
        <v>42</v>
      </c>
      <c r="L127" s="47">
        <f t="shared" si="23"/>
        <v>0</v>
      </c>
      <c r="M127" s="48"/>
      <c r="N127" s="49"/>
      <c r="O127" s="48"/>
      <c r="P127" s="48"/>
      <c r="Q127" s="48"/>
      <c r="R127" s="48"/>
      <c r="S127" s="48"/>
      <c r="T127" s="48"/>
      <c r="U127" s="48"/>
      <c r="V127" s="48"/>
      <c r="W127" s="106"/>
      <c r="X127" s="50">
        <f t="shared" si="7"/>
        <v>0</v>
      </c>
      <c r="Y127" s="116">
        <f t="shared" si="8"/>
        <v>0</v>
      </c>
      <c r="Z127" s="108"/>
      <c r="AA127" s="48"/>
      <c r="AB127" s="110"/>
      <c r="AC127" s="84"/>
      <c r="AD127" s="84"/>
      <c r="AE127" s="84"/>
      <c r="AF127" s="84"/>
      <c r="AG127" s="48"/>
      <c r="AH127" s="48"/>
      <c r="AI127" s="48"/>
      <c r="AJ127" s="111"/>
      <c r="AK127" s="115">
        <f t="shared" si="22"/>
        <v>0</v>
      </c>
      <c r="AL127" s="48"/>
      <c r="AM127" s="48"/>
      <c r="AN127" s="48"/>
      <c r="AO127" s="48"/>
      <c r="AP127" s="48"/>
      <c r="AQ127" s="112"/>
      <c r="AR127" s="48"/>
      <c r="AS127" s="113"/>
    </row>
    <row r="128" ht="15.75" customHeight="1">
      <c r="A128" s="98"/>
      <c r="B128" s="114"/>
      <c r="C128" s="100"/>
      <c r="D128" s="101"/>
      <c r="E128" s="102"/>
      <c r="F128" s="103">
        <f t="shared" si="1"/>
        <v>0</v>
      </c>
      <c r="G128" s="104"/>
      <c r="H128" s="104"/>
      <c r="I128" s="104"/>
      <c r="J128" s="115">
        <f t="shared" si="4"/>
        <v>0</v>
      </c>
      <c r="K128" s="48" t="s">
        <v>42</v>
      </c>
      <c r="L128" s="47">
        <f t="shared" si="23"/>
        <v>0</v>
      </c>
      <c r="M128" s="48"/>
      <c r="N128" s="49"/>
      <c r="O128" s="48"/>
      <c r="P128" s="48"/>
      <c r="Q128" s="48"/>
      <c r="R128" s="48"/>
      <c r="S128" s="48"/>
      <c r="T128" s="48"/>
      <c r="U128" s="48"/>
      <c r="V128" s="48"/>
      <c r="W128" s="106"/>
      <c r="X128" s="50">
        <f t="shared" si="7"/>
        <v>0</v>
      </c>
      <c r="Y128" s="116">
        <f t="shared" si="8"/>
        <v>0</v>
      </c>
      <c r="Z128" s="108"/>
      <c r="AA128" s="48"/>
      <c r="AB128" s="110"/>
      <c r="AC128" s="84"/>
      <c r="AD128" s="84"/>
      <c r="AE128" s="84"/>
      <c r="AF128" s="84"/>
      <c r="AG128" s="48"/>
      <c r="AH128" s="48"/>
      <c r="AI128" s="48"/>
      <c r="AJ128" s="111"/>
      <c r="AK128" s="115">
        <f t="shared" si="22"/>
        <v>0</v>
      </c>
      <c r="AL128" s="48"/>
      <c r="AM128" s="48"/>
      <c r="AN128" s="48"/>
      <c r="AO128" s="48"/>
      <c r="AP128" s="48"/>
      <c r="AQ128" s="112"/>
      <c r="AR128" s="48"/>
      <c r="AS128" s="113"/>
    </row>
    <row r="129" ht="15.75" customHeight="1">
      <c r="A129" s="98"/>
      <c r="B129" s="114"/>
      <c r="C129" s="117"/>
      <c r="D129" s="118"/>
      <c r="E129" s="102"/>
      <c r="F129" s="103">
        <f t="shared" si="1"/>
        <v>0</v>
      </c>
      <c r="G129" s="104"/>
      <c r="H129" s="104"/>
      <c r="I129" s="104"/>
      <c r="J129" s="115">
        <f t="shared" si="4"/>
        <v>0</v>
      </c>
      <c r="K129" s="48" t="s">
        <v>42</v>
      </c>
      <c r="L129" s="47">
        <f t="shared" si="23"/>
        <v>0</v>
      </c>
      <c r="M129" s="48"/>
      <c r="N129" s="49"/>
      <c r="O129" s="48"/>
      <c r="P129" s="48"/>
      <c r="Q129" s="48"/>
      <c r="R129" s="48"/>
      <c r="S129" s="48"/>
      <c r="T129" s="48"/>
      <c r="U129" s="48"/>
      <c r="V129" s="48"/>
      <c r="W129" s="106"/>
      <c r="X129" s="50">
        <f t="shared" si="7"/>
        <v>0</v>
      </c>
      <c r="Y129" s="116">
        <f t="shared" si="8"/>
        <v>0</v>
      </c>
      <c r="Z129" s="108"/>
      <c r="AA129" s="48"/>
      <c r="AB129" s="110"/>
      <c r="AC129" s="84"/>
      <c r="AD129" s="84"/>
      <c r="AE129" s="84"/>
      <c r="AF129" s="84"/>
      <c r="AG129" s="48"/>
      <c r="AH129" s="48"/>
      <c r="AI129" s="48"/>
      <c r="AJ129" s="111"/>
      <c r="AK129" s="115">
        <f t="shared" si="22"/>
        <v>0</v>
      </c>
      <c r="AL129" s="48"/>
      <c r="AM129" s="48"/>
      <c r="AN129" s="48"/>
      <c r="AO129" s="48"/>
      <c r="AP129" s="48"/>
      <c r="AQ129" s="112"/>
      <c r="AR129" s="48"/>
      <c r="AS129" s="113"/>
    </row>
    <row r="130" ht="15.75" customHeight="1">
      <c r="A130" s="98"/>
      <c r="B130" s="114"/>
      <c r="C130" s="117"/>
      <c r="D130" s="118"/>
      <c r="E130" s="102"/>
      <c r="F130" s="103">
        <f t="shared" si="1"/>
        <v>0</v>
      </c>
      <c r="G130" s="104"/>
      <c r="H130" s="104"/>
      <c r="I130" s="104"/>
      <c r="J130" s="115">
        <f t="shared" si="4"/>
        <v>0</v>
      </c>
      <c r="K130" s="48" t="s">
        <v>42</v>
      </c>
      <c r="L130" s="47">
        <f t="shared" si="23"/>
        <v>0</v>
      </c>
      <c r="M130" s="48"/>
      <c r="N130" s="49"/>
      <c r="O130" s="48"/>
      <c r="P130" s="48"/>
      <c r="Q130" s="48"/>
      <c r="R130" s="48"/>
      <c r="S130" s="48"/>
      <c r="T130" s="48"/>
      <c r="U130" s="48"/>
      <c r="V130" s="48"/>
      <c r="W130" s="106"/>
      <c r="X130" s="50">
        <f t="shared" si="7"/>
        <v>0</v>
      </c>
      <c r="Y130" s="116">
        <f t="shared" si="8"/>
        <v>0</v>
      </c>
      <c r="Z130" s="108"/>
      <c r="AA130" s="48"/>
      <c r="AB130" s="110"/>
      <c r="AC130" s="84"/>
      <c r="AD130" s="84"/>
      <c r="AE130" s="84"/>
      <c r="AF130" s="84"/>
      <c r="AG130" s="48"/>
      <c r="AH130" s="48"/>
      <c r="AI130" s="48"/>
      <c r="AJ130" s="111"/>
      <c r="AK130" s="115">
        <f t="shared" si="22"/>
        <v>0</v>
      </c>
      <c r="AL130" s="48"/>
      <c r="AM130" s="48"/>
      <c r="AN130" s="48"/>
      <c r="AO130" s="48"/>
      <c r="AP130" s="48"/>
      <c r="AQ130" s="112"/>
      <c r="AR130" s="48"/>
      <c r="AS130" s="113"/>
    </row>
    <row r="131" ht="15.75" customHeight="1">
      <c r="A131" s="98"/>
      <c r="B131" s="114"/>
      <c r="C131" s="117"/>
      <c r="D131" s="118"/>
      <c r="E131" s="102"/>
      <c r="F131" s="103">
        <f t="shared" si="1"/>
        <v>0</v>
      </c>
      <c r="G131" s="104"/>
      <c r="H131" s="104"/>
      <c r="I131" s="104"/>
      <c r="J131" s="115">
        <f t="shared" si="4"/>
        <v>0</v>
      </c>
      <c r="K131" s="48" t="s">
        <v>42</v>
      </c>
      <c r="L131" s="47">
        <f t="shared" si="23"/>
        <v>0</v>
      </c>
      <c r="M131" s="48"/>
      <c r="N131" s="49"/>
      <c r="O131" s="48"/>
      <c r="P131" s="48"/>
      <c r="Q131" s="48"/>
      <c r="R131" s="48"/>
      <c r="S131" s="48"/>
      <c r="T131" s="48"/>
      <c r="U131" s="48"/>
      <c r="V131" s="48"/>
      <c r="W131" s="106"/>
      <c r="X131" s="50">
        <f t="shared" si="7"/>
        <v>0</v>
      </c>
      <c r="Y131" s="116">
        <f t="shared" si="8"/>
        <v>0</v>
      </c>
      <c r="Z131" s="108"/>
      <c r="AA131" s="48"/>
      <c r="AB131" s="110"/>
      <c r="AC131" s="84"/>
      <c r="AD131" s="84"/>
      <c r="AE131" s="84"/>
      <c r="AF131" s="84"/>
      <c r="AG131" s="48"/>
      <c r="AH131" s="48"/>
      <c r="AI131" s="48"/>
      <c r="AJ131" s="111"/>
      <c r="AK131" s="115">
        <f t="shared" si="22"/>
        <v>0</v>
      </c>
      <c r="AL131" s="48"/>
      <c r="AM131" s="48"/>
      <c r="AN131" s="48"/>
      <c r="AO131" s="48"/>
      <c r="AP131" s="48"/>
      <c r="AQ131" s="112"/>
      <c r="AR131" s="48"/>
      <c r="AS131" s="113"/>
    </row>
    <row r="132" ht="15.75" customHeight="1">
      <c r="A132" s="98"/>
      <c r="B132" s="114"/>
      <c r="C132" s="117"/>
      <c r="D132" s="118"/>
      <c r="E132" s="102"/>
      <c r="F132" s="103">
        <f t="shared" si="1"/>
        <v>0</v>
      </c>
      <c r="G132" s="104"/>
      <c r="H132" s="104"/>
      <c r="I132" s="104"/>
      <c r="J132" s="115">
        <f t="shared" si="4"/>
        <v>0</v>
      </c>
      <c r="K132" s="48" t="s">
        <v>42</v>
      </c>
      <c r="L132" s="47">
        <f t="shared" si="23"/>
        <v>0</v>
      </c>
      <c r="M132" s="48"/>
      <c r="N132" s="49"/>
      <c r="O132" s="48"/>
      <c r="P132" s="48"/>
      <c r="Q132" s="48"/>
      <c r="R132" s="48"/>
      <c r="S132" s="48"/>
      <c r="T132" s="48"/>
      <c r="U132" s="48"/>
      <c r="V132" s="48"/>
      <c r="W132" s="106"/>
      <c r="X132" s="50">
        <f t="shared" si="7"/>
        <v>0</v>
      </c>
      <c r="Y132" s="116">
        <f t="shared" si="8"/>
        <v>0</v>
      </c>
      <c r="Z132" s="108"/>
      <c r="AA132" s="48"/>
      <c r="AB132" s="110"/>
      <c r="AC132" s="84"/>
      <c r="AD132" s="84"/>
      <c r="AE132" s="84"/>
      <c r="AF132" s="84"/>
      <c r="AG132" s="48"/>
      <c r="AH132" s="48"/>
      <c r="AI132" s="48"/>
      <c r="AJ132" s="111"/>
      <c r="AK132" s="115">
        <f t="shared" si="22"/>
        <v>0</v>
      </c>
      <c r="AL132" s="48"/>
      <c r="AM132" s="48"/>
      <c r="AN132" s="48"/>
      <c r="AO132" s="48"/>
      <c r="AP132" s="48"/>
      <c r="AQ132" s="112"/>
      <c r="AR132" s="48"/>
      <c r="AS132" s="113"/>
    </row>
    <row r="133" ht="15.75" customHeight="1">
      <c r="A133" s="98"/>
      <c r="B133" s="114"/>
      <c r="C133" s="117"/>
      <c r="D133" s="118"/>
      <c r="E133" s="102"/>
      <c r="F133" s="103">
        <f t="shared" si="1"/>
        <v>0</v>
      </c>
      <c r="G133" s="104"/>
      <c r="H133" s="104"/>
      <c r="I133" s="104"/>
      <c r="J133" s="115">
        <f t="shared" si="4"/>
        <v>0</v>
      </c>
      <c r="K133" s="48" t="s">
        <v>42</v>
      </c>
      <c r="L133" s="47">
        <f t="shared" si="23"/>
        <v>0</v>
      </c>
      <c r="M133" s="48"/>
      <c r="N133" s="49"/>
      <c r="O133" s="48"/>
      <c r="P133" s="48"/>
      <c r="Q133" s="48"/>
      <c r="R133" s="48"/>
      <c r="S133" s="48"/>
      <c r="T133" s="48"/>
      <c r="U133" s="48"/>
      <c r="V133" s="48"/>
      <c r="W133" s="106"/>
      <c r="X133" s="50">
        <f t="shared" si="7"/>
        <v>0</v>
      </c>
      <c r="Y133" s="116">
        <f t="shared" si="8"/>
        <v>0</v>
      </c>
      <c r="Z133" s="108"/>
      <c r="AA133" s="48"/>
      <c r="AB133" s="110"/>
      <c r="AC133" s="84"/>
      <c r="AD133" s="84"/>
      <c r="AE133" s="84"/>
      <c r="AF133" s="84"/>
      <c r="AG133" s="48"/>
      <c r="AH133" s="48"/>
      <c r="AI133" s="48"/>
      <c r="AJ133" s="111"/>
      <c r="AK133" s="115">
        <f t="shared" si="22"/>
        <v>0</v>
      </c>
      <c r="AL133" s="48"/>
      <c r="AM133" s="48"/>
      <c r="AN133" s="48"/>
      <c r="AO133" s="48"/>
      <c r="AP133" s="48"/>
      <c r="AQ133" s="112"/>
      <c r="AR133" s="48"/>
      <c r="AS133" s="113"/>
    </row>
    <row r="134" ht="15.75" customHeight="1">
      <c r="A134" s="98"/>
      <c r="B134" s="98"/>
      <c r="C134" s="100"/>
      <c r="D134" s="100"/>
      <c r="E134" s="102"/>
      <c r="F134" s="103">
        <f t="shared" si="1"/>
        <v>0</v>
      </c>
      <c r="G134" s="104"/>
      <c r="H134" s="104"/>
      <c r="I134" s="104"/>
      <c r="J134" s="115">
        <f t="shared" si="4"/>
        <v>0</v>
      </c>
      <c r="K134" s="48" t="s">
        <v>42</v>
      </c>
      <c r="L134" s="47">
        <f t="shared" si="23"/>
        <v>0</v>
      </c>
      <c r="M134" s="48"/>
      <c r="N134" s="49"/>
      <c r="O134" s="48"/>
      <c r="P134" s="48"/>
      <c r="Q134" s="48"/>
      <c r="R134" s="48"/>
      <c r="S134" s="48"/>
      <c r="T134" s="48"/>
      <c r="U134" s="48"/>
      <c r="V134" s="48"/>
      <c r="W134" s="106"/>
      <c r="X134" s="50">
        <f t="shared" si="7"/>
        <v>0</v>
      </c>
      <c r="Y134" s="116">
        <f t="shared" si="8"/>
        <v>0</v>
      </c>
      <c r="Z134" s="108"/>
      <c r="AA134" s="48"/>
      <c r="AB134" s="110"/>
      <c r="AC134" s="84"/>
      <c r="AD134" s="84"/>
      <c r="AE134" s="84"/>
      <c r="AF134" s="84"/>
      <c r="AG134" s="48"/>
      <c r="AH134" s="48"/>
      <c r="AI134" s="48"/>
      <c r="AJ134" s="111"/>
      <c r="AK134" s="115">
        <f t="shared" si="22"/>
        <v>0</v>
      </c>
      <c r="AL134" s="48"/>
      <c r="AM134" s="48"/>
      <c r="AN134" s="48"/>
      <c r="AO134" s="48"/>
      <c r="AP134" s="48"/>
      <c r="AQ134" s="112"/>
      <c r="AR134" s="48"/>
      <c r="AS134" s="113"/>
    </row>
    <row r="135" ht="15.75" customHeight="1">
      <c r="A135" s="98"/>
      <c r="B135" s="98"/>
      <c r="C135" s="100"/>
      <c r="D135" s="100"/>
      <c r="E135" s="102"/>
      <c r="F135" s="103">
        <f t="shared" si="1"/>
        <v>0</v>
      </c>
      <c r="G135" s="104"/>
      <c r="H135" s="104"/>
      <c r="I135" s="104"/>
      <c r="J135" s="115">
        <f t="shared" si="4"/>
        <v>0</v>
      </c>
      <c r="K135" s="48" t="s">
        <v>42</v>
      </c>
      <c r="L135" s="47">
        <f t="shared" si="23"/>
        <v>0</v>
      </c>
      <c r="M135" s="48"/>
      <c r="N135" s="49"/>
      <c r="O135" s="48"/>
      <c r="P135" s="48"/>
      <c r="Q135" s="48"/>
      <c r="R135" s="48"/>
      <c r="S135" s="48"/>
      <c r="T135" s="48"/>
      <c r="U135" s="48"/>
      <c r="V135" s="48"/>
      <c r="W135" s="106"/>
      <c r="X135" s="50">
        <f t="shared" si="7"/>
        <v>0</v>
      </c>
      <c r="Y135" s="116">
        <f t="shared" si="8"/>
        <v>0</v>
      </c>
      <c r="Z135" s="108"/>
      <c r="AA135" s="48"/>
      <c r="AB135" s="110"/>
      <c r="AC135" s="84"/>
      <c r="AD135" s="84"/>
      <c r="AE135" s="84"/>
      <c r="AF135" s="84"/>
      <c r="AG135" s="48"/>
      <c r="AH135" s="48"/>
      <c r="AI135" s="48"/>
      <c r="AJ135" s="111"/>
      <c r="AK135" s="115">
        <f t="shared" si="22"/>
        <v>0</v>
      </c>
      <c r="AL135" s="48"/>
      <c r="AM135" s="48"/>
      <c r="AN135" s="48"/>
      <c r="AO135" s="48"/>
      <c r="AP135" s="48"/>
      <c r="AQ135" s="112"/>
      <c r="AR135" s="48"/>
      <c r="AS135" s="113"/>
    </row>
    <row r="136" ht="15.75" customHeight="1">
      <c r="A136" s="98"/>
      <c r="B136" s="98"/>
      <c r="C136" s="100"/>
      <c r="D136" s="100"/>
      <c r="E136" s="102"/>
      <c r="F136" s="103">
        <f t="shared" si="1"/>
        <v>0</v>
      </c>
      <c r="G136" s="104"/>
      <c r="H136" s="104"/>
      <c r="I136" s="104"/>
      <c r="J136" s="115">
        <f t="shared" si="4"/>
        <v>0</v>
      </c>
      <c r="K136" s="48" t="s">
        <v>42</v>
      </c>
      <c r="L136" s="47">
        <f t="shared" si="23"/>
        <v>0</v>
      </c>
      <c r="M136" s="48"/>
      <c r="N136" s="49"/>
      <c r="O136" s="48"/>
      <c r="P136" s="48"/>
      <c r="Q136" s="48"/>
      <c r="R136" s="48"/>
      <c r="S136" s="48"/>
      <c r="T136" s="48"/>
      <c r="U136" s="48"/>
      <c r="V136" s="48"/>
      <c r="W136" s="106"/>
      <c r="X136" s="50">
        <f t="shared" si="7"/>
        <v>0</v>
      </c>
      <c r="Y136" s="116">
        <f t="shared" si="8"/>
        <v>0</v>
      </c>
      <c r="Z136" s="108"/>
      <c r="AA136" s="48"/>
      <c r="AB136" s="110"/>
      <c r="AC136" s="84"/>
      <c r="AD136" s="84"/>
      <c r="AE136" s="84"/>
      <c r="AF136" s="84"/>
      <c r="AG136" s="48"/>
      <c r="AH136" s="48"/>
      <c r="AI136" s="48"/>
      <c r="AJ136" s="111"/>
      <c r="AK136" s="115">
        <f t="shared" si="22"/>
        <v>0</v>
      </c>
      <c r="AL136" s="48"/>
      <c r="AM136" s="48"/>
      <c r="AN136" s="48"/>
      <c r="AO136" s="48"/>
      <c r="AP136" s="48"/>
      <c r="AQ136" s="112"/>
      <c r="AR136" s="48"/>
      <c r="AS136" s="113"/>
    </row>
    <row r="137" ht="15.75" customHeight="1">
      <c r="A137" s="98"/>
      <c r="B137" s="98"/>
      <c r="C137" s="100"/>
      <c r="D137" s="100"/>
      <c r="E137" s="102"/>
      <c r="F137" s="103">
        <f t="shared" si="1"/>
        <v>0</v>
      </c>
      <c r="G137" s="104"/>
      <c r="H137" s="104"/>
      <c r="I137" s="104"/>
      <c r="J137" s="115">
        <f t="shared" si="4"/>
        <v>0</v>
      </c>
      <c r="K137" s="48" t="s">
        <v>42</v>
      </c>
      <c r="L137" s="47">
        <f t="shared" si="23"/>
        <v>0</v>
      </c>
      <c r="M137" s="48"/>
      <c r="N137" s="49"/>
      <c r="O137" s="48"/>
      <c r="P137" s="48"/>
      <c r="Q137" s="48"/>
      <c r="R137" s="48"/>
      <c r="S137" s="48"/>
      <c r="T137" s="48"/>
      <c r="U137" s="48"/>
      <c r="V137" s="48"/>
      <c r="W137" s="106"/>
      <c r="X137" s="50">
        <f t="shared" si="7"/>
        <v>0</v>
      </c>
      <c r="Y137" s="116">
        <f t="shared" si="8"/>
        <v>0</v>
      </c>
      <c r="Z137" s="108"/>
      <c r="AA137" s="48"/>
      <c r="AB137" s="110"/>
      <c r="AC137" s="84"/>
      <c r="AD137" s="84"/>
      <c r="AE137" s="84"/>
      <c r="AF137" s="84"/>
      <c r="AG137" s="48"/>
      <c r="AH137" s="48"/>
      <c r="AI137" s="48"/>
      <c r="AJ137" s="111"/>
      <c r="AK137" s="115">
        <f t="shared" si="22"/>
        <v>0</v>
      </c>
      <c r="AL137" s="48"/>
      <c r="AM137" s="48"/>
      <c r="AN137" s="48"/>
      <c r="AO137" s="48"/>
      <c r="AP137" s="48"/>
      <c r="AQ137" s="112"/>
      <c r="AR137" s="48"/>
      <c r="AS137" s="113"/>
    </row>
    <row r="138" ht="15.75" customHeight="1">
      <c r="A138" s="98"/>
      <c r="B138" s="98"/>
      <c r="C138" s="100"/>
      <c r="D138" s="100"/>
      <c r="E138" s="102"/>
      <c r="F138" s="103">
        <f t="shared" si="1"/>
        <v>0</v>
      </c>
      <c r="G138" s="104"/>
      <c r="H138" s="104"/>
      <c r="I138" s="104"/>
      <c r="J138" s="115">
        <f t="shared" si="4"/>
        <v>0</v>
      </c>
      <c r="K138" s="48" t="s">
        <v>42</v>
      </c>
      <c r="L138" s="47">
        <f t="shared" si="23"/>
        <v>0</v>
      </c>
      <c r="M138" s="48"/>
      <c r="N138" s="49"/>
      <c r="O138" s="48"/>
      <c r="P138" s="48"/>
      <c r="Q138" s="48"/>
      <c r="R138" s="48"/>
      <c r="S138" s="48"/>
      <c r="T138" s="48"/>
      <c r="U138" s="48"/>
      <c r="V138" s="48"/>
      <c r="W138" s="106"/>
      <c r="X138" s="50">
        <f t="shared" si="7"/>
        <v>0</v>
      </c>
      <c r="Y138" s="116">
        <f t="shared" si="8"/>
        <v>0</v>
      </c>
      <c r="Z138" s="108"/>
      <c r="AA138" s="48"/>
      <c r="AB138" s="110"/>
      <c r="AC138" s="84"/>
      <c r="AD138" s="84"/>
      <c r="AE138" s="84"/>
      <c r="AF138" s="84"/>
      <c r="AG138" s="48"/>
      <c r="AH138" s="48"/>
      <c r="AI138" s="48"/>
      <c r="AJ138" s="111"/>
      <c r="AK138" s="115">
        <f t="shared" si="22"/>
        <v>0</v>
      </c>
      <c r="AL138" s="48"/>
      <c r="AM138" s="48"/>
      <c r="AN138" s="48"/>
      <c r="AO138" s="48"/>
      <c r="AP138" s="48"/>
      <c r="AQ138" s="112"/>
      <c r="AR138" s="48"/>
      <c r="AS138" s="113"/>
    </row>
    <row r="139" ht="15.75" customHeight="1">
      <c r="A139" s="98"/>
      <c r="B139" s="98"/>
      <c r="C139" s="100"/>
      <c r="D139" s="100"/>
      <c r="E139" s="102"/>
      <c r="F139" s="103">
        <f t="shared" si="1"/>
        <v>0</v>
      </c>
      <c r="G139" s="104"/>
      <c r="H139" s="104"/>
      <c r="I139" s="104"/>
      <c r="J139" s="115">
        <f t="shared" si="4"/>
        <v>0</v>
      </c>
      <c r="K139" s="48" t="s">
        <v>42</v>
      </c>
      <c r="L139" s="47">
        <f t="shared" si="23"/>
        <v>0</v>
      </c>
      <c r="M139" s="48"/>
      <c r="N139" s="49"/>
      <c r="O139" s="48"/>
      <c r="P139" s="48"/>
      <c r="Q139" s="48"/>
      <c r="R139" s="48"/>
      <c r="S139" s="48"/>
      <c r="T139" s="48"/>
      <c r="U139" s="48"/>
      <c r="V139" s="48"/>
      <c r="W139" s="106"/>
      <c r="X139" s="50">
        <f t="shared" si="7"/>
        <v>0</v>
      </c>
      <c r="Y139" s="116">
        <f t="shared" si="8"/>
        <v>0</v>
      </c>
      <c r="Z139" s="108"/>
      <c r="AA139" s="48"/>
      <c r="AB139" s="110"/>
      <c r="AC139" s="84"/>
      <c r="AD139" s="84"/>
      <c r="AE139" s="84"/>
      <c r="AF139" s="84"/>
      <c r="AG139" s="48"/>
      <c r="AH139" s="48"/>
      <c r="AI139" s="48"/>
      <c r="AJ139" s="111"/>
      <c r="AK139" s="115">
        <f t="shared" si="22"/>
        <v>0</v>
      </c>
      <c r="AL139" s="48"/>
      <c r="AM139" s="48"/>
      <c r="AN139" s="48"/>
      <c r="AO139" s="48"/>
      <c r="AP139" s="48"/>
      <c r="AQ139" s="112"/>
      <c r="AR139" s="48"/>
      <c r="AS139" s="113"/>
    </row>
    <row r="140" ht="15.75" customHeight="1">
      <c r="A140" s="98"/>
      <c r="B140" s="98"/>
      <c r="C140" s="100"/>
      <c r="D140" s="100"/>
      <c r="E140" s="102"/>
      <c r="F140" s="103">
        <f t="shared" si="1"/>
        <v>0</v>
      </c>
      <c r="G140" s="104"/>
      <c r="H140" s="104"/>
      <c r="I140" s="104"/>
      <c r="J140" s="115">
        <f t="shared" si="4"/>
        <v>0</v>
      </c>
      <c r="K140" s="48" t="s">
        <v>42</v>
      </c>
      <c r="L140" s="47">
        <f t="shared" si="23"/>
        <v>0</v>
      </c>
      <c r="M140" s="48"/>
      <c r="N140" s="49"/>
      <c r="O140" s="48"/>
      <c r="P140" s="48"/>
      <c r="Q140" s="48"/>
      <c r="R140" s="48"/>
      <c r="S140" s="48"/>
      <c r="T140" s="48"/>
      <c r="U140" s="48"/>
      <c r="V140" s="48"/>
      <c r="W140" s="106"/>
      <c r="X140" s="50">
        <f t="shared" si="7"/>
        <v>0</v>
      </c>
      <c r="Y140" s="116">
        <f t="shared" si="8"/>
        <v>0</v>
      </c>
      <c r="Z140" s="108"/>
      <c r="AA140" s="48"/>
      <c r="AB140" s="110"/>
      <c r="AC140" s="84"/>
      <c r="AD140" s="84"/>
      <c r="AE140" s="84"/>
      <c r="AF140" s="84"/>
      <c r="AG140" s="48"/>
      <c r="AH140" s="48"/>
      <c r="AI140" s="48"/>
      <c r="AJ140" s="111"/>
      <c r="AK140" s="115">
        <f t="shared" si="22"/>
        <v>0</v>
      </c>
      <c r="AL140" s="48"/>
      <c r="AM140" s="48"/>
      <c r="AN140" s="48"/>
      <c r="AO140" s="48"/>
      <c r="AP140" s="48"/>
      <c r="AQ140" s="112"/>
      <c r="AR140" s="48"/>
      <c r="AS140" s="113"/>
    </row>
    <row r="141" ht="15.75" customHeight="1">
      <c r="A141" s="98"/>
      <c r="B141" s="98"/>
      <c r="C141" s="121"/>
      <c r="D141" s="98"/>
      <c r="E141" s="122"/>
      <c r="F141" s="103">
        <f t="shared" si="1"/>
        <v>0</v>
      </c>
      <c r="G141" s="104"/>
      <c r="H141" s="104"/>
      <c r="I141" s="104"/>
      <c r="J141" s="115">
        <f t="shared" si="4"/>
        <v>0</v>
      </c>
      <c r="K141" s="48" t="s">
        <v>42</v>
      </c>
      <c r="L141" s="47">
        <f t="shared" si="23"/>
        <v>0</v>
      </c>
      <c r="M141" s="48"/>
      <c r="N141" s="49"/>
      <c r="O141" s="48"/>
      <c r="P141" s="48"/>
      <c r="Q141" s="48"/>
      <c r="R141" s="48"/>
      <c r="S141" s="48"/>
      <c r="T141" s="48"/>
      <c r="U141" s="48"/>
      <c r="V141" s="48"/>
      <c r="W141" s="106"/>
      <c r="X141" s="50">
        <f t="shared" si="7"/>
        <v>0</v>
      </c>
      <c r="Y141" s="116">
        <f t="shared" si="8"/>
        <v>0</v>
      </c>
      <c r="Z141" s="108"/>
      <c r="AA141" s="48"/>
      <c r="AB141" s="110"/>
      <c r="AC141" s="84"/>
      <c r="AD141" s="84"/>
      <c r="AE141" s="84"/>
      <c r="AF141" s="84"/>
      <c r="AG141" s="48"/>
      <c r="AH141" s="48"/>
      <c r="AI141" s="48"/>
      <c r="AJ141" s="111"/>
      <c r="AK141" s="115">
        <f t="shared" si="22"/>
        <v>0</v>
      </c>
      <c r="AL141" s="48"/>
      <c r="AM141" s="48"/>
      <c r="AN141" s="48"/>
      <c r="AO141" s="48"/>
      <c r="AP141" s="48"/>
      <c r="AQ141" s="112"/>
      <c r="AR141" s="48"/>
      <c r="AS141" s="113"/>
    </row>
    <row r="142" ht="15.75" customHeight="1">
      <c r="A142" s="98"/>
      <c r="B142" s="98"/>
      <c r="C142" s="121"/>
      <c r="D142" s="98"/>
      <c r="E142" s="122"/>
      <c r="F142" s="103">
        <f t="shared" si="1"/>
        <v>0</v>
      </c>
      <c r="G142" s="104"/>
      <c r="H142" s="104"/>
      <c r="I142" s="104"/>
      <c r="J142" s="115">
        <f t="shared" si="4"/>
        <v>0</v>
      </c>
      <c r="K142" s="48" t="s">
        <v>42</v>
      </c>
      <c r="L142" s="47">
        <f t="shared" si="23"/>
        <v>0</v>
      </c>
      <c r="M142" s="48"/>
      <c r="N142" s="49"/>
      <c r="O142" s="48"/>
      <c r="P142" s="48"/>
      <c r="Q142" s="48"/>
      <c r="R142" s="48"/>
      <c r="S142" s="48"/>
      <c r="T142" s="48"/>
      <c r="U142" s="48"/>
      <c r="V142" s="48"/>
      <c r="W142" s="106"/>
      <c r="X142" s="50">
        <f t="shared" si="7"/>
        <v>0</v>
      </c>
      <c r="Y142" s="116">
        <f t="shared" si="8"/>
        <v>0</v>
      </c>
      <c r="Z142" s="108"/>
      <c r="AA142" s="48"/>
      <c r="AB142" s="110"/>
      <c r="AC142" s="84"/>
      <c r="AD142" s="84"/>
      <c r="AE142" s="84"/>
      <c r="AF142" s="84"/>
      <c r="AG142" s="48"/>
      <c r="AH142" s="48"/>
      <c r="AI142" s="48"/>
      <c r="AJ142" s="111"/>
      <c r="AK142" s="115">
        <f t="shared" si="22"/>
        <v>0</v>
      </c>
      <c r="AL142" s="48"/>
      <c r="AM142" s="48"/>
      <c r="AN142" s="48"/>
      <c r="AO142" s="48"/>
      <c r="AP142" s="48"/>
      <c r="AQ142" s="112"/>
      <c r="AR142" s="48"/>
      <c r="AS142" s="113"/>
    </row>
    <row r="143" ht="15.75" customHeight="1">
      <c r="A143" s="98"/>
      <c r="B143" s="98"/>
      <c r="C143" s="121"/>
      <c r="D143" s="98"/>
      <c r="E143" s="122"/>
      <c r="F143" s="103">
        <f t="shared" si="1"/>
        <v>0</v>
      </c>
      <c r="G143" s="104"/>
      <c r="H143" s="104"/>
      <c r="I143" s="104"/>
      <c r="J143" s="115">
        <f t="shared" si="4"/>
        <v>0</v>
      </c>
      <c r="K143" s="48" t="s">
        <v>42</v>
      </c>
      <c r="L143" s="47">
        <f t="shared" si="23"/>
        <v>0</v>
      </c>
      <c r="M143" s="48"/>
      <c r="N143" s="49"/>
      <c r="O143" s="48"/>
      <c r="P143" s="48"/>
      <c r="Q143" s="48"/>
      <c r="R143" s="48"/>
      <c r="S143" s="48"/>
      <c r="T143" s="48"/>
      <c r="U143" s="48"/>
      <c r="V143" s="48"/>
      <c r="W143" s="106"/>
      <c r="X143" s="50">
        <f t="shared" si="7"/>
        <v>0</v>
      </c>
      <c r="Y143" s="116">
        <f t="shared" si="8"/>
        <v>0</v>
      </c>
      <c r="Z143" s="108"/>
      <c r="AA143" s="48"/>
      <c r="AB143" s="110"/>
      <c r="AC143" s="84"/>
      <c r="AD143" s="84"/>
      <c r="AE143" s="84"/>
      <c r="AF143" s="84"/>
      <c r="AG143" s="48"/>
      <c r="AH143" s="48"/>
      <c r="AI143" s="48"/>
      <c r="AJ143" s="111"/>
      <c r="AK143" s="115">
        <f t="shared" si="22"/>
        <v>0</v>
      </c>
      <c r="AL143" s="48"/>
      <c r="AM143" s="48"/>
      <c r="AN143" s="48"/>
      <c r="AO143" s="48"/>
      <c r="AP143" s="48"/>
      <c r="AQ143" s="112"/>
      <c r="AR143" s="48"/>
      <c r="AS143" s="113"/>
    </row>
    <row r="144" ht="15.75" customHeight="1">
      <c r="A144" s="98"/>
      <c r="B144" s="98"/>
      <c r="C144" s="123"/>
      <c r="D144" s="98"/>
      <c r="E144" s="122"/>
      <c r="F144" s="103">
        <f t="shared" si="1"/>
        <v>0</v>
      </c>
      <c r="G144" s="104"/>
      <c r="H144" s="104"/>
      <c r="I144" s="104"/>
      <c r="J144" s="115">
        <f t="shared" si="4"/>
        <v>0</v>
      </c>
      <c r="K144" s="48" t="s">
        <v>42</v>
      </c>
      <c r="L144" s="47">
        <f t="shared" si="23"/>
        <v>0</v>
      </c>
      <c r="M144" s="48"/>
      <c r="N144" s="49"/>
      <c r="O144" s="48"/>
      <c r="P144" s="48"/>
      <c r="Q144" s="48"/>
      <c r="R144" s="48"/>
      <c r="S144" s="48"/>
      <c r="T144" s="48"/>
      <c r="U144" s="48"/>
      <c r="V144" s="48"/>
      <c r="W144" s="106"/>
      <c r="X144" s="50">
        <f t="shared" si="7"/>
        <v>0</v>
      </c>
      <c r="Y144" s="116">
        <f t="shared" si="8"/>
        <v>0</v>
      </c>
      <c r="Z144" s="108"/>
      <c r="AA144" s="48"/>
      <c r="AB144" s="110"/>
      <c r="AC144" s="84"/>
      <c r="AD144" s="84"/>
      <c r="AE144" s="84"/>
      <c r="AF144" s="84"/>
      <c r="AG144" s="48"/>
      <c r="AH144" s="48"/>
      <c r="AI144" s="48"/>
      <c r="AJ144" s="111"/>
      <c r="AK144" s="115">
        <f t="shared" si="22"/>
        <v>0</v>
      </c>
      <c r="AL144" s="48"/>
      <c r="AM144" s="48"/>
      <c r="AN144" s="48"/>
      <c r="AO144" s="48"/>
      <c r="AP144" s="48"/>
      <c r="AQ144" s="112"/>
      <c r="AR144" s="48"/>
      <c r="AS144" s="113"/>
    </row>
    <row r="145" ht="15.75" customHeight="1">
      <c r="A145" s="98"/>
      <c r="B145" s="98"/>
      <c r="C145" s="123"/>
      <c r="D145" s="98"/>
      <c r="E145" s="122"/>
      <c r="F145" s="103">
        <f t="shared" si="1"/>
        <v>0</v>
      </c>
      <c r="G145" s="104"/>
      <c r="H145" s="104"/>
      <c r="I145" s="104"/>
      <c r="J145" s="115">
        <f t="shared" si="4"/>
        <v>0</v>
      </c>
      <c r="K145" s="48" t="s">
        <v>42</v>
      </c>
      <c r="L145" s="47">
        <f t="shared" si="23"/>
        <v>0</v>
      </c>
      <c r="M145" s="48"/>
      <c r="N145" s="49"/>
      <c r="O145" s="48"/>
      <c r="P145" s="48"/>
      <c r="Q145" s="48"/>
      <c r="R145" s="48"/>
      <c r="S145" s="48"/>
      <c r="T145" s="48"/>
      <c r="U145" s="48"/>
      <c r="V145" s="48"/>
      <c r="W145" s="106"/>
      <c r="X145" s="50">
        <f t="shared" si="7"/>
        <v>0</v>
      </c>
      <c r="Y145" s="116">
        <f t="shared" si="8"/>
        <v>0</v>
      </c>
      <c r="Z145" s="108"/>
      <c r="AA145" s="48"/>
      <c r="AB145" s="110"/>
      <c r="AC145" s="84"/>
      <c r="AD145" s="84"/>
      <c r="AE145" s="84"/>
      <c r="AF145" s="84"/>
      <c r="AG145" s="48"/>
      <c r="AH145" s="48"/>
      <c r="AI145" s="48"/>
      <c r="AJ145" s="111"/>
      <c r="AK145" s="115">
        <f t="shared" si="22"/>
        <v>0</v>
      </c>
      <c r="AL145" s="48"/>
      <c r="AM145" s="48"/>
      <c r="AN145" s="48"/>
      <c r="AO145" s="48"/>
      <c r="AP145" s="48"/>
      <c r="AQ145" s="112"/>
      <c r="AR145" s="48"/>
      <c r="AS145" s="113"/>
    </row>
    <row r="146" ht="15.75" customHeight="1">
      <c r="A146" s="98"/>
      <c r="B146" s="98"/>
      <c r="C146" s="123"/>
      <c r="D146" s="98"/>
      <c r="E146" s="122"/>
      <c r="F146" s="103">
        <f t="shared" si="1"/>
        <v>0</v>
      </c>
      <c r="G146" s="104"/>
      <c r="H146" s="104"/>
      <c r="I146" s="104"/>
      <c r="J146" s="115">
        <f t="shared" si="4"/>
        <v>0</v>
      </c>
      <c r="K146" s="48" t="s">
        <v>42</v>
      </c>
      <c r="L146" s="47">
        <f t="shared" si="23"/>
        <v>0</v>
      </c>
      <c r="M146" s="48"/>
      <c r="N146" s="49"/>
      <c r="O146" s="48"/>
      <c r="P146" s="48"/>
      <c r="Q146" s="48"/>
      <c r="R146" s="48"/>
      <c r="S146" s="48"/>
      <c r="T146" s="48"/>
      <c r="U146" s="48"/>
      <c r="V146" s="48"/>
      <c r="W146" s="106"/>
      <c r="X146" s="50">
        <f t="shared" si="7"/>
        <v>0</v>
      </c>
      <c r="Y146" s="116">
        <f t="shared" si="8"/>
        <v>0</v>
      </c>
      <c r="Z146" s="108"/>
      <c r="AA146" s="48"/>
      <c r="AB146" s="110"/>
      <c r="AC146" s="84"/>
      <c r="AD146" s="84"/>
      <c r="AE146" s="84"/>
      <c r="AF146" s="84"/>
      <c r="AG146" s="48"/>
      <c r="AH146" s="48"/>
      <c r="AI146" s="48"/>
      <c r="AJ146" s="111"/>
      <c r="AK146" s="115">
        <f t="shared" si="22"/>
        <v>0</v>
      </c>
      <c r="AL146" s="48"/>
      <c r="AM146" s="48"/>
      <c r="AN146" s="48"/>
      <c r="AO146" s="48"/>
      <c r="AP146" s="48"/>
      <c r="AQ146" s="112"/>
      <c r="AR146" s="48"/>
      <c r="AS146" s="113"/>
    </row>
    <row r="147" ht="15.75" customHeight="1">
      <c r="A147" s="98"/>
      <c r="B147" s="98"/>
      <c r="C147" s="121"/>
      <c r="D147" s="98"/>
      <c r="E147" s="122"/>
      <c r="F147" s="103">
        <f t="shared" si="1"/>
        <v>0</v>
      </c>
      <c r="G147" s="104"/>
      <c r="H147" s="104"/>
      <c r="I147" s="104"/>
      <c r="J147" s="115">
        <f t="shared" si="4"/>
        <v>0</v>
      </c>
      <c r="K147" s="48" t="s">
        <v>42</v>
      </c>
      <c r="L147" s="47">
        <f t="shared" si="23"/>
        <v>0</v>
      </c>
      <c r="M147" s="48"/>
      <c r="N147" s="49"/>
      <c r="O147" s="48"/>
      <c r="P147" s="48"/>
      <c r="Q147" s="48"/>
      <c r="R147" s="48"/>
      <c r="S147" s="48"/>
      <c r="T147" s="48"/>
      <c r="U147" s="48"/>
      <c r="V147" s="48"/>
      <c r="W147" s="106"/>
      <c r="X147" s="50">
        <f t="shared" si="7"/>
        <v>0</v>
      </c>
      <c r="Y147" s="116">
        <f t="shared" si="8"/>
        <v>0</v>
      </c>
      <c r="Z147" s="108"/>
      <c r="AA147" s="48"/>
      <c r="AB147" s="110"/>
      <c r="AC147" s="84"/>
      <c r="AD147" s="84"/>
      <c r="AE147" s="84"/>
      <c r="AF147" s="84"/>
      <c r="AG147" s="48"/>
      <c r="AH147" s="48"/>
      <c r="AI147" s="48"/>
      <c r="AJ147" s="111"/>
      <c r="AK147" s="115">
        <f t="shared" si="22"/>
        <v>0</v>
      </c>
      <c r="AL147" s="48"/>
      <c r="AM147" s="48"/>
      <c r="AN147" s="48"/>
      <c r="AO147" s="48"/>
      <c r="AP147" s="48"/>
      <c r="AQ147" s="112"/>
      <c r="AR147" s="48"/>
      <c r="AS147" s="113"/>
    </row>
    <row r="148" ht="15.75" customHeight="1">
      <c r="A148" s="98"/>
      <c r="B148" s="98"/>
      <c r="C148" s="121"/>
      <c r="D148" s="98"/>
      <c r="E148" s="122"/>
      <c r="F148" s="103">
        <f t="shared" si="1"/>
        <v>0</v>
      </c>
      <c r="G148" s="104"/>
      <c r="H148" s="104"/>
      <c r="I148" s="104"/>
      <c r="J148" s="115">
        <f t="shared" si="4"/>
        <v>0</v>
      </c>
      <c r="K148" s="48" t="s">
        <v>42</v>
      </c>
      <c r="L148" s="47">
        <f t="shared" si="23"/>
        <v>0</v>
      </c>
      <c r="M148" s="48"/>
      <c r="N148" s="49"/>
      <c r="O148" s="48"/>
      <c r="P148" s="48"/>
      <c r="Q148" s="48"/>
      <c r="R148" s="48"/>
      <c r="S148" s="48"/>
      <c r="T148" s="48"/>
      <c r="U148" s="48"/>
      <c r="V148" s="48"/>
      <c r="W148" s="106"/>
      <c r="X148" s="50">
        <f t="shared" si="7"/>
        <v>0</v>
      </c>
      <c r="Y148" s="116">
        <f t="shared" si="8"/>
        <v>0</v>
      </c>
      <c r="Z148" s="108"/>
      <c r="AA148" s="48"/>
      <c r="AB148" s="110"/>
      <c r="AC148" s="84"/>
      <c r="AD148" s="84"/>
      <c r="AE148" s="84"/>
      <c r="AF148" s="84"/>
      <c r="AG148" s="48"/>
      <c r="AH148" s="48"/>
      <c r="AI148" s="48"/>
      <c r="AJ148" s="111"/>
      <c r="AK148" s="115">
        <f t="shared" si="22"/>
        <v>0</v>
      </c>
      <c r="AL148" s="48"/>
      <c r="AM148" s="48"/>
      <c r="AN148" s="48"/>
      <c r="AO148" s="48"/>
      <c r="AP148" s="48"/>
      <c r="AQ148" s="112"/>
      <c r="AR148" s="48"/>
      <c r="AS148" s="113"/>
    </row>
    <row r="149" ht="15.75" customHeight="1">
      <c r="A149" s="98"/>
      <c r="B149" s="98"/>
      <c r="C149" s="98"/>
      <c r="D149" s="98"/>
      <c r="E149" s="122"/>
      <c r="F149" s="103">
        <f t="shared" si="1"/>
        <v>0</v>
      </c>
      <c r="G149" s="104"/>
      <c r="H149" s="104"/>
      <c r="I149" s="104"/>
      <c r="J149" s="115">
        <f t="shared" si="4"/>
        <v>0</v>
      </c>
      <c r="K149" s="48" t="s">
        <v>42</v>
      </c>
      <c r="L149" s="47">
        <f t="shared" si="23"/>
        <v>0</v>
      </c>
      <c r="M149" s="48"/>
      <c r="N149" s="49"/>
      <c r="O149" s="48"/>
      <c r="P149" s="48"/>
      <c r="Q149" s="48"/>
      <c r="R149" s="48"/>
      <c r="S149" s="48"/>
      <c r="T149" s="48"/>
      <c r="U149" s="48"/>
      <c r="V149" s="48"/>
      <c r="W149" s="106"/>
      <c r="X149" s="50">
        <f t="shared" si="7"/>
        <v>0</v>
      </c>
      <c r="Y149" s="116">
        <f t="shared" si="8"/>
        <v>0</v>
      </c>
      <c r="Z149" s="108"/>
      <c r="AA149" s="48"/>
      <c r="AB149" s="110"/>
      <c r="AC149" s="84"/>
      <c r="AD149" s="84"/>
      <c r="AE149" s="84"/>
      <c r="AF149" s="84"/>
      <c r="AG149" s="48"/>
      <c r="AH149" s="48"/>
      <c r="AI149" s="48"/>
      <c r="AJ149" s="111"/>
      <c r="AK149" s="115">
        <f t="shared" si="22"/>
        <v>0</v>
      </c>
      <c r="AL149" s="48"/>
      <c r="AM149" s="48"/>
      <c r="AN149" s="48"/>
      <c r="AO149" s="48"/>
      <c r="AP149" s="48"/>
      <c r="AQ149" s="112"/>
      <c r="AR149" s="48"/>
      <c r="AS149" s="113"/>
    </row>
    <row r="150" ht="15.75" customHeight="1">
      <c r="A150" s="98"/>
      <c r="B150" s="98"/>
      <c r="C150" s="121"/>
      <c r="D150" s="98"/>
      <c r="E150" s="122"/>
      <c r="F150" s="103">
        <f t="shared" si="1"/>
        <v>0</v>
      </c>
      <c r="G150" s="104"/>
      <c r="H150" s="104"/>
      <c r="I150" s="104"/>
      <c r="J150" s="115">
        <f t="shared" si="4"/>
        <v>0</v>
      </c>
      <c r="K150" s="48" t="s">
        <v>42</v>
      </c>
      <c r="L150" s="47">
        <f t="shared" si="23"/>
        <v>0</v>
      </c>
      <c r="M150" s="48"/>
      <c r="N150" s="49"/>
      <c r="O150" s="48"/>
      <c r="P150" s="48"/>
      <c r="Q150" s="48"/>
      <c r="R150" s="48"/>
      <c r="S150" s="48"/>
      <c r="T150" s="48"/>
      <c r="U150" s="48"/>
      <c r="V150" s="48"/>
      <c r="W150" s="106"/>
      <c r="X150" s="50">
        <f t="shared" si="7"/>
        <v>0</v>
      </c>
      <c r="Y150" s="116">
        <f t="shared" si="8"/>
        <v>0</v>
      </c>
      <c r="Z150" s="108"/>
      <c r="AA150" s="48"/>
      <c r="AB150" s="110"/>
      <c r="AC150" s="84"/>
      <c r="AD150" s="84"/>
      <c r="AE150" s="84"/>
      <c r="AF150" s="84"/>
      <c r="AG150" s="48"/>
      <c r="AH150" s="48"/>
      <c r="AI150" s="48"/>
      <c r="AJ150" s="111"/>
      <c r="AK150" s="115">
        <f t="shared" si="22"/>
        <v>0</v>
      </c>
      <c r="AL150" s="48"/>
      <c r="AM150" s="48"/>
      <c r="AN150" s="48"/>
      <c r="AO150" s="48"/>
      <c r="AP150" s="48"/>
      <c r="AQ150" s="112"/>
      <c r="AR150" s="48"/>
      <c r="AS150" s="113"/>
    </row>
    <row r="151" ht="15.75" customHeight="1">
      <c r="A151" s="98"/>
      <c r="B151" s="98"/>
      <c r="C151" s="121"/>
      <c r="D151" s="98"/>
      <c r="E151" s="122"/>
      <c r="F151" s="103">
        <f t="shared" si="1"/>
        <v>0</v>
      </c>
      <c r="G151" s="104"/>
      <c r="H151" s="104"/>
      <c r="I151" s="104"/>
      <c r="J151" s="115">
        <f t="shared" si="4"/>
        <v>0</v>
      </c>
      <c r="K151" s="48" t="s">
        <v>42</v>
      </c>
      <c r="L151" s="47">
        <f t="shared" si="23"/>
        <v>0</v>
      </c>
      <c r="M151" s="48"/>
      <c r="N151" s="49"/>
      <c r="O151" s="48"/>
      <c r="P151" s="48"/>
      <c r="Q151" s="48"/>
      <c r="R151" s="48"/>
      <c r="S151" s="48"/>
      <c r="T151" s="48"/>
      <c r="U151" s="48"/>
      <c r="V151" s="48"/>
      <c r="W151" s="106"/>
      <c r="X151" s="50">
        <f t="shared" si="7"/>
        <v>0</v>
      </c>
      <c r="Y151" s="116">
        <f t="shared" si="8"/>
        <v>0</v>
      </c>
      <c r="Z151" s="108"/>
      <c r="AA151" s="48"/>
      <c r="AB151" s="110"/>
      <c r="AC151" s="84"/>
      <c r="AD151" s="84"/>
      <c r="AE151" s="84"/>
      <c r="AF151" s="84"/>
      <c r="AG151" s="48"/>
      <c r="AH151" s="48"/>
      <c r="AI151" s="48"/>
      <c r="AJ151" s="111"/>
      <c r="AK151" s="115">
        <f t="shared" si="22"/>
        <v>0</v>
      </c>
      <c r="AL151" s="48"/>
      <c r="AM151" s="48"/>
      <c r="AN151" s="48"/>
      <c r="AO151" s="48"/>
      <c r="AP151" s="48"/>
      <c r="AQ151" s="112"/>
      <c r="AR151" s="48"/>
      <c r="AS151" s="113"/>
    </row>
    <row r="152" ht="15.75" customHeight="1">
      <c r="A152" s="98"/>
      <c r="B152" s="98"/>
      <c r="C152" s="121"/>
      <c r="D152" s="98"/>
      <c r="E152" s="122"/>
      <c r="F152" s="103">
        <f t="shared" si="1"/>
        <v>0</v>
      </c>
      <c r="G152" s="104"/>
      <c r="H152" s="104"/>
      <c r="I152" s="104"/>
      <c r="J152" s="115">
        <f t="shared" si="4"/>
        <v>0</v>
      </c>
      <c r="K152" s="48" t="s">
        <v>42</v>
      </c>
      <c r="L152" s="47">
        <f t="shared" si="23"/>
        <v>0</v>
      </c>
      <c r="M152" s="48"/>
      <c r="N152" s="49"/>
      <c r="O152" s="48"/>
      <c r="P152" s="48"/>
      <c r="Q152" s="48"/>
      <c r="R152" s="48"/>
      <c r="S152" s="48"/>
      <c r="T152" s="48"/>
      <c r="U152" s="48"/>
      <c r="V152" s="48"/>
      <c r="W152" s="106"/>
      <c r="X152" s="50">
        <f t="shared" si="7"/>
        <v>0</v>
      </c>
      <c r="Y152" s="116">
        <f t="shared" si="8"/>
        <v>0</v>
      </c>
      <c r="Z152" s="108"/>
      <c r="AA152" s="48"/>
      <c r="AB152" s="110"/>
      <c r="AC152" s="84"/>
      <c r="AD152" s="84"/>
      <c r="AE152" s="84"/>
      <c r="AF152" s="84"/>
      <c r="AG152" s="48"/>
      <c r="AH152" s="48"/>
      <c r="AI152" s="48"/>
      <c r="AJ152" s="111"/>
      <c r="AK152" s="115">
        <f t="shared" si="22"/>
        <v>0</v>
      </c>
      <c r="AL152" s="48"/>
      <c r="AM152" s="48"/>
      <c r="AN152" s="48"/>
      <c r="AO152" s="48"/>
      <c r="AP152" s="48"/>
      <c r="AQ152" s="112"/>
      <c r="AR152" s="48"/>
      <c r="AS152" s="113"/>
    </row>
    <row r="153" ht="15.75" customHeight="1">
      <c r="A153" s="98"/>
      <c r="B153" s="98"/>
      <c r="C153" s="121"/>
      <c r="D153" s="98"/>
      <c r="E153" s="122"/>
      <c r="F153" s="103">
        <f t="shared" si="1"/>
        <v>0</v>
      </c>
      <c r="G153" s="104"/>
      <c r="H153" s="104"/>
      <c r="I153" s="104"/>
      <c r="J153" s="115">
        <f t="shared" si="4"/>
        <v>0</v>
      </c>
      <c r="K153" s="48" t="s">
        <v>42</v>
      </c>
      <c r="L153" s="47">
        <f t="shared" si="23"/>
        <v>0</v>
      </c>
      <c r="M153" s="48"/>
      <c r="N153" s="49"/>
      <c r="O153" s="48"/>
      <c r="P153" s="48"/>
      <c r="Q153" s="48"/>
      <c r="R153" s="48"/>
      <c r="S153" s="48"/>
      <c r="T153" s="48"/>
      <c r="U153" s="48"/>
      <c r="V153" s="48"/>
      <c r="W153" s="106"/>
      <c r="X153" s="50">
        <f t="shared" si="7"/>
        <v>0</v>
      </c>
      <c r="Y153" s="116">
        <f t="shared" si="8"/>
        <v>0</v>
      </c>
      <c r="Z153" s="108"/>
      <c r="AA153" s="48"/>
      <c r="AB153" s="110"/>
      <c r="AC153" s="84"/>
      <c r="AD153" s="84"/>
      <c r="AE153" s="84"/>
      <c r="AF153" s="84"/>
      <c r="AG153" s="48"/>
      <c r="AH153" s="48"/>
      <c r="AI153" s="48"/>
      <c r="AJ153" s="111"/>
      <c r="AK153" s="115">
        <f t="shared" si="22"/>
        <v>0</v>
      </c>
      <c r="AL153" s="48"/>
      <c r="AM153" s="48"/>
      <c r="AN153" s="48"/>
      <c r="AO153" s="48"/>
      <c r="AP153" s="48"/>
      <c r="AQ153" s="112"/>
      <c r="AR153" s="48"/>
      <c r="AS153" s="113"/>
    </row>
    <row r="154" ht="15.75" customHeight="1">
      <c r="A154" s="98"/>
      <c r="B154" s="98"/>
      <c r="C154" s="121"/>
      <c r="D154" s="98"/>
      <c r="E154" s="122"/>
      <c r="F154" s="103">
        <f t="shared" si="1"/>
        <v>0</v>
      </c>
      <c r="G154" s="104"/>
      <c r="H154" s="104"/>
      <c r="I154" s="104"/>
      <c r="J154" s="115">
        <f t="shared" si="4"/>
        <v>0</v>
      </c>
      <c r="K154" s="48" t="s">
        <v>42</v>
      </c>
      <c r="L154" s="47">
        <f t="shared" si="23"/>
        <v>0</v>
      </c>
      <c r="M154" s="48"/>
      <c r="N154" s="49"/>
      <c r="O154" s="48"/>
      <c r="P154" s="48"/>
      <c r="Q154" s="48"/>
      <c r="R154" s="48"/>
      <c r="S154" s="48"/>
      <c r="T154" s="48"/>
      <c r="U154" s="48"/>
      <c r="V154" s="48"/>
      <c r="W154" s="106"/>
      <c r="X154" s="50">
        <f t="shared" si="7"/>
        <v>0</v>
      </c>
      <c r="Y154" s="116">
        <f t="shared" si="8"/>
        <v>0</v>
      </c>
      <c r="Z154" s="108"/>
      <c r="AA154" s="48"/>
      <c r="AB154" s="110"/>
      <c r="AC154" s="84"/>
      <c r="AD154" s="84"/>
      <c r="AE154" s="84"/>
      <c r="AF154" s="84"/>
      <c r="AG154" s="48"/>
      <c r="AH154" s="48"/>
      <c r="AI154" s="48"/>
      <c r="AJ154" s="111"/>
      <c r="AK154" s="115">
        <f t="shared" si="22"/>
        <v>0</v>
      </c>
      <c r="AL154" s="48"/>
      <c r="AM154" s="48"/>
      <c r="AN154" s="48"/>
      <c r="AO154" s="48"/>
      <c r="AP154" s="48"/>
      <c r="AQ154" s="112"/>
      <c r="AR154" s="48"/>
      <c r="AS154" s="113"/>
    </row>
    <row r="155" ht="15.75" customHeight="1">
      <c r="A155" s="98"/>
      <c r="B155" s="98"/>
      <c r="C155" s="123"/>
      <c r="D155" s="98"/>
      <c r="E155" s="122"/>
      <c r="F155" s="103">
        <f t="shared" si="1"/>
        <v>0</v>
      </c>
      <c r="G155" s="104"/>
      <c r="H155" s="104"/>
      <c r="I155" s="104"/>
      <c r="J155" s="115">
        <f t="shared" si="4"/>
        <v>0</v>
      </c>
      <c r="K155" s="48" t="s">
        <v>42</v>
      </c>
      <c r="L155" s="47">
        <f t="shared" si="23"/>
        <v>0</v>
      </c>
      <c r="M155" s="48"/>
      <c r="N155" s="49"/>
      <c r="O155" s="48"/>
      <c r="P155" s="48"/>
      <c r="Q155" s="48"/>
      <c r="R155" s="48"/>
      <c r="S155" s="48"/>
      <c r="T155" s="48"/>
      <c r="U155" s="48"/>
      <c r="V155" s="48"/>
      <c r="W155" s="106"/>
      <c r="X155" s="50">
        <f t="shared" si="7"/>
        <v>0</v>
      </c>
      <c r="Y155" s="116">
        <f t="shared" si="8"/>
        <v>0</v>
      </c>
      <c r="Z155" s="108"/>
      <c r="AA155" s="48"/>
      <c r="AB155" s="110"/>
      <c r="AC155" s="84"/>
      <c r="AD155" s="84"/>
      <c r="AE155" s="84"/>
      <c r="AF155" s="84"/>
      <c r="AG155" s="48"/>
      <c r="AH155" s="48"/>
      <c r="AI155" s="48"/>
      <c r="AJ155" s="111"/>
      <c r="AK155" s="115">
        <f t="shared" si="22"/>
        <v>0</v>
      </c>
      <c r="AL155" s="48"/>
      <c r="AM155" s="48"/>
      <c r="AN155" s="48"/>
      <c r="AO155" s="48"/>
      <c r="AP155" s="48"/>
      <c r="AQ155" s="112"/>
      <c r="AR155" s="48"/>
      <c r="AS155" s="113"/>
    </row>
    <row r="156" ht="15.75" customHeight="1">
      <c r="A156" s="98"/>
      <c r="B156" s="98"/>
      <c r="C156" s="121"/>
      <c r="D156" s="98"/>
      <c r="E156" s="122"/>
      <c r="F156" s="103">
        <f t="shared" si="1"/>
        <v>0</v>
      </c>
      <c r="G156" s="104"/>
      <c r="H156" s="104"/>
      <c r="I156" s="104"/>
      <c r="J156" s="115">
        <f t="shared" si="4"/>
        <v>0</v>
      </c>
      <c r="K156" s="48" t="s">
        <v>42</v>
      </c>
      <c r="L156" s="47">
        <f t="shared" si="23"/>
        <v>0</v>
      </c>
      <c r="M156" s="48"/>
      <c r="N156" s="49"/>
      <c r="O156" s="48"/>
      <c r="P156" s="48"/>
      <c r="Q156" s="48"/>
      <c r="R156" s="48"/>
      <c r="S156" s="48"/>
      <c r="T156" s="48"/>
      <c r="U156" s="48"/>
      <c r="V156" s="48"/>
      <c r="W156" s="106"/>
      <c r="X156" s="50">
        <f t="shared" si="7"/>
        <v>0</v>
      </c>
      <c r="Y156" s="116">
        <f t="shared" si="8"/>
        <v>0</v>
      </c>
      <c r="Z156" s="108"/>
      <c r="AA156" s="48"/>
      <c r="AB156" s="110"/>
      <c r="AC156" s="84"/>
      <c r="AD156" s="84"/>
      <c r="AE156" s="84"/>
      <c r="AF156" s="84"/>
      <c r="AG156" s="48"/>
      <c r="AH156" s="48"/>
      <c r="AI156" s="48"/>
      <c r="AJ156" s="111"/>
      <c r="AK156" s="115">
        <f t="shared" si="22"/>
        <v>0</v>
      </c>
      <c r="AL156" s="48"/>
      <c r="AM156" s="48"/>
      <c r="AN156" s="48"/>
      <c r="AO156" s="48"/>
      <c r="AP156" s="48"/>
      <c r="AQ156" s="112"/>
      <c r="AR156" s="48"/>
      <c r="AS156" s="113"/>
    </row>
    <row r="157" ht="15.75" customHeight="1">
      <c r="A157" s="98"/>
      <c r="B157" s="98"/>
      <c r="C157" s="98"/>
      <c r="D157" s="121"/>
      <c r="E157" s="122"/>
      <c r="F157" s="103">
        <f t="shared" si="1"/>
        <v>0</v>
      </c>
      <c r="G157" s="104"/>
      <c r="H157" s="104"/>
      <c r="I157" s="104"/>
      <c r="J157" s="115">
        <f t="shared" si="4"/>
        <v>0</v>
      </c>
      <c r="K157" s="48" t="s">
        <v>42</v>
      </c>
      <c r="L157" s="47">
        <f t="shared" si="23"/>
        <v>0</v>
      </c>
      <c r="M157" s="48"/>
      <c r="N157" s="49"/>
      <c r="O157" s="48"/>
      <c r="P157" s="48"/>
      <c r="Q157" s="48"/>
      <c r="R157" s="48"/>
      <c r="S157" s="48"/>
      <c r="T157" s="48"/>
      <c r="U157" s="48"/>
      <c r="V157" s="48"/>
      <c r="W157" s="106"/>
      <c r="X157" s="50">
        <f t="shared" si="7"/>
        <v>0</v>
      </c>
      <c r="Y157" s="116">
        <f t="shared" si="8"/>
        <v>0</v>
      </c>
      <c r="Z157" s="108"/>
      <c r="AA157" s="48"/>
      <c r="AB157" s="110"/>
      <c r="AC157" s="84"/>
      <c r="AD157" s="84"/>
      <c r="AE157" s="84"/>
      <c r="AF157" s="84"/>
      <c r="AG157" s="48"/>
      <c r="AH157" s="48"/>
      <c r="AI157" s="48"/>
      <c r="AJ157" s="111"/>
      <c r="AK157" s="115">
        <f t="shared" si="22"/>
        <v>0</v>
      </c>
      <c r="AL157" s="48"/>
      <c r="AM157" s="48"/>
      <c r="AN157" s="48"/>
      <c r="AO157" s="48"/>
      <c r="AP157" s="48"/>
      <c r="AQ157" s="112"/>
      <c r="AR157" s="48"/>
      <c r="AS157" s="113"/>
    </row>
    <row r="158" ht="15.75" customHeight="1">
      <c r="A158" s="98"/>
      <c r="B158" s="98"/>
      <c r="C158" s="123"/>
      <c r="D158" s="98"/>
      <c r="E158" s="122"/>
      <c r="F158" s="103">
        <f t="shared" si="1"/>
        <v>0</v>
      </c>
      <c r="G158" s="104"/>
      <c r="H158" s="104"/>
      <c r="I158" s="104"/>
      <c r="J158" s="115">
        <f t="shared" si="4"/>
        <v>0</v>
      </c>
      <c r="K158" s="48" t="s">
        <v>42</v>
      </c>
      <c r="L158" s="47">
        <f t="shared" si="23"/>
        <v>0</v>
      </c>
      <c r="M158" s="48"/>
      <c r="N158" s="49"/>
      <c r="O158" s="48"/>
      <c r="P158" s="48"/>
      <c r="Q158" s="48"/>
      <c r="R158" s="48"/>
      <c r="S158" s="48"/>
      <c r="T158" s="48"/>
      <c r="U158" s="48"/>
      <c r="V158" s="48"/>
      <c r="W158" s="106"/>
      <c r="X158" s="50">
        <f t="shared" si="7"/>
        <v>0</v>
      </c>
      <c r="Y158" s="116">
        <f t="shared" si="8"/>
        <v>0</v>
      </c>
      <c r="Z158" s="108"/>
      <c r="AA158" s="48"/>
      <c r="AB158" s="110"/>
      <c r="AC158" s="84"/>
      <c r="AD158" s="84"/>
      <c r="AE158" s="84"/>
      <c r="AF158" s="84"/>
      <c r="AG158" s="48"/>
      <c r="AH158" s="48"/>
      <c r="AI158" s="48"/>
      <c r="AJ158" s="111"/>
      <c r="AK158" s="115">
        <f t="shared" si="22"/>
        <v>0</v>
      </c>
      <c r="AL158" s="48"/>
      <c r="AM158" s="48"/>
      <c r="AN158" s="48"/>
      <c r="AO158" s="48"/>
      <c r="AP158" s="48"/>
      <c r="AQ158" s="112"/>
      <c r="AR158" s="48"/>
      <c r="AS158" s="113"/>
    </row>
    <row r="159" ht="15.75" customHeight="1">
      <c r="A159" s="98"/>
      <c r="B159" s="98"/>
      <c r="C159" s="123"/>
      <c r="D159" s="98"/>
      <c r="E159" s="122"/>
      <c r="F159" s="103">
        <f t="shared" si="1"/>
        <v>0</v>
      </c>
      <c r="G159" s="104"/>
      <c r="H159" s="104"/>
      <c r="I159" s="104"/>
      <c r="J159" s="115">
        <f t="shared" si="4"/>
        <v>0</v>
      </c>
      <c r="K159" s="48" t="s">
        <v>42</v>
      </c>
      <c r="L159" s="47">
        <f t="shared" si="23"/>
        <v>0</v>
      </c>
      <c r="M159" s="48"/>
      <c r="N159" s="49"/>
      <c r="O159" s="48"/>
      <c r="P159" s="48"/>
      <c r="Q159" s="48"/>
      <c r="R159" s="48"/>
      <c r="S159" s="48"/>
      <c r="T159" s="48"/>
      <c r="U159" s="48"/>
      <c r="V159" s="48"/>
      <c r="W159" s="106"/>
      <c r="X159" s="50">
        <f t="shared" si="7"/>
        <v>0</v>
      </c>
      <c r="Y159" s="116">
        <f t="shared" si="8"/>
        <v>0</v>
      </c>
      <c r="Z159" s="108"/>
      <c r="AA159" s="48"/>
      <c r="AB159" s="110"/>
      <c r="AC159" s="84"/>
      <c r="AD159" s="84"/>
      <c r="AE159" s="84"/>
      <c r="AF159" s="84"/>
      <c r="AG159" s="48"/>
      <c r="AH159" s="48"/>
      <c r="AI159" s="48"/>
      <c r="AJ159" s="111"/>
      <c r="AK159" s="115">
        <f t="shared" si="22"/>
        <v>0</v>
      </c>
      <c r="AL159" s="48"/>
      <c r="AM159" s="48"/>
      <c r="AN159" s="48"/>
      <c r="AO159" s="48"/>
      <c r="AP159" s="48"/>
      <c r="AQ159" s="112"/>
      <c r="AR159" s="48"/>
      <c r="AS159" s="113"/>
    </row>
    <row r="160" ht="15.75" customHeight="1">
      <c r="A160" s="98"/>
      <c r="B160" s="98"/>
      <c r="C160" s="123"/>
      <c r="D160" s="98"/>
      <c r="E160" s="122"/>
      <c r="F160" s="103">
        <f t="shared" si="1"/>
        <v>0</v>
      </c>
      <c r="G160" s="104"/>
      <c r="H160" s="104"/>
      <c r="I160" s="104"/>
      <c r="J160" s="115">
        <f t="shared" si="4"/>
        <v>0</v>
      </c>
      <c r="K160" s="48" t="s">
        <v>42</v>
      </c>
      <c r="L160" s="47">
        <f t="shared" si="23"/>
        <v>0</v>
      </c>
      <c r="M160" s="48"/>
      <c r="N160" s="49"/>
      <c r="O160" s="48"/>
      <c r="P160" s="48"/>
      <c r="Q160" s="48"/>
      <c r="R160" s="48"/>
      <c r="S160" s="48"/>
      <c r="T160" s="48"/>
      <c r="U160" s="48"/>
      <c r="V160" s="48"/>
      <c r="W160" s="106"/>
      <c r="X160" s="50">
        <f t="shared" si="7"/>
        <v>0</v>
      </c>
      <c r="Y160" s="116">
        <f t="shared" si="8"/>
        <v>0</v>
      </c>
      <c r="Z160" s="108"/>
      <c r="AA160" s="48"/>
      <c r="AB160" s="110"/>
      <c r="AC160" s="84"/>
      <c r="AD160" s="84"/>
      <c r="AE160" s="84"/>
      <c r="AF160" s="84"/>
      <c r="AG160" s="48"/>
      <c r="AH160" s="48"/>
      <c r="AI160" s="48"/>
      <c r="AJ160" s="111"/>
      <c r="AK160" s="115">
        <f t="shared" si="22"/>
        <v>0</v>
      </c>
      <c r="AL160" s="48"/>
      <c r="AM160" s="48"/>
      <c r="AN160" s="48"/>
      <c r="AO160" s="48"/>
      <c r="AP160" s="48"/>
      <c r="AQ160" s="112"/>
      <c r="AR160" s="48"/>
      <c r="AS160" s="113"/>
    </row>
    <row r="161" ht="15.75" customHeight="1">
      <c r="A161" s="98"/>
      <c r="B161" s="98"/>
      <c r="C161" s="121"/>
      <c r="D161" s="98"/>
      <c r="E161" s="122"/>
      <c r="F161" s="103">
        <f t="shared" si="1"/>
        <v>0</v>
      </c>
      <c r="G161" s="104"/>
      <c r="H161" s="104"/>
      <c r="I161" s="104"/>
      <c r="J161" s="115">
        <f t="shared" si="4"/>
        <v>0</v>
      </c>
      <c r="K161" s="48" t="s">
        <v>42</v>
      </c>
      <c r="L161" s="47">
        <f t="shared" si="23"/>
        <v>0</v>
      </c>
      <c r="M161" s="48"/>
      <c r="N161" s="49"/>
      <c r="O161" s="48"/>
      <c r="P161" s="48"/>
      <c r="Q161" s="48"/>
      <c r="R161" s="48"/>
      <c r="S161" s="48"/>
      <c r="T161" s="48"/>
      <c r="U161" s="48"/>
      <c r="V161" s="48"/>
      <c r="W161" s="106"/>
      <c r="X161" s="50">
        <f t="shared" si="7"/>
        <v>0</v>
      </c>
      <c r="Y161" s="116">
        <f t="shared" si="8"/>
        <v>0</v>
      </c>
      <c r="Z161" s="108"/>
      <c r="AA161" s="48"/>
      <c r="AB161" s="110"/>
      <c r="AC161" s="84"/>
      <c r="AD161" s="84"/>
      <c r="AE161" s="84"/>
      <c r="AF161" s="84"/>
      <c r="AG161" s="48"/>
      <c r="AH161" s="48"/>
      <c r="AI161" s="48"/>
      <c r="AJ161" s="111"/>
      <c r="AK161" s="115">
        <f t="shared" si="22"/>
        <v>0</v>
      </c>
      <c r="AL161" s="48"/>
      <c r="AM161" s="48"/>
      <c r="AN161" s="48"/>
      <c r="AO161" s="48"/>
      <c r="AP161" s="48"/>
      <c r="AQ161" s="112"/>
      <c r="AR161" s="48"/>
      <c r="AS161" s="113"/>
    </row>
    <row r="162" ht="15.75" customHeight="1">
      <c r="A162" s="98"/>
      <c r="B162" s="98"/>
      <c r="C162" s="121"/>
      <c r="D162" s="98"/>
      <c r="E162" s="122"/>
      <c r="F162" s="103">
        <f t="shared" si="1"/>
        <v>0</v>
      </c>
      <c r="G162" s="104"/>
      <c r="H162" s="104"/>
      <c r="I162" s="104"/>
      <c r="J162" s="115">
        <f t="shared" si="4"/>
        <v>0</v>
      </c>
      <c r="K162" s="48" t="s">
        <v>42</v>
      </c>
      <c r="L162" s="47">
        <f t="shared" si="23"/>
        <v>0</v>
      </c>
      <c r="M162" s="48"/>
      <c r="N162" s="49"/>
      <c r="O162" s="48"/>
      <c r="P162" s="48"/>
      <c r="Q162" s="48"/>
      <c r="R162" s="48"/>
      <c r="S162" s="48"/>
      <c r="T162" s="48"/>
      <c r="U162" s="48"/>
      <c r="V162" s="48"/>
      <c r="W162" s="106"/>
      <c r="X162" s="50">
        <f t="shared" si="7"/>
        <v>0</v>
      </c>
      <c r="Y162" s="116">
        <f t="shared" si="8"/>
        <v>0</v>
      </c>
      <c r="Z162" s="108"/>
      <c r="AA162" s="48"/>
      <c r="AB162" s="110"/>
      <c r="AC162" s="84"/>
      <c r="AD162" s="84"/>
      <c r="AE162" s="84"/>
      <c r="AF162" s="84"/>
      <c r="AG162" s="48"/>
      <c r="AH162" s="48"/>
      <c r="AI162" s="48"/>
      <c r="AJ162" s="111"/>
      <c r="AK162" s="115">
        <f t="shared" si="22"/>
        <v>0</v>
      </c>
      <c r="AL162" s="48"/>
      <c r="AM162" s="48"/>
      <c r="AN162" s="48"/>
      <c r="AO162" s="48"/>
      <c r="AP162" s="48"/>
      <c r="AQ162" s="112"/>
      <c r="AR162" s="48"/>
      <c r="AS162" s="113"/>
    </row>
    <row r="163" ht="15.75" customHeight="1">
      <c r="A163" s="98"/>
      <c r="B163" s="98"/>
      <c r="C163" s="121"/>
      <c r="D163" s="98"/>
      <c r="E163" s="122"/>
      <c r="F163" s="103">
        <f t="shared" si="1"/>
        <v>0</v>
      </c>
      <c r="G163" s="104"/>
      <c r="H163" s="104"/>
      <c r="I163" s="104"/>
      <c r="J163" s="115">
        <f t="shared" si="4"/>
        <v>0</v>
      </c>
      <c r="K163" s="48" t="s">
        <v>42</v>
      </c>
      <c r="L163" s="47">
        <f t="shared" si="23"/>
        <v>0</v>
      </c>
      <c r="M163" s="48"/>
      <c r="N163" s="49"/>
      <c r="O163" s="48"/>
      <c r="P163" s="48"/>
      <c r="Q163" s="48"/>
      <c r="R163" s="48"/>
      <c r="S163" s="48"/>
      <c r="T163" s="48"/>
      <c r="U163" s="48"/>
      <c r="V163" s="48"/>
      <c r="W163" s="106"/>
      <c r="X163" s="50">
        <f t="shared" si="7"/>
        <v>0</v>
      </c>
      <c r="Y163" s="116">
        <f t="shared" si="8"/>
        <v>0</v>
      </c>
      <c r="Z163" s="108"/>
      <c r="AA163" s="48"/>
      <c r="AB163" s="110"/>
      <c r="AC163" s="84"/>
      <c r="AD163" s="84"/>
      <c r="AE163" s="84"/>
      <c r="AF163" s="84"/>
      <c r="AG163" s="48"/>
      <c r="AH163" s="48"/>
      <c r="AI163" s="48"/>
      <c r="AJ163" s="111"/>
      <c r="AK163" s="115">
        <f t="shared" si="22"/>
        <v>0</v>
      </c>
      <c r="AL163" s="48"/>
      <c r="AM163" s="48"/>
      <c r="AN163" s="48"/>
      <c r="AO163" s="48"/>
      <c r="AP163" s="48"/>
      <c r="AQ163" s="112"/>
      <c r="AR163" s="48"/>
      <c r="AS163" s="113"/>
    </row>
    <row r="164" ht="15.75" customHeight="1">
      <c r="A164" s="98"/>
      <c r="B164" s="98"/>
      <c r="C164" s="123"/>
      <c r="D164" s="98"/>
      <c r="E164" s="122"/>
      <c r="F164" s="103">
        <f t="shared" si="1"/>
        <v>0</v>
      </c>
      <c r="G164" s="104"/>
      <c r="H164" s="104"/>
      <c r="I164" s="104"/>
      <c r="J164" s="115">
        <f t="shared" si="4"/>
        <v>0</v>
      </c>
      <c r="K164" s="48" t="s">
        <v>42</v>
      </c>
      <c r="L164" s="47">
        <f t="shared" si="23"/>
        <v>0</v>
      </c>
      <c r="M164" s="48"/>
      <c r="N164" s="49"/>
      <c r="O164" s="48"/>
      <c r="P164" s="48"/>
      <c r="Q164" s="48"/>
      <c r="R164" s="48"/>
      <c r="S164" s="48"/>
      <c r="T164" s="48"/>
      <c r="U164" s="48"/>
      <c r="V164" s="48"/>
      <c r="W164" s="106"/>
      <c r="X164" s="50">
        <f t="shared" si="7"/>
        <v>0</v>
      </c>
      <c r="Y164" s="116">
        <f t="shared" si="8"/>
        <v>0</v>
      </c>
      <c r="Z164" s="108"/>
      <c r="AA164" s="48"/>
      <c r="AB164" s="110"/>
      <c r="AC164" s="84"/>
      <c r="AD164" s="84"/>
      <c r="AE164" s="84"/>
      <c r="AF164" s="84"/>
      <c r="AG164" s="48"/>
      <c r="AH164" s="48"/>
      <c r="AI164" s="48"/>
      <c r="AJ164" s="111"/>
      <c r="AK164" s="115">
        <f t="shared" si="22"/>
        <v>0</v>
      </c>
      <c r="AL164" s="48"/>
      <c r="AM164" s="48"/>
      <c r="AN164" s="48"/>
      <c r="AO164" s="48"/>
      <c r="AP164" s="48"/>
      <c r="AQ164" s="112"/>
      <c r="AR164" s="48"/>
      <c r="AS164" s="113"/>
    </row>
    <row r="165" ht="15.75" customHeight="1">
      <c r="A165" s="98"/>
      <c r="B165" s="98"/>
      <c r="C165" s="121"/>
      <c r="D165" s="98"/>
      <c r="E165" s="122"/>
      <c r="F165" s="103">
        <f t="shared" si="1"/>
        <v>0</v>
      </c>
      <c r="G165" s="104"/>
      <c r="H165" s="104"/>
      <c r="I165" s="104"/>
      <c r="J165" s="115">
        <f t="shared" si="4"/>
        <v>0</v>
      </c>
      <c r="K165" s="48" t="s">
        <v>42</v>
      </c>
      <c r="L165" s="47">
        <f t="shared" si="23"/>
        <v>0</v>
      </c>
      <c r="M165" s="48"/>
      <c r="N165" s="49"/>
      <c r="O165" s="48"/>
      <c r="P165" s="48"/>
      <c r="Q165" s="48"/>
      <c r="R165" s="48"/>
      <c r="S165" s="48"/>
      <c r="T165" s="48"/>
      <c r="U165" s="48"/>
      <c r="V165" s="48"/>
      <c r="W165" s="106"/>
      <c r="X165" s="50">
        <f t="shared" si="7"/>
        <v>0</v>
      </c>
      <c r="Y165" s="116">
        <f t="shared" si="8"/>
        <v>0</v>
      </c>
      <c r="Z165" s="108"/>
      <c r="AA165" s="48"/>
      <c r="AB165" s="110"/>
      <c r="AC165" s="84"/>
      <c r="AD165" s="84"/>
      <c r="AE165" s="84"/>
      <c r="AF165" s="84"/>
      <c r="AG165" s="48"/>
      <c r="AH165" s="48"/>
      <c r="AI165" s="48"/>
      <c r="AJ165" s="111"/>
      <c r="AK165" s="115">
        <f t="shared" si="22"/>
        <v>0</v>
      </c>
      <c r="AL165" s="48"/>
      <c r="AM165" s="48"/>
      <c r="AN165" s="48"/>
      <c r="AO165" s="48"/>
      <c r="AP165" s="48"/>
      <c r="AQ165" s="112"/>
      <c r="AR165" s="48"/>
      <c r="AS165" s="113"/>
    </row>
    <row r="166" ht="15.75" customHeight="1">
      <c r="A166" s="98"/>
      <c r="B166" s="98"/>
      <c r="C166" s="121"/>
      <c r="D166" s="98"/>
      <c r="E166" s="122"/>
      <c r="F166" s="103">
        <f t="shared" si="1"/>
        <v>0</v>
      </c>
      <c r="G166" s="104"/>
      <c r="H166" s="104"/>
      <c r="I166" s="104"/>
      <c r="J166" s="115">
        <f t="shared" si="4"/>
        <v>0</v>
      </c>
      <c r="K166" s="48" t="s">
        <v>42</v>
      </c>
      <c r="L166" s="47">
        <f t="shared" si="23"/>
        <v>0</v>
      </c>
      <c r="M166" s="48"/>
      <c r="N166" s="49"/>
      <c r="O166" s="48"/>
      <c r="P166" s="48"/>
      <c r="Q166" s="48"/>
      <c r="R166" s="48"/>
      <c r="S166" s="48"/>
      <c r="T166" s="48"/>
      <c r="U166" s="48"/>
      <c r="V166" s="48"/>
      <c r="W166" s="106"/>
      <c r="X166" s="50">
        <f t="shared" si="7"/>
        <v>0</v>
      </c>
      <c r="Y166" s="116">
        <f t="shared" si="8"/>
        <v>0</v>
      </c>
      <c r="Z166" s="108"/>
      <c r="AA166" s="48"/>
      <c r="AB166" s="110"/>
      <c r="AC166" s="84"/>
      <c r="AD166" s="84"/>
      <c r="AE166" s="84"/>
      <c r="AF166" s="84"/>
      <c r="AG166" s="48"/>
      <c r="AH166" s="48"/>
      <c r="AI166" s="48"/>
      <c r="AJ166" s="111"/>
      <c r="AK166" s="115">
        <f t="shared" si="22"/>
        <v>0</v>
      </c>
      <c r="AL166" s="48"/>
      <c r="AM166" s="48"/>
      <c r="AN166" s="48"/>
      <c r="AO166" s="48"/>
      <c r="AP166" s="48"/>
      <c r="AQ166" s="112"/>
      <c r="AR166" s="48"/>
      <c r="AS166" s="113"/>
    </row>
    <row r="167" ht="15.75" customHeight="1">
      <c r="A167" s="98"/>
      <c r="B167" s="98"/>
      <c r="C167" s="121"/>
      <c r="D167" s="98"/>
      <c r="E167" s="122"/>
      <c r="F167" s="103">
        <f t="shared" si="1"/>
        <v>0</v>
      </c>
      <c r="G167" s="104"/>
      <c r="H167" s="104"/>
      <c r="I167" s="104"/>
      <c r="J167" s="115">
        <f t="shared" si="4"/>
        <v>0</v>
      </c>
      <c r="K167" s="48" t="s">
        <v>42</v>
      </c>
      <c r="L167" s="47">
        <f t="shared" si="23"/>
        <v>0</v>
      </c>
      <c r="M167" s="48"/>
      <c r="N167" s="49"/>
      <c r="O167" s="48"/>
      <c r="P167" s="48"/>
      <c r="Q167" s="48"/>
      <c r="R167" s="48"/>
      <c r="S167" s="48"/>
      <c r="T167" s="48"/>
      <c r="U167" s="48"/>
      <c r="V167" s="48"/>
      <c r="W167" s="106"/>
      <c r="X167" s="50">
        <f t="shared" si="7"/>
        <v>0</v>
      </c>
      <c r="Y167" s="116">
        <f t="shared" si="8"/>
        <v>0</v>
      </c>
      <c r="Z167" s="108"/>
      <c r="AA167" s="48"/>
      <c r="AB167" s="110"/>
      <c r="AC167" s="84"/>
      <c r="AD167" s="84"/>
      <c r="AE167" s="84"/>
      <c r="AF167" s="84"/>
      <c r="AG167" s="48"/>
      <c r="AH167" s="48"/>
      <c r="AI167" s="48"/>
      <c r="AJ167" s="111"/>
      <c r="AK167" s="115">
        <f t="shared" si="22"/>
        <v>0</v>
      </c>
      <c r="AL167" s="48"/>
      <c r="AM167" s="48"/>
      <c r="AN167" s="48"/>
      <c r="AO167" s="48"/>
      <c r="AP167" s="48"/>
      <c r="AQ167" s="112"/>
      <c r="AR167" s="48"/>
      <c r="AS167" s="113"/>
    </row>
    <row r="168" ht="15.75" customHeight="1">
      <c r="A168" s="98"/>
      <c r="B168" s="98"/>
      <c r="C168" s="121"/>
      <c r="D168" s="98"/>
      <c r="E168" s="122"/>
      <c r="F168" s="103">
        <f t="shared" si="1"/>
        <v>0</v>
      </c>
      <c r="G168" s="104"/>
      <c r="H168" s="104"/>
      <c r="I168" s="104"/>
      <c r="J168" s="115">
        <f t="shared" si="4"/>
        <v>0</v>
      </c>
      <c r="K168" s="48" t="s">
        <v>42</v>
      </c>
      <c r="L168" s="47">
        <f t="shared" si="23"/>
        <v>0</v>
      </c>
      <c r="M168" s="48"/>
      <c r="N168" s="49"/>
      <c r="O168" s="48"/>
      <c r="P168" s="48"/>
      <c r="Q168" s="48"/>
      <c r="R168" s="48"/>
      <c r="S168" s="48"/>
      <c r="T168" s="48"/>
      <c r="U168" s="48"/>
      <c r="V168" s="48"/>
      <c r="W168" s="106"/>
      <c r="X168" s="50">
        <f t="shared" si="7"/>
        <v>0</v>
      </c>
      <c r="Y168" s="116">
        <f t="shared" si="8"/>
        <v>0</v>
      </c>
      <c r="Z168" s="108"/>
      <c r="AA168" s="48"/>
      <c r="AB168" s="110"/>
      <c r="AC168" s="84"/>
      <c r="AD168" s="84"/>
      <c r="AE168" s="84"/>
      <c r="AF168" s="84"/>
      <c r="AG168" s="48"/>
      <c r="AH168" s="48"/>
      <c r="AI168" s="48"/>
      <c r="AJ168" s="111"/>
      <c r="AK168" s="115">
        <f t="shared" si="22"/>
        <v>0</v>
      </c>
      <c r="AL168" s="48"/>
      <c r="AM168" s="48"/>
      <c r="AN168" s="48"/>
      <c r="AO168" s="48"/>
      <c r="AP168" s="48"/>
      <c r="AQ168" s="112"/>
      <c r="AR168" s="48"/>
      <c r="AS168" s="113"/>
    </row>
    <row r="169" ht="15.75" customHeight="1">
      <c r="A169" s="98"/>
      <c r="B169" s="98"/>
      <c r="C169" s="121"/>
      <c r="D169" s="98"/>
      <c r="E169" s="122"/>
      <c r="F169" s="103">
        <f t="shared" si="1"/>
        <v>0</v>
      </c>
      <c r="G169" s="104"/>
      <c r="H169" s="104"/>
      <c r="I169" s="104"/>
      <c r="J169" s="115">
        <f t="shared" si="4"/>
        <v>0</v>
      </c>
      <c r="K169" s="48" t="s">
        <v>42</v>
      </c>
      <c r="L169" s="47">
        <f t="shared" si="23"/>
        <v>0</v>
      </c>
      <c r="M169" s="48"/>
      <c r="N169" s="49"/>
      <c r="O169" s="48"/>
      <c r="P169" s="48"/>
      <c r="Q169" s="48"/>
      <c r="R169" s="48"/>
      <c r="S169" s="48"/>
      <c r="T169" s="48"/>
      <c r="U169" s="48"/>
      <c r="V169" s="48"/>
      <c r="W169" s="106"/>
      <c r="X169" s="50">
        <f t="shared" si="7"/>
        <v>0</v>
      </c>
      <c r="Y169" s="116">
        <f t="shared" si="8"/>
        <v>0</v>
      </c>
      <c r="Z169" s="108"/>
      <c r="AA169" s="48"/>
      <c r="AB169" s="110"/>
      <c r="AC169" s="84"/>
      <c r="AD169" s="84"/>
      <c r="AE169" s="84"/>
      <c r="AF169" s="84"/>
      <c r="AG169" s="48"/>
      <c r="AH169" s="48"/>
      <c r="AI169" s="48"/>
      <c r="AJ169" s="111"/>
      <c r="AK169" s="115">
        <f t="shared" si="22"/>
        <v>0</v>
      </c>
      <c r="AL169" s="48"/>
      <c r="AM169" s="48"/>
      <c r="AN169" s="48"/>
      <c r="AO169" s="48"/>
      <c r="AP169" s="48"/>
      <c r="AQ169" s="112"/>
      <c r="AR169" s="48"/>
      <c r="AS169" s="113"/>
    </row>
    <row r="170" ht="15.75" customHeight="1">
      <c r="A170" s="98"/>
      <c r="B170" s="98"/>
      <c r="C170" s="121"/>
      <c r="D170" s="98"/>
      <c r="E170" s="122"/>
      <c r="F170" s="103">
        <f t="shared" si="1"/>
        <v>0</v>
      </c>
      <c r="G170" s="104"/>
      <c r="H170" s="104"/>
      <c r="I170" s="104"/>
      <c r="J170" s="115">
        <f t="shared" si="4"/>
        <v>0</v>
      </c>
      <c r="K170" s="48" t="s">
        <v>42</v>
      </c>
      <c r="L170" s="47">
        <f t="shared" si="23"/>
        <v>0</v>
      </c>
      <c r="M170" s="48"/>
      <c r="N170" s="49"/>
      <c r="O170" s="48"/>
      <c r="P170" s="48"/>
      <c r="Q170" s="48"/>
      <c r="R170" s="48"/>
      <c r="S170" s="48"/>
      <c r="T170" s="48"/>
      <c r="U170" s="48"/>
      <c r="V170" s="48"/>
      <c r="W170" s="106"/>
      <c r="X170" s="50">
        <f t="shared" si="7"/>
        <v>0</v>
      </c>
      <c r="Y170" s="116">
        <f t="shared" si="8"/>
        <v>0</v>
      </c>
      <c r="Z170" s="108"/>
      <c r="AA170" s="48"/>
      <c r="AB170" s="110"/>
      <c r="AC170" s="84"/>
      <c r="AD170" s="84"/>
      <c r="AE170" s="84"/>
      <c r="AF170" s="84"/>
      <c r="AG170" s="48"/>
      <c r="AH170" s="48"/>
      <c r="AI170" s="48"/>
      <c r="AJ170" s="111"/>
      <c r="AK170" s="115">
        <f t="shared" si="22"/>
        <v>0</v>
      </c>
      <c r="AL170" s="48"/>
      <c r="AM170" s="48"/>
      <c r="AN170" s="48"/>
      <c r="AO170" s="48"/>
      <c r="AP170" s="48"/>
      <c r="AQ170" s="112"/>
      <c r="AR170" s="48"/>
      <c r="AS170" s="113"/>
    </row>
    <row r="171" ht="15.75" customHeight="1">
      <c r="A171" s="98"/>
      <c r="B171" s="98"/>
      <c r="C171" s="121"/>
      <c r="D171" s="98"/>
      <c r="E171" s="122"/>
      <c r="F171" s="103">
        <f t="shared" si="1"/>
        <v>0</v>
      </c>
      <c r="G171" s="104"/>
      <c r="H171" s="104"/>
      <c r="I171" s="104"/>
      <c r="J171" s="115">
        <f t="shared" si="4"/>
        <v>0</v>
      </c>
      <c r="K171" s="48" t="s">
        <v>42</v>
      </c>
      <c r="L171" s="47">
        <f t="shared" si="23"/>
        <v>0</v>
      </c>
      <c r="M171" s="48"/>
      <c r="N171" s="49"/>
      <c r="O171" s="48"/>
      <c r="P171" s="48"/>
      <c r="Q171" s="48"/>
      <c r="R171" s="48"/>
      <c r="S171" s="48"/>
      <c r="T171" s="48"/>
      <c r="U171" s="48"/>
      <c r="V171" s="48"/>
      <c r="W171" s="106"/>
      <c r="X171" s="50">
        <f t="shared" si="7"/>
        <v>0</v>
      </c>
      <c r="Y171" s="116">
        <f t="shared" si="8"/>
        <v>0</v>
      </c>
      <c r="Z171" s="108"/>
      <c r="AA171" s="48"/>
      <c r="AB171" s="110"/>
      <c r="AC171" s="84"/>
      <c r="AD171" s="84"/>
      <c r="AE171" s="84"/>
      <c r="AF171" s="84"/>
      <c r="AG171" s="48"/>
      <c r="AH171" s="48"/>
      <c r="AI171" s="48"/>
      <c r="AJ171" s="111"/>
      <c r="AK171" s="115">
        <f t="shared" si="22"/>
        <v>0</v>
      </c>
      <c r="AL171" s="48"/>
      <c r="AM171" s="48"/>
      <c r="AN171" s="48"/>
      <c r="AO171" s="48"/>
      <c r="AP171" s="48"/>
      <c r="AQ171" s="112"/>
      <c r="AR171" s="48"/>
      <c r="AS171" s="113"/>
    </row>
    <row r="172" ht="15.75" customHeight="1">
      <c r="A172" s="98"/>
      <c r="B172" s="98"/>
      <c r="C172" s="121"/>
      <c r="D172" s="98"/>
      <c r="E172" s="122"/>
      <c r="F172" s="103">
        <f t="shared" si="1"/>
        <v>0</v>
      </c>
      <c r="G172" s="104"/>
      <c r="H172" s="104"/>
      <c r="I172" s="104"/>
      <c r="J172" s="115">
        <f t="shared" si="4"/>
        <v>0</v>
      </c>
      <c r="K172" s="48" t="s">
        <v>42</v>
      </c>
      <c r="L172" s="47">
        <f t="shared" si="23"/>
        <v>0</v>
      </c>
      <c r="M172" s="48"/>
      <c r="N172" s="49"/>
      <c r="O172" s="48"/>
      <c r="P172" s="48"/>
      <c r="Q172" s="48"/>
      <c r="R172" s="48"/>
      <c r="S172" s="48"/>
      <c r="T172" s="48"/>
      <c r="U172" s="48"/>
      <c r="V172" s="48"/>
      <c r="W172" s="106"/>
      <c r="X172" s="48"/>
      <c r="Y172" s="116">
        <f t="shared" si="8"/>
        <v>0</v>
      </c>
      <c r="Z172" s="108"/>
      <c r="AA172" s="48"/>
      <c r="AB172" s="110"/>
      <c r="AC172" s="84"/>
      <c r="AD172" s="84"/>
      <c r="AE172" s="84"/>
      <c r="AF172" s="84"/>
      <c r="AG172" s="48"/>
      <c r="AH172" s="48"/>
      <c r="AI172" s="48"/>
      <c r="AJ172" s="111"/>
      <c r="AK172" s="115">
        <f t="shared" si="22"/>
        <v>0</v>
      </c>
      <c r="AL172" s="48"/>
      <c r="AM172" s="48"/>
      <c r="AN172" s="48"/>
      <c r="AO172" s="48"/>
      <c r="AP172" s="48"/>
      <c r="AQ172" s="112"/>
      <c r="AR172" s="48"/>
      <c r="AS172" s="113"/>
    </row>
    <row r="173" ht="15.75" customHeight="1">
      <c r="A173" s="98"/>
      <c r="B173" s="98"/>
      <c r="C173" s="98"/>
      <c r="D173" s="121"/>
      <c r="E173" s="122"/>
      <c r="F173" s="103">
        <f t="shared" si="1"/>
        <v>0</v>
      </c>
      <c r="G173" s="104"/>
      <c r="H173" s="104"/>
      <c r="I173" s="104"/>
      <c r="J173" s="115">
        <f t="shared" si="4"/>
        <v>0</v>
      </c>
      <c r="K173" s="48" t="s">
        <v>42</v>
      </c>
      <c r="L173" s="47">
        <f t="shared" si="23"/>
        <v>0</v>
      </c>
      <c r="M173" s="48"/>
      <c r="N173" s="49"/>
      <c r="O173" s="48"/>
      <c r="P173" s="48"/>
      <c r="Q173" s="48"/>
      <c r="R173" s="48"/>
      <c r="S173" s="48"/>
      <c r="T173" s="48"/>
      <c r="U173" s="48"/>
      <c r="V173" s="48"/>
      <c r="W173" s="106"/>
      <c r="X173" s="48"/>
      <c r="Y173" s="116">
        <f t="shared" si="8"/>
        <v>0</v>
      </c>
      <c r="Z173" s="108"/>
      <c r="AA173" s="48"/>
      <c r="AB173" s="110"/>
      <c r="AC173" s="84"/>
      <c r="AD173" s="84"/>
      <c r="AE173" s="84"/>
      <c r="AF173" s="84"/>
      <c r="AG173" s="48"/>
      <c r="AH173" s="48"/>
      <c r="AI173" s="48"/>
      <c r="AJ173" s="111"/>
      <c r="AK173" s="115">
        <f t="shared" si="22"/>
        <v>0</v>
      </c>
      <c r="AL173" s="48"/>
      <c r="AM173" s="48"/>
      <c r="AN173" s="48"/>
      <c r="AO173" s="48"/>
      <c r="AP173" s="48"/>
      <c r="AQ173" s="112"/>
      <c r="AR173" s="48"/>
      <c r="AS173" s="113"/>
    </row>
    <row r="174" ht="15.75" customHeight="1">
      <c r="A174" s="98"/>
      <c r="B174" s="98"/>
      <c r="C174" s="98"/>
      <c r="D174" s="121"/>
      <c r="E174" s="122"/>
      <c r="F174" s="103">
        <f t="shared" si="1"/>
        <v>0</v>
      </c>
      <c r="G174" s="104"/>
      <c r="H174" s="104"/>
      <c r="I174" s="104"/>
      <c r="J174" s="115">
        <f t="shared" si="4"/>
        <v>0</v>
      </c>
      <c r="K174" s="48" t="s">
        <v>42</v>
      </c>
      <c r="L174" s="47">
        <f t="shared" si="23"/>
        <v>0</v>
      </c>
      <c r="M174" s="48"/>
      <c r="N174" s="49"/>
      <c r="O174" s="48"/>
      <c r="P174" s="48"/>
      <c r="Q174" s="48"/>
      <c r="R174" s="48"/>
      <c r="S174" s="48"/>
      <c r="T174" s="48"/>
      <c r="U174" s="48"/>
      <c r="V174" s="48"/>
      <c r="W174" s="106"/>
      <c r="X174" s="48"/>
      <c r="Y174" s="116">
        <f t="shared" si="8"/>
        <v>0</v>
      </c>
      <c r="Z174" s="108"/>
      <c r="AA174" s="48"/>
      <c r="AB174" s="110"/>
      <c r="AC174" s="84"/>
      <c r="AD174" s="84"/>
      <c r="AE174" s="84"/>
      <c r="AF174" s="84"/>
      <c r="AG174" s="48"/>
      <c r="AH174" s="48"/>
      <c r="AI174" s="48"/>
      <c r="AJ174" s="111"/>
      <c r="AK174" s="115">
        <f t="shared" si="22"/>
        <v>0</v>
      </c>
      <c r="AL174" s="48"/>
      <c r="AM174" s="48"/>
      <c r="AN174" s="48"/>
      <c r="AO174" s="48"/>
      <c r="AP174" s="48"/>
      <c r="AQ174" s="112"/>
      <c r="AR174" s="48"/>
      <c r="AS174" s="113"/>
    </row>
    <row r="175" ht="15.75" customHeight="1">
      <c r="A175" s="98"/>
      <c r="B175" s="98"/>
      <c r="C175" s="121"/>
      <c r="D175" s="98"/>
      <c r="E175" s="122"/>
      <c r="F175" s="103">
        <f t="shared" si="1"/>
        <v>0</v>
      </c>
      <c r="G175" s="104"/>
      <c r="H175" s="104"/>
      <c r="I175" s="104"/>
      <c r="J175" s="115">
        <f t="shared" si="4"/>
        <v>0</v>
      </c>
      <c r="K175" s="48" t="s">
        <v>42</v>
      </c>
      <c r="L175" s="47">
        <f t="shared" si="23"/>
        <v>0</v>
      </c>
      <c r="M175" s="48"/>
      <c r="N175" s="49"/>
      <c r="O175" s="48"/>
      <c r="P175" s="48"/>
      <c r="Q175" s="48"/>
      <c r="R175" s="48"/>
      <c r="S175" s="48"/>
      <c r="T175" s="48"/>
      <c r="U175" s="48"/>
      <c r="V175" s="48"/>
      <c r="W175" s="106"/>
      <c r="X175" s="48"/>
      <c r="Y175" s="116">
        <f t="shared" si="8"/>
        <v>0</v>
      </c>
      <c r="Z175" s="108"/>
      <c r="AA175" s="48"/>
      <c r="AB175" s="110"/>
      <c r="AC175" s="84"/>
      <c r="AD175" s="84"/>
      <c r="AE175" s="84"/>
      <c r="AF175" s="84"/>
      <c r="AG175" s="48"/>
      <c r="AH175" s="48"/>
      <c r="AI175" s="48"/>
      <c r="AJ175" s="111"/>
      <c r="AK175" s="115">
        <f t="shared" si="22"/>
        <v>0</v>
      </c>
      <c r="AL175" s="48"/>
      <c r="AM175" s="48"/>
      <c r="AN175" s="48"/>
      <c r="AO175" s="48"/>
      <c r="AP175" s="48"/>
      <c r="AQ175" s="112"/>
      <c r="AR175" s="48"/>
      <c r="AS175" s="113"/>
    </row>
    <row r="176" ht="15.75" customHeight="1">
      <c r="A176" s="98"/>
      <c r="B176" s="98"/>
      <c r="C176" s="121"/>
      <c r="D176" s="98"/>
      <c r="E176" s="122"/>
      <c r="F176" s="103">
        <f t="shared" si="1"/>
        <v>0</v>
      </c>
      <c r="G176" s="104"/>
      <c r="H176" s="104"/>
      <c r="I176" s="104"/>
      <c r="J176" s="115">
        <f t="shared" si="4"/>
        <v>0</v>
      </c>
      <c r="K176" s="48" t="s">
        <v>42</v>
      </c>
      <c r="L176" s="47">
        <f t="shared" si="23"/>
        <v>0</v>
      </c>
      <c r="M176" s="48"/>
      <c r="N176" s="49"/>
      <c r="O176" s="48"/>
      <c r="P176" s="48"/>
      <c r="Q176" s="48"/>
      <c r="R176" s="48"/>
      <c r="S176" s="48"/>
      <c r="T176" s="48"/>
      <c r="U176" s="48"/>
      <c r="V176" s="48"/>
      <c r="W176" s="106"/>
      <c r="X176" s="48"/>
      <c r="Y176" s="116">
        <f t="shared" si="8"/>
        <v>0</v>
      </c>
      <c r="Z176" s="108"/>
      <c r="AA176" s="48"/>
      <c r="AB176" s="110"/>
      <c r="AC176" s="84"/>
      <c r="AD176" s="84"/>
      <c r="AE176" s="84"/>
      <c r="AF176" s="84"/>
      <c r="AG176" s="48"/>
      <c r="AH176" s="48"/>
      <c r="AI176" s="48"/>
      <c r="AJ176" s="111"/>
      <c r="AK176" s="115">
        <f t="shared" si="22"/>
        <v>0</v>
      </c>
      <c r="AL176" s="48"/>
      <c r="AM176" s="48"/>
      <c r="AN176" s="48"/>
      <c r="AO176" s="48"/>
      <c r="AP176" s="48"/>
      <c r="AQ176" s="112"/>
      <c r="AR176" s="48"/>
      <c r="AS176" s="113"/>
    </row>
    <row r="177" ht="15.75" customHeight="1">
      <c r="A177" s="98"/>
      <c r="B177" s="98"/>
      <c r="C177" s="121"/>
      <c r="D177" s="98"/>
      <c r="E177" s="122"/>
      <c r="F177" s="103">
        <f t="shared" si="1"/>
        <v>0</v>
      </c>
      <c r="G177" s="104"/>
      <c r="H177" s="104"/>
      <c r="I177" s="104"/>
      <c r="J177" s="115">
        <f t="shared" si="4"/>
        <v>0</v>
      </c>
      <c r="K177" s="48" t="s">
        <v>42</v>
      </c>
      <c r="L177" s="47">
        <f t="shared" si="23"/>
        <v>0</v>
      </c>
      <c r="M177" s="48"/>
      <c r="N177" s="49"/>
      <c r="O177" s="48"/>
      <c r="P177" s="48"/>
      <c r="Q177" s="48"/>
      <c r="R177" s="48"/>
      <c r="S177" s="48"/>
      <c r="T177" s="48"/>
      <c r="U177" s="48"/>
      <c r="V177" s="48"/>
      <c r="W177" s="106"/>
      <c r="X177" s="48"/>
      <c r="Y177" s="116">
        <f t="shared" si="8"/>
        <v>0</v>
      </c>
      <c r="Z177" s="108"/>
      <c r="AA177" s="48"/>
      <c r="AB177" s="110"/>
      <c r="AC177" s="84"/>
      <c r="AD177" s="84"/>
      <c r="AE177" s="84"/>
      <c r="AF177" s="84"/>
      <c r="AG177" s="48"/>
      <c r="AH177" s="48"/>
      <c r="AI177" s="48"/>
      <c r="AJ177" s="111"/>
      <c r="AK177" s="115">
        <f t="shared" si="22"/>
        <v>0</v>
      </c>
      <c r="AL177" s="48"/>
      <c r="AM177" s="48"/>
      <c r="AN177" s="48"/>
      <c r="AO177" s="48"/>
      <c r="AP177" s="48"/>
      <c r="AQ177" s="112"/>
      <c r="AR177" s="48"/>
      <c r="AS177" s="113"/>
    </row>
    <row r="178" ht="15.75" customHeight="1">
      <c r="A178" s="98"/>
      <c r="B178" s="98"/>
      <c r="C178" s="121"/>
      <c r="D178" s="98"/>
      <c r="E178" s="122"/>
      <c r="F178" s="103">
        <f t="shared" si="1"/>
        <v>0</v>
      </c>
      <c r="G178" s="104"/>
      <c r="H178" s="104"/>
      <c r="I178" s="104"/>
      <c r="J178" s="115">
        <f t="shared" si="4"/>
        <v>0</v>
      </c>
      <c r="K178" s="48" t="s">
        <v>42</v>
      </c>
      <c r="L178" s="47">
        <f t="shared" si="23"/>
        <v>0</v>
      </c>
      <c r="M178" s="48"/>
      <c r="N178" s="49"/>
      <c r="O178" s="48"/>
      <c r="P178" s="48"/>
      <c r="Q178" s="48"/>
      <c r="R178" s="48"/>
      <c r="S178" s="48"/>
      <c r="T178" s="48"/>
      <c r="U178" s="48"/>
      <c r="V178" s="48"/>
      <c r="W178" s="106"/>
      <c r="X178" s="48"/>
      <c r="Y178" s="116">
        <f t="shared" si="8"/>
        <v>0</v>
      </c>
      <c r="Z178" s="108"/>
      <c r="AA178" s="48"/>
      <c r="AB178" s="110"/>
      <c r="AC178" s="84"/>
      <c r="AD178" s="84"/>
      <c r="AE178" s="84"/>
      <c r="AF178" s="84"/>
      <c r="AG178" s="48"/>
      <c r="AH178" s="48"/>
      <c r="AI178" s="48"/>
      <c r="AJ178" s="111"/>
      <c r="AK178" s="115">
        <f t="shared" si="22"/>
        <v>0</v>
      </c>
      <c r="AL178" s="48"/>
      <c r="AM178" s="48"/>
      <c r="AN178" s="48"/>
      <c r="AO178" s="48"/>
      <c r="AP178" s="48"/>
      <c r="AQ178" s="112"/>
      <c r="AR178" s="48"/>
      <c r="AS178" s="113"/>
    </row>
    <row r="179" ht="15.75" customHeight="1">
      <c r="A179" s="98"/>
      <c r="B179" s="98"/>
      <c r="C179" s="121"/>
      <c r="D179" s="98"/>
      <c r="E179" s="122"/>
      <c r="F179" s="103">
        <f t="shared" si="1"/>
        <v>0</v>
      </c>
      <c r="G179" s="104"/>
      <c r="H179" s="104"/>
      <c r="I179" s="104"/>
      <c r="J179" s="115">
        <f t="shared" si="4"/>
        <v>0</v>
      </c>
      <c r="K179" s="48" t="s">
        <v>42</v>
      </c>
      <c r="L179" s="47">
        <f t="shared" si="23"/>
        <v>0</v>
      </c>
      <c r="M179" s="48"/>
      <c r="N179" s="49"/>
      <c r="O179" s="48"/>
      <c r="P179" s="48"/>
      <c r="Q179" s="48"/>
      <c r="R179" s="48"/>
      <c r="S179" s="48"/>
      <c r="T179" s="48"/>
      <c r="U179" s="48"/>
      <c r="V179" s="48"/>
      <c r="W179" s="106"/>
      <c r="X179" s="48"/>
      <c r="Y179" s="116">
        <f t="shared" si="8"/>
        <v>0</v>
      </c>
      <c r="Z179" s="108"/>
      <c r="AA179" s="48"/>
      <c r="AB179" s="110"/>
      <c r="AC179" s="84"/>
      <c r="AD179" s="84"/>
      <c r="AE179" s="84"/>
      <c r="AF179" s="84"/>
      <c r="AG179" s="48"/>
      <c r="AH179" s="48"/>
      <c r="AI179" s="48"/>
      <c r="AJ179" s="111"/>
      <c r="AK179" s="115">
        <f t="shared" si="22"/>
        <v>0</v>
      </c>
      <c r="AL179" s="48"/>
      <c r="AM179" s="48"/>
      <c r="AN179" s="48"/>
      <c r="AO179" s="48"/>
      <c r="AP179" s="48"/>
      <c r="AQ179" s="112"/>
      <c r="AR179" s="48"/>
      <c r="AS179" s="113"/>
    </row>
    <row r="180" ht="15.75" customHeight="1">
      <c r="A180" s="98"/>
      <c r="B180" s="98"/>
      <c r="C180" s="98"/>
      <c r="D180" s="98"/>
      <c r="E180" s="122"/>
      <c r="F180" s="103">
        <f t="shared" si="1"/>
        <v>0</v>
      </c>
      <c r="G180" s="104"/>
      <c r="H180" s="104"/>
      <c r="I180" s="104"/>
      <c r="J180" s="115">
        <f t="shared" si="4"/>
        <v>0</v>
      </c>
      <c r="K180" s="48" t="s">
        <v>42</v>
      </c>
      <c r="L180" s="47">
        <f t="shared" si="23"/>
        <v>0</v>
      </c>
      <c r="M180" s="48"/>
      <c r="N180" s="49"/>
      <c r="O180" s="48"/>
      <c r="P180" s="48"/>
      <c r="Q180" s="48"/>
      <c r="R180" s="48"/>
      <c r="S180" s="48"/>
      <c r="T180" s="48"/>
      <c r="U180" s="48"/>
      <c r="V180" s="48"/>
      <c r="W180" s="106"/>
      <c r="X180" s="48"/>
      <c r="Y180" s="116">
        <f t="shared" si="8"/>
        <v>0</v>
      </c>
      <c r="Z180" s="108"/>
      <c r="AA180" s="48"/>
      <c r="AB180" s="110"/>
      <c r="AC180" s="84"/>
      <c r="AD180" s="84"/>
      <c r="AE180" s="84"/>
      <c r="AF180" s="84"/>
      <c r="AG180" s="48"/>
      <c r="AH180" s="48"/>
      <c r="AI180" s="48"/>
      <c r="AJ180" s="111"/>
      <c r="AK180" s="115">
        <f t="shared" si="22"/>
        <v>0</v>
      </c>
      <c r="AL180" s="48"/>
      <c r="AM180" s="48"/>
      <c r="AN180" s="48"/>
      <c r="AO180" s="48"/>
      <c r="AP180" s="48"/>
      <c r="AQ180" s="112"/>
      <c r="AR180" s="48"/>
      <c r="AS180" s="113"/>
    </row>
    <row r="181" ht="15.75" customHeight="1">
      <c r="A181" s="98"/>
      <c r="B181" s="98"/>
      <c r="C181" s="121"/>
      <c r="D181" s="124"/>
      <c r="E181" s="122"/>
      <c r="F181" s="103">
        <f t="shared" si="1"/>
        <v>0</v>
      </c>
      <c r="G181" s="104"/>
      <c r="H181" s="104"/>
      <c r="I181" s="104"/>
      <c r="J181" s="115">
        <f t="shared" si="4"/>
        <v>0</v>
      </c>
      <c r="K181" s="48" t="s">
        <v>42</v>
      </c>
      <c r="L181" s="47">
        <f t="shared" si="23"/>
        <v>0</v>
      </c>
      <c r="M181" s="48"/>
      <c r="N181" s="49"/>
      <c r="O181" s="48"/>
      <c r="P181" s="48"/>
      <c r="Q181" s="48"/>
      <c r="R181" s="48"/>
      <c r="S181" s="48"/>
      <c r="T181" s="48"/>
      <c r="U181" s="48"/>
      <c r="V181" s="48"/>
      <c r="W181" s="106"/>
      <c r="X181" s="48"/>
      <c r="Y181" s="116">
        <f t="shared" si="8"/>
        <v>0</v>
      </c>
      <c r="Z181" s="108"/>
      <c r="AA181" s="48"/>
      <c r="AB181" s="110"/>
      <c r="AC181" s="84"/>
      <c r="AD181" s="84"/>
      <c r="AE181" s="84"/>
      <c r="AF181" s="84"/>
      <c r="AG181" s="48"/>
      <c r="AH181" s="48"/>
      <c r="AI181" s="48"/>
      <c r="AJ181" s="111"/>
      <c r="AK181" s="115">
        <f t="shared" si="22"/>
        <v>0</v>
      </c>
      <c r="AL181" s="48"/>
      <c r="AM181" s="48"/>
      <c r="AN181" s="48"/>
      <c r="AO181" s="48"/>
      <c r="AP181" s="48"/>
      <c r="AQ181" s="112"/>
      <c r="AR181" s="48"/>
      <c r="AS181" s="113"/>
    </row>
    <row r="182" ht="15.75" customHeight="1">
      <c r="A182" s="98"/>
      <c r="B182" s="98"/>
      <c r="C182" s="121"/>
      <c r="D182" s="124"/>
      <c r="E182" s="122"/>
      <c r="F182" s="103">
        <f t="shared" si="1"/>
        <v>0</v>
      </c>
      <c r="G182" s="104"/>
      <c r="H182" s="104"/>
      <c r="I182" s="104"/>
      <c r="J182" s="115">
        <f t="shared" si="4"/>
        <v>0</v>
      </c>
      <c r="K182" s="48" t="s">
        <v>42</v>
      </c>
      <c r="L182" s="47">
        <f t="shared" si="23"/>
        <v>0</v>
      </c>
      <c r="M182" s="48"/>
      <c r="N182" s="49"/>
      <c r="O182" s="48"/>
      <c r="P182" s="48"/>
      <c r="Q182" s="48"/>
      <c r="R182" s="48"/>
      <c r="S182" s="48"/>
      <c r="T182" s="48"/>
      <c r="U182" s="48"/>
      <c r="V182" s="48"/>
      <c r="W182" s="106"/>
      <c r="X182" s="48"/>
      <c r="Y182" s="116">
        <f t="shared" si="8"/>
        <v>0</v>
      </c>
      <c r="Z182" s="108"/>
      <c r="AA182" s="48"/>
      <c r="AB182" s="110"/>
      <c r="AC182" s="84"/>
      <c r="AD182" s="84"/>
      <c r="AE182" s="84"/>
      <c r="AF182" s="84"/>
      <c r="AG182" s="48"/>
      <c r="AH182" s="48"/>
      <c r="AI182" s="48"/>
      <c r="AJ182" s="111"/>
      <c r="AK182" s="115">
        <f t="shared" si="22"/>
        <v>0</v>
      </c>
      <c r="AL182" s="48"/>
      <c r="AM182" s="48"/>
      <c r="AN182" s="48"/>
      <c r="AO182" s="48"/>
      <c r="AP182" s="48"/>
      <c r="AQ182" s="112"/>
      <c r="AR182" s="48"/>
      <c r="AS182" s="113"/>
    </row>
    <row r="183" ht="15.75" customHeight="1">
      <c r="A183" s="98"/>
      <c r="B183" s="98"/>
      <c r="C183" s="121"/>
      <c r="D183" s="121"/>
      <c r="E183" s="122"/>
      <c r="F183" s="103">
        <f t="shared" si="1"/>
        <v>0</v>
      </c>
      <c r="G183" s="104"/>
      <c r="H183" s="104"/>
      <c r="I183" s="104"/>
      <c r="J183" s="115">
        <f t="shared" si="4"/>
        <v>0</v>
      </c>
      <c r="K183" s="48" t="s">
        <v>42</v>
      </c>
      <c r="L183" s="47">
        <f t="shared" si="23"/>
        <v>0</v>
      </c>
      <c r="M183" s="48"/>
      <c r="N183" s="49"/>
      <c r="O183" s="48"/>
      <c r="P183" s="48"/>
      <c r="Q183" s="48"/>
      <c r="R183" s="48"/>
      <c r="S183" s="48"/>
      <c r="T183" s="48"/>
      <c r="U183" s="48"/>
      <c r="V183" s="48"/>
      <c r="W183" s="106"/>
      <c r="X183" s="48"/>
      <c r="Y183" s="116">
        <f t="shared" si="8"/>
        <v>0</v>
      </c>
      <c r="Z183" s="108"/>
      <c r="AA183" s="48"/>
      <c r="AB183" s="110"/>
      <c r="AC183" s="84"/>
      <c r="AD183" s="84"/>
      <c r="AE183" s="84"/>
      <c r="AF183" s="84"/>
      <c r="AG183" s="48"/>
      <c r="AH183" s="48"/>
      <c r="AI183" s="48"/>
      <c r="AJ183" s="111"/>
      <c r="AK183" s="115">
        <f t="shared" si="22"/>
        <v>0</v>
      </c>
      <c r="AL183" s="48"/>
      <c r="AM183" s="48"/>
      <c r="AN183" s="48"/>
      <c r="AO183" s="48"/>
      <c r="AP183" s="48"/>
      <c r="AQ183" s="112"/>
      <c r="AR183" s="48"/>
      <c r="AS183" s="113"/>
    </row>
    <row r="184" ht="15.75" customHeight="1">
      <c r="A184" s="98"/>
      <c r="B184" s="98"/>
      <c r="C184" s="98"/>
      <c r="D184" s="121"/>
      <c r="E184" s="122"/>
      <c r="F184" s="103">
        <f t="shared" si="1"/>
        <v>0</v>
      </c>
      <c r="G184" s="104"/>
      <c r="H184" s="104"/>
      <c r="I184" s="104"/>
      <c r="J184" s="115">
        <f t="shared" si="4"/>
        <v>0</v>
      </c>
      <c r="K184" s="48" t="s">
        <v>42</v>
      </c>
      <c r="L184" s="47">
        <f t="shared" si="23"/>
        <v>0</v>
      </c>
      <c r="M184" s="48"/>
      <c r="N184" s="49"/>
      <c r="O184" s="48"/>
      <c r="P184" s="48"/>
      <c r="Q184" s="48"/>
      <c r="R184" s="48"/>
      <c r="S184" s="48"/>
      <c r="T184" s="48"/>
      <c r="U184" s="48"/>
      <c r="V184" s="48"/>
      <c r="W184" s="106"/>
      <c r="X184" s="48"/>
      <c r="Y184" s="116">
        <f t="shared" si="8"/>
        <v>0</v>
      </c>
      <c r="Z184" s="108"/>
      <c r="AA184" s="48"/>
      <c r="AB184" s="110"/>
      <c r="AC184" s="84"/>
      <c r="AD184" s="84"/>
      <c r="AE184" s="84"/>
      <c r="AF184" s="84"/>
      <c r="AG184" s="48"/>
      <c r="AH184" s="48"/>
      <c r="AI184" s="48"/>
      <c r="AJ184" s="111"/>
      <c r="AK184" s="115">
        <f t="shared" si="22"/>
        <v>0</v>
      </c>
      <c r="AL184" s="48"/>
      <c r="AM184" s="48"/>
      <c r="AN184" s="48"/>
      <c r="AO184" s="48"/>
      <c r="AP184" s="48"/>
      <c r="AQ184" s="112"/>
      <c r="AR184" s="48"/>
      <c r="AS184" s="113"/>
    </row>
    <row r="185" ht="15.75" customHeight="1">
      <c r="A185" s="98"/>
      <c r="B185" s="98"/>
      <c r="C185" s="98"/>
      <c r="D185" s="121"/>
      <c r="E185" s="122"/>
      <c r="F185" s="103">
        <f t="shared" si="1"/>
        <v>0</v>
      </c>
      <c r="G185" s="104"/>
      <c r="H185" s="104"/>
      <c r="I185" s="104"/>
      <c r="J185" s="115">
        <f t="shared" si="4"/>
        <v>0</v>
      </c>
      <c r="K185" s="48" t="s">
        <v>42</v>
      </c>
      <c r="L185" s="47">
        <f t="shared" si="23"/>
        <v>0</v>
      </c>
      <c r="M185" s="48"/>
      <c r="N185" s="49"/>
      <c r="O185" s="48"/>
      <c r="P185" s="48"/>
      <c r="Q185" s="48"/>
      <c r="R185" s="48"/>
      <c r="S185" s="48"/>
      <c r="T185" s="48"/>
      <c r="U185" s="48"/>
      <c r="V185" s="48"/>
      <c r="W185" s="106"/>
      <c r="X185" s="48"/>
      <c r="Y185" s="116">
        <f t="shared" si="8"/>
        <v>0</v>
      </c>
      <c r="Z185" s="108"/>
      <c r="AA185" s="48"/>
      <c r="AB185" s="110"/>
      <c r="AC185" s="84"/>
      <c r="AD185" s="84"/>
      <c r="AE185" s="84"/>
      <c r="AF185" s="84"/>
      <c r="AG185" s="48"/>
      <c r="AH185" s="48"/>
      <c r="AI185" s="48"/>
      <c r="AJ185" s="111"/>
      <c r="AK185" s="115">
        <f t="shared" si="22"/>
        <v>0</v>
      </c>
      <c r="AL185" s="48"/>
      <c r="AM185" s="48"/>
      <c r="AN185" s="48"/>
      <c r="AO185" s="48"/>
      <c r="AP185" s="48"/>
      <c r="AQ185" s="112"/>
      <c r="AR185" s="48"/>
      <c r="AS185" s="113"/>
    </row>
    <row r="186" ht="15.75" customHeight="1">
      <c r="A186" s="98"/>
      <c r="B186" s="98"/>
      <c r="C186" s="125"/>
      <c r="D186" s="123"/>
      <c r="E186" s="122"/>
      <c r="F186" s="103">
        <f t="shared" si="1"/>
        <v>0</v>
      </c>
      <c r="G186" s="104"/>
      <c r="H186" s="104"/>
      <c r="I186" s="104"/>
      <c r="J186" s="115">
        <f t="shared" si="4"/>
        <v>0</v>
      </c>
      <c r="K186" s="48" t="s">
        <v>42</v>
      </c>
      <c r="L186" s="47">
        <f t="shared" si="23"/>
        <v>0</v>
      </c>
      <c r="M186" s="48"/>
      <c r="N186" s="49"/>
      <c r="O186" s="48"/>
      <c r="P186" s="48"/>
      <c r="Q186" s="48"/>
      <c r="R186" s="48"/>
      <c r="S186" s="48"/>
      <c r="T186" s="48"/>
      <c r="U186" s="48"/>
      <c r="V186" s="48"/>
      <c r="W186" s="106"/>
      <c r="X186" s="48"/>
      <c r="Y186" s="116">
        <f t="shared" si="8"/>
        <v>0</v>
      </c>
      <c r="Z186" s="108"/>
      <c r="AA186" s="48"/>
      <c r="AB186" s="110"/>
      <c r="AC186" s="84"/>
      <c r="AD186" s="84"/>
      <c r="AE186" s="84"/>
      <c r="AF186" s="84"/>
      <c r="AG186" s="48"/>
      <c r="AH186" s="48"/>
      <c r="AI186" s="48"/>
      <c r="AJ186" s="111"/>
      <c r="AK186" s="115">
        <f t="shared" si="22"/>
        <v>0</v>
      </c>
      <c r="AL186" s="48"/>
      <c r="AM186" s="48"/>
      <c r="AN186" s="48"/>
      <c r="AO186" s="48"/>
      <c r="AP186" s="48"/>
      <c r="AQ186" s="112"/>
      <c r="AR186" s="48"/>
      <c r="AS186" s="113"/>
    </row>
    <row r="187" ht="15.75" customHeight="1">
      <c r="A187" s="98"/>
      <c r="B187" s="98"/>
      <c r="C187" s="125"/>
      <c r="D187" s="123"/>
      <c r="E187" s="122"/>
      <c r="F187" s="103">
        <f t="shared" si="1"/>
        <v>0</v>
      </c>
      <c r="G187" s="104"/>
      <c r="H187" s="104"/>
      <c r="I187" s="104"/>
      <c r="J187" s="115">
        <f t="shared" si="4"/>
        <v>0</v>
      </c>
      <c r="K187" s="48" t="s">
        <v>42</v>
      </c>
      <c r="L187" s="47">
        <f t="shared" si="23"/>
        <v>0</v>
      </c>
      <c r="M187" s="48"/>
      <c r="N187" s="49"/>
      <c r="O187" s="48"/>
      <c r="P187" s="48"/>
      <c r="Q187" s="48"/>
      <c r="R187" s="48"/>
      <c r="S187" s="48"/>
      <c r="T187" s="48"/>
      <c r="U187" s="48"/>
      <c r="V187" s="48"/>
      <c r="W187" s="106"/>
      <c r="X187" s="48"/>
      <c r="Y187" s="116">
        <f t="shared" si="8"/>
        <v>0</v>
      </c>
      <c r="Z187" s="108"/>
      <c r="AA187" s="48"/>
      <c r="AB187" s="110"/>
      <c r="AC187" s="84"/>
      <c r="AD187" s="84"/>
      <c r="AE187" s="84"/>
      <c r="AF187" s="84"/>
      <c r="AG187" s="48"/>
      <c r="AH187" s="48"/>
      <c r="AI187" s="48"/>
      <c r="AJ187" s="111"/>
      <c r="AK187" s="115">
        <f t="shared" si="22"/>
        <v>0</v>
      </c>
      <c r="AL187" s="48"/>
      <c r="AM187" s="48"/>
      <c r="AN187" s="48"/>
      <c r="AO187" s="48"/>
      <c r="AP187" s="48"/>
      <c r="AQ187" s="112"/>
      <c r="AR187" s="48"/>
      <c r="AS187" s="113"/>
    </row>
    <row r="188" ht="15.75" customHeight="1">
      <c r="A188" s="98"/>
      <c r="B188" s="98"/>
      <c r="C188" s="125"/>
      <c r="D188" s="123"/>
      <c r="E188" s="122"/>
      <c r="F188" s="103">
        <f t="shared" si="1"/>
        <v>0</v>
      </c>
      <c r="G188" s="104"/>
      <c r="H188" s="104"/>
      <c r="I188" s="104"/>
      <c r="J188" s="115">
        <f t="shared" si="4"/>
        <v>0</v>
      </c>
      <c r="K188" s="48" t="s">
        <v>42</v>
      </c>
      <c r="L188" s="47">
        <f t="shared" si="23"/>
        <v>0</v>
      </c>
      <c r="M188" s="48"/>
      <c r="N188" s="49"/>
      <c r="O188" s="48"/>
      <c r="P188" s="48"/>
      <c r="Q188" s="48"/>
      <c r="R188" s="48"/>
      <c r="S188" s="48"/>
      <c r="T188" s="48"/>
      <c r="U188" s="48"/>
      <c r="V188" s="48"/>
      <c r="W188" s="106"/>
      <c r="X188" s="48"/>
      <c r="Y188" s="116">
        <f t="shared" si="8"/>
        <v>0</v>
      </c>
      <c r="Z188" s="108"/>
      <c r="AA188" s="48"/>
      <c r="AB188" s="110"/>
      <c r="AC188" s="84"/>
      <c r="AD188" s="84"/>
      <c r="AE188" s="84"/>
      <c r="AF188" s="84"/>
      <c r="AG188" s="48"/>
      <c r="AH188" s="48"/>
      <c r="AI188" s="48"/>
      <c r="AJ188" s="111"/>
      <c r="AK188" s="115">
        <f t="shared" si="22"/>
        <v>0</v>
      </c>
      <c r="AL188" s="48"/>
      <c r="AM188" s="48"/>
      <c r="AN188" s="48"/>
      <c r="AO188" s="48"/>
      <c r="AP188" s="48"/>
      <c r="AQ188" s="112"/>
      <c r="AR188" s="48"/>
      <c r="AS188" s="113"/>
    </row>
    <row r="189" ht="15.75" customHeight="1">
      <c r="A189" s="98"/>
      <c r="B189" s="98"/>
      <c r="C189" s="125"/>
      <c r="D189" s="123"/>
      <c r="E189" s="122"/>
      <c r="F189" s="103">
        <f t="shared" si="1"/>
        <v>0</v>
      </c>
      <c r="G189" s="104"/>
      <c r="H189" s="104"/>
      <c r="I189" s="104"/>
      <c r="J189" s="115">
        <f t="shared" si="4"/>
        <v>0</v>
      </c>
      <c r="K189" s="48" t="s">
        <v>42</v>
      </c>
      <c r="L189" s="47">
        <f t="shared" si="23"/>
        <v>0</v>
      </c>
      <c r="M189" s="48"/>
      <c r="N189" s="49"/>
      <c r="O189" s="48"/>
      <c r="P189" s="48"/>
      <c r="Q189" s="48"/>
      <c r="R189" s="48"/>
      <c r="S189" s="48"/>
      <c r="T189" s="48"/>
      <c r="U189" s="48"/>
      <c r="V189" s="48"/>
      <c r="W189" s="106"/>
      <c r="X189" s="48"/>
      <c r="Y189" s="116">
        <f t="shared" si="8"/>
        <v>0</v>
      </c>
      <c r="Z189" s="108"/>
      <c r="AA189" s="48"/>
      <c r="AB189" s="110"/>
      <c r="AC189" s="84"/>
      <c r="AD189" s="84"/>
      <c r="AE189" s="84"/>
      <c r="AF189" s="84"/>
      <c r="AG189" s="48"/>
      <c r="AH189" s="48"/>
      <c r="AI189" s="48"/>
      <c r="AJ189" s="111"/>
      <c r="AK189" s="115">
        <f t="shared" si="22"/>
        <v>0</v>
      </c>
      <c r="AL189" s="48"/>
      <c r="AM189" s="48"/>
      <c r="AN189" s="48"/>
      <c r="AO189" s="48"/>
      <c r="AP189" s="48"/>
      <c r="AQ189" s="112"/>
      <c r="AR189" s="48"/>
      <c r="AS189" s="113"/>
    </row>
    <row r="190" ht="15.75" customHeight="1">
      <c r="A190" s="98"/>
      <c r="B190" s="98"/>
      <c r="C190" s="125"/>
      <c r="D190" s="123"/>
      <c r="E190" s="122"/>
      <c r="F190" s="103">
        <f t="shared" si="1"/>
        <v>0</v>
      </c>
      <c r="G190" s="104"/>
      <c r="H190" s="104"/>
      <c r="I190" s="104"/>
      <c r="J190" s="115">
        <f t="shared" si="4"/>
        <v>0</v>
      </c>
      <c r="K190" s="48" t="s">
        <v>42</v>
      </c>
      <c r="L190" s="47">
        <f t="shared" si="23"/>
        <v>0</v>
      </c>
      <c r="M190" s="48"/>
      <c r="N190" s="49"/>
      <c r="O190" s="48"/>
      <c r="P190" s="48"/>
      <c r="Q190" s="48"/>
      <c r="R190" s="48"/>
      <c r="S190" s="48"/>
      <c r="T190" s="48"/>
      <c r="U190" s="48"/>
      <c r="V190" s="48"/>
      <c r="W190" s="106"/>
      <c r="X190" s="48"/>
      <c r="Y190" s="116">
        <f t="shared" si="8"/>
        <v>0</v>
      </c>
      <c r="Z190" s="108"/>
      <c r="AA190" s="48"/>
      <c r="AB190" s="110"/>
      <c r="AC190" s="84"/>
      <c r="AD190" s="84"/>
      <c r="AE190" s="84"/>
      <c r="AF190" s="84"/>
      <c r="AG190" s="48"/>
      <c r="AH190" s="48"/>
      <c r="AI190" s="48"/>
      <c r="AJ190" s="111"/>
      <c r="AK190" s="115">
        <f t="shared" si="22"/>
        <v>0</v>
      </c>
      <c r="AL190" s="48"/>
      <c r="AM190" s="48"/>
      <c r="AN190" s="48"/>
      <c r="AO190" s="48"/>
      <c r="AP190" s="48"/>
      <c r="AQ190" s="112"/>
      <c r="AR190" s="48"/>
      <c r="AS190" s="113"/>
    </row>
    <row r="191" ht="15.75" customHeight="1">
      <c r="A191" s="98"/>
      <c r="B191" s="98"/>
      <c r="C191" s="125"/>
      <c r="D191" s="123"/>
      <c r="E191" s="122"/>
      <c r="F191" s="103">
        <f t="shared" si="1"/>
        <v>0</v>
      </c>
      <c r="G191" s="104"/>
      <c r="H191" s="104"/>
      <c r="I191" s="104"/>
      <c r="J191" s="115">
        <f t="shared" si="4"/>
        <v>0</v>
      </c>
      <c r="K191" s="48" t="s">
        <v>42</v>
      </c>
      <c r="L191" s="47">
        <f t="shared" si="23"/>
        <v>0</v>
      </c>
      <c r="M191" s="48"/>
      <c r="N191" s="49"/>
      <c r="O191" s="48"/>
      <c r="P191" s="48"/>
      <c r="Q191" s="48"/>
      <c r="R191" s="48"/>
      <c r="S191" s="48"/>
      <c r="T191" s="48"/>
      <c r="U191" s="48"/>
      <c r="V191" s="48"/>
      <c r="W191" s="106"/>
      <c r="X191" s="48"/>
      <c r="Y191" s="116">
        <f t="shared" si="8"/>
        <v>0</v>
      </c>
      <c r="Z191" s="108"/>
      <c r="AA191" s="48"/>
      <c r="AB191" s="110"/>
      <c r="AC191" s="84"/>
      <c r="AD191" s="84"/>
      <c r="AE191" s="84"/>
      <c r="AF191" s="84"/>
      <c r="AG191" s="48"/>
      <c r="AH191" s="48"/>
      <c r="AI191" s="48"/>
      <c r="AJ191" s="111"/>
      <c r="AK191" s="115">
        <f t="shared" si="22"/>
        <v>0</v>
      </c>
      <c r="AL191" s="48"/>
      <c r="AM191" s="48"/>
      <c r="AN191" s="48"/>
      <c r="AO191" s="48"/>
      <c r="AP191" s="48"/>
      <c r="AQ191" s="112"/>
      <c r="AR191" s="48"/>
      <c r="AS191" s="113"/>
    </row>
    <row r="192" ht="15.75" customHeight="1">
      <c r="A192" s="98"/>
      <c r="B192" s="98"/>
      <c r="C192" s="125"/>
      <c r="D192" s="123"/>
      <c r="E192" s="122"/>
      <c r="F192" s="103">
        <f t="shared" si="1"/>
        <v>0</v>
      </c>
      <c r="G192" s="104"/>
      <c r="H192" s="104"/>
      <c r="I192" s="104"/>
      <c r="J192" s="115">
        <f t="shared" si="4"/>
        <v>0</v>
      </c>
      <c r="K192" s="48" t="s">
        <v>42</v>
      </c>
      <c r="L192" s="47">
        <f t="shared" si="23"/>
        <v>0</v>
      </c>
      <c r="M192" s="48"/>
      <c r="N192" s="49"/>
      <c r="O192" s="48"/>
      <c r="P192" s="48"/>
      <c r="Q192" s="48"/>
      <c r="R192" s="48"/>
      <c r="S192" s="48"/>
      <c r="T192" s="48"/>
      <c r="U192" s="48"/>
      <c r="V192" s="48"/>
      <c r="W192" s="106"/>
      <c r="X192" s="48"/>
      <c r="Y192" s="116">
        <f t="shared" si="8"/>
        <v>0</v>
      </c>
      <c r="Z192" s="108"/>
      <c r="AA192" s="48"/>
      <c r="AB192" s="110"/>
      <c r="AC192" s="84"/>
      <c r="AD192" s="84"/>
      <c r="AE192" s="84"/>
      <c r="AF192" s="84"/>
      <c r="AG192" s="48"/>
      <c r="AH192" s="48"/>
      <c r="AI192" s="48"/>
      <c r="AJ192" s="111"/>
      <c r="AK192" s="115">
        <f t="shared" si="22"/>
        <v>0</v>
      </c>
      <c r="AL192" s="48"/>
      <c r="AM192" s="48"/>
      <c r="AN192" s="48"/>
      <c r="AO192" s="48"/>
      <c r="AP192" s="48"/>
      <c r="AQ192" s="112"/>
      <c r="AR192" s="48"/>
      <c r="AS192" s="113"/>
    </row>
    <row r="193" ht="15.75" customHeight="1">
      <c r="A193" s="98"/>
      <c r="B193" s="98"/>
      <c r="C193" s="125"/>
      <c r="D193" s="123"/>
      <c r="E193" s="122"/>
      <c r="F193" s="103">
        <f t="shared" si="1"/>
        <v>0</v>
      </c>
      <c r="G193" s="104"/>
      <c r="H193" s="104"/>
      <c r="I193" s="104"/>
      <c r="J193" s="115">
        <f t="shared" si="4"/>
        <v>0</v>
      </c>
      <c r="K193" s="48" t="s">
        <v>42</v>
      </c>
      <c r="L193" s="47">
        <f t="shared" si="23"/>
        <v>0</v>
      </c>
      <c r="M193" s="48"/>
      <c r="N193" s="49"/>
      <c r="O193" s="48"/>
      <c r="P193" s="48"/>
      <c r="Q193" s="48"/>
      <c r="R193" s="48"/>
      <c r="S193" s="48"/>
      <c r="T193" s="48"/>
      <c r="U193" s="48"/>
      <c r="V193" s="48"/>
      <c r="W193" s="106"/>
      <c r="X193" s="48"/>
      <c r="Y193" s="116">
        <f t="shared" si="8"/>
        <v>0</v>
      </c>
      <c r="Z193" s="108"/>
      <c r="AA193" s="48"/>
      <c r="AB193" s="110"/>
      <c r="AC193" s="84"/>
      <c r="AD193" s="84"/>
      <c r="AE193" s="84"/>
      <c r="AF193" s="84"/>
      <c r="AG193" s="48"/>
      <c r="AH193" s="48"/>
      <c r="AI193" s="48"/>
      <c r="AJ193" s="111"/>
      <c r="AK193" s="115">
        <f t="shared" si="22"/>
        <v>0</v>
      </c>
      <c r="AL193" s="48"/>
      <c r="AM193" s="48"/>
      <c r="AN193" s="48"/>
      <c r="AO193" s="48"/>
      <c r="AP193" s="48"/>
      <c r="AQ193" s="112"/>
      <c r="AR193" s="48"/>
      <c r="AS193" s="113"/>
    </row>
    <row r="194" ht="15.75" customHeight="1">
      <c r="A194" s="98"/>
      <c r="B194" s="98"/>
      <c r="C194" s="125"/>
      <c r="D194" s="123"/>
      <c r="E194" s="122"/>
      <c r="F194" s="103">
        <f t="shared" si="1"/>
        <v>0</v>
      </c>
      <c r="G194" s="104"/>
      <c r="H194" s="104"/>
      <c r="I194" s="104"/>
      <c r="J194" s="115">
        <f t="shared" si="4"/>
        <v>0</v>
      </c>
      <c r="K194" s="48" t="s">
        <v>42</v>
      </c>
      <c r="L194" s="47">
        <f t="shared" si="23"/>
        <v>0</v>
      </c>
      <c r="M194" s="48"/>
      <c r="N194" s="49"/>
      <c r="O194" s="48"/>
      <c r="P194" s="48"/>
      <c r="Q194" s="48"/>
      <c r="R194" s="48"/>
      <c r="S194" s="48"/>
      <c r="T194" s="48"/>
      <c r="U194" s="48"/>
      <c r="V194" s="48"/>
      <c r="W194" s="106"/>
      <c r="X194" s="48"/>
      <c r="Y194" s="116">
        <f t="shared" si="8"/>
        <v>0</v>
      </c>
      <c r="Z194" s="108"/>
      <c r="AA194" s="48"/>
      <c r="AB194" s="110"/>
      <c r="AC194" s="84"/>
      <c r="AD194" s="84"/>
      <c r="AE194" s="84"/>
      <c r="AF194" s="84"/>
      <c r="AG194" s="48"/>
      <c r="AH194" s="48"/>
      <c r="AI194" s="48"/>
      <c r="AJ194" s="111"/>
      <c r="AK194" s="115">
        <f t="shared" si="22"/>
        <v>0</v>
      </c>
      <c r="AL194" s="48"/>
      <c r="AM194" s="48"/>
      <c r="AN194" s="48"/>
      <c r="AO194" s="48"/>
      <c r="AP194" s="48"/>
      <c r="AQ194" s="112"/>
      <c r="AR194" s="48"/>
      <c r="AS194" s="113"/>
    </row>
    <row r="195" ht="15.75" customHeight="1">
      <c r="A195" s="98"/>
      <c r="B195" s="98"/>
      <c r="C195" s="125"/>
      <c r="D195" s="123"/>
      <c r="E195" s="122"/>
      <c r="F195" s="103">
        <f t="shared" si="1"/>
        <v>0</v>
      </c>
      <c r="G195" s="104"/>
      <c r="H195" s="104"/>
      <c r="I195" s="104"/>
      <c r="J195" s="115">
        <f t="shared" si="4"/>
        <v>0</v>
      </c>
      <c r="K195" s="48" t="s">
        <v>42</v>
      </c>
      <c r="L195" s="47">
        <f t="shared" si="23"/>
        <v>0</v>
      </c>
      <c r="M195" s="48"/>
      <c r="N195" s="49"/>
      <c r="O195" s="48"/>
      <c r="P195" s="48"/>
      <c r="Q195" s="48"/>
      <c r="R195" s="48"/>
      <c r="S195" s="48"/>
      <c r="T195" s="48"/>
      <c r="U195" s="48"/>
      <c r="V195" s="48"/>
      <c r="W195" s="106"/>
      <c r="X195" s="48"/>
      <c r="Y195" s="116">
        <f t="shared" si="8"/>
        <v>0</v>
      </c>
      <c r="Z195" s="108"/>
      <c r="AA195" s="48"/>
      <c r="AB195" s="110"/>
      <c r="AC195" s="84"/>
      <c r="AD195" s="84"/>
      <c r="AE195" s="84"/>
      <c r="AF195" s="84"/>
      <c r="AG195" s="48"/>
      <c r="AH195" s="48"/>
      <c r="AI195" s="48"/>
      <c r="AJ195" s="111"/>
      <c r="AK195" s="115">
        <f t="shared" si="22"/>
        <v>0</v>
      </c>
      <c r="AL195" s="48"/>
      <c r="AM195" s="48"/>
      <c r="AN195" s="48"/>
      <c r="AO195" s="48"/>
      <c r="AP195" s="48"/>
      <c r="AQ195" s="112"/>
      <c r="AR195" s="48"/>
      <c r="AS195" s="113"/>
    </row>
    <row r="196" ht="15.75" customHeight="1">
      <c r="A196" s="98"/>
      <c r="B196" s="98"/>
      <c r="C196" s="125"/>
      <c r="D196" s="123"/>
      <c r="E196" s="122"/>
      <c r="F196" s="103">
        <f t="shared" si="1"/>
        <v>0</v>
      </c>
      <c r="G196" s="104"/>
      <c r="H196" s="104"/>
      <c r="I196" s="104"/>
      <c r="J196" s="115">
        <f t="shared" si="4"/>
        <v>0</v>
      </c>
      <c r="K196" s="48" t="s">
        <v>42</v>
      </c>
      <c r="L196" s="47">
        <f t="shared" si="23"/>
        <v>0</v>
      </c>
      <c r="M196" s="48"/>
      <c r="N196" s="49"/>
      <c r="O196" s="48"/>
      <c r="P196" s="48"/>
      <c r="Q196" s="48"/>
      <c r="R196" s="48"/>
      <c r="S196" s="48"/>
      <c r="T196" s="48"/>
      <c r="U196" s="48"/>
      <c r="V196" s="48"/>
      <c r="W196" s="106"/>
      <c r="X196" s="48"/>
      <c r="Y196" s="116">
        <f t="shared" si="8"/>
        <v>0</v>
      </c>
      <c r="Z196" s="108"/>
      <c r="AA196" s="48"/>
      <c r="AB196" s="110"/>
      <c r="AC196" s="84"/>
      <c r="AD196" s="84"/>
      <c r="AE196" s="84"/>
      <c r="AF196" s="84"/>
      <c r="AG196" s="48"/>
      <c r="AH196" s="48"/>
      <c r="AI196" s="48"/>
      <c r="AJ196" s="111"/>
      <c r="AK196" s="115">
        <f t="shared" si="22"/>
        <v>0</v>
      </c>
      <c r="AL196" s="48"/>
      <c r="AM196" s="48"/>
      <c r="AN196" s="48"/>
      <c r="AO196" s="48"/>
      <c r="AP196" s="48"/>
      <c r="AQ196" s="112"/>
      <c r="AR196" s="48"/>
      <c r="AS196" s="113"/>
    </row>
    <row r="197" ht="15.75" customHeight="1">
      <c r="A197" s="98"/>
      <c r="B197" s="98"/>
      <c r="C197" s="125"/>
      <c r="D197" s="123"/>
      <c r="E197" s="122"/>
      <c r="F197" s="103">
        <f t="shared" si="1"/>
        <v>0</v>
      </c>
      <c r="G197" s="104"/>
      <c r="H197" s="104"/>
      <c r="I197" s="104"/>
      <c r="J197" s="115">
        <f t="shared" si="4"/>
        <v>0</v>
      </c>
      <c r="K197" s="48" t="s">
        <v>42</v>
      </c>
      <c r="L197" s="47">
        <f t="shared" si="23"/>
        <v>0</v>
      </c>
      <c r="M197" s="48"/>
      <c r="N197" s="49"/>
      <c r="O197" s="48"/>
      <c r="P197" s="48"/>
      <c r="Q197" s="48"/>
      <c r="R197" s="48"/>
      <c r="S197" s="48"/>
      <c r="T197" s="48"/>
      <c r="U197" s="48"/>
      <c r="V197" s="48"/>
      <c r="W197" s="106"/>
      <c r="X197" s="48"/>
      <c r="Y197" s="116">
        <f t="shared" si="8"/>
        <v>0</v>
      </c>
      <c r="Z197" s="108"/>
      <c r="AA197" s="48"/>
      <c r="AB197" s="110"/>
      <c r="AC197" s="84"/>
      <c r="AD197" s="84"/>
      <c r="AE197" s="84"/>
      <c r="AF197" s="84"/>
      <c r="AG197" s="48"/>
      <c r="AH197" s="48"/>
      <c r="AI197" s="48"/>
      <c r="AJ197" s="111"/>
      <c r="AK197" s="115">
        <f t="shared" si="22"/>
        <v>0</v>
      </c>
      <c r="AL197" s="48"/>
      <c r="AM197" s="48"/>
      <c r="AN197" s="48"/>
      <c r="AO197" s="48"/>
      <c r="AP197" s="48"/>
      <c r="AQ197" s="112"/>
      <c r="AR197" s="48"/>
      <c r="AS197" s="113"/>
    </row>
    <row r="198" ht="15.75" customHeight="1">
      <c r="A198" s="98"/>
      <c r="B198" s="98"/>
      <c r="C198" s="98"/>
      <c r="D198" s="123"/>
      <c r="E198" s="122"/>
      <c r="F198" s="103">
        <f t="shared" si="1"/>
        <v>0</v>
      </c>
      <c r="G198" s="104"/>
      <c r="H198" s="104"/>
      <c r="I198" s="104"/>
      <c r="J198" s="115">
        <f t="shared" si="4"/>
        <v>0</v>
      </c>
      <c r="K198" s="48" t="s">
        <v>42</v>
      </c>
      <c r="L198" s="47">
        <f t="shared" si="23"/>
        <v>0</v>
      </c>
      <c r="M198" s="48"/>
      <c r="N198" s="49"/>
      <c r="O198" s="48"/>
      <c r="P198" s="48"/>
      <c r="Q198" s="48"/>
      <c r="R198" s="48"/>
      <c r="S198" s="48"/>
      <c r="T198" s="48"/>
      <c r="U198" s="48"/>
      <c r="V198" s="48"/>
      <c r="W198" s="106"/>
      <c r="X198" s="48"/>
      <c r="Y198" s="116">
        <f t="shared" si="8"/>
        <v>0</v>
      </c>
      <c r="Z198" s="108"/>
      <c r="AA198" s="48"/>
      <c r="AB198" s="110"/>
      <c r="AC198" s="84"/>
      <c r="AD198" s="84"/>
      <c r="AE198" s="84"/>
      <c r="AF198" s="84"/>
      <c r="AG198" s="48"/>
      <c r="AH198" s="48"/>
      <c r="AI198" s="48"/>
      <c r="AJ198" s="111"/>
      <c r="AK198" s="115">
        <f t="shared" si="22"/>
        <v>0</v>
      </c>
      <c r="AL198" s="48"/>
      <c r="AM198" s="48"/>
      <c r="AN198" s="48"/>
      <c r="AO198" s="48"/>
      <c r="AP198" s="48"/>
      <c r="AQ198" s="112"/>
      <c r="AR198" s="48"/>
      <c r="AS198" s="113"/>
    </row>
    <row r="199" ht="15.75" customHeight="1">
      <c r="A199" s="98"/>
      <c r="B199" s="98"/>
      <c r="C199" s="98"/>
      <c r="D199" s="123"/>
      <c r="E199" s="122"/>
      <c r="F199" s="103">
        <f t="shared" si="1"/>
        <v>0</v>
      </c>
      <c r="G199" s="104"/>
      <c r="H199" s="104"/>
      <c r="I199" s="104"/>
      <c r="J199" s="115">
        <f t="shared" si="4"/>
        <v>0</v>
      </c>
      <c r="K199" s="48" t="s">
        <v>42</v>
      </c>
      <c r="L199" s="47">
        <f t="shared" si="23"/>
        <v>0</v>
      </c>
      <c r="M199" s="48"/>
      <c r="N199" s="49"/>
      <c r="O199" s="48"/>
      <c r="P199" s="48"/>
      <c r="Q199" s="48"/>
      <c r="R199" s="48"/>
      <c r="S199" s="48"/>
      <c r="T199" s="48"/>
      <c r="U199" s="48"/>
      <c r="V199" s="48"/>
      <c r="W199" s="106"/>
      <c r="X199" s="48"/>
      <c r="Y199" s="116">
        <f t="shared" si="8"/>
        <v>0</v>
      </c>
      <c r="Z199" s="108"/>
      <c r="AA199" s="48"/>
      <c r="AB199" s="110"/>
      <c r="AC199" s="84"/>
      <c r="AD199" s="84"/>
      <c r="AE199" s="84"/>
      <c r="AF199" s="84"/>
      <c r="AG199" s="48"/>
      <c r="AH199" s="48"/>
      <c r="AI199" s="48"/>
      <c r="AJ199" s="111"/>
      <c r="AK199" s="115">
        <f t="shared" si="22"/>
        <v>0</v>
      </c>
      <c r="AL199" s="48"/>
      <c r="AM199" s="48"/>
      <c r="AN199" s="48"/>
      <c r="AO199" s="48"/>
      <c r="AP199" s="48"/>
      <c r="AQ199" s="112"/>
      <c r="AR199" s="48"/>
      <c r="AS199" s="113"/>
    </row>
    <row r="200" ht="15.75" customHeight="1">
      <c r="A200" s="98"/>
      <c r="B200" s="98"/>
      <c r="C200" s="98"/>
      <c r="D200" s="123"/>
      <c r="E200" s="122"/>
      <c r="F200" s="103">
        <f t="shared" si="1"/>
        <v>0</v>
      </c>
      <c r="G200" s="104"/>
      <c r="H200" s="104"/>
      <c r="I200" s="104"/>
      <c r="J200" s="115">
        <f t="shared" si="4"/>
        <v>0</v>
      </c>
      <c r="K200" s="48" t="s">
        <v>42</v>
      </c>
      <c r="L200" s="47">
        <f t="shared" si="23"/>
        <v>0</v>
      </c>
      <c r="M200" s="48"/>
      <c r="N200" s="49"/>
      <c r="O200" s="48"/>
      <c r="P200" s="48"/>
      <c r="Q200" s="48"/>
      <c r="R200" s="48"/>
      <c r="S200" s="48"/>
      <c r="T200" s="48"/>
      <c r="U200" s="48"/>
      <c r="V200" s="48"/>
      <c r="W200" s="106"/>
      <c r="X200" s="48"/>
      <c r="Y200" s="116">
        <f t="shared" si="8"/>
        <v>0</v>
      </c>
      <c r="Z200" s="108"/>
      <c r="AA200" s="48"/>
      <c r="AB200" s="110"/>
      <c r="AC200" s="84"/>
      <c r="AD200" s="84"/>
      <c r="AE200" s="84"/>
      <c r="AF200" s="84"/>
      <c r="AG200" s="48"/>
      <c r="AH200" s="48"/>
      <c r="AI200" s="48"/>
      <c r="AJ200" s="111"/>
      <c r="AK200" s="115">
        <f t="shared" si="22"/>
        <v>0</v>
      </c>
      <c r="AL200" s="48"/>
      <c r="AM200" s="48"/>
      <c r="AN200" s="48"/>
      <c r="AO200" s="48"/>
      <c r="AP200" s="48"/>
      <c r="AQ200" s="112"/>
      <c r="AR200" s="48"/>
      <c r="AS200" s="113"/>
    </row>
    <row r="201" ht="15.75" customHeight="1">
      <c r="A201" s="98"/>
      <c r="B201" s="98"/>
      <c r="C201" s="98"/>
      <c r="D201" s="123"/>
      <c r="E201" s="122"/>
      <c r="F201" s="103">
        <f t="shared" si="1"/>
        <v>0</v>
      </c>
      <c r="G201" s="104"/>
      <c r="H201" s="104"/>
      <c r="I201" s="104"/>
      <c r="J201" s="115">
        <f t="shared" si="4"/>
        <v>0</v>
      </c>
      <c r="K201" s="48" t="s">
        <v>42</v>
      </c>
      <c r="L201" s="47">
        <f t="shared" si="23"/>
        <v>0</v>
      </c>
      <c r="M201" s="48"/>
      <c r="N201" s="49"/>
      <c r="O201" s="48"/>
      <c r="P201" s="48"/>
      <c r="Q201" s="48"/>
      <c r="R201" s="48"/>
      <c r="S201" s="48"/>
      <c r="T201" s="48"/>
      <c r="U201" s="48"/>
      <c r="V201" s="48"/>
      <c r="W201" s="106"/>
      <c r="X201" s="48"/>
      <c r="Y201" s="116">
        <f t="shared" si="8"/>
        <v>0</v>
      </c>
      <c r="Z201" s="108"/>
      <c r="AA201" s="48"/>
      <c r="AB201" s="110"/>
      <c r="AC201" s="84"/>
      <c r="AD201" s="84"/>
      <c r="AE201" s="84"/>
      <c r="AF201" s="84"/>
      <c r="AG201" s="48"/>
      <c r="AH201" s="48"/>
      <c r="AI201" s="48"/>
      <c r="AJ201" s="111"/>
      <c r="AK201" s="115">
        <f t="shared" si="22"/>
        <v>0</v>
      </c>
      <c r="AL201" s="48"/>
      <c r="AM201" s="48"/>
      <c r="AN201" s="48"/>
      <c r="AO201" s="48"/>
      <c r="AP201" s="48"/>
      <c r="AQ201" s="112"/>
      <c r="AR201" s="48"/>
      <c r="AS201" s="113"/>
    </row>
    <row r="202" ht="15.75" customHeight="1">
      <c r="A202" s="98"/>
      <c r="B202" s="98"/>
      <c r="C202" s="98"/>
      <c r="D202" s="123"/>
      <c r="E202" s="122"/>
      <c r="F202" s="103">
        <f t="shared" si="1"/>
        <v>0</v>
      </c>
      <c r="G202" s="104"/>
      <c r="H202" s="104"/>
      <c r="I202" s="104"/>
      <c r="J202" s="115">
        <f t="shared" si="4"/>
        <v>0</v>
      </c>
      <c r="K202" s="48" t="s">
        <v>42</v>
      </c>
      <c r="L202" s="47">
        <f t="shared" si="23"/>
        <v>0</v>
      </c>
      <c r="M202" s="48"/>
      <c r="N202" s="49"/>
      <c r="O202" s="48"/>
      <c r="P202" s="48"/>
      <c r="Q202" s="48"/>
      <c r="R202" s="48"/>
      <c r="S202" s="48"/>
      <c r="T202" s="48"/>
      <c r="U202" s="48"/>
      <c r="V202" s="48"/>
      <c r="W202" s="106"/>
      <c r="X202" s="48"/>
      <c r="Y202" s="116">
        <f t="shared" si="8"/>
        <v>0</v>
      </c>
      <c r="Z202" s="108"/>
      <c r="AA202" s="48"/>
      <c r="AB202" s="110"/>
      <c r="AC202" s="84"/>
      <c r="AD202" s="84"/>
      <c r="AE202" s="84"/>
      <c r="AF202" s="84"/>
      <c r="AG202" s="48"/>
      <c r="AH202" s="48"/>
      <c r="AI202" s="48"/>
      <c r="AJ202" s="111"/>
      <c r="AK202" s="115">
        <f t="shared" si="22"/>
        <v>0</v>
      </c>
      <c r="AL202" s="48"/>
      <c r="AM202" s="48"/>
      <c r="AN202" s="48"/>
      <c r="AO202" s="48"/>
      <c r="AP202" s="48"/>
      <c r="AQ202" s="112"/>
      <c r="AR202" s="48"/>
      <c r="AS202" s="113"/>
    </row>
    <row r="203" ht="15.75" customHeight="1">
      <c r="A203" s="98"/>
      <c r="B203" s="98"/>
      <c r="C203" s="123"/>
      <c r="D203" s="121"/>
      <c r="E203" s="122"/>
      <c r="F203" s="103">
        <f t="shared" si="1"/>
        <v>0</v>
      </c>
      <c r="G203" s="104"/>
      <c r="H203" s="104"/>
      <c r="I203" s="104"/>
      <c r="J203" s="115">
        <f t="shared" si="4"/>
        <v>0</v>
      </c>
      <c r="K203" s="48" t="s">
        <v>42</v>
      </c>
      <c r="L203" s="47">
        <f t="shared" si="23"/>
        <v>0</v>
      </c>
      <c r="M203" s="48"/>
      <c r="N203" s="49"/>
      <c r="O203" s="48"/>
      <c r="P203" s="48"/>
      <c r="Q203" s="48"/>
      <c r="R203" s="48"/>
      <c r="S203" s="48"/>
      <c r="T203" s="48"/>
      <c r="U203" s="48"/>
      <c r="V203" s="48"/>
      <c r="W203" s="106"/>
      <c r="X203" s="48"/>
      <c r="Y203" s="116">
        <f t="shared" si="8"/>
        <v>0</v>
      </c>
      <c r="Z203" s="108"/>
      <c r="AA203" s="48"/>
      <c r="AB203" s="110"/>
      <c r="AC203" s="84"/>
      <c r="AD203" s="84"/>
      <c r="AE203" s="84"/>
      <c r="AF203" s="84"/>
      <c r="AG203" s="48"/>
      <c r="AH203" s="48"/>
      <c r="AI203" s="48"/>
      <c r="AJ203" s="111"/>
      <c r="AK203" s="115">
        <f t="shared" si="22"/>
        <v>0</v>
      </c>
      <c r="AL203" s="48"/>
      <c r="AM203" s="48"/>
      <c r="AN203" s="48"/>
      <c r="AO203" s="48"/>
      <c r="AP203" s="48"/>
      <c r="AQ203" s="112"/>
      <c r="AR203" s="48"/>
      <c r="AS203" s="113"/>
    </row>
    <row r="204" ht="15.75" customHeight="1">
      <c r="A204" s="98"/>
      <c r="B204" s="98"/>
      <c r="C204" s="125"/>
      <c r="D204" s="121"/>
      <c r="E204" s="122"/>
      <c r="F204" s="103">
        <f t="shared" si="1"/>
        <v>0</v>
      </c>
      <c r="G204" s="104"/>
      <c r="H204" s="104"/>
      <c r="I204" s="104"/>
      <c r="J204" s="115">
        <f t="shared" si="4"/>
        <v>0</v>
      </c>
      <c r="K204" s="48" t="s">
        <v>42</v>
      </c>
      <c r="L204" s="47">
        <f t="shared" si="23"/>
        <v>0</v>
      </c>
      <c r="M204" s="48"/>
      <c r="N204" s="49"/>
      <c r="O204" s="48"/>
      <c r="P204" s="48"/>
      <c r="Q204" s="48"/>
      <c r="R204" s="48"/>
      <c r="S204" s="48"/>
      <c r="T204" s="48"/>
      <c r="U204" s="48"/>
      <c r="V204" s="48"/>
      <c r="W204" s="106"/>
      <c r="X204" s="48"/>
      <c r="Y204" s="116">
        <f t="shared" si="8"/>
        <v>0</v>
      </c>
      <c r="Z204" s="108"/>
      <c r="AA204" s="48"/>
      <c r="AB204" s="110"/>
      <c r="AC204" s="84"/>
      <c r="AD204" s="84"/>
      <c r="AE204" s="84"/>
      <c r="AF204" s="84"/>
      <c r="AG204" s="48"/>
      <c r="AH204" s="48"/>
      <c r="AI204" s="48"/>
      <c r="AJ204" s="111"/>
      <c r="AK204" s="115">
        <f t="shared" si="22"/>
        <v>0</v>
      </c>
      <c r="AL204" s="48"/>
      <c r="AM204" s="48"/>
      <c r="AN204" s="48"/>
      <c r="AO204" s="48"/>
      <c r="AP204" s="48"/>
      <c r="AQ204" s="112"/>
      <c r="AR204" s="48"/>
      <c r="AS204" s="113"/>
    </row>
    <row r="205" ht="15.75" customHeight="1">
      <c r="A205" s="98"/>
      <c r="B205" s="98"/>
      <c r="C205" s="125"/>
      <c r="D205" s="121"/>
      <c r="E205" s="122"/>
      <c r="F205" s="103">
        <f t="shared" si="1"/>
        <v>0</v>
      </c>
      <c r="G205" s="104"/>
      <c r="H205" s="104"/>
      <c r="I205" s="104"/>
      <c r="J205" s="115">
        <f t="shared" si="4"/>
        <v>0</v>
      </c>
      <c r="K205" s="48" t="s">
        <v>42</v>
      </c>
      <c r="L205" s="47">
        <f t="shared" si="23"/>
        <v>0</v>
      </c>
      <c r="M205" s="48"/>
      <c r="N205" s="49"/>
      <c r="O205" s="48"/>
      <c r="P205" s="48"/>
      <c r="Q205" s="48"/>
      <c r="R205" s="48"/>
      <c r="S205" s="48"/>
      <c r="T205" s="48"/>
      <c r="U205" s="48"/>
      <c r="V205" s="48"/>
      <c r="W205" s="106"/>
      <c r="X205" s="48"/>
      <c r="Y205" s="116">
        <f t="shared" si="8"/>
        <v>0</v>
      </c>
      <c r="Z205" s="108"/>
      <c r="AA205" s="48"/>
      <c r="AB205" s="110"/>
      <c r="AC205" s="84"/>
      <c r="AD205" s="84"/>
      <c r="AE205" s="84"/>
      <c r="AF205" s="84"/>
      <c r="AG205" s="48"/>
      <c r="AH205" s="48"/>
      <c r="AI205" s="48"/>
      <c r="AJ205" s="111"/>
      <c r="AK205" s="115">
        <f t="shared" si="22"/>
        <v>0</v>
      </c>
      <c r="AL205" s="48"/>
      <c r="AM205" s="48"/>
      <c r="AN205" s="48"/>
      <c r="AO205" s="48"/>
      <c r="AP205" s="48"/>
      <c r="AQ205" s="112"/>
      <c r="AR205" s="48"/>
      <c r="AS205" s="113"/>
    </row>
    <row r="206" ht="15.75" customHeight="1">
      <c r="A206" s="98"/>
      <c r="B206" s="98"/>
      <c r="C206" s="125"/>
      <c r="D206" s="121"/>
      <c r="E206" s="122"/>
      <c r="F206" s="103">
        <f t="shared" si="1"/>
        <v>0</v>
      </c>
      <c r="G206" s="104"/>
      <c r="H206" s="104"/>
      <c r="I206" s="104"/>
      <c r="J206" s="115">
        <f t="shared" si="4"/>
        <v>0</v>
      </c>
      <c r="K206" s="48" t="s">
        <v>42</v>
      </c>
      <c r="L206" s="47">
        <f t="shared" si="23"/>
        <v>0</v>
      </c>
      <c r="M206" s="48"/>
      <c r="N206" s="49"/>
      <c r="O206" s="48"/>
      <c r="P206" s="48"/>
      <c r="Q206" s="48"/>
      <c r="R206" s="48"/>
      <c r="S206" s="48"/>
      <c r="T206" s="48"/>
      <c r="U206" s="48"/>
      <c r="V206" s="48"/>
      <c r="W206" s="106"/>
      <c r="X206" s="48"/>
      <c r="Y206" s="116">
        <f t="shared" si="8"/>
        <v>0</v>
      </c>
      <c r="Z206" s="108"/>
      <c r="AA206" s="48"/>
      <c r="AB206" s="110"/>
      <c r="AC206" s="84"/>
      <c r="AD206" s="84"/>
      <c r="AE206" s="84"/>
      <c r="AF206" s="84"/>
      <c r="AG206" s="48"/>
      <c r="AH206" s="48"/>
      <c r="AI206" s="48"/>
      <c r="AJ206" s="111"/>
      <c r="AK206" s="115">
        <f t="shared" si="22"/>
        <v>0</v>
      </c>
      <c r="AL206" s="48"/>
      <c r="AM206" s="48"/>
      <c r="AN206" s="48"/>
      <c r="AO206" s="48"/>
      <c r="AP206" s="48"/>
      <c r="AQ206" s="112"/>
      <c r="AR206" s="48"/>
      <c r="AS206" s="113"/>
    </row>
    <row r="207" ht="15.75" customHeight="1">
      <c r="A207" s="98"/>
      <c r="B207" s="98"/>
      <c r="C207" s="123"/>
      <c r="D207" s="121"/>
      <c r="E207" s="122"/>
      <c r="F207" s="103">
        <f t="shared" si="1"/>
        <v>0</v>
      </c>
      <c r="G207" s="104"/>
      <c r="H207" s="104"/>
      <c r="I207" s="104"/>
      <c r="J207" s="115">
        <f t="shared" si="4"/>
        <v>0</v>
      </c>
      <c r="K207" s="48" t="s">
        <v>42</v>
      </c>
      <c r="L207" s="47">
        <f t="shared" si="23"/>
        <v>0</v>
      </c>
      <c r="M207" s="48"/>
      <c r="N207" s="49"/>
      <c r="O207" s="48"/>
      <c r="P207" s="48"/>
      <c r="Q207" s="48"/>
      <c r="R207" s="48"/>
      <c r="S207" s="48"/>
      <c r="T207" s="48"/>
      <c r="U207" s="48"/>
      <c r="V207" s="48"/>
      <c r="W207" s="106"/>
      <c r="X207" s="48"/>
      <c r="Y207" s="116">
        <f t="shared" si="8"/>
        <v>0</v>
      </c>
      <c r="Z207" s="108"/>
      <c r="AA207" s="48"/>
      <c r="AB207" s="110"/>
      <c r="AC207" s="84"/>
      <c r="AD207" s="84"/>
      <c r="AE207" s="84"/>
      <c r="AF207" s="84"/>
      <c r="AG207" s="48"/>
      <c r="AH207" s="48"/>
      <c r="AI207" s="48"/>
      <c r="AJ207" s="111"/>
      <c r="AK207" s="115">
        <f t="shared" si="22"/>
        <v>0</v>
      </c>
      <c r="AL207" s="48"/>
      <c r="AM207" s="48"/>
      <c r="AN207" s="48"/>
      <c r="AO207" s="48"/>
      <c r="AP207" s="48"/>
      <c r="AQ207" s="112"/>
      <c r="AR207" s="48"/>
      <c r="AS207" s="113"/>
    </row>
    <row r="208" ht="15.75" customHeight="1">
      <c r="A208" s="98"/>
      <c r="B208" s="98"/>
      <c r="C208" s="125"/>
      <c r="D208" s="121"/>
      <c r="E208" s="122"/>
      <c r="F208" s="103">
        <f t="shared" si="1"/>
        <v>0</v>
      </c>
      <c r="G208" s="104"/>
      <c r="H208" s="104"/>
      <c r="I208" s="104"/>
      <c r="J208" s="115">
        <f t="shared" si="4"/>
        <v>0</v>
      </c>
      <c r="K208" s="48" t="s">
        <v>42</v>
      </c>
      <c r="L208" s="47">
        <f t="shared" si="23"/>
        <v>0</v>
      </c>
      <c r="M208" s="48"/>
      <c r="N208" s="49"/>
      <c r="O208" s="48"/>
      <c r="P208" s="48"/>
      <c r="Q208" s="48"/>
      <c r="R208" s="48"/>
      <c r="S208" s="48"/>
      <c r="T208" s="48"/>
      <c r="U208" s="48"/>
      <c r="V208" s="48"/>
      <c r="W208" s="106"/>
      <c r="X208" s="48"/>
      <c r="Y208" s="116">
        <f t="shared" si="8"/>
        <v>0</v>
      </c>
      <c r="Z208" s="108"/>
      <c r="AA208" s="48"/>
      <c r="AB208" s="110"/>
      <c r="AC208" s="84"/>
      <c r="AD208" s="84"/>
      <c r="AE208" s="84"/>
      <c r="AF208" s="84"/>
      <c r="AG208" s="48"/>
      <c r="AH208" s="48"/>
      <c r="AI208" s="48"/>
      <c r="AJ208" s="111"/>
      <c r="AK208" s="115">
        <f t="shared" si="22"/>
        <v>0</v>
      </c>
      <c r="AL208" s="48"/>
      <c r="AM208" s="48"/>
      <c r="AN208" s="48"/>
      <c r="AO208" s="48"/>
      <c r="AP208" s="48"/>
      <c r="AQ208" s="112"/>
      <c r="AR208" s="48"/>
      <c r="AS208" s="113"/>
    </row>
    <row r="209" ht="15.75" customHeight="1">
      <c r="A209" s="98"/>
      <c r="B209" s="98"/>
      <c r="C209" s="125"/>
      <c r="D209" s="121"/>
      <c r="E209" s="122"/>
      <c r="F209" s="103">
        <f t="shared" si="1"/>
        <v>0</v>
      </c>
      <c r="G209" s="104"/>
      <c r="H209" s="104"/>
      <c r="I209" s="104"/>
      <c r="J209" s="115">
        <f t="shared" si="4"/>
        <v>0</v>
      </c>
      <c r="K209" s="48" t="s">
        <v>42</v>
      </c>
      <c r="L209" s="47">
        <f t="shared" si="23"/>
        <v>0</v>
      </c>
      <c r="M209" s="48"/>
      <c r="N209" s="49"/>
      <c r="O209" s="48"/>
      <c r="P209" s="48"/>
      <c r="Q209" s="48"/>
      <c r="R209" s="48"/>
      <c r="S209" s="48"/>
      <c r="T209" s="48"/>
      <c r="U209" s="48"/>
      <c r="V209" s="48"/>
      <c r="W209" s="106"/>
      <c r="X209" s="48"/>
      <c r="Y209" s="116">
        <f t="shared" si="8"/>
        <v>0</v>
      </c>
      <c r="Z209" s="108"/>
      <c r="AA209" s="48"/>
      <c r="AB209" s="110"/>
      <c r="AC209" s="84"/>
      <c r="AD209" s="84"/>
      <c r="AE209" s="84"/>
      <c r="AF209" s="84"/>
      <c r="AG209" s="48"/>
      <c r="AH209" s="48"/>
      <c r="AI209" s="48"/>
      <c r="AJ209" s="111"/>
      <c r="AK209" s="115">
        <f t="shared" si="22"/>
        <v>0</v>
      </c>
      <c r="AL209" s="48"/>
      <c r="AM209" s="48"/>
      <c r="AN209" s="48"/>
      <c r="AO209" s="48"/>
      <c r="AP209" s="48"/>
      <c r="AQ209" s="112"/>
      <c r="AR209" s="48"/>
      <c r="AS209" s="113"/>
    </row>
    <row r="210" ht="15.75" customHeight="1">
      <c r="A210" s="98"/>
      <c r="B210" s="98"/>
      <c r="C210" s="98"/>
      <c r="D210" s="121"/>
      <c r="E210" s="122"/>
      <c r="F210" s="103">
        <f t="shared" si="1"/>
        <v>0</v>
      </c>
      <c r="G210" s="104"/>
      <c r="H210" s="104"/>
      <c r="I210" s="104"/>
      <c r="J210" s="115">
        <f t="shared" si="4"/>
        <v>0</v>
      </c>
      <c r="K210" s="48" t="s">
        <v>42</v>
      </c>
      <c r="L210" s="47">
        <f t="shared" si="23"/>
        <v>0</v>
      </c>
      <c r="M210" s="48"/>
      <c r="N210" s="49"/>
      <c r="O210" s="48"/>
      <c r="P210" s="48"/>
      <c r="Q210" s="48"/>
      <c r="R210" s="48"/>
      <c r="S210" s="48"/>
      <c r="T210" s="48"/>
      <c r="U210" s="48"/>
      <c r="V210" s="48"/>
      <c r="W210" s="106"/>
      <c r="X210" s="48"/>
      <c r="Y210" s="116">
        <f t="shared" si="8"/>
        <v>0</v>
      </c>
      <c r="Z210" s="108"/>
      <c r="AA210" s="48"/>
      <c r="AB210" s="110"/>
      <c r="AC210" s="84"/>
      <c r="AD210" s="84"/>
      <c r="AE210" s="84"/>
      <c r="AF210" s="84"/>
      <c r="AG210" s="48"/>
      <c r="AH210" s="48"/>
      <c r="AI210" s="48"/>
      <c r="AJ210" s="111"/>
      <c r="AK210" s="115">
        <f t="shared" si="22"/>
        <v>0</v>
      </c>
      <c r="AL210" s="48"/>
      <c r="AM210" s="48"/>
      <c r="AN210" s="48"/>
      <c r="AO210" s="48"/>
      <c r="AP210" s="48"/>
      <c r="AQ210" s="112"/>
      <c r="AR210" s="48"/>
      <c r="AS210" s="113"/>
    </row>
    <row r="211" ht="15.75" customHeight="1">
      <c r="A211" s="98"/>
      <c r="B211" s="98"/>
      <c r="C211" s="98"/>
      <c r="D211" s="121"/>
      <c r="E211" s="122"/>
      <c r="F211" s="103">
        <f t="shared" si="1"/>
        <v>0</v>
      </c>
      <c r="G211" s="104"/>
      <c r="H211" s="104"/>
      <c r="I211" s="104"/>
      <c r="J211" s="115">
        <f t="shared" si="4"/>
        <v>0</v>
      </c>
      <c r="K211" s="48" t="s">
        <v>42</v>
      </c>
      <c r="L211" s="47">
        <f t="shared" si="23"/>
        <v>0</v>
      </c>
      <c r="M211" s="48"/>
      <c r="N211" s="49"/>
      <c r="O211" s="48"/>
      <c r="P211" s="48"/>
      <c r="Q211" s="48"/>
      <c r="R211" s="48"/>
      <c r="S211" s="48"/>
      <c r="T211" s="48"/>
      <c r="U211" s="48"/>
      <c r="V211" s="48"/>
      <c r="W211" s="106"/>
      <c r="X211" s="48"/>
      <c r="Y211" s="116">
        <f t="shared" si="8"/>
        <v>0</v>
      </c>
      <c r="Z211" s="108"/>
      <c r="AA211" s="48"/>
      <c r="AB211" s="110"/>
      <c r="AC211" s="84"/>
      <c r="AD211" s="84"/>
      <c r="AE211" s="84"/>
      <c r="AF211" s="84"/>
      <c r="AG211" s="48"/>
      <c r="AH211" s="48"/>
      <c r="AI211" s="48"/>
      <c r="AJ211" s="111"/>
      <c r="AK211" s="115">
        <f t="shared" si="22"/>
        <v>0</v>
      </c>
      <c r="AL211" s="48"/>
      <c r="AM211" s="48"/>
      <c r="AN211" s="48"/>
      <c r="AO211" s="48"/>
      <c r="AP211" s="48"/>
      <c r="AQ211" s="112"/>
      <c r="AR211" s="48"/>
      <c r="AS211" s="113"/>
    </row>
    <row r="212" ht="15.75" customHeight="1">
      <c r="A212" s="98"/>
      <c r="B212" s="98"/>
      <c r="C212" s="125"/>
      <c r="D212" s="121"/>
      <c r="E212" s="122"/>
      <c r="F212" s="103">
        <f t="shared" si="1"/>
        <v>0</v>
      </c>
      <c r="G212" s="104"/>
      <c r="H212" s="104"/>
      <c r="I212" s="104"/>
      <c r="J212" s="115">
        <f t="shared" si="4"/>
        <v>0</v>
      </c>
      <c r="K212" s="48" t="s">
        <v>42</v>
      </c>
      <c r="L212" s="47">
        <f t="shared" si="23"/>
        <v>0</v>
      </c>
      <c r="M212" s="48"/>
      <c r="N212" s="49"/>
      <c r="O212" s="48"/>
      <c r="P212" s="48"/>
      <c r="Q212" s="48"/>
      <c r="R212" s="48"/>
      <c r="S212" s="48"/>
      <c r="T212" s="48"/>
      <c r="U212" s="48"/>
      <c r="V212" s="48"/>
      <c r="W212" s="106"/>
      <c r="X212" s="48"/>
      <c r="Y212" s="116">
        <f t="shared" si="8"/>
        <v>0</v>
      </c>
      <c r="Z212" s="108"/>
      <c r="AA212" s="48"/>
      <c r="AB212" s="110"/>
      <c r="AC212" s="84"/>
      <c r="AD212" s="84"/>
      <c r="AE212" s="84"/>
      <c r="AF212" s="84"/>
      <c r="AG212" s="48"/>
      <c r="AH212" s="48"/>
      <c r="AI212" s="48"/>
      <c r="AJ212" s="111"/>
      <c r="AK212" s="115">
        <f t="shared" si="22"/>
        <v>0</v>
      </c>
      <c r="AL212" s="48"/>
      <c r="AM212" s="48"/>
      <c r="AN212" s="48"/>
      <c r="AO212" s="48"/>
      <c r="AP212" s="48"/>
      <c r="AQ212" s="112"/>
      <c r="AR212" s="48"/>
      <c r="AS212" s="113"/>
    </row>
    <row r="213" ht="15.75" customHeight="1">
      <c r="A213" s="98"/>
      <c r="B213" s="98"/>
      <c r="C213" s="98"/>
      <c r="D213" s="123"/>
      <c r="E213" s="122"/>
      <c r="F213" s="103">
        <f t="shared" si="1"/>
        <v>0</v>
      </c>
      <c r="G213" s="104"/>
      <c r="H213" s="104"/>
      <c r="I213" s="104"/>
      <c r="J213" s="115">
        <f t="shared" si="4"/>
        <v>0</v>
      </c>
      <c r="K213" s="48" t="s">
        <v>42</v>
      </c>
      <c r="L213" s="47">
        <f t="shared" si="23"/>
        <v>0</v>
      </c>
      <c r="M213" s="48"/>
      <c r="N213" s="49"/>
      <c r="O213" s="48"/>
      <c r="P213" s="48"/>
      <c r="Q213" s="48"/>
      <c r="R213" s="48"/>
      <c r="S213" s="48"/>
      <c r="T213" s="48"/>
      <c r="U213" s="48"/>
      <c r="V213" s="48"/>
      <c r="W213" s="106"/>
      <c r="X213" s="48"/>
      <c r="Y213" s="116">
        <f t="shared" si="8"/>
        <v>0</v>
      </c>
      <c r="Z213" s="108"/>
      <c r="AA213" s="48"/>
      <c r="AB213" s="110"/>
      <c r="AC213" s="84"/>
      <c r="AD213" s="84"/>
      <c r="AE213" s="84"/>
      <c r="AF213" s="84"/>
      <c r="AG213" s="48"/>
      <c r="AH213" s="48"/>
      <c r="AI213" s="48"/>
      <c r="AJ213" s="111"/>
      <c r="AK213" s="115">
        <f t="shared" si="22"/>
        <v>0</v>
      </c>
      <c r="AL213" s="48"/>
      <c r="AM213" s="48"/>
      <c r="AN213" s="48"/>
      <c r="AO213" s="48"/>
      <c r="AP213" s="48"/>
      <c r="AQ213" s="112"/>
      <c r="AR213" s="48"/>
      <c r="AS213" s="113"/>
    </row>
    <row r="214" ht="15.75" customHeight="1">
      <c r="A214" s="98"/>
      <c r="B214" s="98"/>
      <c r="C214" s="98"/>
      <c r="D214" s="123"/>
      <c r="E214" s="122"/>
      <c r="F214" s="103">
        <f t="shared" si="1"/>
        <v>0</v>
      </c>
      <c r="G214" s="104"/>
      <c r="H214" s="104"/>
      <c r="I214" s="104"/>
      <c r="J214" s="115">
        <f t="shared" si="4"/>
        <v>0</v>
      </c>
      <c r="K214" s="48" t="s">
        <v>42</v>
      </c>
      <c r="L214" s="47">
        <f t="shared" si="23"/>
        <v>0</v>
      </c>
      <c r="M214" s="48"/>
      <c r="N214" s="49"/>
      <c r="O214" s="48"/>
      <c r="P214" s="48"/>
      <c r="Q214" s="48"/>
      <c r="R214" s="48"/>
      <c r="S214" s="48"/>
      <c r="T214" s="48"/>
      <c r="U214" s="48"/>
      <c r="V214" s="48"/>
      <c r="W214" s="106"/>
      <c r="X214" s="48"/>
      <c r="Y214" s="116">
        <f t="shared" si="8"/>
        <v>0</v>
      </c>
      <c r="Z214" s="108"/>
      <c r="AA214" s="48"/>
      <c r="AB214" s="110"/>
      <c r="AC214" s="84"/>
      <c r="AD214" s="84"/>
      <c r="AE214" s="84"/>
      <c r="AF214" s="84"/>
      <c r="AG214" s="48"/>
      <c r="AH214" s="48"/>
      <c r="AI214" s="48"/>
      <c r="AJ214" s="111"/>
      <c r="AK214" s="115">
        <f t="shared" si="22"/>
        <v>0</v>
      </c>
      <c r="AL214" s="48"/>
      <c r="AM214" s="48"/>
      <c r="AN214" s="48"/>
      <c r="AO214" s="48"/>
      <c r="AP214" s="48"/>
      <c r="AQ214" s="112"/>
      <c r="AR214" s="48"/>
      <c r="AS214" s="113"/>
    </row>
    <row r="215" ht="15.75" customHeight="1">
      <c r="A215" s="48"/>
      <c r="B215" s="98"/>
      <c r="C215" s="126"/>
      <c r="D215" s="123"/>
      <c r="E215" s="127"/>
      <c r="F215" s="103">
        <f t="shared" si="1"/>
        <v>0</v>
      </c>
      <c r="G215" s="104"/>
      <c r="H215" s="104"/>
      <c r="I215" s="104"/>
      <c r="J215" s="115">
        <f t="shared" si="4"/>
        <v>0</v>
      </c>
      <c r="K215" s="48" t="s">
        <v>42</v>
      </c>
      <c r="L215" s="47">
        <f t="shared" si="23"/>
        <v>0</v>
      </c>
      <c r="M215" s="48"/>
      <c r="N215" s="49"/>
      <c r="O215" s="48"/>
      <c r="P215" s="48"/>
      <c r="Q215" s="48"/>
      <c r="R215" s="48"/>
      <c r="S215" s="48"/>
      <c r="T215" s="48"/>
      <c r="U215" s="48"/>
      <c r="V215" s="48"/>
      <c r="W215" s="106"/>
      <c r="X215" s="48"/>
      <c r="Y215" s="116">
        <f t="shared" si="8"/>
        <v>0</v>
      </c>
      <c r="Z215" s="108"/>
      <c r="AA215" s="48"/>
      <c r="AB215" s="110"/>
      <c r="AC215" s="84"/>
      <c r="AD215" s="84"/>
      <c r="AE215" s="84"/>
      <c r="AF215" s="84"/>
      <c r="AG215" s="48"/>
      <c r="AH215" s="48"/>
      <c r="AI215" s="48"/>
      <c r="AJ215" s="111"/>
      <c r="AK215" s="115">
        <f t="shared" si="22"/>
        <v>0</v>
      </c>
      <c r="AL215" s="48"/>
      <c r="AM215" s="48"/>
      <c r="AN215" s="48"/>
      <c r="AO215" s="48"/>
      <c r="AP215" s="48"/>
      <c r="AQ215" s="112"/>
      <c r="AR215" s="48"/>
      <c r="AS215" s="113"/>
    </row>
    <row r="216" ht="15.75" customHeight="1">
      <c r="A216" s="48"/>
      <c r="B216" s="98"/>
      <c r="C216" s="128"/>
      <c r="D216" s="121"/>
      <c r="E216" s="129"/>
      <c r="F216" s="103">
        <f t="shared" si="1"/>
        <v>0</v>
      </c>
      <c r="G216" s="104"/>
      <c r="H216" s="104"/>
      <c r="I216" s="104"/>
      <c r="J216" s="115">
        <f t="shared" si="4"/>
        <v>0</v>
      </c>
      <c r="K216" s="48" t="s">
        <v>42</v>
      </c>
      <c r="L216" s="47">
        <f t="shared" si="23"/>
        <v>0</v>
      </c>
      <c r="M216" s="48"/>
      <c r="N216" s="49"/>
      <c r="O216" s="48"/>
      <c r="P216" s="48"/>
      <c r="Q216" s="48"/>
      <c r="R216" s="48"/>
      <c r="S216" s="48"/>
      <c r="T216" s="48"/>
      <c r="U216" s="48"/>
      <c r="V216" s="48"/>
      <c r="W216" s="106"/>
      <c r="X216" s="48"/>
      <c r="Y216" s="116">
        <f t="shared" si="8"/>
        <v>0</v>
      </c>
      <c r="Z216" s="108"/>
      <c r="AA216" s="48"/>
      <c r="AB216" s="110"/>
      <c r="AC216" s="84"/>
      <c r="AD216" s="84"/>
      <c r="AE216" s="84"/>
      <c r="AF216" s="84"/>
      <c r="AG216" s="48"/>
      <c r="AH216" s="48"/>
      <c r="AI216" s="48"/>
      <c r="AJ216" s="111"/>
      <c r="AK216" s="115">
        <f t="shared" si="22"/>
        <v>0</v>
      </c>
      <c r="AL216" s="48"/>
      <c r="AM216" s="48"/>
      <c r="AN216" s="48"/>
      <c r="AO216" s="48"/>
      <c r="AP216" s="48"/>
      <c r="AQ216" s="112"/>
      <c r="AR216" s="48"/>
      <c r="AS216" s="113"/>
    </row>
    <row r="217" ht="15.75" customHeight="1">
      <c r="A217" s="48"/>
      <c r="B217" s="98"/>
      <c r="C217" s="128"/>
      <c r="D217" s="121"/>
      <c r="E217" s="129"/>
      <c r="F217" s="103">
        <f t="shared" si="1"/>
        <v>0</v>
      </c>
      <c r="G217" s="104"/>
      <c r="H217" s="104"/>
      <c r="I217" s="104"/>
      <c r="J217" s="115">
        <f t="shared" si="4"/>
        <v>0</v>
      </c>
      <c r="K217" s="48" t="s">
        <v>42</v>
      </c>
      <c r="L217" s="47">
        <f t="shared" si="23"/>
        <v>0</v>
      </c>
      <c r="M217" s="48"/>
      <c r="N217" s="49"/>
      <c r="O217" s="48"/>
      <c r="P217" s="48"/>
      <c r="Q217" s="48"/>
      <c r="R217" s="48"/>
      <c r="S217" s="48"/>
      <c r="T217" s="48"/>
      <c r="U217" s="48"/>
      <c r="V217" s="48"/>
      <c r="W217" s="106"/>
      <c r="X217" s="48"/>
      <c r="Y217" s="116">
        <f t="shared" si="8"/>
        <v>0</v>
      </c>
      <c r="Z217" s="108"/>
      <c r="AA217" s="48"/>
      <c r="AB217" s="110"/>
      <c r="AC217" s="84"/>
      <c r="AD217" s="84"/>
      <c r="AE217" s="84"/>
      <c r="AF217" s="84"/>
      <c r="AG217" s="48"/>
      <c r="AH217" s="48"/>
      <c r="AI217" s="48"/>
      <c r="AJ217" s="111"/>
      <c r="AK217" s="115">
        <f t="shared" si="22"/>
        <v>0</v>
      </c>
      <c r="AL217" s="48"/>
      <c r="AM217" s="48"/>
      <c r="AN217" s="48"/>
      <c r="AO217" s="48"/>
      <c r="AP217" s="48"/>
      <c r="AQ217" s="112"/>
      <c r="AR217" s="48"/>
      <c r="AS217" s="113"/>
    </row>
    <row r="218" ht="15.75" customHeight="1">
      <c r="A218" s="48"/>
      <c r="B218" s="98"/>
      <c r="C218" s="128"/>
      <c r="D218" s="121"/>
      <c r="E218" s="129"/>
      <c r="F218" s="103">
        <f t="shared" si="1"/>
        <v>0</v>
      </c>
      <c r="G218" s="104"/>
      <c r="H218" s="104"/>
      <c r="I218" s="104"/>
      <c r="J218" s="115">
        <f t="shared" si="4"/>
        <v>0</v>
      </c>
      <c r="K218" s="48" t="s">
        <v>42</v>
      </c>
      <c r="L218" s="47">
        <f t="shared" si="23"/>
        <v>0</v>
      </c>
      <c r="M218" s="48"/>
      <c r="N218" s="49"/>
      <c r="O218" s="48"/>
      <c r="P218" s="48"/>
      <c r="Q218" s="48"/>
      <c r="R218" s="48"/>
      <c r="S218" s="48"/>
      <c r="T218" s="48"/>
      <c r="U218" s="48"/>
      <c r="V218" s="48"/>
      <c r="W218" s="106"/>
      <c r="X218" s="48"/>
      <c r="Y218" s="116">
        <f t="shared" si="8"/>
        <v>0</v>
      </c>
      <c r="Z218" s="108"/>
      <c r="AA218" s="48"/>
      <c r="AB218" s="110"/>
      <c r="AC218" s="84"/>
      <c r="AD218" s="84"/>
      <c r="AE218" s="84"/>
      <c r="AF218" s="84"/>
      <c r="AG218" s="48"/>
      <c r="AH218" s="48"/>
      <c r="AI218" s="48"/>
      <c r="AJ218" s="111"/>
      <c r="AK218" s="115">
        <f t="shared" si="22"/>
        <v>0</v>
      </c>
      <c r="AL218" s="48"/>
      <c r="AM218" s="48"/>
      <c r="AN218" s="48"/>
      <c r="AO218" s="48"/>
      <c r="AP218" s="48"/>
      <c r="AQ218" s="112"/>
      <c r="AR218" s="48"/>
      <c r="AS218" s="113"/>
    </row>
    <row r="219" ht="15.75" customHeight="1">
      <c r="A219" s="48"/>
      <c r="B219" s="98"/>
      <c r="C219" s="128"/>
      <c r="D219" s="121"/>
      <c r="E219" s="129"/>
      <c r="F219" s="103">
        <f t="shared" si="1"/>
        <v>0</v>
      </c>
      <c r="G219" s="104"/>
      <c r="H219" s="104"/>
      <c r="I219" s="104"/>
      <c r="J219" s="115">
        <f t="shared" si="4"/>
        <v>0</v>
      </c>
      <c r="K219" s="48" t="s">
        <v>42</v>
      </c>
      <c r="L219" s="47">
        <f t="shared" si="23"/>
        <v>0</v>
      </c>
      <c r="M219" s="48"/>
      <c r="N219" s="49"/>
      <c r="O219" s="48"/>
      <c r="P219" s="48"/>
      <c r="Q219" s="48"/>
      <c r="R219" s="48"/>
      <c r="S219" s="48"/>
      <c r="T219" s="48"/>
      <c r="U219" s="48"/>
      <c r="V219" s="48"/>
      <c r="W219" s="106"/>
      <c r="X219" s="48"/>
      <c r="Y219" s="116">
        <f t="shared" si="8"/>
        <v>0</v>
      </c>
      <c r="Z219" s="108"/>
      <c r="AA219" s="48"/>
      <c r="AB219" s="110"/>
      <c r="AC219" s="84"/>
      <c r="AD219" s="84"/>
      <c r="AE219" s="84"/>
      <c r="AF219" s="84"/>
      <c r="AG219" s="48"/>
      <c r="AH219" s="48"/>
      <c r="AI219" s="48"/>
      <c r="AJ219" s="111"/>
      <c r="AK219" s="115">
        <f t="shared" si="22"/>
        <v>0</v>
      </c>
      <c r="AL219" s="48"/>
      <c r="AM219" s="48"/>
      <c r="AN219" s="48"/>
      <c r="AO219" s="48"/>
      <c r="AP219" s="48"/>
      <c r="AQ219" s="112"/>
      <c r="AR219" s="48"/>
      <c r="AS219" s="113"/>
    </row>
    <row r="220" ht="15.75" customHeight="1">
      <c r="A220" s="48"/>
      <c r="B220" s="98"/>
      <c r="C220" s="128"/>
      <c r="D220" s="121"/>
      <c r="E220" s="129"/>
      <c r="F220" s="103">
        <f t="shared" si="1"/>
        <v>0</v>
      </c>
      <c r="G220" s="104"/>
      <c r="H220" s="104"/>
      <c r="I220" s="104"/>
      <c r="J220" s="115">
        <f t="shared" si="4"/>
        <v>0</v>
      </c>
      <c r="K220" s="48" t="s">
        <v>42</v>
      </c>
      <c r="L220" s="47">
        <f t="shared" si="23"/>
        <v>0</v>
      </c>
      <c r="M220" s="48"/>
      <c r="N220" s="49"/>
      <c r="O220" s="48"/>
      <c r="P220" s="48"/>
      <c r="Q220" s="48"/>
      <c r="R220" s="48"/>
      <c r="S220" s="48"/>
      <c r="T220" s="48"/>
      <c r="U220" s="48"/>
      <c r="V220" s="48"/>
      <c r="W220" s="106"/>
      <c r="X220" s="48"/>
      <c r="Y220" s="116">
        <f t="shared" si="8"/>
        <v>0</v>
      </c>
      <c r="Z220" s="108"/>
      <c r="AA220" s="48"/>
      <c r="AB220" s="110"/>
      <c r="AC220" s="84"/>
      <c r="AD220" s="84"/>
      <c r="AE220" s="84"/>
      <c r="AF220" s="84"/>
      <c r="AG220" s="48"/>
      <c r="AH220" s="48"/>
      <c r="AI220" s="48"/>
      <c r="AJ220" s="111"/>
      <c r="AK220" s="115">
        <f t="shared" si="22"/>
        <v>0</v>
      </c>
      <c r="AL220" s="48"/>
      <c r="AM220" s="48"/>
      <c r="AN220" s="48"/>
      <c r="AO220" s="48"/>
      <c r="AP220" s="48"/>
      <c r="AQ220" s="112"/>
      <c r="AR220" s="48"/>
      <c r="AS220" s="113"/>
    </row>
    <row r="221" ht="15.75" customHeight="1">
      <c r="A221" s="48"/>
      <c r="B221" s="98"/>
      <c r="C221" s="128"/>
      <c r="D221" s="121"/>
      <c r="E221" s="129"/>
      <c r="F221" s="103">
        <f t="shared" si="1"/>
        <v>0</v>
      </c>
      <c r="G221" s="104"/>
      <c r="H221" s="104"/>
      <c r="I221" s="104"/>
      <c r="J221" s="115">
        <f t="shared" si="4"/>
        <v>0</v>
      </c>
      <c r="K221" s="48" t="s">
        <v>42</v>
      </c>
      <c r="L221" s="47">
        <f t="shared" si="23"/>
        <v>0</v>
      </c>
      <c r="M221" s="48"/>
      <c r="N221" s="49"/>
      <c r="O221" s="48"/>
      <c r="P221" s="48"/>
      <c r="Q221" s="48"/>
      <c r="R221" s="48"/>
      <c r="S221" s="48"/>
      <c r="T221" s="48"/>
      <c r="U221" s="48"/>
      <c r="V221" s="48"/>
      <c r="W221" s="106"/>
      <c r="X221" s="48"/>
      <c r="Y221" s="116">
        <f t="shared" si="8"/>
        <v>0</v>
      </c>
      <c r="Z221" s="108"/>
      <c r="AA221" s="48"/>
      <c r="AB221" s="110"/>
      <c r="AC221" s="84"/>
      <c r="AD221" s="84"/>
      <c r="AE221" s="84"/>
      <c r="AF221" s="84"/>
      <c r="AG221" s="48"/>
      <c r="AH221" s="48"/>
      <c r="AI221" s="48"/>
      <c r="AJ221" s="111"/>
      <c r="AK221" s="115">
        <f t="shared" si="22"/>
        <v>0</v>
      </c>
      <c r="AL221" s="48"/>
      <c r="AM221" s="48"/>
      <c r="AN221" s="48"/>
      <c r="AO221" s="48"/>
      <c r="AP221" s="48"/>
      <c r="AQ221" s="112"/>
      <c r="AR221" s="48"/>
      <c r="AS221" s="113"/>
    </row>
    <row r="222" ht="15.75" customHeight="1">
      <c r="A222" s="48"/>
      <c r="B222" s="98"/>
      <c r="C222" s="128"/>
      <c r="D222" s="121"/>
      <c r="E222" s="129"/>
      <c r="F222" s="103">
        <f t="shared" si="1"/>
        <v>0</v>
      </c>
      <c r="G222" s="104"/>
      <c r="H222" s="104"/>
      <c r="I222" s="104"/>
      <c r="J222" s="115">
        <f t="shared" si="4"/>
        <v>0</v>
      </c>
      <c r="K222" s="48" t="s">
        <v>42</v>
      </c>
      <c r="L222" s="47">
        <f t="shared" si="23"/>
        <v>0</v>
      </c>
      <c r="M222" s="48"/>
      <c r="N222" s="49"/>
      <c r="O222" s="48"/>
      <c r="P222" s="48"/>
      <c r="Q222" s="48"/>
      <c r="R222" s="48"/>
      <c r="S222" s="48"/>
      <c r="T222" s="48"/>
      <c r="U222" s="48"/>
      <c r="V222" s="48"/>
      <c r="W222" s="106"/>
      <c r="X222" s="48"/>
      <c r="Y222" s="116">
        <f t="shared" si="8"/>
        <v>0</v>
      </c>
      <c r="Z222" s="108"/>
      <c r="AA222" s="48"/>
      <c r="AB222" s="110"/>
      <c r="AC222" s="84"/>
      <c r="AD222" s="84"/>
      <c r="AE222" s="84"/>
      <c r="AF222" s="84"/>
      <c r="AG222" s="48"/>
      <c r="AH222" s="48"/>
      <c r="AI222" s="48"/>
      <c r="AJ222" s="111"/>
      <c r="AK222" s="115">
        <f t="shared" si="22"/>
        <v>0</v>
      </c>
      <c r="AL222" s="48"/>
      <c r="AM222" s="48"/>
      <c r="AN222" s="48"/>
      <c r="AO222" s="48"/>
      <c r="AP222" s="48"/>
      <c r="AQ222" s="112"/>
      <c r="AR222" s="48"/>
      <c r="AS222" s="113"/>
    </row>
    <row r="223" ht="15.75" customHeight="1">
      <c r="A223" s="48"/>
      <c r="B223" s="98"/>
      <c r="C223" s="130"/>
      <c r="D223" s="121"/>
      <c r="E223" s="129"/>
      <c r="F223" s="103">
        <f t="shared" si="1"/>
        <v>0</v>
      </c>
      <c r="G223" s="104"/>
      <c r="H223" s="104"/>
      <c r="I223" s="104"/>
      <c r="J223" s="115">
        <f t="shared" si="4"/>
        <v>0</v>
      </c>
      <c r="K223" s="48" t="s">
        <v>42</v>
      </c>
      <c r="L223" s="47">
        <f t="shared" si="23"/>
        <v>0</v>
      </c>
      <c r="M223" s="48"/>
      <c r="N223" s="49"/>
      <c r="O223" s="48"/>
      <c r="P223" s="48"/>
      <c r="Q223" s="48"/>
      <c r="R223" s="48"/>
      <c r="S223" s="48"/>
      <c r="T223" s="48"/>
      <c r="U223" s="48"/>
      <c r="V223" s="48"/>
      <c r="W223" s="106"/>
      <c r="X223" s="48"/>
      <c r="Y223" s="116">
        <f t="shared" si="8"/>
        <v>0</v>
      </c>
      <c r="Z223" s="108"/>
      <c r="AA223" s="48"/>
      <c r="AB223" s="110"/>
      <c r="AC223" s="84"/>
      <c r="AD223" s="84"/>
      <c r="AE223" s="84"/>
      <c r="AF223" s="84"/>
      <c r="AG223" s="48"/>
      <c r="AH223" s="48"/>
      <c r="AI223" s="48"/>
      <c r="AJ223" s="111"/>
      <c r="AK223" s="115">
        <f t="shared" si="22"/>
        <v>0</v>
      </c>
      <c r="AL223" s="48"/>
      <c r="AM223" s="48"/>
      <c r="AN223" s="48"/>
      <c r="AO223" s="48"/>
      <c r="AP223" s="48"/>
      <c r="AQ223" s="112"/>
      <c r="AR223" s="48"/>
      <c r="AS223" s="113"/>
    </row>
    <row r="224" ht="15.75" customHeight="1">
      <c r="A224" s="48"/>
      <c r="B224" s="98"/>
      <c r="C224" s="126"/>
      <c r="D224" s="121"/>
      <c r="E224" s="129"/>
      <c r="F224" s="103">
        <f t="shared" si="1"/>
        <v>0</v>
      </c>
      <c r="G224" s="104"/>
      <c r="H224" s="104"/>
      <c r="I224" s="104"/>
      <c r="J224" s="115">
        <f t="shared" si="4"/>
        <v>0</v>
      </c>
      <c r="K224" s="48" t="s">
        <v>42</v>
      </c>
      <c r="L224" s="47">
        <f t="shared" si="23"/>
        <v>0</v>
      </c>
      <c r="M224" s="48"/>
      <c r="N224" s="49"/>
      <c r="O224" s="48"/>
      <c r="P224" s="48"/>
      <c r="Q224" s="48"/>
      <c r="R224" s="48"/>
      <c r="S224" s="48"/>
      <c r="T224" s="48"/>
      <c r="U224" s="48"/>
      <c r="V224" s="48"/>
      <c r="W224" s="106"/>
      <c r="X224" s="48"/>
      <c r="Y224" s="116">
        <f t="shared" si="8"/>
        <v>0</v>
      </c>
      <c r="Z224" s="108"/>
      <c r="AA224" s="48"/>
      <c r="AB224" s="110"/>
      <c r="AC224" s="84"/>
      <c r="AD224" s="84"/>
      <c r="AE224" s="84"/>
      <c r="AF224" s="84"/>
      <c r="AG224" s="48"/>
      <c r="AH224" s="48"/>
      <c r="AI224" s="48"/>
      <c r="AJ224" s="111"/>
      <c r="AK224" s="115">
        <f t="shared" si="22"/>
        <v>0</v>
      </c>
      <c r="AL224" s="48"/>
      <c r="AM224" s="48"/>
      <c r="AN224" s="48"/>
      <c r="AO224" s="48"/>
      <c r="AP224" s="48"/>
      <c r="AQ224" s="112"/>
      <c r="AR224" s="48"/>
      <c r="AS224" s="113"/>
    </row>
    <row r="225" ht="15.75" customHeight="1">
      <c r="A225" s="48"/>
      <c r="B225" s="98"/>
      <c r="C225" s="126"/>
      <c r="D225" s="121"/>
      <c r="E225" s="129"/>
      <c r="F225" s="103">
        <f t="shared" si="1"/>
        <v>0</v>
      </c>
      <c r="G225" s="104"/>
      <c r="H225" s="104"/>
      <c r="I225" s="104"/>
      <c r="J225" s="115">
        <f t="shared" si="4"/>
        <v>0</v>
      </c>
      <c r="K225" s="48" t="s">
        <v>42</v>
      </c>
      <c r="L225" s="47">
        <f t="shared" si="23"/>
        <v>0</v>
      </c>
      <c r="M225" s="48"/>
      <c r="N225" s="49"/>
      <c r="O225" s="48"/>
      <c r="P225" s="48"/>
      <c r="Q225" s="48"/>
      <c r="R225" s="48"/>
      <c r="S225" s="48"/>
      <c r="T225" s="48"/>
      <c r="U225" s="48"/>
      <c r="V225" s="48"/>
      <c r="W225" s="106"/>
      <c r="X225" s="48"/>
      <c r="Y225" s="116">
        <f t="shared" si="8"/>
        <v>0</v>
      </c>
      <c r="Z225" s="108"/>
      <c r="AA225" s="48"/>
      <c r="AB225" s="110"/>
      <c r="AC225" s="84"/>
      <c r="AD225" s="84"/>
      <c r="AE225" s="84"/>
      <c r="AF225" s="84"/>
      <c r="AG225" s="48"/>
      <c r="AH225" s="48"/>
      <c r="AI225" s="48"/>
      <c r="AJ225" s="111"/>
      <c r="AK225" s="115">
        <f t="shared" si="22"/>
        <v>0</v>
      </c>
      <c r="AL225" s="48"/>
      <c r="AM225" s="48"/>
      <c r="AN225" s="48"/>
      <c r="AO225" s="48"/>
      <c r="AP225" s="48"/>
      <c r="AQ225" s="112"/>
      <c r="AR225" s="48"/>
      <c r="AS225" s="113"/>
    </row>
    <row r="226" ht="15.75" customHeight="1">
      <c r="A226" s="48"/>
      <c r="B226" s="98"/>
      <c r="C226" s="126"/>
      <c r="D226" s="121"/>
      <c r="E226" s="129"/>
      <c r="F226" s="103">
        <f t="shared" si="1"/>
        <v>0</v>
      </c>
      <c r="G226" s="104"/>
      <c r="H226" s="104"/>
      <c r="I226" s="104"/>
      <c r="J226" s="115">
        <f t="shared" si="4"/>
        <v>0</v>
      </c>
      <c r="K226" s="48" t="s">
        <v>42</v>
      </c>
      <c r="L226" s="47">
        <f t="shared" si="23"/>
        <v>0</v>
      </c>
      <c r="M226" s="48"/>
      <c r="N226" s="49"/>
      <c r="O226" s="48"/>
      <c r="P226" s="48"/>
      <c r="Q226" s="48"/>
      <c r="R226" s="48"/>
      <c r="S226" s="48"/>
      <c r="T226" s="48"/>
      <c r="U226" s="48"/>
      <c r="V226" s="48"/>
      <c r="W226" s="106"/>
      <c r="X226" s="48"/>
      <c r="Y226" s="116">
        <f t="shared" si="8"/>
        <v>0</v>
      </c>
      <c r="Z226" s="108"/>
      <c r="AA226" s="48"/>
      <c r="AB226" s="110"/>
      <c r="AC226" s="84"/>
      <c r="AD226" s="84"/>
      <c r="AE226" s="84"/>
      <c r="AF226" s="84"/>
      <c r="AG226" s="48"/>
      <c r="AH226" s="48"/>
      <c r="AI226" s="48"/>
      <c r="AJ226" s="111"/>
      <c r="AK226" s="115">
        <f t="shared" si="22"/>
        <v>0</v>
      </c>
      <c r="AL226" s="48"/>
      <c r="AM226" s="48"/>
      <c r="AN226" s="48"/>
      <c r="AO226" s="48"/>
      <c r="AP226" s="48"/>
      <c r="AQ226" s="112"/>
      <c r="AR226" s="48"/>
      <c r="AS226" s="113"/>
    </row>
    <row r="227" ht="15.75" customHeight="1">
      <c r="A227" s="48"/>
      <c r="B227" s="98"/>
      <c r="C227" s="126"/>
      <c r="D227" s="98"/>
      <c r="E227" s="129"/>
      <c r="F227" s="103">
        <f t="shared" si="1"/>
        <v>0</v>
      </c>
      <c r="G227" s="104"/>
      <c r="H227" s="104"/>
      <c r="I227" s="104"/>
      <c r="J227" s="115">
        <f t="shared" si="4"/>
        <v>0</v>
      </c>
      <c r="K227" s="48" t="s">
        <v>42</v>
      </c>
      <c r="L227" s="47">
        <f t="shared" si="23"/>
        <v>0</v>
      </c>
      <c r="M227" s="48"/>
      <c r="N227" s="49"/>
      <c r="O227" s="48"/>
      <c r="P227" s="48"/>
      <c r="Q227" s="48"/>
      <c r="R227" s="48"/>
      <c r="S227" s="48"/>
      <c r="T227" s="48"/>
      <c r="U227" s="48"/>
      <c r="V227" s="48"/>
      <c r="W227" s="106"/>
      <c r="X227" s="48"/>
      <c r="Y227" s="116">
        <f t="shared" si="8"/>
        <v>0</v>
      </c>
      <c r="Z227" s="108"/>
      <c r="AA227" s="48"/>
      <c r="AB227" s="110"/>
      <c r="AC227" s="84"/>
      <c r="AD227" s="84"/>
      <c r="AE227" s="84"/>
      <c r="AF227" s="84"/>
      <c r="AG227" s="48"/>
      <c r="AH227" s="48"/>
      <c r="AI227" s="48"/>
      <c r="AJ227" s="111"/>
      <c r="AK227" s="115">
        <f t="shared" si="22"/>
        <v>0</v>
      </c>
      <c r="AL227" s="48"/>
      <c r="AM227" s="48"/>
      <c r="AN227" s="48"/>
      <c r="AO227" s="48"/>
      <c r="AP227" s="48"/>
      <c r="AQ227" s="112"/>
      <c r="AR227" s="48"/>
      <c r="AS227" s="113"/>
    </row>
    <row r="228" ht="15.75" customHeight="1">
      <c r="A228" s="48"/>
      <c r="B228" s="98"/>
      <c r="C228" s="126"/>
      <c r="D228" s="121"/>
      <c r="E228" s="129"/>
      <c r="F228" s="103">
        <f t="shared" si="1"/>
        <v>0</v>
      </c>
      <c r="G228" s="104"/>
      <c r="H228" s="104"/>
      <c r="I228" s="104"/>
      <c r="J228" s="115">
        <f t="shared" si="4"/>
        <v>0</v>
      </c>
      <c r="K228" s="48" t="s">
        <v>42</v>
      </c>
      <c r="L228" s="47">
        <f t="shared" si="23"/>
        <v>0</v>
      </c>
      <c r="M228" s="48"/>
      <c r="N228" s="49"/>
      <c r="O228" s="48"/>
      <c r="P228" s="48"/>
      <c r="Q228" s="48"/>
      <c r="R228" s="48"/>
      <c r="S228" s="48"/>
      <c r="T228" s="48"/>
      <c r="U228" s="48"/>
      <c r="V228" s="48"/>
      <c r="W228" s="106"/>
      <c r="X228" s="48"/>
      <c r="Y228" s="116">
        <f t="shared" si="8"/>
        <v>0</v>
      </c>
      <c r="Z228" s="108"/>
      <c r="AA228" s="48"/>
      <c r="AB228" s="110"/>
      <c r="AC228" s="84"/>
      <c r="AD228" s="84"/>
      <c r="AE228" s="84"/>
      <c r="AF228" s="84"/>
      <c r="AG228" s="48"/>
      <c r="AH228" s="48"/>
      <c r="AI228" s="48"/>
      <c r="AJ228" s="111"/>
      <c r="AK228" s="115">
        <f t="shared" si="22"/>
        <v>0</v>
      </c>
      <c r="AL228" s="48"/>
      <c r="AM228" s="48"/>
      <c r="AN228" s="48"/>
      <c r="AO228" s="48"/>
      <c r="AP228" s="48"/>
      <c r="AQ228" s="112"/>
      <c r="AR228" s="48"/>
      <c r="AS228" s="113"/>
    </row>
    <row r="229" ht="15.75" customHeight="1">
      <c r="A229" s="48"/>
      <c r="B229" s="98"/>
      <c r="C229" s="126"/>
      <c r="D229" s="121"/>
      <c r="E229" s="129"/>
      <c r="F229" s="103">
        <f t="shared" si="1"/>
        <v>0</v>
      </c>
      <c r="G229" s="104"/>
      <c r="H229" s="104"/>
      <c r="I229" s="104"/>
      <c r="J229" s="115">
        <f t="shared" si="4"/>
        <v>0</v>
      </c>
      <c r="K229" s="48" t="s">
        <v>42</v>
      </c>
      <c r="L229" s="47">
        <f t="shared" si="23"/>
        <v>0</v>
      </c>
      <c r="M229" s="48"/>
      <c r="N229" s="49"/>
      <c r="O229" s="48"/>
      <c r="P229" s="48"/>
      <c r="Q229" s="48"/>
      <c r="R229" s="48"/>
      <c r="S229" s="48"/>
      <c r="T229" s="48"/>
      <c r="U229" s="48"/>
      <c r="V229" s="48"/>
      <c r="W229" s="106"/>
      <c r="X229" s="48"/>
      <c r="Y229" s="116">
        <f t="shared" si="8"/>
        <v>0</v>
      </c>
      <c r="Z229" s="108"/>
      <c r="AA229" s="48"/>
      <c r="AB229" s="110"/>
      <c r="AC229" s="84"/>
      <c r="AD229" s="84"/>
      <c r="AE229" s="84"/>
      <c r="AF229" s="84"/>
      <c r="AG229" s="48"/>
      <c r="AH229" s="48"/>
      <c r="AI229" s="48"/>
      <c r="AJ229" s="111"/>
      <c r="AK229" s="115">
        <f t="shared" si="22"/>
        <v>0</v>
      </c>
      <c r="AL229" s="48"/>
      <c r="AM229" s="48"/>
      <c r="AN229" s="48"/>
      <c r="AO229" s="48"/>
      <c r="AP229" s="48"/>
      <c r="AQ229" s="112"/>
      <c r="AR229" s="48"/>
      <c r="AS229" s="113"/>
    </row>
    <row r="230" ht="15.75" customHeight="1">
      <c r="A230" s="48"/>
      <c r="B230" s="98"/>
      <c r="C230" s="126"/>
      <c r="D230" s="121"/>
      <c r="E230" s="129"/>
      <c r="F230" s="103">
        <f t="shared" si="1"/>
        <v>0</v>
      </c>
      <c r="G230" s="104"/>
      <c r="H230" s="104"/>
      <c r="I230" s="104"/>
      <c r="J230" s="115">
        <f t="shared" si="4"/>
        <v>0</v>
      </c>
      <c r="K230" s="48" t="s">
        <v>42</v>
      </c>
      <c r="L230" s="47">
        <f t="shared" si="23"/>
        <v>0</v>
      </c>
      <c r="M230" s="48"/>
      <c r="N230" s="49"/>
      <c r="O230" s="48"/>
      <c r="P230" s="48"/>
      <c r="Q230" s="48"/>
      <c r="R230" s="48"/>
      <c r="S230" s="48"/>
      <c r="T230" s="48"/>
      <c r="U230" s="48"/>
      <c r="V230" s="48"/>
      <c r="W230" s="106"/>
      <c r="X230" s="48"/>
      <c r="Y230" s="116">
        <f t="shared" si="8"/>
        <v>0</v>
      </c>
      <c r="Z230" s="108"/>
      <c r="AA230" s="48"/>
      <c r="AB230" s="110"/>
      <c r="AC230" s="84"/>
      <c r="AD230" s="84"/>
      <c r="AE230" s="84"/>
      <c r="AF230" s="84"/>
      <c r="AG230" s="48"/>
      <c r="AH230" s="48"/>
      <c r="AI230" s="48"/>
      <c r="AJ230" s="111"/>
      <c r="AK230" s="115">
        <f t="shared" si="22"/>
        <v>0</v>
      </c>
      <c r="AL230" s="48"/>
      <c r="AM230" s="48"/>
      <c r="AN230" s="48"/>
      <c r="AO230" s="48"/>
      <c r="AP230" s="48"/>
      <c r="AQ230" s="112"/>
      <c r="AR230" s="48"/>
      <c r="AS230" s="113"/>
    </row>
    <row r="231" ht="15.75" customHeight="1">
      <c r="A231" s="48"/>
      <c r="B231" s="98"/>
      <c r="C231" s="126"/>
      <c r="D231" s="121"/>
      <c r="E231" s="129"/>
      <c r="F231" s="103">
        <f t="shared" si="1"/>
        <v>0</v>
      </c>
      <c r="G231" s="104"/>
      <c r="H231" s="104"/>
      <c r="I231" s="104"/>
      <c r="J231" s="115">
        <f t="shared" si="4"/>
        <v>0</v>
      </c>
      <c r="K231" s="48" t="s">
        <v>42</v>
      </c>
      <c r="L231" s="47">
        <f t="shared" si="23"/>
        <v>0</v>
      </c>
      <c r="M231" s="48"/>
      <c r="N231" s="49"/>
      <c r="O231" s="48"/>
      <c r="P231" s="48"/>
      <c r="Q231" s="48"/>
      <c r="R231" s="48"/>
      <c r="S231" s="48"/>
      <c r="T231" s="48"/>
      <c r="U231" s="48"/>
      <c r="V231" s="48"/>
      <c r="W231" s="106"/>
      <c r="X231" s="48"/>
      <c r="Y231" s="116">
        <f t="shared" si="8"/>
        <v>0</v>
      </c>
      <c r="Z231" s="108"/>
      <c r="AA231" s="48"/>
      <c r="AB231" s="110"/>
      <c r="AC231" s="84"/>
      <c r="AD231" s="84"/>
      <c r="AE231" s="84"/>
      <c r="AF231" s="84"/>
      <c r="AG231" s="48"/>
      <c r="AH231" s="48"/>
      <c r="AI231" s="48"/>
      <c r="AJ231" s="111"/>
      <c r="AK231" s="115">
        <f t="shared" si="22"/>
        <v>0</v>
      </c>
      <c r="AL231" s="48"/>
      <c r="AM231" s="48"/>
      <c r="AN231" s="48"/>
      <c r="AO231" s="48"/>
      <c r="AP231" s="48"/>
      <c r="AQ231" s="112"/>
      <c r="AR231" s="48"/>
      <c r="AS231" s="113"/>
    </row>
    <row r="232" ht="15.75" customHeight="1">
      <c r="A232" s="48"/>
      <c r="B232" s="98"/>
      <c r="C232" s="126"/>
      <c r="D232" s="121"/>
      <c r="E232" s="129"/>
      <c r="F232" s="103">
        <f t="shared" si="1"/>
        <v>0</v>
      </c>
      <c r="G232" s="104"/>
      <c r="H232" s="104"/>
      <c r="I232" s="104"/>
      <c r="J232" s="115">
        <f t="shared" si="4"/>
        <v>0</v>
      </c>
      <c r="K232" s="48" t="s">
        <v>42</v>
      </c>
      <c r="L232" s="47">
        <f t="shared" si="23"/>
        <v>0</v>
      </c>
      <c r="M232" s="48"/>
      <c r="N232" s="49"/>
      <c r="O232" s="48"/>
      <c r="P232" s="48"/>
      <c r="Q232" s="48"/>
      <c r="R232" s="48"/>
      <c r="S232" s="48"/>
      <c r="T232" s="48"/>
      <c r="U232" s="48"/>
      <c r="V232" s="48"/>
      <c r="W232" s="106"/>
      <c r="X232" s="48"/>
      <c r="Y232" s="116">
        <f t="shared" si="8"/>
        <v>0</v>
      </c>
      <c r="Z232" s="108"/>
      <c r="AA232" s="48"/>
      <c r="AB232" s="110"/>
      <c r="AC232" s="84"/>
      <c r="AD232" s="84"/>
      <c r="AE232" s="84"/>
      <c r="AF232" s="84"/>
      <c r="AG232" s="48"/>
      <c r="AH232" s="48"/>
      <c r="AI232" s="48"/>
      <c r="AJ232" s="111"/>
      <c r="AK232" s="115">
        <f t="shared" si="22"/>
        <v>0</v>
      </c>
      <c r="AL232" s="48"/>
      <c r="AM232" s="48"/>
      <c r="AN232" s="48"/>
      <c r="AO232" s="48"/>
      <c r="AP232" s="48"/>
      <c r="AQ232" s="112"/>
      <c r="AR232" s="48"/>
      <c r="AS232" s="113"/>
    </row>
    <row r="233" ht="15.75" customHeight="1">
      <c r="A233" s="48"/>
      <c r="B233" s="98"/>
      <c r="C233" s="126"/>
      <c r="D233" s="121"/>
      <c r="E233" s="129"/>
      <c r="F233" s="103">
        <f t="shared" si="1"/>
        <v>0</v>
      </c>
      <c r="G233" s="104"/>
      <c r="H233" s="104"/>
      <c r="I233" s="104"/>
      <c r="J233" s="115">
        <f t="shared" si="4"/>
        <v>0</v>
      </c>
      <c r="K233" s="48" t="s">
        <v>42</v>
      </c>
      <c r="L233" s="47">
        <f t="shared" si="23"/>
        <v>0</v>
      </c>
      <c r="M233" s="48"/>
      <c r="N233" s="49"/>
      <c r="O233" s="48"/>
      <c r="P233" s="48"/>
      <c r="Q233" s="48"/>
      <c r="R233" s="48"/>
      <c r="S233" s="48"/>
      <c r="T233" s="48"/>
      <c r="U233" s="48"/>
      <c r="V233" s="48"/>
      <c r="W233" s="106"/>
      <c r="X233" s="48"/>
      <c r="Y233" s="116">
        <f t="shared" si="8"/>
        <v>0</v>
      </c>
      <c r="Z233" s="108"/>
      <c r="AA233" s="48"/>
      <c r="AB233" s="110"/>
      <c r="AC233" s="84"/>
      <c r="AD233" s="84"/>
      <c r="AE233" s="84"/>
      <c r="AF233" s="84"/>
      <c r="AG233" s="48"/>
      <c r="AH233" s="48"/>
      <c r="AI233" s="48"/>
      <c r="AJ233" s="111"/>
      <c r="AK233" s="115">
        <f t="shared" si="22"/>
        <v>0</v>
      </c>
      <c r="AL233" s="48"/>
      <c r="AM233" s="48"/>
      <c r="AN233" s="48"/>
      <c r="AO233" s="48"/>
      <c r="AP233" s="48"/>
      <c r="AQ233" s="112"/>
      <c r="AR233" s="48"/>
      <c r="AS233" s="113"/>
    </row>
    <row r="234" ht="15.75" customHeight="1">
      <c r="A234" s="48"/>
      <c r="B234" s="98"/>
      <c r="C234" s="126"/>
      <c r="D234" s="121"/>
      <c r="E234" s="129"/>
      <c r="F234" s="103">
        <f t="shared" si="1"/>
        <v>0</v>
      </c>
      <c r="G234" s="104"/>
      <c r="H234" s="104"/>
      <c r="I234" s="104"/>
      <c r="J234" s="115">
        <f t="shared" si="4"/>
        <v>0</v>
      </c>
      <c r="K234" s="48" t="s">
        <v>42</v>
      </c>
      <c r="L234" s="47">
        <f t="shared" si="23"/>
        <v>0</v>
      </c>
      <c r="M234" s="48"/>
      <c r="N234" s="49"/>
      <c r="O234" s="48"/>
      <c r="P234" s="48"/>
      <c r="Q234" s="48"/>
      <c r="R234" s="48"/>
      <c r="S234" s="48"/>
      <c r="T234" s="48"/>
      <c r="U234" s="48"/>
      <c r="V234" s="48"/>
      <c r="W234" s="106"/>
      <c r="X234" s="48"/>
      <c r="Y234" s="116">
        <f t="shared" si="8"/>
        <v>0</v>
      </c>
      <c r="Z234" s="108"/>
      <c r="AA234" s="48"/>
      <c r="AB234" s="110"/>
      <c r="AC234" s="84"/>
      <c r="AD234" s="84"/>
      <c r="AE234" s="84"/>
      <c r="AF234" s="84"/>
      <c r="AG234" s="48"/>
      <c r="AH234" s="48"/>
      <c r="AI234" s="48"/>
      <c r="AJ234" s="111"/>
      <c r="AK234" s="115">
        <f t="shared" si="22"/>
        <v>0</v>
      </c>
      <c r="AL234" s="48"/>
      <c r="AM234" s="48"/>
      <c r="AN234" s="48"/>
      <c r="AO234" s="48"/>
      <c r="AP234" s="48"/>
      <c r="AQ234" s="112"/>
      <c r="AR234" s="48"/>
      <c r="AS234" s="113"/>
    </row>
    <row r="235" ht="15.75" customHeight="1">
      <c r="A235" s="48"/>
      <c r="B235" s="98"/>
      <c r="C235" s="126"/>
      <c r="D235" s="98"/>
      <c r="E235" s="131"/>
      <c r="F235" s="103">
        <f t="shared" si="1"/>
        <v>0</v>
      </c>
      <c r="G235" s="104"/>
      <c r="H235" s="104"/>
      <c r="I235" s="104"/>
      <c r="J235" s="115">
        <f t="shared" si="4"/>
        <v>0</v>
      </c>
      <c r="K235" s="48" t="s">
        <v>42</v>
      </c>
      <c r="L235" s="47">
        <f t="shared" si="23"/>
        <v>0</v>
      </c>
      <c r="M235" s="48"/>
      <c r="N235" s="49"/>
      <c r="O235" s="48"/>
      <c r="P235" s="48"/>
      <c r="Q235" s="48"/>
      <c r="R235" s="48"/>
      <c r="S235" s="48"/>
      <c r="T235" s="48"/>
      <c r="U235" s="48"/>
      <c r="V235" s="48"/>
      <c r="W235" s="106"/>
      <c r="X235" s="48"/>
      <c r="Y235" s="116">
        <f t="shared" si="8"/>
        <v>0</v>
      </c>
      <c r="Z235" s="108"/>
      <c r="AA235" s="48"/>
      <c r="AB235" s="110"/>
      <c r="AC235" s="84"/>
      <c r="AD235" s="84"/>
      <c r="AE235" s="84"/>
      <c r="AF235" s="84"/>
      <c r="AG235" s="48"/>
      <c r="AH235" s="48"/>
      <c r="AI235" s="48"/>
      <c r="AJ235" s="111"/>
      <c r="AK235" s="115">
        <f t="shared" si="22"/>
        <v>0</v>
      </c>
      <c r="AL235" s="48"/>
      <c r="AM235" s="48"/>
      <c r="AN235" s="48"/>
      <c r="AO235" s="48"/>
      <c r="AP235" s="48"/>
      <c r="AQ235" s="112"/>
      <c r="AR235" s="48"/>
      <c r="AS235" s="113"/>
    </row>
    <row r="236" ht="15.75" customHeight="1">
      <c r="A236" s="48"/>
      <c r="B236" s="98"/>
      <c r="C236" s="126"/>
      <c r="D236" s="132"/>
      <c r="E236" s="131"/>
      <c r="F236" s="103">
        <f t="shared" si="1"/>
        <v>0</v>
      </c>
      <c r="G236" s="104"/>
      <c r="H236" s="104"/>
      <c r="I236" s="104"/>
      <c r="J236" s="115">
        <f t="shared" si="4"/>
        <v>0</v>
      </c>
      <c r="K236" s="48" t="s">
        <v>42</v>
      </c>
      <c r="L236" s="47">
        <f t="shared" si="23"/>
        <v>0</v>
      </c>
      <c r="M236" s="48"/>
      <c r="N236" s="49"/>
      <c r="O236" s="48"/>
      <c r="P236" s="48"/>
      <c r="Q236" s="48"/>
      <c r="R236" s="48"/>
      <c r="S236" s="48"/>
      <c r="T236" s="48"/>
      <c r="U236" s="48"/>
      <c r="V236" s="48"/>
      <c r="W236" s="106"/>
      <c r="X236" s="48"/>
      <c r="Y236" s="116">
        <f t="shared" si="8"/>
        <v>0</v>
      </c>
      <c r="Z236" s="108"/>
      <c r="AA236" s="48"/>
      <c r="AB236" s="110"/>
      <c r="AC236" s="84"/>
      <c r="AD236" s="84"/>
      <c r="AE236" s="84"/>
      <c r="AF236" s="84"/>
      <c r="AG236" s="48"/>
      <c r="AH236" s="48"/>
      <c r="AI236" s="48"/>
      <c r="AJ236" s="111"/>
      <c r="AK236" s="115">
        <f t="shared" si="22"/>
        <v>0</v>
      </c>
      <c r="AL236" s="48"/>
      <c r="AM236" s="48"/>
      <c r="AN236" s="48"/>
      <c r="AO236" s="48"/>
      <c r="AP236" s="48"/>
      <c r="AQ236" s="112"/>
      <c r="AR236" s="48"/>
      <c r="AS236" s="113"/>
    </row>
    <row r="237" ht="15.75" customHeight="1">
      <c r="A237" s="48"/>
      <c r="B237" s="98"/>
      <c r="C237" s="126"/>
      <c r="D237" s="98"/>
      <c r="E237" s="131"/>
      <c r="F237" s="103">
        <f t="shared" si="1"/>
        <v>0</v>
      </c>
      <c r="G237" s="104"/>
      <c r="H237" s="104"/>
      <c r="I237" s="104"/>
      <c r="J237" s="115">
        <f t="shared" si="4"/>
        <v>0</v>
      </c>
      <c r="K237" s="48" t="s">
        <v>42</v>
      </c>
      <c r="L237" s="47">
        <f t="shared" si="23"/>
        <v>0</v>
      </c>
      <c r="M237" s="48"/>
      <c r="N237" s="49"/>
      <c r="O237" s="48"/>
      <c r="P237" s="48"/>
      <c r="Q237" s="48"/>
      <c r="R237" s="48"/>
      <c r="S237" s="48"/>
      <c r="T237" s="48"/>
      <c r="U237" s="48"/>
      <c r="V237" s="48"/>
      <c r="W237" s="106"/>
      <c r="X237" s="48"/>
      <c r="Y237" s="116">
        <f t="shared" si="8"/>
        <v>0</v>
      </c>
      <c r="Z237" s="108"/>
      <c r="AA237" s="48"/>
      <c r="AB237" s="110"/>
      <c r="AC237" s="84"/>
      <c r="AD237" s="84"/>
      <c r="AE237" s="84"/>
      <c r="AF237" s="84"/>
      <c r="AG237" s="48"/>
      <c r="AH237" s="48"/>
      <c r="AI237" s="48"/>
      <c r="AJ237" s="111"/>
      <c r="AK237" s="115">
        <f t="shared" si="22"/>
        <v>0</v>
      </c>
      <c r="AL237" s="48"/>
      <c r="AM237" s="48"/>
      <c r="AN237" s="48"/>
      <c r="AO237" s="48"/>
      <c r="AP237" s="48"/>
      <c r="AQ237" s="112"/>
      <c r="AR237" s="48"/>
      <c r="AS237" s="113"/>
    </row>
    <row r="238" ht="15.75" customHeight="1">
      <c r="A238" s="48"/>
      <c r="B238" s="98"/>
      <c r="C238" s="126"/>
      <c r="D238" s="98"/>
      <c r="E238" s="131"/>
      <c r="F238" s="103">
        <f t="shared" si="1"/>
        <v>0</v>
      </c>
      <c r="G238" s="104"/>
      <c r="H238" s="104"/>
      <c r="I238" s="104"/>
      <c r="J238" s="115">
        <f t="shared" si="4"/>
        <v>0</v>
      </c>
      <c r="K238" s="48" t="s">
        <v>42</v>
      </c>
      <c r="L238" s="47">
        <f t="shared" si="23"/>
        <v>0</v>
      </c>
      <c r="M238" s="48"/>
      <c r="N238" s="49"/>
      <c r="O238" s="48"/>
      <c r="P238" s="48"/>
      <c r="Q238" s="48"/>
      <c r="R238" s="48"/>
      <c r="S238" s="48"/>
      <c r="T238" s="48"/>
      <c r="U238" s="48"/>
      <c r="V238" s="48"/>
      <c r="W238" s="106"/>
      <c r="X238" s="48"/>
      <c r="Y238" s="116">
        <f t="shared" si="8"/>
        <v>0</v>
      </c>
      <c r="Z238" s="108"/>
      <c r="AA238" s="48"/>
      <c r="AB238" s="110"/>
      <c r="AC238" s="84"/>
      <c r="AD238" s="84"/>
      <c r="AE238" s="84"/>
      <c r="AF238" s="84"/>
      <c r="AG238" s="48"/>
      <c r="AH238" s="48"/>
      <c r="AI238" s="48"/>
      <c r="AJ238" s="111"/>
      <c r="AK238" s="115">
        <f t="shared" si="22"/>
        <v>0</v>
      </c>
      <c r="AL238" s="48"/>
      <c r="AM238" s="48"/>
      <c r="AN238" s="48"/>
      <c r="AO238" s="48"/>
      <c r="AP238" s="48"/>
      <c r="AQ238" s="112"/>
      <c r="AR238" s="48"/>
      <c r="AS238" s="113"/>
    </row>
    <row r="239" ht="15.75" customHeight="1">
      <c r="A239" s="48"/>
      <c r="B239" s="98"/>
      <c r="C239" s="126"/>
      <c r="D239" s="98"/>
      <c r="E239" s="131"/>
      <c r="F239" s="103">
        <f t="shared" si="1"/>
        <v>0</v>
      </c>
      <c r="G239" s="104"/>
      <c r="H239" s="104"/>
      <c r="I239" s="104"/>
      <c r="J239" s="115">
        <f t="shared" si="4"/>
        <v>0</v>
      </c>
      <c r="K239" s="48" t="s">
        <v>42</v>
      </c>
      <c r="L239" s="47">
        <f t="shared" si="23"/>
        <v>0</v>
      </c>
      <c r="M239" s="48"/>
      <c r="N239" s="49"/>
      <c r="O239" s="48"/>
      <c r="P239" s="48"/>
      <c r="Q239" s="48"/>
      <c r="R239" s="48"/>
      <c r="S239" s="48"/>
      <c r="T239" s="48"/>
      <c r="U239" s="48"/>
      <c r="V239" s="48"/>
      <c r="W239" s="106"/>
      <c r="X239" s="48"/>
      <c r="Y239" s="116">
        <f t="shared" si="8"/>
        <v>0</v>
      </c>
      <c r="Z239" s="108"/>
      <c r="AA239" s="48"/>
      <c r="AB239" s="110"/>
      <c r="AC239" s="84"/>
      <c r="AD239" s="84"/>
      <c r="AE239" s="84"/>
      <c r="AF239" s="84"/>
      <c r="AG239" s="48"/>
      <c r="AH239" s="48"/>
      <c r="AI239" s="48"/>
      <c r="AJ239" s="111"/>
      <c r="AK239" s="115">
        <f t="shared" si="22"/>
        <v>0</v>
      </c>
      <c r="AL239" s="48"/>
      <c r="AM239" s="48"/>
      <c r="AN239" s="48"/>
      <c r="AO239" s="48"/>
      <c r="AP239" s="48"/>
      <c r="AQ239" s="112"/>
      <c r="AR239" s="48"/>
      <c r="AS239" s="113"/>
    </row>
    <row r="240" ht="15.75" customHeight="1">
      <c r="A240" s="48"/>
      <c r="B240" s="98"/>
      <c r="C240" s="126"/>
      <c r="D240" s="98"/>
      <c r="E240" s="131"/>
      <c r="F240" s="103">
        <f t="shared" si="1"/>
        <v>0</v>
      </c>
      <c r="G240" s="104"/>
      <c r="H240" s="104"/>
      <c r="I240" s="104"/>
      <c r="J240" s="115">
        <f t="shared" si="4"/>
        <v>0</v>
      </c>
      <c r="K240" s="48" t="s">
        <v>42</v>
      </c>
      <c r="L240" s="47">
        <f t="shared" si="23"/>
        <v>0</v>
      </c>
      <c r="M240" s="48"/>
      <c r="N240" s="49"/>
      <c r="O240" s="48"/>
      <c r="P240" s="48"/>
      <c r="Q240" s="48"/>
      <c r="R240" s="48"/>
      <c r="S240" s="48"/>
      <c r="T240" s="48"/>
      <c r="U240" s="48"/>
      <c r="V240" s="48"/>
      <c r="W240" s="106"/>
      <c r="X240" s="48"/>
      <c r="Y240" s="116">
        <f t="shared" si="8"/>
        <v>0</v>
      </c>
      <c r="Z240" s="108"/>
      <c r="AA240" s="48"/>
      <c r="AB240" s="110"/>
      <c r="AC240" s="84"/>
      <c r="AD240" s="84"/>
      <c r="AE240" s="84"/>
      <c r="AF240" s="84"/>
      <c r="AG240" s="48"/>
      <c r="AH240" s="48"/>
      <c r="AI240" s="48"/>
      <c r="AJ240" s="111"/>
      <c r="AK240" s="115">
        <f t="shared" si="22"/>
        <v>0</v>
      </c>
      <c r="AL240" s="48"/>
      <c r="AM240" s="48"/>
      <c r="AN240" s="48"/>
      <c r="AO240" s="48"/>
      <c r="AP240" s="48"/>
      <c r="AQ240" s="112"/>
      <c r="AR240" s="48"/>
      <c r="AS240" s="113"/>
    </row>
    <row r="241" ht="15.75" customHeight="1">
      <c r="A241" s="48"/>
      <c r="B241" s="98"/>
      <c r="C241" s="126"/>
      <c r="D241" s="98"/>
      <c r="E241" s="129"/>
      <c r="F241" s="103">
        <f t="shared" si="1"/>
        <v>0</v>
      </c>
      <c r="G241" s="104"/>
      <c r="H241" s="104"/>
      <c r="I241" s="104"/>
      <c r="J241" s="115">
        <f t="shared" si="4"/>
        <v>0</v>
      </c>
      <c r="K241" s="48" t="s">
        <v>42</v>
      </c>
      <c r="L241" s="47">
        <f t="shared" si="23"/>
        <v>0</v>
      </c>
      <c r="M241" s="48"/>
      <c r="N241" s="49"/>
      <c r="O241" s="48"/>
      <c r="P241" s="48"/>
      <c r="Q241" s="48"/>
      <c r="R241" s="48"/>
      <c r="S241" s="48"/>
      <c r="T241" s="48"/>
      <c r="U241" s="48"/>
      <c r="V241" s="48"/>
      <c r="W241" s="106"/>
      <c r="X241" s="48"/>
      <c r="Y241" s="116">
        <f t="shared" si="8"/>
        <v>0</v>
      </c>
      <c r="Z241" s="108"/>
      <c r="AA241" s="48"/>
      <c r="AB241" s="110"/>
      <c r="AC241" s="84"/>
      <c r="AD241" s="84"/>
      <c r="AE241" s="84"/>
      <c r="AF241" s="84"/>
      <c r="AG241" s="48"/>
      <c r="AH241" s="48"/>
      <c r="AI241" s="48"/>
      <c r="AJ241" s="111"/>
      <c r="AK241" s="115">
        <f t="shared" si="22"/>
        <v>0</v>
      </c>
      <c r="AL241" s="48"/>
      <c r="AM241" s="48"/>
      <c r="AN241" s="48"/>
      <c r="AO241" s="48"/>
      <c r="AP241" s="48"/>
      <c r="AQ241" s="112"/>
      <c r="AR241" s="48"/>
      <c r="AS241" s="113"/>
    </row>
    <row r="242" ht="15.75" customHeight="1">
      <c r="A242" s="48"/>
      <c r="B242" s="98"/>
      <c r="C242" s="126"/>
      <c r="D242" s="98"/>
      <c r="E242" s="129"/>
      <c r="F242" s="103">
        <f t="shared" si="1"/>
        <v>0</v>
      </c>
      <c r="G242" s="104"/>
      <c r="H242" s="104"/>
      <c r="I242" s="104"/>
      <c r="J242" s="115">
        <f t="shared" si="4"/>
        <v>0</v>
      </c>
      <c r="K242" s="48" t="s">
        <v>42</v>
      </c>
      <c r="L242" s="47">
        <f t="shared" si="23"/>
        <v>0</v>
      </c>
      <c r="M242" s="48"/>
      <c r="N242" s="49"/>
      <c r="O242" s="48"/>
      <c r="P242" s="48"/>
      <c r="Q242" s="48"/>
      <c r="R242" s="48"/>
      <c r="S242" s="48"/>
      <c r="T242" s="48"/>
      <c r="U242" s="48"/>
      <c r="V242" s="48"/>
      <c r="W242" s="106"/>
      <c r="X242" s="48"/>
      <c r="Y242" s="116">
        <f t="shared" si="8"/>
        <v>0</v>
      </c>
      <c r="Z242" s="108"/>
      <c r="AA242" s="48"/>
      <c r="AB242" s="110"/>
      <c r="AC242" s="84"/>
      <c r="AD242" s="84"/>
      <c r="AE242" s="84"/>
      <c r="AF242" s="84"/>
      <c r="AG242" s="48"/>
      <c r="AH242" s="48"/>
      <c r="AI242" s="48"/>
      <c r="AJ242" s="111"/>
      <c r="AK242" s="115">
        <f t="shared" si="22"/>
        <v>0</v>
      </c>
      <c r="AL242" s="48"/>
      <c r="AM242" s="48"/>
      <c r="AN242" s="48"/>
      <c r="AO242" s="48"/>
      <c r="AP242" s="48"/>
      <c r="AQ242" s="112"/>
      <c r="AR242" s="48"/>
      <c r="AS242" s="113"/>
    </row>
    <row r="243" ht="15.75" customHeight="1">
      <c r="A243" s="48"/>
      <c r="B243" s="98"/>
      <c r="C243" s="130"/>
      <c r="D243" s="121"/>
      <c r="E243" s="129"/>
      <c r="F243" s="103">
        <f t="shared" si="1"/>
        <v>0</v>
      </c>
      <c r="G243" s="104"/>
      <c r="H243" s="104"/>
      <c r="I243" s="104"/>
      <c r="J243" s="115">
        <f t="shared" si="4"/>
        <v>0</v>
      </c>
      <c r="K243" s="48" t="s">
        <v>42</v>
      </c>
      <c r="L243" s="47">
        <f t="shared" si="23"/>
        <v>0</v>
      </c>
      <c r="M243" s="48"/>
      <c r="N243" s="49"/>
      <c r="O243" s="48"/>
      <c r="P243" s="48"/>
      <c r="Q243" s="48"/>
      <c r="R243" s="48"/>
      <c r="S243" s="48"/>
      <c r="T243" s="48"/>
      <c r="U243" s="48"/>
      <c r="V243" s="48"/>
      <c r="W243" s="106"/>
      <c r="X243" s="48"/>
      <c r="Y243" s="116">
        <f t="shared" si="8"/>
        <v>0</v>
      </c>
      <c r="Z243" s="108"/>
      <c r="AA243" s="48"/>
      <c r="AB243" s="110"/>
      <c r="AC243" s="84"/>
      <c r="AD243" s="84"/>
      <c r="AE243" s="84"/>
      <c r="AF243" s="84"/>
      <c r="AG243" s="48"/>
      <c r="AH243" s="48"/>
      <c r="AI243" s="48"/>
      <c r="AJ243" s="111"/>
      <c r="AK243" s="115">
        <f t="shared" si="22"/>
        <v>0</v>
      </c>
      <c r="AL243" s="48"/>
      <c r="AM243" s="48"/>
      <c r="AN243" s="48"/>
      <c r="AO243" s="48"/>
      <c r="AP243" s="48"/>
      <c r="AQ243" s="112"/>
      <c r="AR243" s="48"/>
      <c r="AS243" s="113"/>
    </row>
    <row r="244" ht="15.75" customHeight="1">
      <c r="A244" s="48"/>
      <c r="B244" s="98"/>
      <c r="C244" s="130"/>
      <c r="D244" s="121"/>
      <c r="E244" s="129"/>
      <c r="F244" s="103">
        <f t="shared" si="1"/>
        <v>0</v>
      </c>
      <c r="G244" s="104"/>
      <c r="H244" s="104"/>
      <c r="I244" s="104"/>
      <c r="J244" s="115">
        <f t="shared" si="4"/>
        <v>0</v>
      </c>
      <c r="K244" s="48" t="s">
        <v>42</v>
      </c>
      <c r="L244" s="47">
        <f t="shared" si="23"/>
        <v>0</v>
      </c>
      <c r="M244" s="48"/>
      <c r="N244" s="49"/>
      <c r="O244" s="48"/>
      <c r="P244" s="48"/>
      <c r="Q244" s="48"/>
      <c r="R244" s="48"/>
      <c r="S244" s="48"/>
      <c r="T244" s="48"/>
      <c r="U244" s="48"/>
      <c r="V244" s="48"/>
      <c r="W244" s="106"/>
      <c r="X244" s="48"/>
      <c r="Y244" s="116">
        <f t="shared" si="8"/>
        <v>0</v>
      </c>
      <c r="Z244" s="108"/>
      <c r="AA244" s="48"/>
      <c r="AB244" s="110"/>
      <c r="AC244" s="84"/>
      <c r="AD244" s="84"/>
      <c r="AE244" s="84"/>
      <c r="AF244" s="84"/>
      <c r="AG244" s="48"/>
      <c r="AH244" s="48"/>
      <c r="AI244" s="48"/>
      <c r="AJ244" s="111"/>
      <c r="AK244" s="115">
        <f t="shared" si="22"/>
        <v>0</v>
      </c>
      <c r="AL244" s="48"/>
      <c r="AM244" s="48"/>
      <c r="AN244" s="48"/>
      <c r="AO244" s="48"/>
      <c r="AP244" s="48"/>
      <c r="AQ244" s="112"/>
      <c r="AR244" s="48"/>
      <c r="AS244" s="113"/>
    </row>
    <row r="245" ht="15.75" customHeight="1">
      <c r="A245" s="48"/>
      <c r="B245" s="98"/>
      <c r="C245" s="130"/>
      <c r="D245" s="121"/>
      <c r="E245" s="129"/>
      <c r="F245" s="103">
        <f t="shared" si="1"/>
        <v>0</v>
      </c>
      <c r="G245" s="104"/>
      <c r="H245" s="104"/>
      <c r="I245" s="104"/>
      <c r="J245" s="115">
        <f t="shared" si="4"/>
        <v>0</v>
      </c>
      <c r="K245" s="48" t="s">
        <v>42</v>
      </c>
      <c r="L245" s="47">
        <f t="shared" si="23"/>
        <v>0</v>
      </c>
      <c r="M245" s="48"/>
      <c r="N245" s="49"/>
      <c r="O245" s="48"/>
      <c r="P245" s="48"/>
      <c r="Q245" s="48"/>
      <c r="R245" s="48"/>
      <c r="S245" s="48"/>
      <c r="T245" s="48"/>
      <c r="U245" s="48"/>
      <c r="V245" s="48"/>
      <c r="W245" s="106"/>
      <c r="X245" s="48"/>
      <c r="Y245" s="116">
        <f t="shared" si="8"/>
        <v>0</v>
      </c>
      <c r="Z245" s="108"/>
      <c r="AA245" s="48"/>
      <c r="AB245" s="110"/>
      <c r="AC245" s="84"/>
      <c r="AD245" s="84"/>
      <c r="AE245" s="84"/>
      <c r="AF245" s="84"/>
      <c r="AG245" s="48"/>
      <c r="AH245" s="48"/>
      <c r="AI245" s="48"/>
      <c r="AJ245" s="111"/>
      <c r="AK245" s="115">
        <f t="shared" si="22"/>
        <v>0</v>
      </c>
      <c r="AL245" s="48"/>
      <c r="AM245" s="48"/>
      <c r="AN245" s="48"/>
      <c r="AO245" s="48"/>
      <c r="AP245" s="48"/>
      <c r="AQ245" s="112"/>
      <c r="AR245" s="48"/>
      <c r="AS245" s="113"/>
    </row>
    <row r="246" ht="15.75" customHeight="1">
      <c r="A246" s="48"/>
      <c r="B246" s="98"/>
      <c r="C246" s="130"/>
      <c r="D246" s="121"/>
      <c r="E246" s="129"/>
      <c r="F246" s="103">
        <f t="shared" si="1"/>
        <v>0</v>
      </c>
      <c r="G246" s="104"/>
      <c r="H246" s="104"/>
      <c r="I246" s="104"/>
      <c r="J246" s="115">
        <f t="shared" si="4"/>
        <v>0</v>
      </c>
      <c r="K246" s="48" t="s">
        <v>42</v>
      </c>
      <c r="L246" s="47">
        <f t="shared" si="23"/>
        <v>0</v>
      </c>
      <c r="M246" s="48"/>
      <c r="N246" s="49"/>
      <c r="O246" s="48"/>
      <c r="P246" s="48"/>
      <c r="Q246" s="48"/>
      <c r="R246" s="48"/>
      <c r="S246" s="48"/>
      <c r="T246" s="48"/>
      <c r="U246" s="48"/>
      <c r="V246" s="48"/>
      <c r="W246" s="106"/>
      <c r="X246" s="48"/>
      <c r="Y246" s="116">
        <f t="shared" si="8"/>
        <v>0</v>
      </c>
      <c r="Z246" s="108"/>
      <c r="AA246" s="48"/>
      <c r="AB246" s="110"/>
      <c r="AC246" s="84"/>
      <c r="AD246" s="84"/>
      <c r="AE246" s="84"/>
      <c r="AF246" s="84"/>
      <c r="AG246" s="48"/>
      <c r="AH246" s="48"/>
      <c r="AI246" s="48"/>
      <c r="AJ246" s="111"/>
      <c r="AK246" s="115">
        <f t="shared" si="22"/>
        <v>0</v>
      </c>
      <c r="AL246" s="48"/>
      <c r="AM246" s="48"/>
      <c r="AN246" s="48"/>
      <c r="AO246" s="48"/>
      <c r="AP246" s="48"/>
      <c r="AQ246" s="112"/>
      <c r="AR246" s="48"/>
      <c r="AS246" s="113"/>
    </row>
    <row r="247" ht="15.75" customHeight="1">
      <c r="A247" s="48"/>
      <c r="B247" s="98"/>
      <c r="C247" s="126"/>
      <c r="D247" s="121"/>
      <c r="E247" s="129"/>
      <c r="F247" s="103">
        <f t="shared" si="1"/>
        <v>0</v>
      </c>
      <c r="G247" s="104"/>
      <c r="H247" s="104"/>
      <c r="I247" s="104"/>
      <c r="J247" s="115">
        <f t="shared" si="4"/>
        <v>0</v>
      </c>
      <c r="K247" s="48" t="s">
        <v>42</v>
      </c>
      <c r="L247" s="47">
        <f t="shared" si="23"/>
        <v>0</v>
      </c>
      <c r="M247" s="48"/>
      <c r="N247" s="49"/>
      <c r="O247" s="48"/>
      <c r="P247" s="48"/>
      <c r="Q247" s="48"/>
      <c r="R247" s="48"/>
      <c r="S247" s="48"/>
      <c r="T247" s="48"/>
      <c r="U247" s="48"/>
      <c r="V247" s="48"/>
      <c r="W247" s="106"/>
      <c r="X247" s="48"/>
      <c r="Y247" s="116">
        <f t="shared" si="8"/>
        <v>0</v>
      </c>
      <c r="Z247" s="108"/>
      <c r="AA247" s="48"/>
      <c r="AB247" s="110"/>
      <c r="AC247" s="84"/>
      <c r="AD247" s="84"/>
      <c r="AE247" s="84"/>
      <c r="AF247" s="84"/>
      <c r="AG247" s="48"/>
      <c r="AH247" s="48"/>
      <c r="AI247" s="48"/>
      <c r="AJ247" s="111"/>
      <c r="AK247" s="115">
        <f t="shared" si="22"/>
        <v>0</v>
      </c>
      <c r="AL247" s="48"/>
      <c r="AM247" s="48"/>
      <c r="AN247" s="48"/>
      <c r="AO247" s="48"/>
      <c r="AP247" s="48"/>
      <c r="AQ247" s="112"/>
      <c r="AR247" s="48"/>
      <c r="AS247" s="113"/>
    </row>
    <row r="248" ht="15.75" customHeight="1">
      <c r="A248" s="48"/>
      <c r="B248" s="98"/>
      <c r="C248" s="128"/>
      <c r="D248" s="121"/>
      <c r="E248" s="129"/>
      <c r="F248" s="103">
        <f t="shared" si="1"/>
        <v>0</v>
      </c>
      <c r="G248" s="104"/>
      <c r="H248" s="104"/>
      <c r="I248" s="104"/>
      <c r="J248" s="115">
        <f t="shared" si="4"/>
        <v>0</v>
      </c>
      <c r="K248" s="48" t="s">
        <v>42</v>
      </c>
      <c r="L248" s="47">
        <f t="shared" si="23"/>
        <v>0</v>
      </c>
      <c r="M248" s="48"/>
      <c r="N248" s="49"/>
      <c r="O248" s="48"/>
      <c r="P248" s="48"/>
      <c r="Q248" s="48"/>
      <c r="R248" s="48"/>
      <c r="S248" s="48"/>
      <c r="T248" s="48"/>
      <c r="U248" s="48"/>
      <c r="V248" s="48"/>
      <c r="W248" s="106"/>
      <c r="X248" s="48"/>
      <c r="Y248" s="116">
        <f t="shared" si="8"/>
        <v>0</v>
      </c>
      <c r="Z248" s="108"/>
      <c r="AA248" s="48"/>
      <c r="AB248" s="110"/>
      <c r="AC248" s="84"/>
      <c r="AD248" s="84"/>
      <c r="AE248" s="84"/>
      <c r="AF248" s="84"/>
      <c r="AG248" s="48"/>
      <c r="AH248" s="48"/>
      <c r="AI248" s="48"/>
      <c r="AJ248" s="111"/>
      <c r="AK248" s="115">
        <f t="shared" si="22"/>
        <v>0</v>
      </c>
      <c r="AL248" s="48"/>
      <c r="AM248" s="48"/>
      <c r="AN248" s="48"/>
      <c r="AO248" s="48"/>
      <c r="AP248" s="48"/>
      <c r="AQ248" s="112"/>
      <c r="AR248" s="48"/>
      <c r="AS248" s="113"/>
    </row>
    <row r="249" ht="15.75" customHeight="1">
      <c r="A249" s="48"/>
      <c r="B249" s="98"/>
      <c r="C249" s="130"/>
      <c r="D249" s="121"/>
      <c r="E249" s="129"/>
      <c r="F249" s="103">
        <f t="shared" si="1"/>
        <v>0</v>
      </c>
      <c r="G249" s="104"/>
      <c r="H249" s="104"/>
      <c r="I249" s="104"/>
      <c r="J249" s="115">
        <f t="shared" si="4"/>
        <v>0</v>
      </c>
      <c r="K249" s="48" t="s">
        <v>42</v>
      </c>
      <c r="L249" s="47">
        <f t="shared" si="23"/>
        <v>0</v>
      </c>
      <c r="M249" s="48"/>
      <c r="N249" s="49"/>
      <c r="O249" s="48"/>
      <c r="P249" s="48"/>
      <c r="Q249" s="48"/>
      <c r="R249" s="48"/>
      <c r="S249" s="48"/>
      <c r="T249" s="48"/>
      <c r="U249" s="48"/>
      <c r="V249" s="48"/>
      <c r="W249" s="106"/>
      <c r="X249" s="48"/>
      <c r="Y249" s="116">
        <f t="shared" si="8"/>
        <v>0</v>
      </c>
      <c r="Z249" s="108"/>
      <c r="AA249" s="48"/>
      <c r="AB249" s="110"/>
      <c r="AC249" s="84"/>
      <c r="AD249" s="84"/>
      <c r="AE249" s="84"/>
      <c r="AF249" s="84"/>
      <c r="AG249" s="48"/>
      <c r="AH249" s="48"/>
      <c r="AI249" s="48"/>
      <c r="AJ249" s="111"/>
      <c r="AK249" s="115">
        <f t="shared" si="22"/>
        <v>0</v>
      </c>
      <c r="AL249" s="48"/>
      <c r="AM249" s="48"/>
      <c r="AN249" s="48"/>
      <c r="AO249" s="48"/>
      <c r="AP249" s="48"/>
      <c r="AQ249" s="112"/>
      <c r="AR249" s="48"/>
      <c r="AS249" s="113"/>
    </row>
    <row r="250" ht="15.75" customHeight="1">
      <c r="A250" s="48"/>
      <c r="B250" s="98"/>
      <c r="C250" s="130"/>
      <c r="D250" s="121"/>
      <c r="E250" s="129"/>
      <c r="F250" s="103">
        <f t="shared" si="1"/>
        <v>0</v>
      </c>
      <c r="G250" s="104"/>
      <c r="H250" s="104"/>
      <c r="I250" s="104"/>
      <c r="J250" s="115">
        <f t="shared" si="4"/>
        <v>0</v>
      </c>
      <c r="K250" s="48" t="s">
        <v>42</v>
      </c>
      <c r="L250" s="47">
        <f t="shared" si="23"/>
        <v>0</v>
      </c>
      <c r="M250" s="48"/>
      <c r="N250" s="49"/>
      <c r="O250" s="48"/>
      <c r="P250" s="48"/>
      <c r="Q250" s="48"/>
      <c r="R250" s="48"/>
      <c r="S250" s="48"/>
      <c r="T250" s="48"/>
      <c r="U250" s="48"/>
      <c r="V250" s="48"/>
      <c r="W250" s="106"/>
      <c r="X250" s="48"/>
      <c r="Y250" s="116">
        <f t="shared" si="8"/>
        <v>0</v>
      </c>
      <c r="Z250" s="108"/>
      <c r="AA250" s="48"/>
      <c r="AB250" s="110"/>
      <c r="AC250" s="84"/>
      <c r="AD250" s="84"/>
      <c r="AE250" s="84"/>
      <c r="AF250" s="84"/>
      <c r="AG250" s="48"/>
      <c r="AH250" s="48"/>
      <c r="AI250" s="48"/>
      <c r="AJ250" s="111"/>
      <c r="AK250" s="115">
        <f t="shared" si="22"/>
        <v>0</v>
      </c>
      <c r="AL250" s="48"/>
      <c r="AM250" s="48"/>
      <c r="AN250" s="48"/>
      <c r="AO250" s="48"/>
      <c r="AP250" s="48"/>
      <c r="AQ250" s="112"/>
      <c r="AR250" s="48"/>
      <c r="AS250" s="113"/>
    </row>
    <row r="251" ht="15.75" customHeight="1">
      <c r="A251" s="48"/>
      <c r="B251" s="98"/>
      <c r="C251" s="128"/>
      <c r="D251" s="121"/>
      <c r="E251" s="129"/>
      <c r="F251" s="103">
        <f t="shared" si="1"/>
        <v>0</v>
      </c>
      <c r="G251" s="104"/>
      <c r="H251" s="104"/>
      <c r="I251" s="104"/>
      <c r="J251" s="115">
        <f t="shared" si="4"/>
        <v>0</v>
      </c>
      <c r="K251" s="48" t="s">
        <v>42</v>
      </c>
      <c r="L251" s="47">
        <f t="shared" si="23"/>
        <v>0</v>
      </c>
      <c r="M251" s="48"/>
      <c r="N251" s="49"/>
      <c r="O251" s="48"/>
      <c r="P251" s="48"/>
      <c r="Q251" s="48"/>
      <c r="R251" s="48"/>
      <c r="S251" s="48"/>
      <c r="T251" s="48"/>
      <c r="U251" s="48"/>
      <c r="V251" s="48"/>
      <c r="W251" s="106"/>
      <c r="X251" s="48"/>
      <c r="Y251" s="116">
        <f t="shared" si="8"/>
        <v>0</v>
      </c>
      <c r="Z251" s="108"/>
      <c r="AA251" s="48"/>
      <c r="AB251" s="110"/>
      <c r="AC251" s="84"/>
      <c r="AD251" s="84"/>
      <c r="AE251" s="84"/>
      <c r="AF251" s="84"/>
      <c r="AG251" s="48"/>
      <c r="AH251" s="48"/>
      <c r="AI251" s="48"/>
      <c r="AJ251" s="111"/>
      <c r="AK251" s="115">
        <f t="shared" si="22"/>
        <v>0</v>
      </c>
      <c r="AL251" s="48"/>
      <c r="AM251" s="48"/>
      <c r="AN251" s="48"/>
      <c r="AO251" s="48"/>
      <c r="AP251" s="48"/>
      <c r="AQ251" s="112"/>
      <c r="AR251" s="48"/>
      <c r="AS251" s="113"/>
    </row>
    <row r="252" ht="15.75" customHeight="1">
      <c r="A252" s="48"/>
      <c r="B252" s="98"/>
      <c r="C252" s="128"/>
      <c r="D252" s="121"/>
      <c r="E252" s="129"/>
      <c r="F252" s="103">
        <f t="shared" si="1"/>
        <v>0</v>
      </c>
      <c r="G252" s="104"/>
      <c r="H252" s="104"/>
      <c r="I252" s="104"/>
      <c r="J252" s="115">
        <f t="shared" si="4"/>
        <v>0</v>
      </c>
      <c r="K252" s="48" t="s">
        <v>42</v>
      </c>
      <c r="L252" s="47">
        <f t="shared" si="23"/>
        <v>0</v>
      </c>
      <c r="M252" s="48"/>
      <c r="N252" s="49"/>
      <c r="O252" s="48"/>
      <c r="P252" s="48"/>
      <c r="Q252" s="48"/>
      <c r="R252" s="48"/>
      <c r="S252" s="48"/>
      <c r="T252" s="48"/>
      <c r="U252" s="48"/>
      <c r="V252" s="48"/>
      <c r="W252" s="106"/>
      <c r="X252" s="48"/>
      <c r="Y252" s="116">
        <f t="shared" si="8"/>
        <v>0</v>
      </c>
      <c r="Z252" s="108"/>
      <c r="AA252" s="48"/>
      <c r="AB252" s="110"/>
      <c r="AC252" s="84"/>
      <c r="AD252" s="84"/>
      <c r="AE252" s="84"/>
      <c r="AF252" s="84"/>
      <c r="AG252" s="48"/>
      <c r="AH252" s="48"/>
      <c r="AI252" s="48"/>
      <c r="AJ252" s="111"/>
      <c r="AK252" s="115">
        <f t="shared" si="22"/>
        <v>0</v>
      </c>
      <c r="AL252" s="48"/>
      <c r="AM252" s="48"/>
      <c r="AN252" s="48"/>
      <c r="AO252" s="48"/>
      <c r="AP252" s="48"/>
      <c r="AQ252" s="112"/>
      <c r="AR252" s="48"/>
      <c r="AS252" s="113"/>
    </row>
    <row r="253" ht="15.75" customHeight="1">
      <c r="A253" s="48"/>
      <c r="B253" s="98"/>
      <c r="C253" s="128"/>
      <c r="D253" s="121"/>
      <c r="E253" s="129"/>
      <c r="F253" s="103">
        <f t="shared" si="1"/>
        <v>0</v>
      </c>
      <c r="G253" s="104"/>
      <c r="H253" s="104"/>
      <c r="I253" s="104"/>
      <c r="J253" s="115">
        <f t="shared" si="4"/>
        <v>0</v>
      </c>
      <c r="K253" s="48" t="s">
        <v>42</v>
      </c>
      <c r="L253" s="47">
        <f t="shared" si="23"/>
        <v>0</v>
      </c>
      <c r="M253" s="48"/>
      <c r="N253" s="49"/>
      <c r="O253" s="48"/>
      <c r="P253" s="48"/>
      <c r="Q253" s="48"/>
      <c r="R253" s="48"/>
      <c r="S253" s="48"/>
      <c r="T253" s="48"/>
      <c r="U253" s="48"/>
      <c r="V253" s="48"/>
      <c r="W253" s="106"/>
      <c r="X253" s="48"/>
      <c r="Y253" s="116">
        <f t="shared" si="8"/>
        <v>0</v>
      </c>
      <c r="Z253" s="108"/>
      <c r="AA253" s="48"/>
      <c r="AB253" s="110"/>
      <c r="AC253" s="84"/>
      <c r="AD253" s="84"/>
      <c r="AE253" s="84"/>
      <c r="AF253" s="84"/>
      <c r="AG253" s="48"/>
      <c r="AH253" s="48"/>
      <c r="AI253" s="48"/>
      <c r="AJ253" s="111"/>
      <c r="AK253" s="115">
        <f t="shared" si="22"/>
        <v>0</v>
      </c>
      <c r="AL253" s="48"/>
      <c r="AM253" s="48"/>
      <c r="AN253" s="48"/>
      <c r="AO253" s="48"/>
      <c r="AP253" s="48"/>
      <c r="AQ253" s="112"/>
      <c r="AR253" s="48"/>
      <c r="AS253" s="113"/>
    </row>
    <row r="254" ht="15.75" customHeight="1">
      <c r="A254" s="48"/>
      <c r="B254" s="98"/>
      <c r="C254" s="128"/>
      <c r="D254" s="121"/>
      <c r="E254" s="129"/>
      <c r="F254" s="103">
        <f t="shared" si="1"/>
        <v>0</v>
      </c>
      <c r="G254" s="104"/>
      <c r="H254" s="104"/>
      <c r="I254" s="104"/>
      <c r="J254" s="115">
        <f t="shared" si="4"/>
        <v>0</v>
      </c>
      <c r="K254" s="48" t="s">
        <v>42</v>
      </c>
      <c r="L254" s="47">
        <f t="shared" si="23"/>
        <v>0</v>
      </c>
      <c r="M254" s="48"/>
      <c r="N254" s="49"/>
      <c r="O254" s="48"/>
      <c r="P254" s="48"/>
      <c r="Q254" s="48"/>
      <c r="R254" s="48"/>
      <c r="S254" s="48"/>
      <c r="T254" s="48"/>
      <c r="U254" s="48"/>
      <c r="V254" s="48"/>
      <c r="W254" s="106"/>
      <c r="X254" s="48"/>
      <c r="Y254" s="116">
        <f t="shared" si="8"/>
        <v>0</v>
      </c>
      <c r="Z254" s="108"/>
      <c r="AA254" s="48"/>
      <c r="AB254" s="110"/>
      <c r="AC254" s="84"/>
      <c r="AD254" s="84"/>
      <c r="AE254" s="84"/>
      <c r="AF254" s="84"/>
      <c r="AG254" s="48"/>
      <c r="AH254" s="48"/>
      <c r="AI254" s="48"/>
      <c r="AJ254" s="111"/>
      <c r="AK254" s="115">
        <f t="shared" si="22"/>
        <v>0</v>
      </c>
      <c r="AL254" s="48"/>
      <c r="AM254" s="48"/>
      <c r="AN254" s="48"/>
      <c r="AO254" s="48"/>
      <c r="AP254" s="48"/>
      <c r="AQ254" s="112"/>
      <c r="AR254" s="48"/>
      <c r="AS254" s="113"/>
    </row>
    <row r="255" ht="15.75" customHeight="1">
      <c r="A255" s="48"/>
      <c r="B255" s="98"/>
      <c r="C255" s="128"/>
      <c r="D255" s="121"/>
      <c r="E255" s="129"/>
      <c r="F255" s="103">
        <f t="shared" si="1"/>
        <v>0</v>
      </c>
      <c r="G255" s="104"/>
      <c r="H255" s="104"/>
      <c r="I255" s="104"/>
      <c r="J255" s="115">
        <f t="shared" si="4"/>
        <v>0</v>
      </c>
      <c r="K255" s="48" t="s">
        <v>42</v>
      </c>
      <c r="L255" s="47">
        <f t="shared" si="23"/>
        <v>0</v>
      </c>
      <c r="M255" s="48"/>
      <c r="N255" s="49"/>
      <c r="O255" s="48"/>
      <c r="P255" s="48"/>
      <c r="Q255" s="48"/>
      <c r="R255" s="48"/>
      <c r="S255" s="48"/>
      <c r="T255" s="48"/>
      <c r="U255" s="48"/>
      <c r="V255" s="48"/>
      <c r="W255" s="106"/>
      <c r="X255" s="48"/>
      <c r="Y255" s="116">
        <f t="shared" si="8"/>
        <v>0</v>
      </c>
      <c r="Z255" s="108"/>
      <c r="AA255" s="48"/>
      <c r="AB255" s="110"/>
      <c r="AC255" s="84"/>
      <c r="AD255" s="84"/>
      <c r="AE255" s="84"/>
      <c r="AF255" s="84"/>
      <c r="AG255" s="48"/>
      <c r="AH255" s="48"/>
      <c r="AI255" s="48"/>
      <c r="AJ255" s="111"/>
      <c r="AK255" s="115">
        <f t="shared" si="22"/>
        <v>0</v>
      </c>
      <c r="AL255" s="48"/>
      <c r="AM255" s="48"/>
      <c r="AN255" s="48"/>
      <c r="AO255" s="48"/>
      <c r="AP255" s="48"/>
      <c r="AQ255" s="112"/>
      <c r="AR255" s="48"/>
      <c r="AS255" s="113"/>
    </row>
    <row r="256" ht="15.75" customHeight="1">
      <c r="A256" s="48"/>
      <c r="B256" s="98"/>
      <c r="C256" s="128"/>
      <c r="D256" s="121"/>
      <c r="E256" s="129"/>
      <c r="F256" s="103">
        <f t="shared" si="1"/>
        <v>0</v>
      </c>
      <c r="G256" s="104"/>
      <c r="H256" s="104"/>
      <c r="I256" s="104"/>
      <c r="J256" s="115">
        <f t="shared" si="4"/>
        <v>0</v>
      </c>
      <c r="K256" s="48" t="s">
        <v>42</v>
      </c>
      <c r="L256" s="47">
        <f t="shared" si="23"/>
        <v>0</v>
      </c>
      <c r="M256" s="48"/>
      <c r="N256" s="49"/>
      <c r="O256" s="48"/>
      <c r="P256" s="48"/>
      <c r="Q256" s="48"/>
      <c r="R256" s="48"/>
      <c r="S256" s="48"/>
      <c r="T256" s="48"/>
      <c r="U256" s="48"/>
      <c r="V256" s="48"/>
      <c r="W256" s="106"/>
      <c r="X256" s="48"/>
      <c r="Y256" s="116">
        <f t="shared" si="8"/>
        <v>0</v>
      </c>
      <c r="Z256" s="108"/>
      <c r="AA256" s="48"/>
      <c r="AB256" s="110"/>
      <c r="AC256" s="84"/>
      <c r="AD256" s="84"/>
      <c r="AE256" s="84"/>
      <c r="AF256" s="84"/>
      <c r="AG256" s="48"/>
      <c r="AH256" s="48"/>
      <c r="AI256" s="48"/>
      <c r="AJ256" s="111"/>
      <c r="AK256" s="115">
        <f t="shared" si="22"/>
        <v>0</v>
      </c>
      <c r="AL256" s="48"/>
      <c r="AM256" s="48"/>
      <c r="AN256" s="48"/>
      <c r="AO256" s="48"/>
      <c r="AP256" s="48"/>
      <c r="AQ256" s="112"/>
      <c r="AR256" s="48"/>
      <c r="AS256" s="113"/>
    </row>
    <row r="257" ht="15.75" customHeight="1">
      <c r="A257" s="48"/>
      <c r="B257" s="98"/>
      <c r="C257" s="128"/>
      <c r="D257" s="121"/>
      <c r="E257" s="129"/>
      <c r="F257" s="103">
        <f t="shared" si="1"/>
        <v>0</v>
      </c>
      <c r="G257" s="104"/>
      <c r="H257" s="104"/>
      <c r="I257" s="104"/>
      <c r="J257" s="115">
        <f t="shared" si="4"/>
        <v>0</v>
      </c>
      <c r="K257" s="48" t="s">
        <v>42</v>
      </c>
      <c r="L257" s="47">
        <f t="shared" si="23"/>
        <v>0</v>
      </c>
      <c r="M257" s="48"/>
      <c r="N257" s="49"/>
      <c r="O257" s="48"/>
      <c r="P257" s="48"/>
      <c r="Q257" s="48"/>
      <c r="R257" s="48"/>
      <c r="S257" s="48"/>
      <c r="T257" s="48"/>
      <c r="U257" s="48"/>
      <c r="V257" s="48"/>
      <c r="W257" s="106"/>
      <c r="X257" s="48"/>
      <c r="Y257" s="116">
        <f t="shared" si="8"/>
        <v>0</v>
      </c>
      <c r="Z257" s="108"/>
      <c r="AA257" s="48"/>
      <c r="AB257" s="110"/>
      <c r="AC257" s="84"/>
      <c r="AD257" s="84"/>
      <c r="AE257" s="84"/>
      <c r="AF257" s="84"/>
      <c r="AG257" s="48"/>
      <c r="AH257" s="48"/>
      <c r="AI257" s="48"/>
      <c r="AJ257" s="111"/>
      <c r="AK257" s="115">
        <f t="shared" si="22"/>
        <v>0</v>
      </c>
      <c r="AL257" s="48"/>
      <c r="AM257" s="48"/>
      <c r="AN257" s="48"/>
      <c r="AO257" s="48"/>
      <c r="AP257" s="48"/>
      <c r="AQ257" s="112"/>
      <c r="AR257" s="48"/>
      <c r="AS257" s="113"/>
    </row>
    <row r="258" ht="15.75" customHeight="1">
      <c r="A258" s="48"/>
      <c r="B258" s="98"/>
      <c r="C258" s="128"/>
      <c r="D258" s="121"/>
      <c r="E258" s="129"/>
      <c r="F258" s="103">
        <f t="shared" si="1"/>
        <v>0</v>
      </c>
      <c r="G258" s="104"/>
      <c r="H258" s="104"/>
      <c r="I258" s="104"/>
      <c r="J258" s="115">
        <f t="shared" si="4"/>
        <v>0</v>
      </c>
      <c r="K258" s="48" t="s">
        <v>42</v>
      </c>
      <c r="L258" s="47">
        <f t="shared" si="23"/>
        <v>0</v>
      </c>
      <c r="M258" s="48"/>
      <c r="N258" s="49"/>
      <c r="O258" s="48"/>
      <c r="P258" s="48"/>
      <c r="Q258" s="48"/>
      <c r="R258" s="48"/>
      <c r="S258" s="48"/>
      <c r="T258" s="48"/>
      <c r="U258" s="48"/>
      <c r="V258" s="48"/>
      <c r="W258" s="106"/>
      <c r="X258" s="48"/>
      <c r="Y258" s="116">
        <f t="shared" si="8"/>
        <v>0</v>
      </c>
      <c r="Z258" s="108"/>
      <c r="AA258" s="48"/>
      <c r="AB258" s="110"/>
      <c r="AC258" s="84"/>
      <c r="AD258" s="84"/>
      <c r="AE258" s="84"/>
      <c r="AF258" s="84"/>
      <c r="AG258" s="48"/>
      <c r="AH258" s="48"/>
      <c r="AI258" s="48"/>
      <c r="AJ258" s="111"/>
      <c r="AK258" s="115">
        <f t="shared" si="22"/>
        <v>0</v>
      </c>
      <c r="AL258" s="48"/>
      <c r="AM258" s="48"/>
      <c r="AN258" s="48"/>
      <c r="AO258" s="48"/>
      <c r="AP258" s="48"/>
      <c r="AQ258" s="112"/>
      <c r="AR258" s="48"/>
      <c r="AS258" s="113"/>
    </row>
    <row r="259" ht="15.75" customHeight="1">
      <c r="A259" s="48"/>
      <c r="B259" s="98"/>
      <c r="C259" s="128"/>
      <c r="D259" s="121"/>
      <c r="E259" s="129"/>
      <c r="F259" s="103">
        <f t="shared" si="1"/>
        <v>0</v>
      </c>
      <c r="G259" s="104"/>
      <c r="H259" s="104"/>
      <c r="I259" s="104"/>
      <c r="J259" s="115">
        <f t="shared" si="4"/>
        <v>0</v>
      </c>
      <c r="K259" s="48" t="s">
        <v>42</v>
      </c>
      <c r="L259" s="47">
        <f t="shared" si="23"/>
        <v>0</v>
      </c>
      <c r="M259" s="48"/>
      <c r="N259" s="49"/>
      <c r="O259" s="48"/>
      <c r="P259" s="48"/>
      <c r="Q259" s="48"/>
      <c r="R259" s="48"/>
      <c r="S259" s="48"/>
      <c r="T259" s="48"/>
      <c r="U259" s="48"/>
      <c r="V259" s="48"/>
      <c r="W259" s="106"/>
      <c r="X259" s="48"/>
      <c r="Y259" s="116">
        <f t="shared" si="8"/>
        <v>0</v>
      </c>
      <c r="Z259" s="108"/>
      <c r="AA259" s="48"/>
      <c r="AB259" s="110"/>
      <c r="AC259" s="84"/>
      <c r="AD259" s="84"/>
      <c r="AE259" s="84"/>
      <c r="AF259" s="84"/>
      <c r="AG259" s="48"/>
      <c r="AH259" s="48"/>
      <c r="AI259" s="48"/>
      <c r="AJ259" s="111"/>
      <c r="AK259" s="115">
        <f t="shared" si="22"/>
        <v>0</v>
      </c>
      <c r="AL259" s="48"/>
      <c r="AM259" s="48"/>
      <c r="AN259" s="48"/>
      <c r="AO259" s="48"/>
      <c r="AP259" s="48"/>
      <c r="AQ259" s="112"/>
      <c r="AR259" s="48"/>
      <c r="AS259" s="113"/>
    </row>
    <row r="260" ht="15.75" customHeight="1">
      <c r="A260" s="48"/>
      <c r="B260" s="98"/>
      <c r="C260" s="128"/>
      <c r="D260" s="121"/>
      <c r="E260" s="129"/>
      <c r="F260" s="103">
        <f t="shared" si="1"/>
        <v>0</v>
      </c>
      <c r="G260" s="104"/>
      <c r="H260" s="104"/>
      <c r="I260" s="104"/>
      <c r="J260" s="115">
        <f t="shared" si="4"/>
        <v>0</v>
      </c>
      <c r="K260" s="48" t="s">
        <v>42</v>
      </c>
      <c r="L260" s="47">
        <f t="shared" si="23"/>
        <v>0</v>
      </c>
      <c r="M260" s="48"/>
      <c r="N260" s="49"/>
      <c r="O260" s="48"/>
      <c r="P260" s="48"/>
      <c r="Q260" s="48"/>
      <c r="R260" s="48"/>
      <c r="S260" s="48"/>
      <c r="T260" s="48"/>
      <c r="U260" s="48"/>
      <c r="V260" s="48"/>
      <c r="W260" s="106"/>
      <c r="X260" s="48"/>
      <c r="Y260" s="116">
        <f t="shared" si="8"/>
        <v>0</v>
      </c>
      <c r="Z260" s="108"/>
      <c r="AA260" s="48"/>
      <c r="AB260" s="110"/>
      <c r="AC260" s="84"/>
      <c r="AD260" s="84"/>
      <c r="AE260" s="84"/>
      <c r="AF260" s="84"/>
      <c r="AG260" s="48"/>
      <c r="AH260" s="48"/>
      <c r="AI260" s="48"/>
      <c r="AJ260" s="111"/>
      <c r="AK260" s="115">
        <f t="shared" si="22"/>
        <v>0</v>
      </c>
      <c r="AL260" s="48"/>
      <c r="AM260" s="48"/>
      <c r="AN260" s="48"/>
      <c r="AO260" s="48"/>
      <c r="AP260" s="48"/>
      <c r="AQ260" s="112"/>
      <c r="AR260" s="48"/>
      <c r="AS260" s="113"/>
    </row>
    <row r="261" ht="15.75" customHeight="1">
      <c r="A261" s="48"/>
      <c r="B261" s="98"/>
      <c r="C261" s="128"/>
      <c r="D261" s="121"/>
      <c r="E261" s="129"/>
      <c r="F261" s="103">
        <f t="shared" si="1"/>
        <v>0</v>
      </c>
      <c r="G261" s="104"/>
      <c r="H261" s="104"/>
      <c r="I261" s="104"/>
      <c r="J261" s="115">
        <f t="shared" si="4"/>
        <v>0</v>
      </c>
      <c r="K261" s="48" t="s">
        <v>42</v>
      </c>
      <c r="L261" s="47">
        <f t="shared" si="23"/>
        <v>0</v>
      </c>
      <c r="M261" s="48"/>
      <c r="N261" s="49"/>
      <c r="O261" s="48"/>
      <c r="P261" s="48"/>
      <c r="Q261" s="48"/>
      <c r="R261" s="48"/>
      <c r="S261" s="48"/>
      <c r="T261" s="48"/>
      <c r="U261" s="48"/>
      <c r="V261" s="48"/>
      <c r="W261" s="106"/>
      <c r="X261" s="48"/>
      <c r="Y261" s="116">
        <f t="shared" si="8"/>
        <v>0</v>
      </c>
      <c r="Z261" s="108"/>
      <c r="AA261" s="48"/>
      <c r="AB261" s="110"/>
      <c r="AC261" s="84"/>
      <c r="AD261" s="84"/>
      <c r="AE261" s="84"/>
      <c r="AF261" s="84"/>
      <c r="AG261" s="48"/>
      <c r="AH261" s="48"/>
      <c r="AI261" s="48"/>
      <c r="AJ261" s="111"/>
      <c r="AK261" s="115">
        <f t="shared" si="22"/>
        <v>0</v>
      </c>
      <c r="AL261" s="48"/>
      <c r="AM261" s="48"/>
      <c r="AN261" s="48"/>
      <c r="AO261" s="48"/>
      <c r="AP261" s="48"/>
      <c r="AQ261" s="112"/>
      <c r="AR261" s="48"/>
      <c r="AS261" s="113"/>
    </row>
    <row r="262" ht="15.75" customHeight="1">
      <c r="A262" s="48"/>
      <c r="B262" s="98"/>
      <c r="C262" s="126"/>
      <c r="D262" s="121"/>
      <c r="E262" s="129"/>
      <c r="F262" s="103">
        <f t="shared" si="1"/>
        <v>0</v>
      </c>
      <c r="G262" s="104"/>
      <c r="H262" s="104"/>
      <c r="I262" s="104"/>
      <c r="J262" s="115">
        <f t="shared" si="4"/>
        <v>0</v>
      </c>
      <c r="K262" s="48" t="s">
        <v>42</v>
      </c>
      <c r="L262" s="47">
        <f t="shared" si="23"/>
        <v>0</v>
      </c>
      <c r="M262" s="48"/>
      <c r="N262" s="49"/>
      <c r="O262" s="48"/>
      <c r="P262" s="48"/>
      <c r="Q262" s="48"/>
      <c r="R262" s="48"/>
      <c r="S262" s="48"/>
      <c r="T262" s="48"/>
      <c r="U262" s="48"/>
      <c r="V262" s="48"/>
      <c r="W262" s="106"/>
      <c r="X262" s="48"/>
      <c r="Y262" s="116">
        <f t="shared" si="8"/>
        <v>0</v>
      </c>
      <c r="Z262" s="108"/>
      <c r="AA262" s="48"/>
      <c r="AB262" s="110"/>
      <c r="AC262" s="84"/>
      <c r="AD262" s="84"/>
      <c r="AE262" s="84"/>
      <c r="AF262" s="84"/>
      <c r="AG262" s="48"/>
      <c r="AH262" s="48"/>
      <c r="AI262" s="48"/>
      <c r="AJ262" s="111"/>
      <c r="AK262" s="115">
        <f t="shared" si="22"/>
        <v>0</v>
      </c>
      <c r="AL262" s="48"/>
      <c r="AM262" s="48"/>
      <c r="AN262" s="48"/>
      <c r="AO262" s="48"/>
      <c r="AP262" s="48"/>
      <c r="AQ262" s="112"/>
      <c r="AR262" s="48"/>
      <c r="AS262" s="113"/>
    </row>
    <row r="263" ht="15.75" customHeight="1">
      <c r="A263" s="48"/>
      <c r="B263" s="98"/>
      <c r="C263" s="126"/>
      <c r="D263" s="98"/>
      <c r="E263" s="129"/>
      <c r="F263" s="103">
        <f t="shared" si="1"/>
        <v>0</v>
      </c>
      <c r="G263" s="104"/>
      <c r="H263" s="104"/>
      <c r="I263" s="104"/>
      <c r="J263" s="115">
        <f t="shared" si="4"/>
        <v>0</v>
      </c>
      <c r="K263" s="48" t="s">
        <v>42</v>
      </c>
      <c r="L263" s="47">
        <f t="shared" si="23"/>
        <v>0</v>
      </c>
      <c r="M263" s="48"/>
      <c r="N263" s="49"/>
      <c r="O263" s="48"/>
      <c r="P263" s="48"/>
      <c r="Q263" s="48"/>
      <c r="R263" s="48"/>
      <c r="S263" s="48"/>
      <c r="T263" s="48"/>
      <c r="U263" s="48"/>
      <c r="V263" s="48"/>
      <c r="W263" s="106"/>
      <c r="X263" s="48"/>
      <c r="Y263" s="116">
        <f t="shared" si="8"/>
        <v>0</v>
      </c>
      <c r="Z263" s="108"/>
      <c r="AA263" s="48"/>
      <c r="AB263" s="110"/>
      <c r="AC263" s="84"/>
      <c r="AD263" s="84"/>
      <c r="AE263" s="84"/>
      <c r="AF263" s="84"/>
      <c r="AG263" s="48"/>
      <c r="AH263" s="48"/>
      <c r="AI263" s="48"/>
      <c r="AJ263" s="111"/>
      <c r="AK263" s="115">
        <f t="shared" si="22"/>
        <v>0</v>
      </c>
      <c r="AL263" s="48"/>
      <c r="AM263" s="48"/>
      <c r="AN263" s="48"/>
      <c r="AO263" s="48"/>
      <c r="AP263" s="48"/>
      <c r="AQ263" s="112"/>
      <c r="AR263" s="48"/>
      <c r="AS263" s="113"/>
    </row>
    <row r="264" ht="15.75" customHeight="1">
      <c r="A264" s="48"/>
      <c r="B264" s="98"/>
      <c r="C264" s="126"/>
      <c r="D264" s="98"/>
      <c r="E264" s="129"/>
      <c r="F264" s="103">
        <f t="shared" si="1"/>
        <v>0</v>
      </c>
      <c r="G264" s="104"/>
      <c r="H264" s="104"/>
      <c r="I264" s="104"/>
      <c r="J264" s="115">
        <f t="shared" si="4"/>
        <v>0</v>
      </c>
      <c r="K264" s="48" t="s">
        <v>42</v>
      </c>
      <c r="L264" s="47">
        <f t="shared" si="23"/>
        <v>0</v>
      </c>
      <c r="M264" s="48"/>
      <c r="N264" s="49"/>
      <c r="O264" s="48"/>
      <c r="P264" s="48"/>
      <c r="Q264" s="48"/>
      <c r="R264" s="48"/>
      <c r="S264" s="48"/>
      <c r="T264" s="48"/>
      <c r="U264" s="48"/>
      <c r="V264" s="48"/>
      <c r="W264" s="106"/>
      <c r="X264" s="48"/>
      <c r="Y264" s="116">
        <f t="shared" si="8"/>
        <v>0</v>
      </c>
      <c r="Z264" s="108"/>
      <c r="AA264" s="48"/>
      <c r="AB264" s="110"/>
      <c r="AC264" s="84"/>
      <c r="AD264" s="84"/>
      <c r="AE264" s="84"/>
      <c r="AF264" s="84"/>
      <c r="AG264" s="48"/>
      <c r="AH264" s="48"/>
      <c r="AI264" s="48"/>
      <c r="AJ264" s="111"/>
      <c r="AK264" s="115">
        <f t="shared" si="22"/>
        <v>0</v>
      </c>
      <c r="AL264" s="48"/>
      <c r="AM264" s="48"/>
      <c r="AN264" s="48"/>
      <c r="AO264" s="48"/>
      <c r="AP264" s="48"/>
      <c r="AQ264" s="112"/>
      <c r="AR264" s="48"/>
      <c r="AS264" s="113"/>
    </row>
    <row r="265" ht="15.75" customHeight="1">
      <c r="A265" s="48"/>
      <c r="B265" s="98"/>
      <c r="C265" s="126"/>
      <c r="D265" s="121"/>
      <c r="E265" s="129"/>
      <c r="F265" s="103">
        <f t="shared" si="1"/>
        <v>0</v>
      </c>
      <c r="G265" s="104"/>
      <c r="H265" s="104"/>
      <c r="I265" s="104"/>
      <c r="J265" s="115">
        <f t="shared" si="4"/>
        <v>0</v>
      </c>
      <c r="K265" s="48" t="s">
        <v>42</v>
      </c>
      <c r="L265" s="47">
        <f t="shared" si="23"/>
        <v>0</v>
      </c>
      <c r="M265" s="48"/>
      <c r="N265" s="49"/>
      <c r="O265" s="48"/>
      <c r="P265" s="48"/>
      <c r="Q265" s="48"/>
      <c r="R265" s="48"/>
      <c r="S265" s="48"/>
      <c r="T265" s="48"/>
      <c r="U265" s="48"/>
      <c r="V265" s="48"/>
      <c r="W265" s="106"/>
      <c r="X265" s="48"/>
      <c r="Y265" s="116">
        <f t="shared" si="8"/>
        <v>0</v>
      </c>
      <c r="Z265" s="108"/>
      <c r="AA265" s="48"/>
      <c r="AB265" s="110"/>
      <c r="AC265" s="84"/>
      <c r="AD265" s="84"/>
      <c r="AE265" s="84"/>
      <c r="AF265" s="84"/>
      <c r="AG265" s="48"/>
      <c r="AH265" s="48"/>
      <c r="AI265" s="48"/>
      <c r="AJ265" s="111"/>
      <c r="AK265" s="115">
        <f t="shared" si="22"/>
        <v>0</v>
      </c>
      <c r="AL265" s="48"/>
      <c r="AM265" s="48"/>
      <c r="AN265" s="48"/>
      <c r="AO265" s="48"/>
      <c r="AP265" s="48"/>
      <c r="AQ265" s="112"/>
      <c r="AR265" s="48"/>
      <c r="AS265" s="113"/>
    </row>
    <row r="266" ht="15.75" customHeight="1">
      <c r="A266" s="48"/>
      <c r="B266" s="98"/>
      <c r="C266" s="128"/>
      <c r="D266" s="121"/>
      <c r="E266" s="129"/>
      <c r="F266" s="103">
        <f t="shared" si="1"/>
        <v>0</v>
      </c>
      <c r="G266" s="104"/>
      <c r="H266" s="104"/>
      <c r="I266" s="104"/>
      <c r="J266" s="115">
        <f t="shared" si="4"/>
        <v>0</v>
      </c>
      <c r="K266" s="48" t="s">
        <v>42</v>
      </c>
      <c r="L266" s="47">
        <f t="shared" si="23"/>
        <v>0</v>
      </c>
      <c r="M266" s="48"/>
      <c r="N266" s="49"/>
      <c r="O266" s="48"/>
      <c r="P266" s="48"/>
      <c r="Q266" s="48"/>
      <c r="R266" s="48"/>
      <c r="S266" s="48"/>
      <c r="T266" s="48"/>
      <c r="U266" s="48"/>
      <c r="V266" s="48"/>
      <c r="W266" s="106"/>
      <c r="X266" s="48"/>
      <c r="Y266" s="116">
        <f t="shared" si="8"/>
        <v>0</v>
      </c>
      <c r="Z266" s="108"/>
      <c r="AA266" s="48"/>
      <c r="AB266" s="110"/>
      <c r="AC266" s="84"/>
      <c r="AD266" s="84"/>
      <c r="AE266" s="84"/>
      <c r="AF266" s="84"/>
      <c r="AG266" s="48"/>
      <c r="AH266" s="48"/>
      <c r="AI266" s="48"/>
      <c r="AJ266" s="111"/>
      <c r="AK266" s="115">
        <f t="shared" si="22"/>
        <v>0</v>
      </c>
      <c r="AL266" s="48"/>
      <c r="AM266" s="48"/>
      <c r="AN266" s="48"/>
      <c r="AO266" s="48"/>
      <c r="AP266" s="48"/>
      <c r="AQ266" s="112"/>
      <c r="AR266" s="48"/>
      <c r="AS266" s="113"/>
    </row>
    <row r="267" ht="15.75" customHeight="1">
      <c r="A267" s="48"/>
      <c r="B267" s="98"/>
      <c r="C267" s="128"/>
      <c r="D267" s="121"/>
      <c r="E267" s="129"/>
      <c r="F267" s="103">
        <f t="shared" si="1"/>
        <v>0</v>
      </c>
      <c r="G267" s="104"/>
      <c r="H267" s="104"/>
      <c r="I267" s="104"/>
      <c r="J267" s="115">
        <f t="shared" si="4"/>
        <v>0</v>
      </c>
      <c r="K267" s="48" t="s">
        <v>42</v>
      </c>
      <c r="L267" s="47">
        <f t="shared" si="23"/>
        <v>0</v>
      </c>
      <c r="M267" s="48"/>
      <c r="N267" s="49"/>
      <c r="O267" s="48"/>
      <c r="P267" s="48"/>
      <c r="Q267" s="48"/>
      <c r="R267" s="48"/>
      <c r="S267" s="48"/>
      <c r="T267" s="48"/>
      <c r="U267" s="48"/>
      <c r="V267" s="48"/>
      <c r="W267" s="106"/>
      <c r="X267" s="48"/>
      <c r="Y267" s="116">
        <f t="shared" si="8"/>
        <v>0</v>
      </c>
      <c r="Z267" s="108"/>
      <c r="AA267" s="48"/>
      <c r="AB267" s="110"/>
      <c r="AC267" s="84"/>
      <c r="AD267" s="84"/>
      <c r="AE267" s="84"/>
      <c r="AF267" s="84"/>
      <c r="AG267" s="48"/>
      <c r="AH267" s="48"/>
      <c r="AI267" s="48"/>
      <c r="AJ267" s="111"/>
      <c r="AK267" s="115">
        <f t="shared" si="22"/>
        <v>0</v>
      </c>
      <c r="AL267" s="48"/>
      <c r="AM267" s="48"/>
      <c r="AN267" s="48"/>
      <c r="AO267" s="48"/>
      <c r="AP267" s="48"/>
      <c r="AQ267" s="112"/>
      <c r="AR267" s="48"/>
      <c r="AS267" s="113"/>
    </row>
    <row r="268" ht="15.75" customHeight="1">
      <c r="A268" s="48"/>
      <c r="B268" s="98"/>
      <c r="C268" s="128"/>
      <c r="D268" s="121"/>
      <c r="E268" s="129"/>
      <c r="F268" s="103">
        <f t="shared" si="1"/>
        <v>0</v>
      </c>
      <c r="G268" s="104"/>
      <c r="H268" s="104"/>
      <c r="I268" s="104"/>
      <c r="J268" s="115">
        <f t="shared" si="4"/>
        <v>0</v>
      </c>
      <c r="K268" s="48" t="s">
        <v>42</v>
      </c>
      <c r="L268" s="47">
        <f t="shared" si="23"/>
        <v>0</v>
      </c>
      <c r="M268" s="48"/>
      <c r="N268" s="49"/>
      <c r="O268" s="48"/>
      <c r="P268" s="48"/>
      <c r="Q268" s="48"/>
      <c r="R268" s="48"/>
      <c r="S268" s="48"/>
      <c r="T268" s="48"/>
      <c r="U268" s="48"/>
      <c r="V268" s="48"/>
      <c r="W268" s="106"/>
      <c r="X268" s="48"/>
      <c r="Y268" s="116">
        <f t="shared" si="8"/>
        <v>0</v>
      </c>
      <c r="Z268" s="108"/>
      <c r="AA268" s="48"/>
      <c r="AB268" s="110"/>
      <c r="AC268" s="84"/>
      <c r="AD268" s="84"/>
      <c r="AE268" s="84"/>
      <c r="AF268" s="84"/>
      <c r="AG268" s="48"/>
      <c r="AH268" s="48"/>
      <c r="AI268" s="48"/>
      <c r="AJ268" s="111"/>
      <c r="AK268" s="115">
        <f t="shared" si="22"/>
        <v>0</v>
      </c>
      <c r="AL268" s="48"/>
      <c r="AM268" s="48"/>
      <c r="AN268" s="48"/>
      <c r="AO268" s="48"/>
      <c r="AP268" s="48"/>
      <c r="AQ268" s="112"/>
      <c r="AR268" s="48"/>
      <c r="AS268" s="113"/>
    </row>
    <row r="269" ht="15.75" customHeight="1">
      <c r="A269" s="48"/>
      <c r="B269" s="98"/>
      <c r="C269" s="128"/>
      <c r="D269" s="121"/>
      <c r="E269" s="129"/>
      <c r="F269" s="103">
        <f t="shared" si="1"/>
        <v>0</v>
      </c>
      <c r="G269" s="104"/>
      <c r="H269" s="104"/>
      <c r="I269" s="104"/>
      <c r="J269" s="115">
        <f t="shared" si="4"/>
        <v>0</v>
      </c>
      <c r="K269" s="48" t="s">
        <v>42</v>
      </c>
      <c r="L269" s="47">
        <f t="shared" si="23"/>
        <v>0</v>
      </c>
      <c r="M269" s="48"/>
      <c r="N269" s="49"/>
      <c r="O269" s="48"/>
      <c r="P269" s="48"/>
      <c r="Q269" s="48"/>
      <c r="R269" s="48"/>
      <c r="S269" s="48"/>
      <c r="T269" s="48"/>
      <c r="U269" s="48"/>
      <c r="V269" s="48"/>
      <c r="W269" s="106"/>
      <c r="X269" s="48"/>
      <c r="Y269" s="116">
        <f t="shared" si="8"/>
        <v>0</v>
      </c>
      <c r="Z269" s="108"/>
      <c r="AA269" s="48"/>
      <c r="AB269" s="110"/>
      <c r="AC269" s="84"/>
      <c r="AD269" s="84"/>
      <c r="AE269" s="84"/>
      <c r="AF269" s="84"/>
      <c r="AG269" s="48"/>
      <c r="AH269" s="48"/>
      <c r="AI269" s="48"/>
      <c r="AJ269" s="111"/>
      <c r="AK269" s="115">
        <f t="shared" si="22"/>
        <v>0</v>
      </c>
      <c r="AL269" s="48"/>
      <c r="AM269" s="48"/>
      <c r="AN269" s="48"/>
      <c r="AO269" s="48"/>
      <c r="AP269" s="48"/>
      <c r="AQ269" s="112"/>
      <c r="AR269" s="48"/>
      <c r="AS269" s="113"/>
    </row>
    <row r="270" ht="15.75" customHeight="1">
      <c r="A270" s="48"/>
      <c r="B270" s="98"/>
      <c r="C270" s="128"/>
      <c r="D270" s="121"/>
      <c r="E270" s="129"/>
      <c r="F270" s="103">
        <f t="shared" si="1"/>
        <v>0</v>
      </c>
      <c r="G270" s="104"/>
      <c r="H270" s="104"/>
      <c r="I270" s="104"/>
      <c r="J270" s="115">
        <f t="shared" si="4"/>
        <v>0</v>
      </c>
      <c r="K270" s="48" t="s">
        <v>42</v>
      </c>
      <c r="L270" s="47">
        <f t="shared" si="23"/>
        <v>0</v>
      </c>
      <c r="M270" s="48"/>
      <c r="N270" s="49"/>
      <c r="O270" s="48"/>
      <c r="P270" s="48"/>
      <c r="Q270" s="48"/>
      <c r="R270" s="48"/>
      <c r="S270" s="48"/>
      <c r="T270" s="48"/>
      <c r="U270" s="48"/>
      <c r="V270" s="48"/>
      <c r="W270" s="106"/>
      <c r="X270" s="48"/>
      <c r="Y270" s="116">
        <f t="shared" si="8"/>
        <v>0</v>
      </c>
      <c r="Z270" s="108"/>
      <c r="AA270" s="48"/>
      <c r="AB270" s="110"/>
      <c r="AC270" s="84"/>
      <c r="AD270" s="84"/>
      <c r="AE270" s="84"/>
      <c r="AF270" s="84"/>
      <c r="AG270" s="48"/>
      <c r="AH270" s="48"/>
      <c r="AI270" s="48"/>
      <c r="AJ270" s="111"/>
      <c r="AK270" s="115">
        <f t="shared" si="22"/>
        <v>0</v>
      </c>
      <c r="AL270" s="48"/>
      <c r="AM270" s="48"/>
      <c r="AN270" s="48"/>
      <c r="AO270" s="48"/>
      <c r="AP270" s="48"/>
      <c r="AQ270" s="112"/>
      <c r="AR270" s="48"/>
      <c r="AS270" s="113"/>
    </row>
    <row r="271" ht="15.75" customHeight="1">
      <c r="A271" s="48"/>
      <c r="B271" s="98"/>
      <c r="C271" s="128"/>
      <c r="D271" s="121"/>
      <c r="E271" s="129"/>
      <c r="F271" s="103">
        <f t="shared" si="1"/>
        <v>0</v>
      </c>
      <c r="G271" s="104"/>
      <c r="H271" s="104"/>
      <c r="I271" s="104"/>
      <c r="J271" s="115">
        <f t="shared" si="4"/>
        <v>0</v>
      </c>
      <c r="K271" s="48" t="s">
        <v>42</v>
      </c>
      <c r="L271" s="47">
        <f t="shared" si="23"/>
        <v>0</v>
      </c>
      <c r="M271" s="48"/>
      <c r="N271" s="49"/>
      <c r="O271" s="48"/>
      <c r="P271" s="48"/>
      <c r="Q271" s="48"/>
      <c r="R271" s="48"/>
      <c r="S271" s="48"/>
      <c r="T271" s="48"/>
      <c r="U271" s="48"/>
      <c r="V271" s="48"/>
      <c r="W271" s="106"/>
      <c r="X271" s="48"/>
      <c r="Y271" s="116">
        <f t="shared" si="8"/>
        <v>0</v>
      </c>
      <c r="Z271" s="108"/>
      <c r="AA271" s="48"/>
      <c r="AB271" s="110"/>
      <c r="AC271" s="84"/>
      <c r="AD271" s="84"/>
      <c r="AE271" s="84"/>
      <c r="AF271" s="84"/>
      <c r="AG271" s="48"/>
      <c r="AH271" s="48"/>
      <c r="AI271" s="48"/>
      <c r="AJ271" s="111"/>
      <c r="AK271" s="115">
        <f t="shared" si="22"/>
        <v>0</v>
      </c>
      <c r="AL271" s="48"/>
      <c r="AM271" s="48"/>
      <c r="AN271" s="48"/>
      <c r="AO271" s="48"/>
      <c r="AP271" s="48"/>
      <c r="AQ271" s="112"/>
      <c r="AR271" s="48"/>
      <c r="AS271" s="113"/>
    </row>
    <row r="272" ht="15.75" customHeight="1">
      <c r="A272" s="48"/>
      <c r="B272" s="98"/>
      <c r="C272" s="128"/>
      <c r="D272" s="121"/>
      <c r="E272" s="129"/>
      <c r="F272" s="103">
        <f t="shared" si="1"/>
        <v>0</v>
      </c>
      <c r="G272" s="104"/>
      <c r="H272" s="104"/>
      <c r="I272" s="104"/>
      <c r="J272" s="115">
        <f t="shared" si="4"/>
        <v>0</v>
      </c>
      <c r="K272" s="48" t="s">
        <v>42</v>
      </c>
      <c r="L272" s="47">
        <f t="shared" si="23"/>
        <v>0</v>
      </c>
      <c r="M272" s="48"/>
      <c r="N272" s="49"/>
      <c r="O272" s="48"/>
      <c r="P272" s="48"/>
      <c r="Q272" s="48"/>
      <c r="R272" s="48"/>
      <c r="S272" s="48"/>
      <c r="T272" s="48"/>
      <c r="U272" s="48"/>
      <c r="V272" s="48"/>
      <c r="W272" s="106"/>
      <c r="X272" s="48"/>
      <c r="Y272" s="116">
        <f t="shared" si="8"/>
        <v>0</v>
      </c>
      <c r="Z272" s="108"/>
      <c r="AA272" s="48"/>
      <c r="AB272" s="110"/>
      <c r="AC272" s="84"/>
      <c r="AD272" s="84"/>
      <c r="AE272" s="84"/>
      <c r="AF272" s="84"/>
      <c r="AG272" s="48"/>
      <c r="AH272" s="48"/>
      <c r="AI272" s="48"/>
      <c r="AJ272" s="111"/>
      <c r="AK272" s="115">
        <f t="shared" si="22"/>
        <v>0</v>
      </c>
      <c r="AL272" s="48"/>
      <c r="AM272" s="48"/>
      <c r="AN272" s="48"/>
      <c r="AO272" s="48"/>
      <c r="AP272" s="48"/>
      <c r="AQ272" s="112"/>
      <c r="AR272" s="48"/>
      <c r="AS272" s="113"/>
    </row>
    <row r="273" ht="15.75" customHeight="1">
      <c r="A273" s="48"/>
      <c r="B273" s="98"/>
      <c r="C273" s="128"/>
      <c r="D273" s="121"/>
      <c r="E273" s="129"/>
      <c r="F273" s="103">
        <f t="shared" si="1"/>
        <v>0</v>
      </c>
      <c r="G273" s="104"/>
      <c r="H273" s="104"/>
      <c r="I273" s="104"/>
      <c r="J273" s="115">
        <f t="shared" si="4"/>
        <v>0</v>
      </c>
      <c r="K273" s="48" t="s">
        <v>42</v>
      </c>
      <c r="L273" s="47">
        <f t="shared" si="23"/>
        <v>0</v>
      </c>
      <c r="M273" s="48"/>
      <c r="N273" s="49"/>
      <c r="O273" s="48"/>
      <c r="P273" s="48"/>
      <c r="Q273" s="48"/>
      <c r="R273" s="48"/>
      <c r="S273" s="48"/>
      <c r="T273" s="48"/>
      <c r="U273" s="48"/>
      <c r="V273" s="48"/>
      <c r="W273" s="106"/>
      <c r="X273" s="48"/>
      <c r="Y273" s="116">
        <f t="shared" si="8"/>
        <v>0</v>
      </c>
      <c r="Z273" s="108"/>
      <c r="AA273" s="48"/>
      <c r="AB273" s="110"/>
      <c r="AC273" s="84"/>
      <c r="AD273" s="84"/>
      <c r="AE273" s="84"/>
      <c r="AF273" s="84"/>
      <c r="AG273" s="48"/>
      <c r="AH273" s="48"/>
      <c r="AI273" s="48"/>
      <c r="AJ273" s="111"/>
      <c r="AK273" s="115">
        <f t="shared" si="22"/>
        <v>0</v>
      </c>
      <c r="AL273" s="48"/>
      <c r="AM273" s="48"/>
      <c r="AN273" s="48"/>
      <c r="AO273" s="48"/>
      <c r="AP273" s="48"/>
      <c r="AQ273" s="112"/>
      <c r="AR273" s="48"/>
      <c r="AS273" s="113"/>
    </row>
    <row r="274" ht="15.75" customHeight="1">
      <c r="A274" s="48"/>
      <c r="B274" s="98"/>
      <c r="C274" s="126"/>
      <c r="D274" s="98"/>
      <c r="E274" s="129"/>
      <c r="F274" s="103">
        <f t="shared" si="1"/>
        <v>0</v>
      </c>
      <c r="G274" s="104"/>
      <c r="H274" s="104"/>
      <c r="I274" s="104"/>
      <c r="J274" s="115">
        <f t="shared" si="4"/>
        <v>0</v>
      </c>
      <c r="K274" s="48" t="s">
        <v>42</v>
      </c>
      <c r="L274" s="47">
        <f t="shared" si="23"/>
        <v>0</v>
      </c>
      <c r="M274" s="48"/>
      <c r="N274" s="49"/>
      <c r="O274" s="48"/>
      <c r="P274" s="48"/>
      <c r="Q274" s="48"/>
      <c r="R274" s="48"/>
      <c r="S274" s="48"/>
      <c r="T274" s="48"/>
      <c r="U274" s="48"/>
      <c r="V274" s="48"/>
      <c r="W274" s="106"/>
      <c r="X274" s="48"/>
      <c r="Y274" s="116">
        <f t="shared" si="8"/>
        <v>0</v>
      </c>
      <c r="Z274" s="108"/>
      <c r="AA274" s="48"/>
      <c r="AB274" s="110"/>
      <c r="AC274" s="84"/>
      <c r="AD274" s="84"/>
      <c r="AE274" s="84"/>
      <c r="AF274" s="84"/>
      <c r="AG274" s="48"/>
      <c r="AH274" s="48"/>
      <c r="AI274" s="48"/>
      <c r="AJ274" s="111"/>
      <c r="AK274" s="115">
        <f t="shared" si="22"/>
        <v>0</v>
      </c>
      <c r="AL274" s="48"/>
      <c r="AM274" s="48"/>
      <c r="AN274" s="48"/>
      <c r="AO274" s="48"/>
      <c r="AP274" s="48"/>
      <c r="AQ274" s="112"/>
      <c r="AR274" s="48"/>
      <c r="AS274" s="113"/>
    </row>
    <row r="275" ht="15.75" customHeight="1">
      <c r="A275" s="48"/>
      <c r="B275" s="98"/>
      <c r="C275" s="126"/>
      <c r="D275" s="98"/>
      <c r="E275" s="129"/>
      <c r="F275" s="103">
        <f t="shared" si="1"/>
        <v>0</v>
      </c>
      <c r="G275" s="104"/>
      <c r="H275" s="104"/>
      <c r="I275" s="104"/>
      <c r="J275" s="115">
        <f t="shared" si="4"/>
        <v>0</v>
      </c>
      <c r="K275" s="48" t="s">
        <v>42</v>
      </c>
      <c r="L275" s="47">
        <f t="shared" si="23"/>
        <v>0</v>
      </c>
      <c r="M275" s="48"/>
      <c r="N275" s="49"/>
      <c r="O275" s="48"/>
      <c r="P275" s="48"/>
      <c r="Q275" s="48"/>
      <c r="R275" s="48"/>
      <c r="S275" s="48"/>
      <c r="T275" s="48"/>
      <c r="U275" s="48"/>
      <c r="V275" s="48"/>
      <c r="W275" s="106"/>
      <c r="X275" s="48"/>
      <c r="Y275" s="116">
        <f t="shared" si="8"/>
        <v>0</v>
      </c>
      <c r="Z275" s="108"/>
      <c r="AA275" s="48"/>
      <c r="AB275" s="110"/>
      <c r="AC275" s="84"/>
      <c r="AD275" s="84"/>
      <c r="AE275" s="84"/>
      <c r="AF275" s="84"/>
      <c r="AG275" s="48"/>
      <c r="AH275" s="48"/>
      <c r="AI275" s="48"/>
      <c r="AJ275" s="111"/>
      <c r="AK275" s="115">
        <f t="shared" si="22"/>
        <v>0</v>
      </c>
      <c r="AL275" s="48"/>
      <c r="AM275" s="48"/>
      <c r="AN275" s="48"/>
      <c r="AO275" s="48"/>
      <c r="AP275" s="48"/>
      <c r="AQ275" s="112"/>
      <c r="AR275" s="48"/>
      <c r="AS275" s="113"/>
    </row>
    <row r="276" ht="15.75" customHeight="1">
      <c r="A276" s="48"/>
      <c r="B276" s="98"/>
      <c r="C276" s="130"/>
      <c r="D276" s="121"/>
      <c r="E276" s="129"/>
      <c r="F276" s="103">
        <f t="shared" si="1"/>
        <v>0</v>
      </c>
      <c r="G276" s="104"/>
      <c r="H276" s="104"/>
      <c r="I276" s="104"/>
      <c r="J276" s="115">
        <f t="shared" si="4"/>
        <v>0</v>
      </c>
      <c r="K276" s="48" t="s">
        <v>42</v>
      </c>
      <c r="L276" s="47">
        <f t="shared" si="23"/>
        <v>0</v>
      </c>
      <c r="M276" s="48"/>
      <c r="N276" s="49"/>
      <c r="O276" s="48"/>
      <c r="P276" s="48"/>
      <c r="Q276" s="48"/>
      <c r="R276" s="48"/>
      <c r="S276" s="48"/>
      <c r="T276" s="48"/>
      <c r="U276" s="48"/>
      <c r="V276" s="48"/>
      <c r="W276" s="106"/>
      <c r="X276" s="48"/>
      <c r="Y276" s="116">
        <f t="shared" si="8"/>
        <v>0</v>
      </c>
      <c r="Z276" s="108"/>
      <c r="AA276" s="48"/>
      <c r="AB276" s="110"/>
      <c r="AC276" s="84"/>
      <c r="AD276" s="84"/>
      <c r="AE276" s="84"/>
      <c r="AF276" s="84"/>
      <c r="AG276" s="48"/>
      <c r="AH276" s="48"/>
      <c r="AI276" s="48"/>
      <c r="AJ276" s="111"/>
      <c r="AK276" s="115">
        <f t="shared" si="22"/>
        <v>0</v>
      </c>
      <c r="AL276" s="48"/>
      <c r="AM276" s="48"/>
      <c r="AN276" s="48"/>
      <c r="AO276" s="48"/>
      <c r="AP276" s="48"/>
      <c r="AQ276" s="112"/>
      <c r="AR276" s="48"/>
      <c r="AS276" s="113"/>
    </row>
    <row r="277" ht="15.75" customHeight="1">
      <c r="A277" s="48"/>
      <c r="B277" s="98"/>
      <c r="C277" s="128"/>
      <c r="D277" s="121"/>
      <c r="E277" s="129"/>
      <c r="F277" s="103">
        <f t="shared" si="1"/>
        <v>0</v>
      </c>
      <c r="G277" s="104"/>
      <c r="H277" s="104"/>
      <c r="I277" s="104"/>
      <c r="J277" s="115">
        <f t="shared" si="4"/>
        <v>0</v>
      </c>
      <c r="K277" s="48" t="s">
        <v>42</v>
      </c>
      <c r="L277" s="47">
        <f t="shared" si="23"/>
        <v>0</v>
      </c>
      <c r="M277" s="48"/>
      <c r="N277" s="49"/>
      <c r="O277" s="48"/>
      <c r="P277" s="48"/>
      <c r="Q277" s="48"/>
      <c r="R277" s="48"/>
      <c r="S277" s="48"/>
      <c r="T277" s="48"/>
      <c r="U277" s="48"/>
      <c r="V277" s="48"/>
      <c r="W277" s="106"/>
      <c r="X277" s="48"/>
      <c r="Y277" s="116">
        <f t="shared" si="8"/>
        <v>0</v>
      </c>
      <c r="Z277" s="108"/>
      <c r="AA277" s="48"/>
      <c r="AB277" s="110"/>
      <c r="AC277" s="84"/>
      <c r="AD277" s="84"/>
      <c r="AE277" s="84"/>
      <c r="AF277" s="84"/>
      <c r="AG277" s="48"/>
      <c r="AH277" s="48"/>
      <c r="AI277" s="48"/>
      <c r="AJ277" s="111"/>
      <c r="AK277" s="115">
        <f t="shared" si="22"/>
        <v>0</v>
      </c>
      <c r="AL277" s="48"/>
      <c r="AM277" s="48"/>
      <c r="AN277" s="48"/>
      <c r="AO277" s="48"/>
      <c r="AP277" s="48"/>
      <c r="AQ277" s="112"/>
      <c r="AR277" s="48"/>
      <c r="AS277" s="113"/>
    </row>
    <row r="278" ht="15.75" customHeight="1">
      <c r="A278" s="48"/>
      <c r="B278" s="98"/>
      <c r="C278" s="128"/>
      <c r="D278" s="121"/>
      <c r="E278" s="129"/>
      <c r="F278" s="103">
        <f t="shared" si="1"/>
        <v>0</v>
      </c>
      <c r="G278" s="104"/>
      <c r="H278" s="104"/>
      <c r="I278" s="104"/>
      <c r="J278" s="115">
        <f t="shared" si="4"/>
        <v>0</v>
      </c>
      <c r="K278" s="48" t="s">
        <v>42</v>
      </c>
      <c r="L278" s="47">
        <f t="shared" si="23"/>
        <v>0</v>
      </c>
      <c r="M278" s="48"/>
      <c r="N278" s="49"/>
      <c r="O278" s="48"/>
      <c r="P278" s="48"/>
      <c r="Q278" s="48"/>
      <c r="R278" s="48"/>
      <c r="S278" s="48"/>
      <c r="T278" s="48"/>
      <c r="U278" s="48"/>
      <c r="V278" s="48"/>
      <c r="W278" s="106"/>
      <c r="X278" s="48"/>
      <c r="Y278" s="116">
        <f t="shared" si="8"/>
        <v>0</v>
      </c>
      <c r="Z278" s="108"/>
      <c r="AA278" s="48"/>
      <c r="AB278" s="110"/>
      <c r="AC278" s="84"/>
      <c r="AD278" s="84"/>
      <c r="AE278" s="84"/>
      <c r="AF278" s="84"/>
      <c r="AG278" s="48"/>
      <c r="AH278" s="48"/>
      <c r="AI278" s="48"/>
      <c r="AJ278" s="111"/>
      <c r="AK278" s="115">
        <f t="shared" si="22"/>
        <v>0</v>
      </c>
      <c r="AL278" s="48"/>
      <c r="AM278" s="48"/>
      <c r="AN278" s="48"/>
      <c r="AO278" s="48"/>
      <c r="AP278" s="48"/>
      <c r="AQ278" s="112"/>
      <c r="AR278" s="48"/>
      <c r="AS278" s="113"/>
    </row>
    <row r="279" ht="15.75" customHeight="1">
      <c r="A279" s="48"/>
      <c r="B279" s="98"/>
      <c r="C279" s="130"/>
      <c r="D279" s="121"/>
      <c r="E279" s="129"/>
      <c r="F279" s="103">
        <f t="shared" si="1"/>
        <v>0</v>
      </c>
      <c r="G279" s="104"/>
      <c r="H279" s="104"/>
      <c r="I279" s="104"/>
      <c r="J279" s="115">
        <f t="shared" si="4"/>
        <v>0</v>
      </c>
      <c r="K279" s="48" t="s">
        <v>42</v>
      </c>
      <c r="L279" s="47">
        <f t="shared" si="23"/>
        <v>0</v>
      </c>
      <c r="M279" s="48"/>
      <c r="N279" s="49"/>
      <c r="O279" s="48"/>
      <c r="P279" s="48"/>
      <c r="Q279" s="48"/>
      <c r="R279" s="48"/>
      <c r="S279" s="48"/>
      <c r="T279" s="48"/>
      <c r="U279" s="48"/>
      <c r="V279" s="48"/>
      <c r="W279" s="106"/>
      <c r="X279" s="48"/>
      <c r="Y279" s="116">
        <f t="shared" si="8"/>
        <v>0</v>
      </c>
      <c r="Z279" s="108"/>
      <c r="AA279" s="48"/>
      <c r="AB279" s="110"/>
      <c r="AC279" s="84"/>
      <c r="AD279" s="84"/>
      <c r="AE279" s="84"/>
      <c r="AF279" s="84"/>
      <c r="AG279" s="48"/>
      <c r="AH279" s="48"/>
      <c r="AI279" s="48"/>
      <c r="AJ279" s="111"/>
      <c r="AK279" s="115">
        <f t="shared" si="22"/>
        <v>0</v>
      </c>
      <c r="AL279" s="48"/>
      <c r="AM279" s="48"/>
      <c r="AN279" s="48"/>
      <c r="AO279" s="48"/>
      <c r="AP279" s="48"/>
      <c r="AQ279" s="112"/>
      <c r="AR279" s="48"/>
      <c r="AS279" s="113"/>
    </row>
    <row r="280" ht="15.75" customHeight="1">
      <c r="A280" s="48"/>
      <c r="B280" s="98"/>
      <c r="C280" s="130"/>
      <c r="D280" s="121"/>
      <c r="E280" s="129"/>
      <c r="F280" s="103">
        <f t="shared" si="1"/>
        <v>0</v>
      </c>
      <c r="G280" s="104"/>
      <c r="H280" s="104"/>
      <c r="I280" s="104"/>
      <c r="J280" s="115">
        <f t="shared" si="4"/>
        <v>0</v>
      </c>
      <c r="K280" s="48" t="s">
        <v>42</v>
      </c>
      <c r="L280" s="47">
        <f t="shared" si="23"/>
        <v>0</v>
      </c>
      <c r="M280" s="48"/>
      <c r="N280" s="49"/>
      <c r="O280" s="48"/>
      <c r="P280" s="48"/>
      <c r="Q280" s="48"/>
      <c r="R280" s="48"/>
      <c r="S280" s="48"/>
      <c r="T280" s="48"/>
      <c r="U280" s="48"/>
      <c r="V280" s="48"/>
      <c r="W280" s="106"/>
      <c r="X280" s="48"/>
      <c r="Y280" s="116">
        <f t="shared" si="8"/>
        <v>0</v>
      </c>
      <c r="Z280" s="108"/>
      <c r="AA280" s="48"/>
      <c r="AB280" s="110"/>
      <c r="AC280" s="84"/>
      <c r="AD280" s="84"/>
      <c r="AE280" s="84"/>
      <c r="AF280" s="84"/>
      <c r="AG280" s="48"/>
      <c r="AH280" s="48"/>
      <c r="AI280" s="48"/>
      <c r="AJ280" s="111"/>
      <c r="AK280" s="115">
        <f t="shared" si="22"/>
        <v>0</v>
      </c>
      <c r="AL280" s="48"/>
      <c r="AM280" s="48"/>
      <c r="AN280" s="48"/>
      <c r="AO280" s="48"/>
      <c r="AP280" s="48"/>
      <c r="AQ280" s="112"/>
      <c r="AR280" s="48"/>
      <c r="AS280" s="113"/>
    </row>
    <row r="281" ht="15.75" customHeight="1">
      <c r="A281" s="48"/>
      <c r="B281" s="98"/>
      <c r="C281" s="130"/>
      <c r="D281" s="98"/>
      <c r="E281" s="129"/>
      <c r="F281" s="103">
        <f t="shared" si="1"/>
        <v>0</v>
      </c>
      <c r="G281" s="104"/>
      <c r="H281" s="104"/>
      <c r="I281" s="104"/>
      <c r="J281" s="115">
        <f t="shared" si="4"/>
        <v>0</v>
      </c>
      <c r="K281" s="48" t="s">
        <v>42</v>
      </c>
      <c r="L281" s="47">
        <f t="shared" si="23"/>
        <v>0</v>
      </c>
      <c r="M281" s="48"/>
      <c r="N281" s="49"/>
      <c r="O281" s="48"/>
      <c r="P281" s="48"/>
      <c r="Q281" s="48"/>
      <c r="R281" s="48"/>
      <c r="S281" s="48"/>
      <c r="T281" s="48"/>
      <c r="U281" s="48"/>
      <c r="V281" s="48"/>
      <c r="W281" s="106"/>
      <c r="X281" s="48"/>
      <c r="Y281" s="116">
        <f t="shared" si="8"/>
        <v>0</v>
      </c>
      <c r="Z281" s="108"/>
      <c r="AA281" s="48"/>
      <c r="AB281" s="110"/>
      <c r="AC281" s="84"/>
      <c r="AD281" s="84"/>
      <c r="AE281" s="84"/>
      <c r="AF281" s="84"/>
      <c r="AG281" s="48"/>
      <c r="AH281" s="48"/>
      <c r="AI281" s="48"/>
      <c r="AJ281" s="111"/>
      <c r="AK281" s="115">
        <f t="shared" si="22"/>
        <v>0</v>
      </c>
      <c r="AL281" s="48"/>
      <c r="AM281" s="48"/>
      <c r="AN281" s="48"/>
      <c r="AO281" s="48"/>
      <c r="AP281" s="48"/>
      <c r="AQ281" s="112"/>
      <c r="AR281" s="48"/>
      <c r="AS281" s="113"/>
    </row>
    <row r="282" ht="15.75" customHeight="1">
      <c r="A282" s="48"/>
      <c r="B282" s="98"/>
      <c r="C282" s="133"/>
      <c r="D282" s="100"/>
      <c r="E282" s="129"/>
      <c r="F282" s="103">
        <f t="shared" si="1"/>
        <v>0</v>
      </c>
      <c r="G282" s="104"/>
      <c r="H282" s="104"/>
      <c r="I282" s="104"/>
      <c r="J282" s="115">
        <f t="shared" si="4"/>
        <v>0</v>
      </c>
      <c r="K282" s="48" t="s">
        <v>42</v>
      </c>
      <c r="L282" s="47">
        <f t="shared" si="23"/>
        <v>0</v>
      </c>
      <c r="M282" s="48"/>
      <c r="N282" s="49"/>
      <c r="O282" s="48"/>
      <c r="P282" s="48"/>
      <c r="Q282" s="48"/>
      <c r="R282" s="48"/>
      <c r="S282" s="48"/>
      <c r="T282" s="48"/>
      <c r="U282" s="48"/>
      <c r="V282" s="48"/>
      <c r="W282" s="106"/>
      <c r="X282" s="48"/>
      <c r="Y282" s="116">
        <f t="shared" si="8"/>
        <v>0</v>
      </c>
      <c r="Z282" s="108"/>
      <c r="AA282" s="48"/>
      <c r="AB282" s="110"/>
      <c r="AC282" s="84"/>
      <c r="AD282" s="84"/>
      <c r="AE282" s="84"/>
      <c r="AF282" s="84"/>
      <c r="AG282" s="48"/>
      <c r="AH282" s="48"/>
      <c r="AI282" s="48"/>
      <c r="AJ282" s="111"/>
      <c r="AK282" s="115">
        <f t="shared" si="22"/>
        <v>0</v>
      </c>
      <c r="AL282" s="48"/>
      <c r="AM282" s="48"/>
      <c r="AN282" s="48"/>
      <c r="AO282" s="48"/>
      <c r="AP282" s="48"/>
      <c r="AQ282" s="112"/>
      <c r="AR282" s="48"/>
      <c r="AS282" s="113"/>
    </row>
    <row r="283" ht="15.75" customHeight="1">
      <c r="A283" s="48"/>
      <c r="B283" s="98"/>
      <c r="C283" s="126"/>
      <c r="D283" s="98"/>
      <c r="E283" s="129"/>
      <c r="F283" s="103">
        <f t="shared" si="1"/>
        <v>0</v>
      </c>
      <c r="G283" s="104"/>
      <c r="H283" s="104"/>
      <c r="I283" s="104"/>
      <c r="J283" s="115">
        <f t="shared" si="4"/>
        <v>0</v>
      </c>
      <c r="K283" s="48" t="s">
        <v>42</v>
      </c>
      <c r="L283" s="47">
        <f t="shared" si="23"/>
        <v>0</v>
      </c>
      <c r="M283" s="48"/>
      <c r="N283" s="49"/>
      <c r="O283" s="48"/>
      <c r="P283" s="48"/>
      <c r="Q283" s="48"/>
      <c r="R283" s="48"/>
      <c r="S283" s="48"/>
      <c r="T283" s="48"/>
      <c r="U283" s="48"/>
      <c r="V283" s="48"/>
      <c r="W283" s="106"/>
      <c r="X283" s="48"/>
      <c r="Y283" s="116">
        <f t="shared" si="8"/>
        <v>0</v>
      </c>
      <c r="Z283" s="108"/>
      <c r="AA283" s="48"/>
      <c r="AB283" s="110"/>
      <c r="AC283" s="84"/>
      <c r="AD283" s="84"/>
      <c r="AE283" s="84"/>
      <c r="AF283" s="84"/>
      <c r="AG283" s="48"/>
      <c r="AH283" s="48"/>
      <c r="AI283" s="48"/>
      <c r="AJ283" s="111"/>
      <c r="AK283" s="115">
        <f t="shared" si="22"/>
        <v>0</v>
      </c>
      <c r="AL283" s="48"/>
      <c r="AM283" s="48"/>
      <c r="AN283" s="48"/>
      <c r="AO283" s="48"/>
      <c r="AP283" s="48"/>
      <c r="AQ283" s="112"/>
      <c r="AR283" s="48"/>
      <c r="AS283" s="113"/>
    </row>
    <row r="284" ht="15.75" customHeight="1">
      <c r="A284" s="48"/>
      <c r="B284" s="98"/>
      <c r="C284" s="128"/>
      <c r="D284" s="98"/>
      <c r="E284" s="129"/>
      <c r="F284" s="103">
        <f t="shared" si="1"/>
        <v>0</v>
      </c>
      <c r="G284" s="104"/>
      <c r="H284" s="104"/>
      <c r="I284" s="104"/>
      <c r="J284" s="115">
        <f t="shared" si="4"/>
        <v>0</v>
      </c>
      <c r="K284" s="48" t="s">
        <v>42</v>
      </c>
      <c r="L284" s="47">
        <f t="shared" si="23"/>
        <v>0</v>
      </c>
      <c r="M284" s="48"/>
      <c r="N284" s="49"/>
      <c r="O284" s="48"/>
      <c r="P284" s="48"/>
      <c r="Q284" s="48"/>
      <c r="R284" s="48"/>
      <c r="S284" s="48"/>
      <c r="T284" s="48"/>
      <c r="U284" s="48"/>
      <c r="V284" s="48"/>
      <c r="W284" s="106"/>
      <c r="X284" s="48"/>
      <c r="Y284" s="116">
        <f t="shared" si="8"/>
        <v>0</v>
      </c>
      <c r="Z284" s="108"/>
      <c r="AA284" s="48"/>
      <c r="AB284" s="110"/>
      <c r="AC284" s="84"/>
      <c r="AD284" s="84"/>
      <c r="AE284" s="84"/>
      <c r="AF284" s="84"/>
      <c r="AG284" s="48"/>
      <c r="AH284" s="48"/>
      <c r="AI284" s="48"/>
      <c r="AJ284" s="111"/>
      <c r="AK284" s="115">
        <f t="shared" si="22"/>
        <v>0</v>
      </c>
      <c r="AL284" s="48"/>
      <c r="AM284" s="48"/>
      <c r="AN284" s="48"/>
      <c r="AO284" s="48"/>
      <c r="AP284" s="48"/>
      <c r="AQ284" s="112"/>
      <c r="AR284" s="48"/>
      <c r="AS284" s="113"/>
    </row>
    <row r="285" ht="15.75" customHeight="1">
      <c r="A285" s="48"/>
      <c r="B285" s="98"/>
      <c r="C285" s="128"/>
      <c r="D285" s="98"/>
      <c r="E285" s="129"/>
      <c r="F285" s="103">
        <f t="shared" si="1"/>
        <v>0</v>
      </c>
      <c r="G285" s="104"/>
      <c r="H285" s="104"/>
      <c r="I285" s="104"/>
      <c r="J285" s="115">
        <f t="shared" si="4"/>
        <v>0</v>
      </c>
      <c r="K285" s="48" t="s">
        <v>42</v>
      </c>
      <c r="L285" s="47">
        <f t="shared" si="23"/>
        <v>0</v>
      </c>
      <c r="M285" s="48"/>
      <c r="N285" s="49"/>
      <c r="O285" s="48"/>
      <c r="P285" s="48"/>
      <c r="Q285" s="48"/>
      <c r="R285" s="48"/>
      <c r="S285" s="48"/>
      <c r="T285" s="48"/>
      <c r="U285" s="48"/>
      <c r="V285" s="48"/>
      <c r="W285" s="106"/>
      <c r="X285" s="48"/>
      <c r="Y285" s="116">
        <f t="shared" si="8"/>
        <v>0</v>
      </c>
      <c r="Z285" s="108"/>
      <c r="AA285" s="48"/>
      <c r="AB285" s="110"/>
      <c r="AC285" s="84"/>
      <c r="AD285" s="84"/>
      <c r="AE285" s="84"/>
      <c r="AF285" s="84"/>
      <c r="AG285" s="48"/>
      <c r="AH285" s="48"/>
      <c r="AI285" s="48"/>
      <c r="AJ285" s="111"/>
      <c r="AK285" s="115">
        <f t="shared" si="22"/>
        <v>0</v>
      </c>
      <c r="AL285" s="48"/>
      <c r="AM285" s="48"/>
      <c r="AN285" s="48"/>
      <c r="AO285" s="48"/>
      <c r="AP285" s="48"/>
      <c r="AQ285" s="112"/>
      <c r="AR285" s="48"/>
      <c r="AS285" s="113"/>
    </row>
    <row r="286" ht="15.75" customHeight="1">
      <c r="A286" s="48"/>
      <c r="B286" s="98"/>
      <c r="C286" s="128"/>
      <c r="D286" s="98"/>
      <c r="E286" s="129"/>
      <c r="F286" s="103">
        <f t="shared" si="1"/>
        <v>0</v>
      </c>
      <c r="G286" s="104"/>
      <c r="H286" s="104"/>
      <c r="I286" s="104"/>
      <c r="J286" s="115">
        <f t="shared" si="4"/>
        <v>0</v>
      </c>
      <c r="K286" s="48" t="s">
        <v>42</v>
      </c>
      <c r="L286" s="47">
        <f t="shared" si="23"/>
        <v>0</v>
      </c>
      <c r="M286" s="48"/>
      <c r="N286" s="49"/>
      <c r="O286" s="48"/>
      <c r="P286" s="48"/>
      <c r="Q286" s="48"/>
      <c r="R286" s="48"/>
      <c r="S286" s="48"/>
      <c r="T286" s="48"/>
      <c r="U286" s="48"/>
      <c r="V286" s="48"/>
      <c r="W286" s="106"/>
      <c r="X286" s="48"/>
      <c r="Y286" s="116">
        <f t="shared" si="8"/>
        <v>0</v>
      </c>
      <c r="Z286" s="108"/>
      <c r="AA286" s="48"/>
      <c r="AB286" s="110"/>
      <c r="AC286" s="84"/>
      <c r="AD286" s="84"/>
      <c r="AE286" s="84"/>
      <c r="AF286" s="84"/>
      <c r="AG286" s="48"/>
      <c r="AH286" s="48"/>
      <c r="AI286" s="48"/>
      <c r="AJ286" s="111"/>
      <c r="AK286" s="115">
        <f t="shared" si="22"/>
        <v>0</v>
      </c>
      <c r="AL286" s="48"/>
      <c r="AM286" s="48"/>
      <c r="AN286" s="48"/>
      <c r="AO286" s="48"/>
      <c r="AP286" s="48"/>
      <c r="AQ286" s="112"/>
      <c r="AR286" s="48"/>
      <c r="AS286" s="113"/>
    </row>
    <row r="287" ht="15.75" customHeight="1">
      <c r="A287" s="48"/>
      <c r="B287" s="98"/>
      <c r="C287" s="128"/>
      <c r="D287" s="98"/>
      <c r="E287" s="129"/>
      <c r="F287" s="103">
        <f t="shared" si="1"/>
        <v>0</v>
      </c>
      <c r="G287" s="104"/>
      <c r="H287" s="104"/>
      <c r="I287" s="104"/>
      <c r="J287" s="115">
        <f t="shared" si="4"/>
        <v>0</v>
      </c>
      <c r="K287" s="48" t="s">
        <v>42</v>
      </c>
      <c r="L287" s="47">
        <f t="shared" si="23"/>
        <v>0</v>
      </c>
      <c r="M287" s="48"/>
      <c r="N287" s="49"/>
      <c r="O287" s="48"/>
      <c r="P287" s="48"/>
      <c r="Q287" s="48"/>
      <c r="R287" s="48"/>
      <c r="S287" s="48"/>
      <c r="T287" s="48"/>
      <c r="U287" s="48"/>
      <c r="V287" s="48"/>
      <c r="W287" s="106"/>
      <c r="X287" s="48"/>
      <c r="Y287" s="116">
        <f t="shared" si="8"/>
        <v>0</v>
      </c>
      <c r="Z287" s="108"/>
      <c r="AA287" s="48"/>
      <c r="AB287" s="110"/>
      <c r="AC287" s="84"/>
      <c r="AD287" s="84"/>
      <c r="AE287" s="84"/>
      <c r="AF287" s="84"/>
      <c r="AG287" s="48"/>
      <c r="AH287" s="48"/>
      <c r="AI287" s="48"/>
      <c r="AJ287" s="111"/>
      <c r="AK287" s="115">
        <f t="shared" si="22"/>
        <v>0</v>
      </c>
      <c r="AL287" s="48"/>
      <c r="AM287" s="48"/>
      <c r="AN287" s="48"/>
      <c r="AO287" s="48"/>
      <c r="AP287" s="48"/>
      <c r="AQ287" s="112"/>
      <c r="AR287" s="48"/>
      <c r="AS287" s="113"/>
    </row>
    <row r="288" ht="15.75" customHeight="1">
      <c r="A288" s="48"/>
      <c r="B288" s="98"/>
      <c r="C288" s="126"/>
      <c r="D288" s="132"/>
      <c r="E288" s="129"/>
      <c r="F288" s="103">
        <f t="shared" si="1"/>
        <v>0</v>
      </c>
      <c r="G288" s="104"/>
      <c r="H288" s="104"/>
      <c r="I288" s="104"/>
      <c r="J288" s="115">
        <f t="shared" si="4"/>
        <v>0</v>
      </c>
      <c r="K288" s="48" t="s">
        <v>42</v>
      </c>
      <c r="L288" s="47">
        <f t="shared" si="23"/>
        <v>0</v>
      </c>
      <c r="M288" s="48"/>
      <c r="N288" s="49"/>
      <c r="O288" s="48"/>
      <c r="P288" s="48"/>
      <c r="Q288" s="48"/>
      <c r="R288" s="48"/>
      <c r="S288" s="48"/>
      <c r="T288" s="48"/>
      <c r="U288" s="48"/>
      <c r="V288" s="48"/>
      <c r="W288" s="106"/>
      <c r="X288" s="48"/>
      <c r="Y288" s="116">
        <f t="shared" si="8"/>
        <v>0</v>
      </c>
      <c r="Z288" s="108"/>
      <c r="AA288" s="48"/>
      <c r="AB288" s="110"/>
      <c r="AC288" s="84"/>
      <c r="AD288" s="84"/>
      <c r="AE288" s="84"/>
      <c r="AF288" s="84"/>
      <c r="AG288" s="48"/>
      <c r="AH288" s="48"/>
      <c r="AI288" s="48"/>
      <c r="AJ288" s="111"/>
      <c r="AK288" s="115">
        <f t="shared" si="22"/>
        <v>0</v>
      </c>
      <c r="AL288" s="48"/>
      <c r="AM288" s="48"/>
      <c r="AN288" s="48"/>
      <c r="AO288" s="48"/>
      <c r="AP288" s="48"/>
      <c r="AQ288" s="112"/>
      <c r="AR288" s="48"/>
      <c r="AS288" s="113"/>
    </row>
    <row r="289" ht="15.75" customHeight="1">
      <c r="A289" s="48"/>
      <c r="B289" s="98"/>
      <c r="C289" s="126"/>
      <c r="D289" s="132"/>
      <c r="E289" s="129"/>
      <c r="F289" s="103">
        <f t="shared" si="1"/>
        <v>0</v>
      </c>
      <c r="G289" s="104"/>
      <c r="H289" s="104"/>
      <c r="I289" s="104"/>
      <c r="J289" s="115">
        <f t="shared" si="4"/>
        <v>0</v>
      </c>
      <c r="K289" s="48" t="s">
        <v>42</v>
      </c>
      <c r="L289" s="47">
        <f t="shared" si="23"/>
        <v>0</v>
      </c>
      <c r="M289" s="48"/>
      <c r="N289" s="49"/>
      <c r="O289" s="48"/>
      <c r="P289" s="48"/>
      <c r="Q289" s="48"/>
      <c r="R289" s="48"/>
      <c r="S289" s="48"/>
      <c r="T289" s="48"/>
      <c r="U289" s="48"/>
      <c r="V289" s="48"/>
      <c r="W289" s="106"/>
      <c r="X289" s="48"/>
      <c r="Y289" s="116">
        <f t="shared" si="8"/>
        <v>0</v>
      </c>
      <c r="Z289" s="108"/>
      <c r="AA289" s="48"/>
      <c r="AB289" s="110"/>
      <c r="AC289" s="84"/>
      <c r="AD289" s="84"/>
      <c r="AE289" s="84"/>
      <c r="AF289" s="84"/>
      <c r="AG289" s="48"/>
      <c r="AH289" s="48"/>
      <c r="AI289" s="48"/>
      <c r="AJ289" s="111"/>
      <c r="AK289" s="115">
        <f t="shared" si="22"/>
        <v>0</v>
      </c>
      <c r="AL289" s="48"/>
      <c r="AM289" s="48"/>
      <c r="AN289" s="48"/>
      <c r="AO289" s="48"/>
      <c r="AP289" s="48"/>
      <c r="AQ289" s="112"/>
      <c r="AR289" s="48"/>
      <c r="AS289" s="113"/>
    </row>
    <row r="290" ht="15.75" customHeight="1">
      <c r="A290" s="48"/>
      <c r="B290" s="98"/>
      <c r="C290" s="126"/>
      <c r="D290" s="98"/>
      <c r="E290" s="129"/>
      <c r="F290" s="103">
        <f t="shared" si="1"/>
        <v>0</v>
      </c>
      <c r="G290" s="104"/>
      <c r="H290" s="104"/>
      <c r="I290" s="104"/>
      <c r="J290" s="115">
        <f t="shared" si="4"/>
        <v>0</v>
      </c>
      <c r="K290" s="48" t="s">
        <v>42</v>
      </c>
      <c r="L290" s="47">
        <f t="shared" si="23"/>
        <v>0</v>
      </c>
      <c r="M290" s="48"/>
      <c r="N290" s="49"/>
      <c r="O290" s="48"/>
      <c r="P290" s="48"/>
      <c r="Q290" s="48"/>
      <c r="R290" s="48"/>
      <c r="S290" s="48"/>
      <c r="T290" s="48"/>
      <c r="U290" s="48"/>
      <c r="V290" s="48"/>
      <c r="W290" s="106"/>
      <c r="X290" s="48"/>
      <c r="Y290" s="116">
        <f t="shared" si="8"/>
        <v>0</v>
      </c>
      <c r="Z290" s="108"/>
      <c r="AA290" s="48"/>
      <c r="AB290" s="110"/>
      <c r="AC290" s="84"/>
      <c r="AD290" s="84"/>
      <c r="AE290" s="84"/>
      <c r="AF290" s="84"/>
      <c r="AG290" s="48"/>
      <c r="AH290" s="48"/>
      <c r="AI290" s="48"/>
      <c r="AJ290" s="111"/>
      <c r="AK290" s="115">
        <f t="shared" si="22"/>
        <v>0</v>
      </c>
      <c r="AL290" s="48"/>
      <c r="AM290" s="48"/>
      <c r="AN290" s="48"/>
      <c r="AO290" s="48"/>
      <c r="AP290" s="48"/>
      <c r="AQ290" s="112"/>
      <c r="AR290" s="48"/>
      <c r="AS290" s="113"/>
    </row>
    <row r="291" ht="15.75" customHeight="1">
      <c r="A291" s="48"/>
      <c r="B291" s="98"/>
      <c r="C291" s="126"/>
      <c r="D291" s="98"/>
      <c r="E291" s="129"/>
      <c r="F291" s="103">
        <f t="shared" si="1"/>
        <v>0</v>
      </c>
      <c r="G291" s="104"/>
      <c r="H291" s="104"/>
      <c r="I291" s="104"/>
      <c r="J291" s="115">
        <f t="shared" si="4"/>
        <v>0</v>
      </c>
      <c r="K291" s="48" t="s">
        <v>42</v>
      </c>
      <c r="L291" s="47">
        <f t="shared" si="23"/>
        <v>0</v>
      </c>
      <c r="M291" s="48"/>
      <c r="N291" s="49"/>
      <c r="O291" s="48"/>
      <c r="P291" s="48"/>
      <c r="Q291" s="48"/>
      <c r="R291" s="48"/>
      <c r="S291" s="48"/>
      <c r="T291" s="48"/>
      <c r="U291" s="48"/>
      <c r="V291" s="48"/>
      <c r="W291" s="106"/>
      <c r="X291" s="48"/>
      <c r="Y291" s="116">
        <f t="shared" si="8"/>
        <v>0</v>
      </c>
      <c r="Z291" s="108"/>
      <c r="AA291" s="48"/>
      <c r="AB291" s="110"/>
      <c r="AC291" s="84"/>
      <c r="AD291" s="84"/>
      <c r="AE291" s="84"/>
      <c r="AF291" s="84"/>
      <c r="AG291" s="48"/>
      <c r="AH291" s="48"/>
      <c r="AI291" s="48"/>
      <c r="AJ291" s="111"/>
      <c r="AK291" s="115">
        <f t="shared" si="22"/>
        <v>0</v>
      </c>
      <c r="AL291" s="48"/>
      <c r="AM291" s="48"/>
      <c r="AN291" s="48"/>
      <c r="AO291" s="48"/>
      <c r="AP291" s="48"/>
      <c r="AQ291" s="112"/>
      <c r="AR291" s="48"/>
      <c r="AS291" s="113"/>
    </row>
    <row r="292" ht="15.75" customHeight="1">
      <c r="A292" s="48"/>
      <c r="B292" s="98"/>
      <c r="C292" s="126"/>
      <c r="D292" s="98"/>
      <c r="E292" s="129"/>
      <c r="F292" s="103">
        <f t="shared" si="1"/>
        <v>0</v>
      </c>
      <c r="G292" s="104"/>
      <c r="H292" s="104"/>
      <c r="I292" s="104"/>
      <c r="J292" s="115">
        <f t="shared" si="4"/>
        <v>0</v>
      </c>
      <c r="K292" s="48" t="s">
        <v>42</v>
      </c>
      <c r="L292" s="47">
        <f t="shared" si="23"/>
        <v>0</v>
      </c>
      <c r="M292" s="48"/>
      <c r="N292" s="49"/>
      <c r="O292" s="48"/>
      <c r="P292" s="48"/>
      <c r="Q292" s="48"/>
      <c r="R292" s="48"/>
      <c r="S292" s="48"/>
      <c r="T292" s="48"/>
      <c r="U292" s="48"/>
      <c r="V292" s="48"/>
      <c r="W292" s="106"/>
      <c r="X292" s="48"/>
      <c r="Y292" s="116">
        <f t="shared" si="8"/>
        <v>0</v>
      </c>
      <c r="Z292" s="108"/>
      <c r="AA292" s="48"/>
      <c r="AB292" s="110"/>
      <c r="AC292" s="84"/>
      <c r="AD292" s="84"/>
      <c r="AE292" s="84"/>
      <c r="AF292" s="84"/>
      <c r="AG292" s="48"/>
      <c r="AH292" s="48"/>
      <c r="AI292" s="48"/>
      <c r="AJ292" s="111"/>
      <c r="AK292" s="115">
        <f t="shared" si="22"/>
        <v>0</v>
      </c>
      <c r="AL292" s="48"/>
      <c r="AM292" s="48"/>
      <c r="AN292" s="48"/>
      <c r="AO292" s="48"/>
      <c r="AP292" s="48"/>
      <c r="AQ292" s="112"/>
      <c r="AR292" s="48"/>
      <c r="AS292" s="113"/>
    </row>
    <row r="293" ht="15.75" customHeight="1">
      <c r="A293" s="48"/>
      <c r="B293" s="98"/>
      <c r="C293" s="126"/>
      <c r="D293" s="98"/>
      <c r="E293" s="129"/>
      <c r="F293" s="103">
        <f t="shared" si="1"/>
        <v>0</v>
      </c>
      <c r="G293" s="104"/>
      <c r="H293" s="104"/>
      <c r="I293" s="104"/>
      <c r="J293" s="115">
        <f t="shared" si="4"/>
        <v>0</v>
      </c>
      <c r="K293" s="48" t="s">
        <v>42</v>
      </c>
      <c r="L293" s="47">
        <f t="shared" si="23"/>
        <v>0</v>
      </c>
      <c r="M293" s="48"/>
      <c r="N293" s="49"/>
      <c r="O293" s="48"/>
      <c r="P293" s="48"/>
      <c r="Q293" s="48"/>
      <c r="R293" s="48"/>
      <c r="S293" s="48"/>
      <c r="T293" s="48"/>
      <c r="U293" s="48"/>
      <c r="V293" s="48"/>
      <c r="W293" s="106"/>
      <c r="X293" s="48"/>
      <c r="Y293" s="116">
        <f t="shared" si="8"/>
        <v>0</v>
      </c>
      <c r="Z293" s="108"/>
      <c r="AA293" s="48"/>
      <c r="AB293" s="110"/>
      <c r="AC293" s="84"/>
      <c r="AD293" s="84"/>
      <c r="AE293" s="84"/>
      <c r="AF293" s="84"/>
      <c r="AG293" s="48"/>
      <c r="AH293" s="48"/>
      <c r="AI293" s="48"/>
      <c r="AJ293" s="111"/>
      <c r="AK293" s="115">
        <f t="shared" si="22"/>
        <v>0</v>
      </c>
      <c r="AL293" s="48"/>
      <c r="AM293" s="48"/>
      <c r="AN293" s="48"/>
      <c r="AO293" s="48"/>
      <c r="AP293" s="48"/>
      <c r="AQ293" s="112"/>
      <c r="AR293" s="48"/>
      <c r="AS293" s="113"/>
    </row>
    <row r="294" ht="15.75" customHeight="1">
      <c r="A294" s="48"/>
      <c r="B294" s="98"/>
      <c r="C294" s="126"/>
      <c r="D294" s="98"/>
      <c r="E294" s="129"/>
      <c r="F294" s="103">
        <f t="shared" si="1"/>
        <v>0</v>
      </c>
      <c r="G294" s="104"/>
      <c r="H294" s="104"/>
      <c r="I294" s="104"/>
      <c r="J294" s="115">
        <f t="shared" si="4"/>
        <v>0</v>
      </c>
      <c r="K294" s="48" t="s">
        <v>42</v>
      </c>
      <c r="L294" s="47">
        <f t="shared" si="23"/>
        <v>0</v>
      </c>
      <c r="M294" s="48"/>
      <c r="N294" s="49"/>
      <c r="O294" s="48"/>
      <c r="P294" s="48"/>
      <c r="Q294" s="48"/>
      <c r="R294" s="48"/>
      <c r="S294" s="48"/>
      <c r="T294" s="48"/>
      <c r="U294" s="48"/>
      <c r="V294" s="48"/>
      <c r="W294" s="106"/>
      <c r="X294" s="48"/>
      <c r="Y294" s="116">
        <f t="shared" si="8"/>
        <v>0</v>
      </c>
      <c r="Z294" s="108"/>
      <c r="AA294" s="48"/>
      <c r="AB294" s="110"/>
      <c r="AC294" s="84"/>
      <c r="AD294" s="84"/>
      <c r="AE294" s="84"/>
      <c r="AF294" s="84"/>
      <c r="AG294" s="48"/>
      <c r="AH294" s="48"/>
      <c r="AI294" s="48"/>
      <c r="AJ294" s="111"/>
      <c r="AK294" s="115">
        <f t="shared" si="22"/>
        <v>0</v>
      </c>
      <c r="AL294" s="48"/>
      <c r="AM294" s="48"/>
      <c r="AN294" s="48"/>
      <c r="AO294" s="48"/>
      <c r="AP294" s="48"/>
      <c r="AQ294" s="112"/>
      <c r="AR294" s="48"/>
      <c r="AS294" s="113"/>
    </row>
    <row r="295" ht="15.75" customHeight="1">
      <c r="A295" s="48"/>
      <c r="B295" s="98"/>
      <c r="C295" s="126"/>
      <c r="D295" s="98"/>
      <c r="E295" s="129"/>
      <c r="F295" s="103">
        <f t="shared" si="1"/>
        <v>0</v>
      </c>
      <c r="G295" s="104"/>
      <c r="H295" s="104"/>
      <c r="I295" s="104"/>
      <c r="J295" s="115">
        <f t="shared" si="4"/>
        <v>0</v>
      </c>
      <c r="K295" s="48" t="s">
        <v>42</v>
      </c>
      <c r="L295" s="47">
        <f t="shared" si="23"/>
        <v>0</v>
      </c>
      <c r="M295" s="48"/>
      <c r="N295" s="49"/>
      <c r="O295" s="48"/>
      <c r="P295" s="48"/>
      <c r="Q295" s="48"/>
      <c r="R295" s="48"/>
      <c r="S295" s="48"/>
      <c r="T295" s="48"/>
      <c r="U295" s="48"/>
      <c r="V295" s="48"/>
      <c r="W295" s="106"/>
      <c r="X295" s="48"/>
      <c r="Y295" s="116">
        <f t="shared" si="8"/>
        <v>0</v>
      </c>
      <c r="Z295" s="108"/>
      <c r="AA295" s="48"/>
      <c r="AB295" s="110"/>
      <c r="AC295" s="84"/>
      <c r="AD295" s="84"/>
      <c r="AE295" s="84"/>
      <c r="AF295" s="84"/>
      <c r="AG295" s="48"/>
      <c r="AH295" s="48"/>
      <c r="AI295" s="48"/>
      <c r="AJ295" s="111"/>
      <c r="AK295" s="115">
        <f t="shared" si="22"/>
        <v>0</v>
      </c>
      <c r="AL295" s="48"/>
      <c r="AM295" s="48"/>
      <c r="AN295" s="48"/>
      <c r="AO295" s="48"/>
      <c r="AP295" s="48"/>
      <c r="AQ295" s="112"/>
      <c r="AR295" s="48"/>
      <c r="AS295" s="113"/>
    </row>
    <row r="296" ht="15.75" customHeight="1">
      <c r="A296" s="48"/>
      <c r="B296" s="98"/>
      <c r="C296" s="126"/>
      <c r="D296" s="98"/>
      <c r="E296" s="129"/>
      <c r="F296" s="103">
        <f t="shared" si="1"/>
        <v>0</v>
      </c>
      <c r="G296" s="104"/>
      <c r="H296" s="104"/>
      <c r="I296" s="104"/>
      <c r="J296" s="115">
        <f t="shared" si="4"/>
        <v>0</v>
      </c>
      <c r="K296" s="48" t="s">
        <v>42</v>
      </c>
      <c r="L296" s="47">
        <f t="shared" si="23"/>
        <v>0</v>
      </c>
      <c r="M296" s="48"/>
      <c r="N296" s="49"/>
      <c r="O296" s="48"/>
      <c r="P296" s="48"/>
      <c r="Q296" s="48"/>
      <c r="R296" s="48"/>
      <c r="S296" s="48"/>
      <c r="T296" s="48"/>
      <c r="U296" s="48"/>
      <c r="V296" s="48"/>
      <c r="W296" s="106"/>
      <c r="X296" s="48"/>
      <c r="Y296" s="116">
        <f t="shared" si="8"/>
        <v>0</v>
      </c>
      <c r="Z296" s="108"/>
      <c r="AA296" s="48"/>
      <c r="AB296" s="110"/>
      <c r="AC296" s="84"/>
      <c r="AD296" s="84"/>
      <c r="AE296" s="84"/>
      <c r="AF296" s="84"/>
      <c r="AG296" s="48"/>
      <c r="AH296" s="48"/>
      <c r="AI296" s="48"/>
      <c r="AJ296" s="111"/>
      <c r="AK296" s="115">
        <f t="shared" si="22"/>
        <v>0</v>
      </c>
      <c r="AL296" s="48"/>
      <c r="AM296" s="48"/>
      <c r="AN296" s="48"/>
      <c r="AO296" s="48"/>
      <c r="AP296" s="48"/>
      <c r="AQ296" s="112"/>
      <c r="AR296" s="48"/>
      <c r="AS296" s="113"/>
    </row>
    <row r="297" ht="15.75" customHeight="1">
      <c r="A297" s="48"/>
      <c r="B297" s="98"/>
      <c r="C297" s="126"/>
      <c r="D297" s="98"/>
      <c r="E297" s="129"/>
      <c r="F297" s="103">
        <f t="shared" si="1"/>
        <v>0</v>
      </c>
      <c r="G297" s="104"/>
      <c r="H297" s="104"/>
      <c r="I297" s="104"/>
      <c r="J297" s="115">
        <f t="shared" si="4"/>
        <v>0</v>
      </c>
      <c r="K297" s="48" t="s">
        <v>42</v>
      </c>
      <c r="L297" s="47">
        <f t="shared" si="23"/>
        <v>0</v>
      </c>
      <c r="M297" s="48"/>
      <c r="N297" s="49"/>
      <c r="O297" s="48"/>
      <c r="P297" s="48"/>
      <c r="Q297" s="48"/>
      <c r="R297" s="48"/>
      <c r="S297" s="48"/>
      <c r="T297" s="48"/>
      <c r="U297" s="48"/>
      <c r="V297" s="48"/>
      <c r="W297" s="106"/>
      <c r="X297" s="48"/>
      <c r="Y297" s="116">
        <f t="shared" si="8"/>
        <v>0</v>
      </c>
      <c r="Z297" s="108"/>
      <c r="AA297" s="48"/>
      <c r="AB297" s="110"/>
      <c r="AC297" s="84"/>
      <c r="AD297" s="84"/>
      <c r="AE297" s="84"/>
      <c r="AF297" s="84"/>
      <c r="AG297" s="48"/>
      <c r="AH297" s="48"/>
      <c r="AI297" s="48"/>
      <c r="AJ297" s="111"/>
      <c r="AK297" s="115">
        <f t="shared" si="22"/>
        <v>0</v>
      </c>
      <c r="AL297" s="48"/>
      <c r="AM297" s="48"/>
      <c r="AN297" s="48"/>
      <c r="AO297" s="48"/>
      <c r="AP297" s="48"/>
      <c r="AQ297" s="112"/>
      <c r="AR297" s="48"/>
      <c r="AS297" s="113"/>
    </row>
    <row r="298" ht="15.75" customHeight="1">
      <c r="A298" s="48"/>
      <c r="B298" s="98"/>
      <c r="C298" s="133"/>
      <c r="D298" s="98"/>
      <c r="E298" s="129"/>
      <c r="F298" s="103">
        <f t="shared" si="1"/>
        <v>0</v>
      </c>
      <c r="G298" s="104"/>
      <c r="H298" s="104"/>
      <c r="I298" s="104"/>
      <c r="J298" s="115">
        <f t="shared" si="4"/>
        <v>0</v>
      </c>
      <c r="K298" s="48" t="s">
        <v>42</v>
      </c>
      <c r="L298" s="47">
        <f t="shared" si="23"/>
        <v>0</v>
      </c>
      <c r="M298" s="48"/>
      <c r="N298" s="49"/>
      <c r="O298" s="48"/>
      <c r="P298" s="48"/>
      <c r="Q298" s="48"/>
      <c r="R298" s="48"/>
      <c r="S298" s="48"/>
      <c r="T298" s="48"/>
      <c r="U298" s="48"/>
      <c r="V298" s="48"/>
      <c r="W298" s="106"/>
      <c r="X298" s="48"/>
      <c r="Y298" s="116">
        <f t="shared" si="8"/>
        <v>0</v>
      </c>
      <c r="Z298" s="108"/>
      <c r="AA298" s="48"/>
      <c r="AB298" s="110"/>
      <c r="AC298" s="84"/>
      <c r="AD298" s="84"/>
      <c r="AE298" s="84"/>
      <c r="AF298" s="84"/>
      <c r="AG298" s="48"/>
      <c r="AH298" s="48"/>
      <c r="AI298" s="48"/>
      <c r="AJ298" s="111"/>
      <c r="AK298" s="115">
        <f t="shared" si="22"/>
        <v>0</v>
      </c>
      <c r="AL298" s="48"/>
      <c r="AM298" s="48"/>
      <c r="AN298" s="48"/>
      <c r="AO298" s="48"/>
      <c r="AP298" s="48"/>
      <c r="AQ298" s="112"/>
      <c r="AR298" s="48"/>
      <c r="AS298" s="113"/>
    </row>
    <row r="299" ht="15.75" customHeight="1">
      <c r="A299" s="48"/>
      <c r="B299" s="98"/>
      <c r="C299" s="126"/>
      <c r="D299" s="98"/>
      <c r="E299" s="129"/>
      <c r="F299" s="103">
        <f t="shared" si="1"/>
        <v>0</v>
      </c>
      <c r="G299" s="104"/>
      <c r="H299" s="104"/>
      <c r="I299" s="104"/>
      <c r="J299" s="115">
        <f t="shared" si="4"/>
        <v>0</v>
      </c>
      <c r="K299" s="48" t="s">
        <v>42</v>
      </c>
      <c r="L299" s="47">
        <f t="shared" si="23"/>
        <v>0</v>
      </c>
      <c r="M299" s="48"/>
      <c r="N299" s="49"/>
      <c r="O299" s="48"/>
      <c r="P299" s="48"/>
      <c r="Q299" s="48"/>
      <c r="R299" s="48"/>
      <c r="S299" s="48"/>
      <c r="T299" s="48"/>
      <c r="U299" s="48"/>
      <c r="V299" s="48"/>
      <c r="W299" s="106"/>
      <c r="X299" s="48"/>
      <c r="Y299" s="116">
        <f t="shared" si="8"/>
        <v>0</v>
      </c>
      <c r="Z299" s="108"/>
      <c r="AA299" s="48"/>
      <c r="AB299" s="110"/>
      <c r="AC299" s="84"/>
      <c r="AD299" s="84"/>
      <c r="AE299" s="84"/>
      <c r="AF299" s="84"/>
      <c r="AG299" s="48"/>
      <c r="AH299" s="48"/>
      <c r="AI299" s="48"/>
      <c r="AJ299" s="111"/>
      <c r="AK299" s="115">
        <f t="shared" si="22"/>
        <v>0</v>
      </c>
      <c r="AL299" s="48"/>
      <c r="AM299" s="48"/>
      <c r="AN299" s="48"/>
      <c r="AO299" s="48"/>
      <c r="AP299" s="48"/>
      <c r="AQ299" s="112"/>
      <c r="AR299" s="48"/>
      <c r="AS299" s="113"/>
    </row>
    <row r="300" ht="15.75" customHeight="1">
      <c r="A300" s="48"/>
      <c r="B300" s="98"/>
      <c r="C300" s="126"/>
      <c r="D300" s="134"/>
      <c r="E300" s="129"/>
      <c r="F300" s="103">
        <f t="shared" si="1"/>
        <v>0</v>
      </c>
      <c r="G300" s="104"/>
      <c r="H300" s="104"/>
      <c r="I300" s="104"/>
      <c r="J300" s="115">
        <f t="shared" si="4"/>
        <v>0</v>
      </c>
      <c r="K300" s="48" t="s">
        <v>42</v>
      </c>
      <c r="L300" s="47">
        <f t="shared" si="23"/>
        <v>0</v>
      </c>
      <c r="M300" s="48"/>
      <c r="N300" s="49"/>
      <c r="O300" s="48"/>
      <c r="P300" s="48"/>
      <c r="Q300" s="48"/>
      <c r="R300" s="48"/>
      <c r="S300" s="48"/>
      <c r="T300" s="48"/>
      <c r="U300" s="48"/>
      <c r="V300" s="48"/>
      <c r="W300" s="106"/>
      <c r="X300" s="48"/>
      <c r="Y300" s="116">
        <f t="shared" si="8"/>
        <v>0</v>
      </c>
      <c r="Z300" s="108"/>
      <c r="AA300" s="48"/>
      <c r="AB300" s="110"/>
      <c r="AC300" s="84"/>
      <c r="AD300" s="84"/>
      <c r="AE300" s="84"/>
      <c r="AF300" s="84"/>
      <c r="AG300" s="48"/>
      <c r="AH300" s="48"/>
      <c r="AI300" s="48"/>
      <c r="AJ300" s="111"/>
      <c r="AK300" s="115">
        <f t="shared" si="22"/>
        <v>0</v>
      </c>
      <c r="AL300" s="48"/>
      <c r="AM300" s="48"/>
      <c r="AN300" s="48"/>
      <c r="AO300" s="48"/>
      <c r="AP300" s="48"/>
      <c r="AQ300" s="112"/>
      <c r="AR300" s="48"/>
      <c r="AS300" s="113"/>
    </row>
    <row r="301" ht="15.75" customHeight="1">
      <c r="A301" s="48"/>
      <c r="B301" s="98"/>
      <c r="C301" s="135"/>
      <c r="D301" s="114"/>
      <c r="E301" s="136"/>
      <c r="F301" s="103">
        <f t="shared" si="1"/>
        <v>0</v>
      </c>
      <c r="G301" s="104"/>
      <c r="H301" s="104"/>
      <c r="I301" s="104"/>
      <c r="J301" s="115">
        <f t="shared" si="4"/>
        <v>0</v>
      </c>
      <c r="K301" s="48" t="s">
        <v>42</v>
      </c>
      <c r="L301" s="47">
        <f t="shared" si="23"/>
        <v>0</v>
      </c>
      <c r="M301" s="48"/>
      <c r="N301" s="49"/>
      <c r="O301" s="48"/>
      <c r="P301" s="48"/>
      <c r="Q301" s="48"/>
      <c r="R301" s="48"/>
      <c r="S301" s="48"/>
      <c r="T301" s="48"/>
      <c r="U301" s="48"/>
      <c r="V301" s="48"/>
      <c r="W301" s="106"/>
      <c r="X301" s="48"/>
      <c r="Y301" s="116">
        <f t="shared" si="8"/>
        <v>0</v>
      </c>
      <c r="Z301" s="108"/>
      <c r="AA301" s="48"/>
      <c r="AB301" s="110"/>
      <c r="AC301" s="84"/>
      <c r="AD301" s="84"/>
      <c r="AE301" s="84"/>
      <c r="AF301" s="84"/>
      <c r="AG301" s="48"/>
      <c r="AH301" s="48"/>
      <c r="AI301" s="48"/>
      <c r="AJ301" s="111"/>
      <c r="AK301" s="115">
        <f t="shared" si="22"/>
        <v>0</v>
      </c>
      <c r="AL301" s="48"/>
      <c r="AM301" s="48"/>
      <c r="AN301" s="48"/>
      <c r="AO301" s="48"/>
      <c r="AP301" s="48"/>
      <c r="AQ301" s="112"/>
      <c r="AR301" s="48"/>
      <c r="AS301" s="113"/>
    </row>
    <row r="302" ht="15.75" customHeight="1">
      <c r="A302" s="48"/>
      <c r="B302" s="98"/>
      <c r="C302" s="130"/>
      <c r="D302" s="121"/>
      <c r="E302" s="137"/>
      <c r="F302" s="103">
        <f t="shared" si="1"/>
        <v>0</v>
      </c>
      <c r="G302" s="104"/>
      <c r="H302" s="104"/>
      <c r="I302" s="104"/>
      <c r="J302" s="115">
        <f t="shared" si="4"/>
        <v>0</v>
      </c>
      <c r="K302" s="48" t="s">
        <v>42</v>
      </c>
      <c r="L302" s="47">
        <f t="shared" si="23"/>
        <v>0</v>
      </c>
      <c r="M302" s="48"/>
      <c r="N302" s="49"/>
      <c r="O302" s="48"/>
      <c r="P302" s="48"/>
      <c r="Q302" s="48"/>
      <c r="R302" s="48"/>
      <c r="S302" s="48"/>
      <c r="T302" s="48"/>
      <c r="U302" s="48"/>
      <c r="V302" s="48"/>
      <c r="W302" s="106"/>
      <c r="X302" s="48"/>
      <c r="Y302" s="116">
        <f t="shared" si="8"/>
        <v>0</v>
      </c>
      <c r="Z302" s="108"/>
      <c r="AA302" s="48"/>
      <c r="AB302" s="110"/>
      <c r="AC302" s="84"/>
      <c r="AD302" s="84"/>
      <c r="AE302" s="84"/>
      <c r="AF302" s="84"/>
      <c r="AG302" s="48"/>
      <c r="AH302" s="48"/>
      <c r="AI302" s="48"/>
      <c r="AJ302" s="111"/>
      <c r="AK302" s="115">
        <f t="shared" si="22"/>
        <v>0</v>
      </c>
      <c r="AL302" s="48"/>
      <c r="AM302" s="48"/>
      <c r="AN302" s="48"/>
      <c r="AO302" s="48"/>
      <c r="AP302" s="48"/>
      <c r="AQ302" s="112"/>
      <c r="AR302" s="48"/>
      <c r="AS302" s="113"/>
    </row>
    <row r="303" ht="15.75" customHeight="1">
      <c r="A303" s="48"/>
      <c r="B303" s="98"/>
      <c r="C303" s="130"/>
      <c r="D303" s="121"/>
      <c r="E303" s="137"/>
      <c r="F303" s="103">
        <f t="shared" si="1"/>
        <v>0</v>
      </c>
      <c r="G303" s="104"/>
      <c r="H303" s="104"/>
      <c r="I303" s="104"/>
      <c r="J303" s="115">
        <f t="shared" si="4"/>
        <v>0</v>
      </c>
      <c r="K303" s="48" t="s">
        <v>42</v>
      </c>
      <c r="L303" s="47">
        <f t="shared" si="23"/>
        <v>0</v>
      </c>
      <c r="M303" s="48"/>
      <c r="N303" s="49"/>
      <c r="O303" s="48"/>
      <c r="P303" s="48"/>
      <c r="Q303" s="48"/>
      <c r="R303" s="48"/>
      <c r="S303" s="48"/>
      <c r="T303" s="48"/>
      <c r="U303" s="48"/>
      <c r="V303" s="48"/>
      <c r="W303" s="106"/>
      <c r="X303" s="48"/>
      <c r="Y303" s="116">
        <f t="shared" si="8"/>
        <v>0</v>
      </c>
      <c r="Z303" s="108"/>
      <c r="AA303" s="48"/>
      <c r="AB303" s="110"/>
      <c r="AC303" s="84"/>
      <c r="AD303" s="84"/>
      <c r="AE303" s="84"/>
      <c r="AF303" s="84"/>
      <c r="AG303" s="48"/>
      <c r="AH303" s="48"/>
      <c r="AI303" s="48"/>
      <c r="AJ303" s="111"/>
      <c r="AK303" s="115">
        <f t="shared" si="22"/>
        <v>0</v>
      </c>
      <c r="AL303" s="48"/>
      <c r="AM303" s="48"/>
      <c r="AN303" s="48"/>
      <c r="AO303" s="48"/>
      <c r="AP303" s="48"/>
      <c r="AQ303" s="112"/>
      <c r="AR303" s="48"/>
      <c r="AS303" s="113"/>
    </row>
    <row r="304" ht="15.75" customHeight="1">
      <c r="A304" s="48"/>
      <c r="B304" s="98"/>
      <c r="C304" s="130"/>
      <c r="D304" s="121"/>
      <c r="E304" s="137"/>
      <c r="F304" s="103">
        <f t="shared" si="1"/>
        <v>0</v>
      </c>
      <c r="G304" s="104"/>
      <c r="H304" s="104"/>
      <c r="I304" s="104"/>
      <c r="J304" s="115">
        <f t="shared" si="4"/>
        <v>0</v>
      </c>
      <c r="K304" s="48" t="s">
        <v>42</v>
      </c>
      <c r="L304" s="47">
        <f t="shared" si="23"/>
        <v>0</v>
      </c>
      <c r="M304" s="48"/>
      <c r="N304" s="49"/>
      <c r="O304" s="48"/>
      <c r="P304" s="48"/>
      <c r="Q304" s="48"/>
      <c r="R304" s="48"/>
      <c r="S304" s="48"/>
      <c r="T304" s="48"/>
      <c r="U304" s="48"/>
      <c r="V304" s="48"/>
      <c r="W304" s="106"/>
      <c r="X304" s="48"/>
      <c r="Y304" s="116">
        <f t="shared" si="8"/>
        <v>0</v>
      </c>
      <c r="Z304" s="108"/>
      <c r="AA304" s="48"/>
      <c r="AB304" s="110"/>
      <c r="AC304" s="84"/>
      <c r="AD304" s="84"/>
      <c r="AE304" s="84"/>
      <c r="AF304" s="84"/>
      <c r="AG304" s="48"/>
      <c r="AH304" s="48"/>
      <c r="AI304" s="48"/>
      <c r="AJ304" s="111"/>
      <c r="AK304" s="115">
        <f t="shared" si="22"/>
        <v>0</v>
      </c>
      <c r="AL304" s="48"/>
      <c r="AM304" s="48"/>
      <c r="AN304" s="48"/>
      <c r="AO304" s="48"/>
      <c r="AP304" s="48"/>
      <c r="AQ304" s="112"/>
      <c r="AR304" s="48"/>
      <c r="AS304" s="113"/>
    </row>
    <row r="305" ht="15.75" customHeight="1">
      <c r="A305" s="48"/>
      <c r="B305" s="98"/>
      <c r="C305" s="130"/>
      <c r="D305" s="121"/>
      <c r="E305" s="137"/>
      <c r="F305" s="103">
        <f t="shared" si="1"/>
        <v>0</v>
      </c>
      <c r="G305" s="104"/>
      <c r="H305" s="104"/>
      <c r="I305" s="104"/>
      <c r="J305" s="115">
        <f t="shared" si="4"/>
        <v>0</v>
      </c>
      <c r="K305" s="48" t="s">
        <v>42</v>
      </c>
      <c r="L305" s="47">
        <f t="shared" si="23"/>
        <v>0</v>
      </c>
      <c r="M305" s="48"/>
      <c r="N305" s="49"/>
      <c r="O305" s="48"/>
      <c r="P305" s="48"/>
      <c r="Q305" s="48"/>
      <c r="R305" s="48"/>
      <c r="S305" s="48"/>
      <c r="T305" s="48"/>
      <c r="U305" s="48"/>
      <c r="V305" s="48"/>
      <c r="W305" s="106"/>
      <c r="X305" s="48"/>
      <c r="Y305" s="116">
        <f t="shared" si="8"/>
        <v>0</v>
      </c>
      <c r="Z305" s="108"/>
      <c r="AA305" s="48"/>
      <c r="AB305" s="110"/>
      <c r="AC305" s="84"/>
      <c r="AD305" s="84"/>
      <c r="AE305" s="84"/>
      <c r="AF305" s="84"/>
      <c r="AG305" s="48"/>
      <c r="AH305" s="48"/>
      <c r="AI305" s="48"/>
      <c r="AJ305" s="111"/>
      <c r="AK305" s="115">
        <f t="shared" si="22"/>
        <v>0</v>
      </c>
      <c r="AL305" s="48"/>
      <c r="AM305" s="48"/>
      <c r="AN305" s="48"/>
      <c r="AO305" s="48"/>
      <c r="AP305" s="48"/>
      <c r="AQ305" s="112"/>
      <c r="AR305" s="48"/>
      <c r="AS305" s="113"/>
    </row>
    <row r="306" ht="15.75" customHeight="1">
      <c r="A306" s="48"/>
      <c r="B306" s="98"/>
      <c r="C306" s="130"/>
      <c r="D306" s="121"/>
      <c r="E306" s="137"/>
      <c r="F306" s="103">
        <f t="shared" si="1"/>
        <v>0</v>
      </c>
      <c r="G306" s="104"/>
      <c r="H306" s="104"/>
      <c r="I306" s="104"/>
      <c r="J306" s="115">
        <f t="shared" si="4"/>
        <v>0</v>
      </c>
      <c r="K306" s="48" t="s">
        <v>42</v>
      </c>
      <c r="L306" s="47">
        <f t="shared" si="23"/>
        <v>0</v>
      </c>
      <c r="M306" s="48"/>
      <c r="N306" s="49"/>
      <c r="O306" s="48"/>
      <c r="P306" s="48"/>
      <c r="Q306" s="48"/>
      <c r="R306" s="48"/>
      <c r="S306" s="48"/>
      <c r="T306" s="48"/>
      <c r="U306" s="48"/>
      <c r="V306" s="48"/>
      <c r="W306" s="106"/>
      <c r="X306" s="48"/>
      <c r="Y306" s="116">
        <f t="shared" si="8"/>
        <v>0</v>
      </c>
      <c r="Z306" s="108"/>
      <c r="AA306" s="48"/>
      <c r="AB306" s="110"/>
      <c r="AC306" s="84"/>
      <c r="AD306" s="84"/>
      <c r="AE306" s="84"/>
      <c r="AF306" s="84"/>
      <c r="AG306" s="48"/>
      <c r="AH306" s="48"/>
      <c r="AI306" s="48"/>
      <c r="AJ306" s="111"/>
      <c r="AK306" s="115">
        <f t="shared" si="22"/>
        <v>0</v>
      </c>
      <c r="AL306" s="48"/>
      <c r="AM306" s="48"/>
      <c r="AN306" s="48"/>
      <c r="AO306" s="48"/>
      <c r="AP306" s="48"/>
      <c r="AQ306" s="112"/>
      <c r="AR306" s="48"/>
      <c r="AS306" s="113"/>
    </row>
    <row r="307" ht="15.75" customHeight="1">
      <c r="A307" s="48"/>
      <c r="B307" s="98"/>
      <c r="C307" s="130"/>
      <c r="D307" s="121"/>
      <c r="E307" s="137"/>
      <c r="F307" s="103">
        <f t="shared" si="1"/>
        <v>0</v>
      </c>
      <c r="G307" s="104"/>
      <c r="H307" s="104"/>
      <c r="I307" s="104"/>
      <c r="J307" s="115">
        <f t="shared" si="4"/>
        <v>0</v>
      </c>
      <c r="K307" s="48" t="s">
        <v>42</v>
      </c>
      <c r="L307" s="47">
        <f t="shared" si="23"/>
        <v>0</v>
      </c>
      <c r="M307" s="48"/>
      <c r="N307" s="49"/>
      <c r="O307" s="48"/>
      <c r="P307" s="48"/>
      <c r="Q307" s="48"/>
      <c r="R307" s="48"/>
      <c r="S307" s="48"/>
      <c r="T307" s="48"/>
      <c r="U307" s="48"/>
      <c r="V307" s="48"/>
      <c r="W307" s="106"/>
      <c r="X307" s="48"/>
      <c r="Y307" s="116">
        <f t="shared" si="8"/>
        <v>0</v>
      </c>
      <c r="Z307" s="108"/>
      <c r="AA307" s="48"/>
      <c r="AB307" s="110"/>
      <c r="AC307" s="84"/>
      <c r="AD307" s="84"/>
      <c r="AE307" s="84"/>
      <c r="AF307" s="84"/>
      <c r="AG307" s="48"/>
      <c r="AH307" s="48"/>
      <c r="AI307" s="48"/>
      <c r="AJ307" s="111"/>
      <c r="AK307" s="115">
        <f t="shared" si="22"/>
        <v>0</v>
      </c>
      <c r="AL307" s="48"/>
      <c r="AM307" s="48"/>
      <c r="AN307" s="48"/>
      <c r="AO307" s="48"/>
      <c r="AP307" s="48"/>
      <c r="AQ307" s="112"/>
      <c r="AR307" s="48"/>
      <c r="AS307" s="113"/>
    </row>
    <row r="308" ht="15.75" customHeight="1">
      <c r="A308" s="48"/>
      <c r="B308" s="98"/>
      <c r="C308" s="130"/>
      <c r="D308" s="121"/>
      <c r="E308" s="129"/>
      <c r="F308" s="103">
        <f t="shared" si="1"/>
        <v>0</v>
      </c>
      <c r="G308" s="104"/>
      <c r="H308" s="104"/>
      <c r="I308" s="104"/>
      <c r="J308" s="115">
        <f t="shared" si="4"/>
        <v>0</v>
      </c>
      <c r="K308" s="48" t="s">
        <v>42</v>
      </c>
      <c r="L308" s="47">
        <f t="shared" si="23"/>
        <v>0</v>
      </c>
      <c r="M308" s="48"/>
      <c r="N308" s="49"/>
      <c r="O308" s="48"/>
      <c r="P308" s="48"/>
      <c r="Q308" s="48"/>
      <c r="R308" s="48"/>
      <c r="S308" s="48"/>
      <c r="T308" s="48"/>
      <c r="U308" s="48"/>
      <c r="V308" s="48"/>
      <c r="W308" s="106"/>
      <c r="X308" s="48"/>
      <c r="Y308" s="116">
        <f t="shared" si="8"/>
        <v>0</v>
      </c>
      <c r="Z308" s="108"/>
      <c r="AA308" s="48"/>
      <c r="AB308" s="110"/>
      <c r="AC308" s="84"/>
      <c r="AD308" s="84"/>
      <c r="AE308" s="84"/>
      <c r="AF308" s="84"/>
      <c r="AG308" s="48"/>
      <c r="AH308" s="48"/>
      <c r="AI308" s="48"/>
      <c r="AJ308" s="111"/>
      <c r="AK308" s="115">
        <f t="shared" si="22"/>
        <v>0</v>
      </c>
      <c r="AL308" s="48"/>
      <c r="AM308" s="48"/>
      <c r="AN308" s="48"/>
      <c r="AO308" s="48"/>
      <c r="AP308" s="48"/>
      <c r="AQ308" s="112"/>
      <c r="AR308" s="48"/>
      <c r="AS308" s="113"/>
    </row>
    <row r="309" ht="15.75" customHeight="1">
      <c r="A309" s="48"/>
      <c r="B309" s="98"/>
      <c r="C309" s="126"/>
      <c r="D309" s="98"/>
      <c r="E309" s="127"/>
      <c r="F309" s="103">
        <f t="shared" si="1"/>
        <v>0</v>
      </c>
      <c r="G309" s="104"/>
      <c r="H309" s="104"/>
      <c r="I309" s="104"/>
      <c r="J309" s="115">
        <f t="shared" si="4"/>
        <v>0</v>
      </c>
      <c r="K309" s="48" t="s">
        <v>42</v>
      </c>
      <c r="L309" s="47">
        <f t="shared" si="23"/>
        <v>0</v>
      </c>
      <c r="M309" s="48"/>
      <c r="N309" s="49"/>
      <c r="O309" s="48"/>
      <c r="P309" s="48"/>
      <c r="Q309" s="48"/>
      <c r="R309" s="48"/>
      <c r="S309" s="48"/>
      <c r="T309" s="48"/>
      <c r="U309" s="48"/>
      <c r="V309" s="48"/>
      <c r="W309" s="106"/>
      <c r="X309" s="48"/>
      <c r="Y309" s="116">
        <f t="shared" si="8"/>
        <v>0</v>
      </c>
      <c r="Z309" s="108"/>
      <c r="AA309" s="48"/>
      <c r="AB309" s="110"/>
      <c r="AC309" s="84"/>
      <c r="AD309" s="84"/>
      <c r="AE309" s="84"/>
      <c r="AF309" s="84"/>
      <c r="AG309" s="48"/>
      <c r="AH309" s="48"/>
      <c r="AI309" s="48"/>
      <c r="AJ309" s="111"/>
      <c r="AK309" s="115">
        <f t="shared" si="22"/>
        <v>0</v>
      </c>
      <c r="AL309" s="48"/>
      <c r="AM309" s="48"/>
      <c r="AN309" s="48"/>
      <c r="AO309" s="48"/>
      <c r="AP309" s="48"/>
      <c r="AQ309" s="112"/>
      <c r="AR309" s="48"/>
      <c r="AS309" s="113"/>
    </row>
    <row r="310" ht="15.75" customHeight="1">
      <c r="A310" s="48"/>
      <c r="B310" s="48"/>
      <c r="C310" s="126"/>
      <c r="D310" s="98"/>
      <c r="E310" s="137"/>
      <c r="F310" s="103">
        <f t="shared" si="1"/>
        <v>0</v>
      </c>
      <c r="G310" s="138"/>
      <c r="H310" s="138"/>
      <c r="I310" s="138"/>
      <c r="J310" s="115">
        <f t="shared" si="4"/>
        <v>0</v>
      </c>
      <c r="K310" s="48" t="s">
        <v>42</v>
      </c>
      <c r="L310" s="47">
        <f t="shared" si="23"/>
        <v>0</v>
      </c>
      <c r="M310" s="48"/>
      <c r="N310" s="49"/>
      <c r="O310" s="48"/>
      <c r="P310" s="48"/>
      <c r="Q310" s="48"/>
      <c r="R310" s="48"/>
      <c r="S310" s="48"/>
      <c r="T310" s="48"/>
      <c r="U310" s="48"/>
      <c r="V310" s="48"/>
      <c r="W310" s="106"/>
      <c r="X310" s="48"/>
      <c r="Y310" s="116">
        <f t="shared" si="8"/>
        <v>0</v>
      </c>
      <c r="Z310" s="108"/>
      <c r="AA310" s="48"/>
      <c r="AB310" s="110"/>
      <c r="AC310" s="84"/>
      <c r="AD310" s="84"/>
      <c r="AE310" s="84"/>
      <c r="AF310" s="84"/>
      <c r="AG310" s="48"/>
      <c r="AH310" s="48"/>
      <c r="AI310" s="48"/>
      <c r="AJ310" s="111"/>
      <c r="AK310" s="115">
        <f t="shared" si="22"/>
        <v>0</v>
      </c>
      <c r="AL310" s="48"/>
      <c r="AM310" s="48"/>
      <c r="AN310" s="48"/>
      <c r="AO310" s="48"/>
      <c r="AP310" s="48"/>
      <c r="AQ310" s="112"/>
      <c r="AR310" s="48"/>
      <c r="AS310" s="113"/>
    </row>
    <row r="311" ht="15.75" customHeight="1">
      <c r="A311" s="48"/>
      <c r="B311" s="48"/>
      <c r="C311" s="126"/>
      <c r="D311" s="98"/>
      <c r="E311" s="137"/>
      <c r="F311" s="103">
        <f t="shared" si="1"/>
        <v>0</v>
      </c>
      <c r="G311" s="138"/>
      <c r="H311" s="138"/>
      <c r="I311" s="138"/>
      <c r="J311" s="115">
        <f t="shared" si="4"/>
        <v>0</v>
      </c>
      <c r="K311" s="48" t="s">
        <v>42</v>
      </c>
      <c r="L311" s="47">
        <f t="shared" si="23"/>
        <v>0</v>
      </c>
      <c r="M311" s="48"/>
      <c r="N311" s="49"/>
      <c r="O311" s="48"/>
      <c r="P311" s="48"/>
      <c r="Q311" s="48"/>
      <c r="R311" s="48"/>
      <c r="S311" s="48"/>
      <c r="T311" s="48"/>
      <c r="U311" s="48"/>
      <c r="V311" s="48"/>
      <c r="W311" s="106"/>
      <c r="X311" s="48"/>
      <c r="Y311" s="116">
        <f t="shared" si="8"/>
        <v>0</v>
      </c>
      <c r="Z311" s="108"/>
      <c r="AA311" s="48"/>
      <c r="AB311" s="110"/>
      <c r="AC311" s="84"/>
      <c r="AD311" s="84"/>
      <c r="AE311" s="84"/>
      <c r="AF311" s="84"/>
      <c r="AG311" s="48"/>
      <c r="AH311" s="48"/>
      <c r="AI311" s="48"/>
      <c r="AJ311" s="111"/>
      <c r="AK311" s="115">
        <f t="shared" si="22"/>
        <v>0</v>
      </c>
      <c r="AL311" s="48"/>
      <c r="AM311" s="48"/>
      <c r="AN311" s="48"/>
      <c r="AO311" s="48"/>
      <c r="AP311" s="48"/>
      <c r="AQ311" s="112"/>
      <c r="AR311" s="48"/>
      <c r="AS311" s="113"/>
    </row>
    <row r="312" ht="15.75" customHeight="1">
      <c r="A312" s="48"/>
      <c r="B312" s="48"/>
      <c r="C312" s="126"/>
      <c r="D312" s="98"/>
      <c r="E312" s="137"/>
      <c r="F312" s="103">
        <f t="shared" si="1"/>
        <v>0</v>
      </c>
      <c r="G312" s="138"/>
      <c r="H312" s="138"/>
      <c r="I312" s="138"/>
      <c r="J312" s="115">
        <f t="shared" si="4"/>
        <v>0</v>
      </c>
      <c r="K312" s="48" t="s">
        <v>42</v>
      </c>
      <c r="L312" s="47">
        <f t="shared" si="23"/>
        <v>0</v>
      </c>
      <c r="M312" s="48"/>
      <c r="N312" s="49"/>
      <c r="O312" s="48"/>
      <c r="P312" s="48"/>
      <c r="Q312" s="48"/>
      <c r="R312" s="48"/>
      <c r="S312" s="48"/>
      <c r="T312" s="48"/>
      <c r="U312" s="48"/>
      <c r="V312" s="48"/>
      <c r="W312" s="106"/>
      <c r="X312" s="48"/>
      <c r="Y312" s="116">
        <f t="shared" si="8"/>
        <v>0</v>
      </c>
      <c r="Z312" s="108"/>
      <c r="AA312" s="48"/>
      <c r="AB312" s="110"/>
      <c r="AC312" s="84"/>
      <c r="AD312" s="84"/>
      <c r="AE312" s="84"/>
      <c r="AF312" s="84"/>
      <c r="AG312" s="48"/>
      <c r="AH312" s="48"/>
      <c r="AI312" s="48"/>
      <c r="AJ312" s="111"/>
      <c r="AK312" s="115">
        <f t="shared" si="22"/>
        <v>0</v>
      </c>
      <c r="AL312" s="48"/>
      <c r="AM312" s="48"/>
      <c r="AN312" s="48"/>
      <c r="AO312" s="48"/>
      <c r="AP312" s="48"/>
      <c r="AQ312" s="112"/>
      <c r="AR312" s="48"/>
      <c r="AS312" s="113"/>
    </row>
    <row r="313" ht="15.75" customHeight="1">
      <c r="A313" s="48"/>
      <c r="B313" s="48"/>
      <c r="C313" s="126"/>
      <c r="D313" s="98"/>
      <c r="E313" s="137"/>
      <c r="F313" s="103">
        <f t="shared" si="1"/>
        <v>0</v>
      </c>
      <c r="G313" s="138"/>
      <c r="H313" s="138"/>
      <c r="I313" s="138"/>
      <c r="J313" s="115">
        <f t="shared" si="4"/>
        <v>0</v>
      </c>
      <c r="K313" s="48" t="s">
        <v>42</v>
      </c>
      <c r="L313" s="47">
        <f t="shared" si="23"/>
        <v>0</v>
      </c>
      <c r="M313" s="48"/>
      <c r="N313" s="49"/>
      <c r="O313" s="48"/>
      <c r="P313" s="48"/>
      <c r="Q313" s="48"/>
      <c r="R313" s="48"/>
      <c r="S313" s="48"/>
      <c r="T313" s="48"/>
      <c r="U313" s="48"/>
      <c r="V313" s="48"/>
      <c r="W313" s="106"/>
      <c r="X313" s="48"/>
      <c r="Y313" s="116">
        <f t="shared" si="8"/>
        <v>0</v>
      </c>
      <c r="Z313" s="108"/>
      <c r="AA313" s="48"/>
      <c r="AB313" s="110"/>
      <c r="AC313" s="84"/>
      <c r="AD313" s="84"/>
      <c r="AE313" s="84"/>
      <c r="AF313" s="84"/>
      <c r="AG313" s="48"/>
      <c r="AH313" s="48"/>
      <c r="AI313" s="48"/>
      <c r="AJ313" s="111"/>
      <c r="AK313" s="115">
        <f t="shared" si="22"/>
        <v>0</v>
      </c>
      <c r="AL313" s="48"/>
      <c r="AM313" s="48"/>
      <c r="AN313" s="48"/>
      <c r="AO313" s="48"/>
      <c r="AP313" s="48"/>
      <c r="AQ313" s="112"/>
      <c r="AR313" s="48"/>
      <c r="AS313" s="113"/>
    </row>
    <row r="314" ht="15.75" customHeight="1">
      <c r="A314" s="48"/>
      <c r="B314" s="48"/>
      <c r="C314" s="126"/>
      <c r="D314" s="98"/>
      <c r="E314" s="137"/>
      <c r="F314" s="103">
        <f t="shared" si="1"/>
        <v>0</v>
      </c>
      <c r="G314" s="138"/>
      <c r="H314" s="138"/>
      <c r="I314" s="138"/>
      <c r="J314" s="115"/>
      <c r="K314" s="48"/>
      <c r="L314" s="47">
        <f t="shared" si="23"/>
        <v>0</v>
      </c>
      <c r="M314" s="48"/>
      <c r="N314" s="49"/>
      <c r="O314" s="48"/>
      <c r="P314" s="48"/>
      <c r="Q314" s="48"/>
      <c r="R314" s="48"/>
      <c r="S314" s="48"/>
      <c r="T314" s="48"/>
      <c r="U314" s="48"/>
      <c r="V314" s="48"/>
      <c r="W314" s="106"/>
      <c r="X314" s="48"/>
      <c r="Y314" s="116">
        <f t="shared" si="8"/>
        <v>0</v>
      </c>
      <c r="Z314" s="108"/>
      <c r="AA314" s="48"/>
      <c r="AB314" s="110"/>
      <c r="AC314" s="84"/>
      <c r="AD314" s="84"/>
      <c r="AE314" s="84"/>
      <c r="AF314" s="84"/>
      <c r="AG314" s="48"/>
      <c r="AH314" s="48"/>
      <c r="AI314" s="48"/>
      <c r="AJ314" s="111"/>
      <c r="AK314" s="115"/>
      <c r="AL314" s="48"/>
      <c r="AM314" s="48"/>
      <c r="AN314" s="48"/>
      <c r="AO314" s="48"/>
      <c r="AP314" s="48"/>
      <c r="AQ314" s="112"/>
      <c r="AR314" s="48"/>
      <c r="AS314" s="113"/>
    </row>
    <row r="315" ht="15.75" customHeight="1">
      <c r="A315" s="48"/>
      <c r="B315" s="48"/>
      <c r="C315" s="126"/>
      <c r="D315" s="98"/>
      <c r="E315" s="137"/>
      <c r="F315" s="103">
        <f t="shared" si="1"/>
        <v>0</v>
      </c>
      <c r="G315" s="138"/>
      <c r="H315" s="138"/>
      <c r="I315" s="138"/>
      <c r="J315" s="115"/>
      <c r="K315" s="48"/>
      <c r="L315" s="47">
        <f t="shared" si="23"/>
        <v>0</v>
      </c>
      <c r="M315" s="48"/>
      <c r="N315" s="49"/>
      <c r="O315" s="48"/>
      <c r="P315" s="48"/>
      <c r="Q315" s="48"/>
      <c r="R315" s="48"/>
      <c r="S315" s="48"/>
      <c r="T315" s="48"/>
      <c r="U315" s="48"/>
      <c r="V315" s="48"/>
      <c r="W315" s="106"/>
      <c r="X315" s="48"/>
      <c r="Y315" s="116">
        <f t="shared" si="8"/>
        <v>0</v>
      </c>
      <c r="Z315" s="108"/>
      <c r="AA315" s="48"/>
      <c r="AB315" s="110"/>
      <c r="AC315" s="84"/>
      <c r="AD315" s="84"/>
      <c r="AE315" s="84"/>
      <c r="AF315" s="84"/>
      <c r="AG315" s="48"/>
      <c r="AH315" s="48"/>
      <c r="AI315" s="48"/>
      <c r="AJ315" s="111"/>
      <c r="AK315" s="115"/>
      <c r="AL315" s="48"/>
      <c r="AM315" s="48"/>
      <c r="AN315" s="48"/>
      <c r="AO315" s="48"/>
      <c r="AP315" s="48"/>
      <c r="AQ315" s="112"/>
      <c r="AR315" s="48"/>
      <c r="AS315" s="113"/>
    </row>
    <row r="316" ht="15.75" customHeight="1">
      <c r="A316" s="48"/>
      <c r="B316" s="48"/>
      <c r="C316" s="126"/>
      <c r="D316" s="98"/>
      <c r="E316" s="137"/>
      <c r="F316" s="103">
        <f t="shared" si="1"/>
        <v>0</v>
      </c>
      <c r="G316" s="138"/>
      <c r="H316" s="138"/>
      <c r="I316" s="138"/>
      <c r="J316" s="115"/>
      <c r="K316" s="48"/>
      <c r="L316" s="47">
        <f t="shared" si="23"/>
        <v>0</v>
      </c>
      <c r="M316" s="48"/>
      <c r="N316" s="49"/>
      <c r="O316" s="48"/>
      <c r="P316" s="48"/>
      <c r="Q316" s="48"/>
      <c r="R316" s="48"/>
      <c r="S316" s="48"/>
      <c r="T316" s="48"/>
      <c r="U316" s="48"/>
      <c r="V316" s="48"/>
      <c r="W316" s="106"/>
      <c r="X316" s="48"/>
      <c r="Y316" s="116">
        <f t="shared" si="8"/>
        <v>0</v>
      </c>
      <c r="Z316" s="108"/>
      <c r="AA316" s="48"/>
      <c r="AB316" s="110"/>
      <c r="AC316" s="84"/>
      <c r="AD316" s="84"/>
      <c r="AE316" s="84"/>
      <c r="AF316" s="84"/>
      <c r="AG316" s="48"/>
      <c r="AH316" s="48"/>
      <c r="AI316" s="48"/>
      <c r="AJ316" s="111"/>
      <c r="AK316" s="115"/>
      <c r="AL316" s="48"/>
      <c r="AM316" s="48"/>
      <c r="AN316" s="48"/>
      <c r="AO316" s="48"/>
      <c r="AP316" s="48"/>
      <c r="AQ316" s="112"/>
      <c r="AR316" s="48"/>
      <c r="AS316" s="113"/>
    </row>
    <row r="317" ht="15.75" customHeight="1">
      <c r="A317" s="48"/>
      <c r="B317" s="48"/>
      <c r="C317" s="126"/>
      <c r="D317" s="98"/>
      <c r="E317" s="137"/>
      <c r="F317" s="103">
        <f t="shared" si="1"/>
        <v>0</v>
      </c>
      <c r="G317" s="138"/>
      <c r="H317" s="138"/>
      <c r="I317" s="138"/>
      <c r="J317" s="115"/>
      <c r="K317" s="48"/>
      <c r="L317" s="47">
        <f t="shared" si="23"/>
        <v>0</v>
      </c>
      <c r="M317" s="48"/>
      <c r="N317" s="49"/>
      <c r="O317" s="48"/>
      <c r="P317" s="48"/>
      <c r="Q317" s="48"/>
      <c r="R317" s="48"/>
      <c r="S317" s="48"/>
      <c r="T317" s="48"/>
      <c r="U317" s="48"/>
      <c r="V317" s="48"/>
      <c r="W317" s="106"/>
      <c r="X317" s="48"/>
      <c r="Y317" s="116">
        <f t="shared" si="8"/>
        <v>0</v>
      </c>
      <c r="Z317" s="108"/>
      <c r="AA317" s="48"/>
      <c r="AB317" s="110"/>
      <c r="AC317" s="84"/>
      <c r="AD317" s="84"/>
      <c r="AE317" s="84"/>
      <c r="AF317" s="84"/>
      <c r="AG317" s="48"/>
      <c r="AH317" s="48"/>
      <c r="AI317" s="48"/>
      <c r="AJ317" s="111"/>
      <c r="AK317" s="115"/>
      <c r="AL317" s="48"/>
      <c r="AM317" s="48"/>
      <c r="AN317" s="48"/>
      <c r="AO317" s="48"/>
      <c r="AP317" s="48"/>
      <c r="AQ317" s="112"/>
      <c r="AR317" s="48"/>
      <c r="AS317" s="113"/>
    </row>
    <row r="318" ht="15.75" customHeight="1">
      <c r="A318" s="48"/>
      <c r="B318" s="48"/>
      <c r="C318" s="126"/>
      <c r="D318" s="98"/>
      <c r="E318" s="137"/>
      <c r="F318" s="103">
        <f t="shared" si="1"/>
        <v>0</v>
      </c>
      <c r="G318" s="138"/>
      <c r="H318" s="138"/>
      <c r="I318" s="138"/>
      <c r="J318" s="115"/>
      <c r="K318" s="48"/>
      <c r="L318" s="47">
        <f t="shared" si="23"/>
        <v>0</v>
      </c>
      <c r="M318" s="48"/>
      <c r="N318" s="49"/>
      <c r="O318" s="48"/>
      <c r="P318" s="48"/>
      <c r="Q318" s="48"/>
      <c r="R318" s="48"/>
      <c r="S318" s="48"/>
      <c r="T318" s="48"/>
      <c r="U318" s="48"/>
      <c r="V318" s="48"/>
      <c r="W318" s="106"/>
      <c r="X318" s="48"/>
      <c r="Y318" s="116">
        <f t="shared" si="8"/>
        <v>0</v>
      </c>
      <c r="Z318" s="108"/>
      <c r="AA318" s="48"/>
      <c r="AB318" s="110"/>
      <c r="AC318" s="84"/>
      <c r="AD318" s="84"/>
      <c r="AE318" s="84"/>
      <c r="AF318" s="84"/>
      <c r="AG318" s="48"/>
      <c r="AH318" s="48"/>
      <c r="AI318" s="48"/>
      <c r="AJ318" s="111"/>
      <c r="AK318" s="115"/>
      <c r="AL318" s="48"/>
      <c r="AM318" s="48"/>
      <c r="AN318" s="48"/>
      <c r="AO318" s="48"/>
      <c r="AP318" s="48"/>
      <c r="AQ318" s="112"/>
      <c r="AR318" s="48"/>
      <c r="AS318" s="113"/>
    </row>
    <row r="319" ht="15.75" customHeight="1">
      <c r="A319" s="48"/>
      <c r="B319" s="48"/>
      <c r="C319" s="126"/>
      <c r="D319" s="98"/>
      <c r="E319" s="137"/>
      <c r="F319" s="103">
        <f t="shared" si="1"/>
        <v>0</v>
      </c>
      <c r="G319" s="138"/>
      <c r="H319" s="138"/>
      <c r="I319" s="138"/>
      <c r="J319" s="115"/>
      <c r="K319" s="48"/>
      <c r="L319" s="47">
        <f t="shared" si="23"/>
        <v>0</v>
      </c>
      <c r="M319" s="48"/>
      <c r="N319" s="49"/>
      <c r="O319" s="48"/>
      <c r="P319" s="48"/>
      <c r="Q319" s="48"/>
      <c r="R319" s="48"/>
      <c r="S319" s="48"/>
      <c r="T319" s="48"/>
      <c r="U319" s="48"/>
      <c r="V319" s="48"/>
      <c r="W319" s="106"/>
      <c r="X319" s="48"/>
      <c r="Y319" s="116">
        <f t="shared" si="8"/>
        <v>0</v>
      </c>
      <c r="Z319" s="108"/>
      <c r="AA319" s="48"/>
      <c r="AB319" s="110"/>
      <c r="AC319" s="84"/>
      <c r="AD319" s="84"/>
      <c r="AE319" s="84"/>
      <c r="AF319" s="84"/>
      <c r="AG319" s="48"/>
      <c r="AH319" s="48"/>
      <c r="AI319" s="48"/>
      <c r="AJ319" s="111"/>
      <c r="AK319" s="115"/>
      <c r="AL319" s="48"/>
      <c r="AM319" s="48"/>
      <c r="AN319" s="48"/>
      <c r="AO319" s="48"/>
      <c r="AP319" s="48"/>
      <c r="AQ319" s="112"/>
      <c r="AR319" s="48"/>
      <c r="AS319" s="113"/>
    </row>
    <row r="320" ht="15.75" customHeight="1">
      <c r="A320" s="48"/>
      <c r="B320" s="48"/>
      <c r="C320" s="126"/>
      <c r="D320" s="98"/>
      <c r="E320" s="137"/>
      <c r="F320" s="103">
        <f t="shared" si="1"/>
        <v>0</v>
      </c>
      <c r="G320" s="138"/>
      <c r="H320" s="138"/>
      <c r="I320" s="138"/>
      <c r="J320" s="115"/>
      <c r="K320" s="48"/>
      <c r="L320" s="47">
        <f t="shared" si="23"/>
        <v>0</v>
      </c>
      <c r="M320" s="48"/>
      <c r="N320" s="49"/>
      <c r="O320" s="48"/>
      <c r="P320" s="48"/>
      <c r="Q320" s="48"/>
      <c r="R320" s="48"/>
      <c r="S320" s="48"/>
      <c r="T320" s="48"/>
      <c r="U320" s="48"/>
      <c r="V320" s="48"/>
      <c r="W320" s="106"/>
      <c r="X320" s="48"/>
      <c r="Y320" s="116">
        <f t="shared" si="8"/>
        <v>0</v>
      </c>
      <c r="Z320" s="108"/>
      <c r="AA320" s="48"/>
      <c r="AB320" s="110"/>
      <c r="AC320" s="84"/>
      <c r="AD320" s="84"/>
      <c r="AE320" s="84"/>
      <c r="AF320" s="84"/>
      <c r="AG320" s="48"/>
      <c r="AH320" s="48"/>
      <c r="AI320" s="48"/>
      <c r="AJ320" s="111"/>
      <c r="AK320" s="115"/>
      <c r="AL320" s="48"/>
      <c r="AM320" s="48"/>
      <c r="AN320" s="48"/>
      <c r="AO320" s="48"/>
      <c r="AP320" s="48"/>
      <c r="AQ320" s="112"/>
      <c r="AR320" s="48"/>
      <c r="AS320" s="113"/>
    </row>
    <row r="321" ht="15.75" customHeight="1">
      <c r="A321" s="48"/>
      <c r="B321" s="48"/>
      <c r="C321" s="126"/>
      <c r="D321" s="98"/>
      <c r="E321" s="137"/>
      <c r="F321" s="103">
        <f t="shared" si="1"/>
        <v>0</v>
      </c>
      <c r="G321" s="138"/>
      <c r="H321" s="138"/>
      <c r="I321" s="138"/>
      <c r="J321" s="115"/>
      <c r="K321" s="48"/>
      <c r="L321" s="47">
        <f t="shared" si="23"/>
        <v>0</v>
      </c>
      <c r="M321" s="48"/>
      <c r="N321" s="49"/>
      <c r="O321" s="48"/>
      <c r="P321" s="48"/>
      <c r="Q321" s="48"/>
      <c r="R321" s="48"/>
      <c r="S321" s="48"/>
      <c r="T321" s="48"/>
      <c r="U321" s="48"/>
      <c r="V321" s="48"/>
      <c r="W321" s="106"/>
      <c r="X321" s="48"/>
      <c r="Y321" s="116">
        <f t="shared" si="8"/>
        <v>0</v>
      </c>
      <c r="Z321" s="108"/>
      <c r="AA321" s="48"/>
      <c r="AB321" s="110"/>
      <c r="AC321" s="84"/>
      <c r="AD321" s="84"/>
      <c r="AE321" s="84"/>
      <c r="AF321" s="84"/>
      <c r="AG321" s="48"/>
      <c r="AH321" s="48"/>
      <c r="AI321" s="48"/>
      <c r="AJ321" s="111"/>
      <c r="AK321" s="115"/>
      <c r="AL321" s="48"/>
      <c r="AM321" s="48"/>
      <c r="AN321" s="48"/>
      <c r="AO321" s="48"/>
      <c r="AP321" s="48"/>
      <c r="AQ321" s="112"/>
      <c r="AR321" s="48"/>
      <c r="AS321" s="113"/>
    </row>
    <row r="322" ht="15.75" customHeight="1">
      <c r="A322" s="48"/>
      <c r="B322" s="48"/>
      <c r="C322" s="126"/>
      <c r="D322" s="98"/>
      <c r="E322" s="137"/>
      <c r="F322" s="103">
        <f t="shared" si="1"/>
        <v>0</v>
      </c>
      <c r="G322" s="138"/>
      <c r="H322" s="138"/>
      <c r="I322" s="138"/>
      <c r="J322" s="115"/>
      <c r="K322" s="48"/>
      <c r="L322" s="47">
        <f t="shared" si="23"/>
        <v>0</v>
      </c>
      <c r="M322" s="48"/>
      <c r="N322" s="49"/>
      <c r="O322" s="48"/>
      <c r="P322" s="48"/>
      <c r="Q322" s="48"/>
      <c r="R322" s="48"/>
      <c r="S322" s="48"/>
      <c r="T322" s="48"/>
      <c r="U322" s="48"/>
      <c r="V322" s="48"/>
      <c r="W322" s="106"/>
      <c r="X322" s="48"/>
      <c r="Y322" s="116">
        <f t="shared" si="8"/>
        <v>0</v>
      </c>
      <c r="Z322" s="108"/>
      <c r="AA322" s="48"/>
      <c r="AB322" s="110"/>
      <c r="AC322" s="84"/>
      <c r="AD322" s="84"/>
      <c r="AE322" s="84"/>
      <c r="AF322" s="84"/>
      <c r="AG322" s="48"/>
      <c r="AH322" s="48"/>
      <c r="AI322" s="48"/>
      <c r="AJ322" s="111"/>
      <c r="AK322" s="115"/>
      <c r="AL322" s="48"/>
      <c r="AM322" s="48"/>
      <c r="AN322" s="48"/>
      <c r="AO322" s="48"/>
      <c r="AP322" s="48"/>
      <c r="AQ322" s="112"/>
      <c r="AR322" s="48"/>
      <c r="AS322" s="113"/>
    </row>
    <row r="323" ht="15.75" customHeight="1">
      <c r="A323" s="48"/>
      <c r="B323" s="48"/>
      <c r="C323" s="126"/>
      <c r="D323" s="98"/>
      <c r="E323" s="137"/>
      <c r="F323" s="103">
        <f t="shared" si="1"/>
        <v>0</v>
      </c>
      <c r="G323" s="138"/>
      <c r="H323" s="138"/>
      <c r="I323" s="138"/>
      <c r="J323" s="115"/>
      <c r="K323" s="48"/>
      <c r="L323" s="47">
        <f t="shared" si="23"/>
        <v>0</v>
      </c>
      <c r="M323" s="48"/>
      <c r="N323" s="49"/>
      <c r="O323" s="48"/>
      <c r="P323" s="48"/>
      <c r="Q323" s="48"/>
      <c r="R323" s="48"/>
      <c r="S323" s="48"/>
      <c r="T323" s="48"/>
      <c r="U323" s="48"/>
      <c r="V323" s="48"/>
      <c r="W323" s="106"/>
      <c r="X323" s="48"/>
      <c r="Y323" s="116">
        <f t="shared" si="8"/>
        <v>0</v>
      </c>
      <c r="Z323" s="108"/>
      <c r="AA323" s="48"/>
      <c r="AB323" s="110"/>
      <c r="AC323" s="84"/>
      <c r="AD323" s="84"/>
      <c r="AE323" s="84"/>
      <c r="AF323" s="84"/>
      <c r="AG323" s="48"/>
      <c r="AH323" s="48"/>
      <c r="AI323" s="48"/>
      <c r="AJ323" s="111"/>
      <c r="AK323" s="115"/>
      <c r="AL323" s="48"/>
      <c r="AM323" s="48"/>
      <c r="AN323" s="48"/>
      <c r="AO323" s="48"/>
      <c r="AP323" s="48"/>
      <c r="AQ323" s="112"/>
      <c r="AR323" s="48"/>
      <c r="AS323" s="113"/>
    </row>
    <row r="324" ht="15.75" customHeight="1">
      <c r="A324" s="48"/>
      <c r="B324" s="48"/>
      <c r="C324" s="126"/>
      <c r="D324" s="98"/>
      <c r="E324" s="137"/>
      <c r="F324" s="103">
        <f t="shared" si="1"/>
        <v>0</v>
      </c>
      <c r="G324" s="138"/>
      <c r="H324" s="138"/>
      <c r="I324" s="138"/>
      <c r="J324" s="115"/>
      <c r="K324" s="48"/>
      <c r="L324" s="47">
        <f t="shared" si="23"/>
        <v>0</v>
      </c>
      <c r="M324" s="48"/>
      <c r="N324" s="49"/>
      <c r="O324" s="48"/>
      <c r="P324" s="48"/>
      <c r="Q324" s="48"/>
      <c r="R324" s="48"/>
      <c r="S324" s="48"/>
      <c r="T324" s="48"/>
      <c r="U324" s="48"/>
      <c r="V324" s="48"/>
      <c r="W324" s="106"/>
      <c r="X324" s="48"/>
      <c r="Y324" s="116">
        <f t="shared" si="8"/>
        <v>0</v>
      </c>
      <c r="Z324" s="108"/>
      <c r="AA324" s="48"/>
      <c r="AB324" s="110"/>
      <c r="AC324" s="84"/>
      <c r="AD324" s="84"/>
      <c r="AE324" s="84"/>
      <c r="AF324" s="84"/>
      <c r="AG324" s="48"/>
      <c r="AH324" s="48"/>
      <c r="AI324" s="48"/>
      <c r="AJ324" s="111"/>
      <c r="AK324" s="115"/>
      <c r="AL324" s="48"/>
      <c r="AM324" s="48"/>
      <c r="AN324" s="48"/>
      <c r="AO324" s="48"/>
      <c r="AP324" s="48"/>
      <c r="AQ324" s="112"/>
      <c r="AR324" s="48"/>
      <c r="AS324" s="113"/>
    </row>
    <row r="325" ht="15.75" customHeight="1">
      <c r="A325" s="48"/>
      <c r="B325" s="48"/>
      <c r="C325" s="126"/>
      <c r="D325" s="98"/>
      <c r="E325" s="137"/>
      <c r="F325" s="103">
        <f t="shared" si="1"/>
        <v>0</v>
      </c>
      <c r="G325" s="138"/>
      <c r="H325" s="138"/>
      <c r="I325" s="138"/>
      <c r="J325" s="115"/>
      <c r="K325" s="48"/>
      <c r="L325" s="47">
        <f t="shared" si="23"/>
        <v>0</v>
      </c>
      <c r="M325" s="48"/>
      <c r="N325" s="49"/>
      <c r="O325" s="48"/>
      <c r="P325" s="48"/>
      <c r="Q325" s="48"/>
      <c r="R325" s="48"/>
      <c r="S325" s="48"/>
      <c r="T325" s="48"/>
      <c r="U325" s="48"/>
      <c r="V325" s="48"/>
      <c r="W325" s="106"/>
      <c r="X325" s="48"/>
      <c r="Y325" s="116">
        <f t="shared" si="8"/>
        <v>0</v>
      </c>
      <c r="Z325" s="108"/>
      <c r="AA325" s="48"/>
      <c r="AB325" s="110"/>
      <c r="AC325" s="84"/>
      <c r="AD325" s="84"/>
      <c r="AE325" s="84"/>
      <c r="AF325" s="84"/>
      <c r="AG325" s="48"/>
      <c r="AH325" s="48"/>
      <c r="AI325" s="48"/>
      <c r="AJ325" s="111"/>
      <c r="AK325" s="115"/>
      <c r="AL325" s="48"/>
      <c r="AM325" s="48"/>
      <c r="AN325" s="48"/>
      <c r="AO325" s="48"/>
      <c r="AP325" s="48"/>
      <c r="AQ325" s="112"/>
      <c r="AR325" s="48"/>
      <c r="AS325" s="113"/>
    </row>
    <row r="326" ht="15.75" customHeight="1">
      <c r="A326" s="48"/>
      <c r="B326" s="48"/>
      <c r="C326" s="126"/>
      <c r="D326" s="98"/>
      <c r="E326" s="137"/>
      <c r="F326" s="103">
        <f t="shared" si="1"/>
        <v>0</v>
      </c>
      <c r="G326" s="138"/>
      <c r="H326" s="138"/>
      <c r="I326" s="138"/>
      <c r="J326" s="115"/>
      <c r="K326" s="48"/>
      <c r="L326" s="47">
        <f t="shared" si="23"/>
        <v>0</v>
      </c>
      <c r="M326" s="48"/>
      <c r="N326" s="49"/>
      <c r="O326" s="48"/>
      <c r="P326" s="48"/>
      <c r="Q326" s="48"/>
      <c r="R326" s="48"/>
      <c r="S326" s="48"/>
      <c r="T326" s="48"/>
      <c r="U326" s="48"/>
      <c r="V326" s="48"/>
      <c r="W326" s="106"/>
      <c r="X326" s="48"/>
      <c r="Y326" s="116">
        <f t="shared" si="8"/>
        <v>0</v>
      </c>
      <c r="Z326" s="108"/>
      <c r="AA326" s="48"/>
      <c r="AB326" s="110"/>
      <c r="AC326" s="84"/>
      <c r="AD326" s="84"/>
      <c r="AE326" s="84"/>
      <c r="AF326" s="84"/>
      <c r="AG326" s="48"/>
      <c r="AH326" s="48"/>
      <c r="AI326" s="48"/>
      <c r="AJ326" s="111"/>
      <c r="AK326" s="115"/>
      <c r="AL326" s="48"/>
      <c r="AM326" s="48"/>
      <c r="AN326" s="48"/>
      <c r="AO326" s="48"/>
      <c r="AP326" s="48"/>
      <c r="AQ326" s="112"/>
      <c r="AR326" s="48"/>
      <c r="AS326" s="113"/>
    </row>
    <row r="327" ht="15.75" customHeight="1">
      <c r="A327" s="48"/>
      <c r="B327" s="48"/>
      <c r="C327" s="126"/>
      <c r="D327" s="98"/>
      <c r="E327" s="137"/>
      <c r="F327" s="103">
        <f t="shared" si="1"/>
        <v>0</v>
      </c>
      <c r="G327" s="138"/>
      <c r="H327" s="138"/>
      <c r="I327" s="138"/>
      <c r="J327" s="115"/>
      <c r="K327" s="48"/>
      <c r="L327" s="47">
        <f t="shared" si="23"/>
        <v>0</v>
      </c>
      <c r="M327" s="48"/>
      <c r="N327" s="49"/>
      <c r="O327" s="48"/>
      <c r="P327" s="48"/>
      <c r="Q327" s="48"/>
      <c r="R327" s="48"/>
      <c r="S327" s="48"/>
      <c r="T327" s="48"/>
      <c r="U327" s="48"/>
      <c r="V327" s="48"/>
      <c r="W327" s="106"/>
      <c r="X327" s="48"/>
      <c r="Y327" s="116">
        <f t="shared" si="8"/>
        <v>0</v>
      </c>
      <c r="Z327" s="108"/>
      <c r="AA327" s="48"/>
      <c r="AB327" s="110"/>
      <c r="AC327" s="84"/>
      <c r="AD327" s="84"/>
      <c r="AE327" s="84"/>
      <c r="AF327" s="84"/>
      <c r="AG327" s="48"/>
      <c r="AH327" s="48"/>
      <c r="AI327" s="48"/>
      <c r="AJ327" s="111"/>
      <c r="AK327" s="115"/>
      <c r="AL327" s="48"/>
      <c r="AM327" s="48"/>
      <c r="AN327" s="48"/>
      <c r="AO327" s="48"/>
      <c r="AP327" s="48"/>
      <c r="AQ327" s="112"/>
      <c r="AR327" s="48"/>
      <c r="AS327" s="113"/>
    </row>
    <row r="328" ht="15.75" customHeight="1">
      <c r="A328" s="48"/>
      <c r="B328" s="48"/>
      <c r="C328" s="126"/>
      <c r="D328" s="98"/>
      <c r="E328" s="137"/>
      <c r="F328" s="103">
        <f t="shared" si="1"/>
        <v>0</v>
      </c>
      <c r="G328" s="138"/>
      <c r="H328" s="138"/>
      <c r="I328" s="138"/>
      <c r="J328" s="115"/>
      <c r="K328" s="48"/>
      <c r="L328" s="47">
        <f t="shared" si="23"/>
        <v>0</v>
      </c>
      <c r="M328" s="48"/>
      <c r="N328" s="49"/>
      <c r="O328" s="48"/>
      <c r="P328" s="48"/>
      <c r="Q328" s="48"/>
      <c r="R328" s="48"/>
      <c r="S328" s="48"/>
      <c r="T328" s="48"/>
      <c r="U328" s="48"/>
      <c r="V328" s="48"/>
      <c r="W328" s="106"/>
      <c r="X328" s="48"/>
      <c r="Y328" s="116">
        <f t="shared" si="8"/>
        <v>0</v>
      </c>
      <c r="Z328" s="108"/>
      <c r="AA328" s="48"/>
      <c r="AB328" s="110"/>
      <c r="AC328" s="84"/>
      <c r="AD328" s="84"/>
      <c r="AE328" s="84"/>
      <c r="AF328" s="84"/>
      <c r="AG328" s="48"/>
      <c r="AH328" s="48"/>
      <c r="AI328" s="48"/>
      <c r="AJ328" s="111"/>
      <c r="AK328" s="115"/>
      <c r="AL328" s="48"/>
      <c r="AM328" s="48"/>
      <c r="AN328" s="48"/>
      <c r="AO328" s="48"/>
      <c r="AP328" s="48"/>
      <c r="AQ328" s="112"/>
      <c r="AR328" s="48"/>
      <c r="AS328" s="113"/>
    </row>
    <row r="329" ht="15.75" customHeight="1">
      <c r="A329" s="48"/>
      <c r="B329" s="48"/>
      <c r="C329" s="126"/>
      <c r="D329" s="98"/>
      <c r="E329" s="137"/>
      <c r="F329" s="103">
        <f t="shared" si="1"/>
        <v>0</v>
      </c>
      <c r="G329" s="138"/>
      <c r="H329" s="138"/>
      <c r="I329" s="138"/>
      <c r="J329" s="115"/>
      <c r="K329" s="48"/>
      <c r="L329" s="47">
        <f t="shared" si="23"/>
        <v>0</v>
      </c>
      <c r="M329" s="48"/>
      <c r="N329" s="49"/>
      <c r="O329" s="48"/>
      <c r="P329" s="48"/>
      <c r="Q329" s="48"/>
      <c r="R329" s="48"/>
      <c r="S329" s="48"/>
      <c r="T329" s="48"/>
      <c r="U329" s="48"/>
      <c r="V329" s="48"/>
      <c r="W329" s="106"/>
      <c r="X329" s="48"/>
      <c r="Y329" s="116">
        <f t="shared" si="8"/>
        <v>0</v>
      </c>
      <c r="Z329" s="108"/>
      <c r="AA329" s="48"/>
      <c r="AB329" s="110"/>
      <c r="AC329" s="84"/>
      <c r="AD329" s="84"/>
      <c r="AE329" s="84"/>
      <c r="AF329" s="84"/>
      <c r="AG329" s="48"/>
      <c r="AH329" s="48"/>
      <c r="AI329" s="48"/>
      <c r="AJ329" s="111"/>
      <c r="AK329" s="115"/>
      <c r="AL329" s="48"/>
      <c r="AM329" s="48"/>
      <c r="AN329" s="48"/>
      <c r="AO329" s="48"/>
      <c r="AP329" s="48"/>
      <c r="AQ329" s="112"/>
      <c r="AR329" s="48"/>
      <c r="AS329" s="113"/>
    </row>
    <row r="330" ht="15.75" customHeight="1">
      <c r="A330" s="48"/>
      <c r="B330" s="48"/>
      <c r="C330" s="126"/>
      <c r="D330" s="98"/>
      <c r="E330" s="137"/>
      <c r="F330" s="103">
        <f t="shared" si="1"/>
        <v>0</v>
      </c>
      <c r="G330" s="138"/>
      <c r="H330" s="138"/>
      <c r="I330" s="138"/>
      <c r="J330" s="115"/>
      <c r="K330" s="48"/>
      <c r="L330" s="47">
        <f t="shared" si="23"/>
        <v>0</v>
      </c>
      <c r="M330" s="48"/>
      <c r="N330" s="49"/>
      <c r="O330" s="48"/>
      <c r="P330" s="48"/>
      <c r="Q330" s="48"/>
      <c r="R330" s="48"/>
      <c r="S330" s="48"/>
      <c r="T330" s="48"/>
      <c r="U330" s="48"/>
      <c r="V330" s="48"/>
      <c r="W330" s="106"/>
      <c r="X330" s="48"/>
      <c r="Y330" s="116">
        <f t="shared" si="8"/>
        <v>0</v>
      </c>
      <c r="Z330" s="108"/>
      <c r="AA330" s="48"/>
      <c r="AB330" s="110"/>
      <c r="AC330" s="84"/>
      <c r="AD330" s="84"/>
      <c r="AE330" s="84"/>
      <c r="AF330" s="84"/>
      <c r="AG330" s="48"/>
      <c r="AH330" s="48"/>
      <c r="AI330" s="48"/>
      <c r="AJ330" s="111"/>
      <c r="AK330" s="115"/>
      <c r="AL330" s="48"/>
      <c r="AM330" s="48"/>
      <c r="AN330" s="48"/>
      <c r="AO330" s="48"/>
      <c r="AP330" s="48"/>
      <c r="AQ330" s="112"/>
      <c r="AR330" s="48"/>
      <c r="AS330" s="113"/>
    </row>
    <row r="331" ht="15.75" customHeight="1">
      <c r="A331" s="48"/>
      <c r="B331" s="48"/>
      <c r="C331" s="126"/>
      <c r="D331" s="98"/>
      <c r="E331" s="137"/>
      <c r="F331" s="103">
        <f t="shared" si="1"/>
        <v>0</v>
      </c>
      <c r="G331" s="138"/>
      <c r="H331" s="138"/>
      <c r="I331" s="138"/>
      <c r="J331" s="115"/>
      <c r="K331" s="48"/>
      <c r="L331" s="47">
        <f t="shared" si="23"/>
        <v>0</v>
      </c>
      <c r="M331" s="48"/>
      <c r="N331" s="49"/>
      <c r="O331" s="48"/>
      <c r="P331" s="48"/>
      <c r="Q331" s="48"/>
      <c r="R331" s="48"/>
      <c r="S331" s="48"/>
      <c r="T331" s="48"/>
      <c r="U331" s="48"/>
      <c r="V331" s="48"/>
      <c r="W331" s="106"/>
      <c r="X331" s="48"/>
      <c r="Y331" s="116">
        <f t="shared" si="8"/>
        <v>0</v>
      </c>
      <c r="Z331" s="108"/>
      <c r="AA331" s="48"/>
      <c r="AB331" s="110"/>
      <c r="AC331" s="84"/>
      <c r="AD331" s="84"/>
      <c r="AE331" s="84"/>
      <c r="AF331" s="84"/>
      <c r="AG331" s="48"/>
      <c r="AH331" s="48"/>
      <c r="AI331" s="48"/>
      <c r="AJ331" s="111"/>
      <c r="AK331" s="115"/>
      <c r="AL331" s="48"/>
      <c r="AM331" s="48"/>
      <c r="AN331" s="48"/>
      <c r="AO331" s="48"/>
      <c r="AP331" s="48"/>
      <c r="AQ331" s="112"/>
      <c r="AR331" s="48"/>
      <c r="AS331" s="113"/>
    </row>
    <row r="332" ht="15.75" customHeight="1">
      <c r="A332" s="48"/>
      <c r="B332" s="48"/>
      <c r="C332" s="126"/>
      <c r="D332" s="98"/>
      <c r="E332" s="137"/>
      <c r="F332" s="103">
        <f t="shared" si="1"/>
        <v>0</v>
      </c>
      <c r="G332" s="138"/>
      <c r="H332" s="138"/>
      <c r="I332" s="138"/>
      <c r="J332" s="115"/>
      <c r="K332" s="48"/>
      <c r="L332" s="47">
        <f t="shared" si="23"/>
        <v>0</v>
      </c>
      <c r="M332" s="48"/>
      <c r="N332" s="49"/>
      <c r="O332" s="48"/>
      <c r="P332" s="48"/>
      <c r="Q332" s="48"/>
      <c r="R332" s="48"/>
      <c r="S332" s="48"/>
      <c r="T332" s="48"/>
      <c r="U332" s="48"/>
      <c r="V332" s="48"/>
      <c r="W332" s="106"/>
      <c r="X332" s="48"/>
      <c r="Y332" s="116">
        <f t="shared" si="8"/>
        <v>0</v>
      </c>
      <c r="Z332" s="108"/>
      <c r="AA332" s="48"/>
      <c r="AB332" s="110"/>
      <c r="AC332" s="84"/>
      <c r="AD332" s="84"/>
      <c r="AE332" s="84"/>
      <c r="AF332" s="84"/>
      <c r="AG332" s="48"/>
      <c r="AH332" s="48"/>
      <c r="AI332" s="48"/>
      <c r="AJ332" s="111"/>
      <c r="AK332" s="115"/>
      <c r="AL332" s="48"/>
      <c r="AM332" s="48"/>
      <c r="AN332" s="48"/>
      <c r="AO332" s="48"/>
      <c r="AP332" s="48"/>
      <c r="AQ332" s="112"/>
      <c r="AR332" s="48"/>
      <c r="AS332" s="113"/>
    </row>
    <row r="333" ht="15.75" customHeight="1">
      <c r="A333" s="48"/>
      <c r="B333" s="48"/>
      <c r="C333" s="126"/>
      <c r="D333" s="98"/>
      <c r="E333" s="137"/>
      <c r="F333" s="103">
        <f t="shared" si="1"/>
        <v>0</v>
      </c>
      <c r="G333" s="138"/>
      <c r="H333" s="138"/>
      <c r="I333" s="138"/>
      <c r="J333" s="115"/>
      <c r="K333" s="48"/>
      <c r="L333" s="47">
        <f t="shared" si="23"/>
        <v>0</v>
      </c>
      <c r="M333" s="48"/>
      <c r="N333" s="49"/>
      <c r="O333" s="48"/>
      <c r="P333" s="48"/>
      <c r="Q333" s="48"/>
      <c r="R333" s="48"/>
      <c r="S333" s="48"/>
      <c r="T333" s="48"/>
      <c r="U333" s="48"/>
      <c r="V333" s="48"/>
      <c r="W333" s="106"/>
      <c r="X333" s="48"/>
      <c r="Y333" s="116">
        <f t="shared" si="8"/>
        <v>0</v>
      </c>
      <c r="Z333" s="108"/>
      <c r="AA333" s="48"/>
      <c r="AB333" s="110"/>
      <c r="AC333" s="84"/>
      <c r="AD333" s="84"/>
      <c r="AE333" s="84"/>
      <c r="AF333" s="84"/>
      <c r="AG333" s="48"/>
      <c r="AH333" s="48"/>
      <c r="AI333" s="48"/>
      <c r="AJ333" s="111"/>
      <c r="AK333" s="115"/>
      <c r="AL333" s="48"/>
      <c r="AM333" s="48"/>
      <c r="AN333" s="48"/>
      <c r="AO333" s="48"/>
      <c r="AP333" s="48"/>
      <c r="AQ333" s="112"/>
      <c r="AR333" s="48"/>
      <c r="AS333" s="113"/>
    </row>
    <row r="334" ht="15.75" customHeight="1">
      <c r="A334" s="48"/>
      <c r="B334" s="48"/>
      <c r="C334" s="126"/>
      <c r="D334" s="98"/>
      <c r="E334" s="137"/>
      <c r="F334" s="103">
        <f t="shared" si="1"/>
        <v>0</v>
      </c>
      <c r="G334" s="138"/>
      <c r="H334" s="138"/>
      <c r="I334" s="138"/>
      <c r="J334" s="115"/>
      <c r="K334" s="48"/>
      <c r="L334" s="47">
        <f t="shared" si="23"/>
        <v>0</v>
      </c>
      <c r="M334" s="48"/>
      <c r="N334" s="49"/>
      <c r="O334" s="48"/>
      <c r="P334" s="48"/>
      <c r="Q334" s="48"/>
      <c r="R334" s="48"/>
      <c r="S334" s="48"/>
      <c r="T334" s="48"/>
      <c r="U334" s="48"/>
      <c r="V334" s="48"/>
      <c r="W334" s="106"/>
      <c r="X334" s="48"/>
      <c r="Y334" s="116">
        <f t="shared" si="8"/>
        <v>0</v>
      </c>
      <c r="Z334" s="108"/>
      <c r="AA334" s="48"/>
      <c r="AB334" s="110"/>
      <c r="AC334" s="84"/>
      <c r="AD334" s="84"/>
      <c r="AE334" s="84"/>
      <c r="AF334" s="84"/>
      <c r="AG334" s="48"/>
      <c r="AH334" s="48"/>
      <c r="AI334" s="48"/>
      <c r="AJ334" s="111"/>
      <c r="AK334" s="115"/>
      <c r="AL334" s="48"/>
      <c r="AM334" s="48"/>
      <c r="AN334" s="48"/>
      <c r="AO334" s="48"/>
      <c r="AP334" s="48"/>
      <c r="AQ334" s="112"/>
      <c r="AR334" s="48"/>
      <c r="AS334" s="113"/>
    </row>
    <row r="335" ht="15.75" customHeight="1">
      <c r="A335" s="48"/>
      <c r="B335" s="48"/>
      <c r="C335" s="126"/>
      <c r="D335" s="98"/>
      <c r="E335" s="137"/>
      <c r="F335" s="103">
        <f t="shared" si="1"/>
        <v>0</v>
      </c>
      <c r="G335" s="138"/>
      <c r="H335" s="138"/>
      <c r="I335" s="138"/>
      <c r="J335" s="115"/>
      <c r="K335" s="48"/>
      <c r="L335" s="47">
        <f t="shared" si="23"/>
        <v>0</v>
      </c>
      <c r="M335" s="48"/>
      <c r="N335" s="49"/>
      <c r="O335" s="48"/>
      <c r="P335" s="48"/>
      <c r="Q335" s="48"/>
      <c r="R335" s="48"/>
      <c r="S335" s="48"/>
      <c r="T335" s="48"/>
      <c r="U335" s="48"/>
      <c r="V335" s="48"/>
      <c r="W335" s="106"/>
      <c r="X335" s="48"/>
      <c r="Y335" s="116">
        <f t="shared" si="8"/>
        <v>0</v>
      </c>
      <c r="Z335" s="108"/>
      <c r="AA335" s="48"/>
      <c r="AB335" s="110"/>
      <c r="AC335" s="84"/>
      <c r="AD335" s="84"/>
      <c r="AE335" s="84"/>
      <c r="AF335" s="84"/>
      <c r="AG335" s="48"/>
      <c r="AH335" s="48"/>
      <c r="AI335" s="48"/>
      <c r="AJ335" s="111"/>
      <c r="AK335" s="115"/>
      <c r="AL335" s="48"/>
      <c r="AM335" s="48"/>
      <c r="AN335" s="48"/>
      <c r="AO335" s="48"/>
      <c r="AP335" s="48"/>
      <c r="AQ335" s="112"/>
      <c r="AR335" s="48"/>
      <c r="AS335" s="113"/>
    </row>
    <row r="336" ht="15.75" customHeight="1">
      <c r="A336" s="48"/>
      <c r="B336" s="48"/>
      <c r="C336" s="126"/>
      <c r="D336" s="98"/>
      <c r="E336" s="137"/>
      <c r="F336" s="103">
        <f t="shared" si="1"/>
        <v>0</v>
      </c>
      <c r="G336" s="138"/>
      <c r="H336" s="138"/>
      <c r="I336" s="138"/>
      <c r="J336" s="115"/>
      <c r="K336" s="48"/>
      <c r="L336" s="47">
        <f t="shared" si="23"/>
        <v>0</v>
      </c>
      <c r="M336" s="48"/>
      <c r="N336" s="49"/>
      <c r="O336" s="48"/>
      <c r="P336" s="48"/>
      <c r="Q336" s="48"/>
      <c r="R336" s="48"/>
      <c r="S336" s="48"/>
      <c r="T336" s="48"/>
      <c r="U336" s="48"/>
      <c r="V336" s="48"/>
      <c r="W336" s="106"/>
      <c r="X336" s="48"/>
      <c r="Y336" s="116">
        <f t="shared" si="8"/>
        <v>0</v>
      </c>
      <c r="Z336" s="108"/>
      <c r="AA336" s="48"/>
      <c r="AB336" s="110"/>
      <c r="AC336" s="84"/>
      <c r="AD336" s="84"/>
      <c r="AE336" s="84"/>
      <c r="AF336" s="84"/>
      <c r="AG336" s="48"/>
      <c r="AH336" s="48"/>
      <c r="AI336" s="48"/>
      <c r="AJ336" s="111"/>
      <c r="AK336" s="115"/>
      <c r="AL336" s="48"/>
      <c r="AM336" s="48"/>
      <c r="AN336" s="48"/>
      <c r="AO336" s="48"/>
      <c r="AP336" s="48"/>
      <c r="AQ336" s="112"/>
      <c r="AR336" s="48"/>
      <c r="AS336" s="113"/>
    </row>
    <row r="337" ht="15.75" customHeight="1">
      <c r="A337" s="48"/>
      <c r="B337" s="48"/>
      <c r="C337" s="126"/>
      <c r="D337" s="98"/>
      <c r="E337" s="137"/>
      <c r="F337" s="103">
        <f t="shared" si="1"/>
        <v>0</v>
      </c>
      <c r="G337" s="138"/>
      <c r="H337" s="138"/>
      <c r="I337" s="138"/>
      <c r="J337" s="115"/>
      <c r="K337" s="48"/>
      <c r="L337" s="47">
        <f t="shared" si="23"/>
        <v>0</v>
      </c>
      <c r="M337" s="48"/>
      <c r="N337" s="49"/>
      <c r="O337" s="48"/>
      <c r="P337" s="48"/>
      <c r="Q337" s="48"/>
      <c r="R337" s="48"/>
      <c r="S337" s="48"/>
      <c r="T337" s="48"/>
      <c r="U337" s="48"/>
      <c r="V337" s="48"/>
      <c r="W337" s="106"/>
      <c r="X337" s="48"/>
      <c r="Y337" s="116">
        <f t="shared" si="8"/>
        <v>0</v>
      </c>
      <c r="Z337" s="108"/>
      <c r="AA337" s="48"/>
      <c r="AB337" s="110"/>
      <c r="AC337" s="84"/>
      <c r="AD337" s="84"/>
      <c r="AE337" s="84"/>
      <c r="AF337" s="84"/>
      <c r="AG337" s="48"/>
      <c r="AH337" s="48"/>
      <c r="AI337" s="48"/>
      <c r="AJ337" s="111"/>
      <c r="AK337" s="115"/>
      <c r="AL337" s="48"/>
      <c r="AM337" s="48"/>
      <c r="AN337" s="48"/>
      <c r="AO337" s="48"/>
      <c r="AP337" s="48"/>
      <c r="AQ337" s="112"/>
      <c r="AR337" s="48"/>
      <c r="AS337" s="113"/>
    </row>
    <row r="338" ht="15.75" customHeight="1">
      <c r="A338" s="48"/>
      <c r="B338" s="48"/>
      <c r="C338" s="126"/>
      <c r="D338" s="98"/>
      <c r="E338" s="137"/>
      <c r="F338" s="103">
        <f t="shared" si="1"/>
        <v>0</v>
      </c>
      <c r="G338" s="138"/>
      <c r="H338" s="138"/>
      <c r="I338" s="138"/>
      <c r="J338" s="115"/>
      <c r="K338" s="48"/>
      <c r="L338" s="47">
        <f t="shared" si="23"/>
        <v>0</v>
      </c>
      <c r="M338" s="48"/>
      <c r="N338" s="49"/>
      <c r="O338" s="48"/>
      <c r="P338" s="48"/>
      <c r="Q338" s="48"/>
      <c r="R338" s="48"/>
      <c r="S338" s="48"/>
      <c r="T338" s="48"/>
      <c r="U338" s="48"/>
      <c r="V338" s="48"/>
      <c r="W338" s="106"/>
      <c r="X338" s="48"/>
      <c r="Y338" s="116">
        <f t="shared" si="8"/>
        <v>0</v>
      </c>
      <c r="Z338" s="108"/>
      <c r="AA338" s="48"/>
      <c r="AB338" s="110"/>
      <c r="AC338" s="84"/>
      <c r="AD338" s="84"/>
      <c r="AE338" s="84"/>
      <c r="AF338" s="84"/>
      <c r="AG338" s="48"/>
      <c r="AH338" s="48"/>
      <c r="AI338" s="48"/>
      <c r="AJ338" s="111"/>
      <c r="AK338" s="115"/>
      <c r="AL338" s="48"/>
      <c r="AM338" s="48"/>
      <c r="AN338" s="48"/>
      <c r="AO338" s="48"/>
      <c r="AP338" s="48"/>
      <c r="AQ338" s="112"/>
      <c r="AR338" s="48"/>
      <c r="AS338" s="113"/>
    </row>
    <row r="339" ht="15.75" customHeight="1">
      <c r="A339" s="48"/>
      <c r="B339" s="48"/>
      <c r="C339" s="126"/>
      <c r="D339" s="98"/>
      <c r="E339" s="137"/>
      <c r="F339" s="103">
        <f t="shared" si="1"/>
        <v>0</v>
      </c>
      <c r="G339" s="138"/>
      <c r="H339" s="138"/>
      <c r="I339" s="138"/>
      <c r="J339" s="115"/>
      <c r="K339" s="48"/>
      <c r="L339" s="47">
        <f t="shared" si="23"/>
        <v>0</v>
      </c>
      <c r="M339" s="48"/>
      <c r="N339" s="49"/>
      <c r="O339" s="48"/>
      <c r="P339" s="48"/>
      <c r="Q339" s="48"/>
      <c r="R339" s="48"/>
      <c r="S339" s="48"/>
      <c r="T339" s="48"/>
      <c r="U339" s="48"/>
      <c r="V339" s="48"/>
      <c r="W339" s="106"/>
      <c r="X339" s="48"/>
      <c r="Y339" s="116">
        <f t="shared" si="8"/>
        <v>0</v>
      </c>
      <c r="Z339" s="108"/>
      <c r="AA339" s="48"/>
      <c r="AB339" s="110"/>
      <c r="AC339" s="84"/>
      <c r="AD339" s="84"/>
      <c r="AE339" s="84"/>
      <c r="AF339" s="84"/>
      <c r="AG339" s="48"/>
      <c r="AH339" s="48"/>
      <c r="AI339" s="48"/>
      <c r="AJ339" s="111"/>
      <c r="AK339" s="115"/>
      <c r="AL339" s="48"/>
      <c r="AM339" s="48"/>
      <c r="AN339" s="48"/>
      <c r="AO339" s="48"/>
      <c r="AP339" s="48"/>
      <c r="AQ339" s="112"/>
      <c r="AR339" s="48"/>
      <c r="AS339" s="113"/>
    </row>
    <row r="340" ht="15.75" customHeight="1">
      <c r="A340" s="48"/>
      <c r="B340" s="48"/>
      <c r="C340" s="126"/>
      <c r="D340" s="98"/>
      <c r="E340" s="137"/>
      <c r="F340" s="103">
        <f t="shared" si="1"/>
        <v>0</v>
      </c>
      <c r="G340" s="138"/>
      <c r="H340" s="138"/>
      <c r="I340" s="138"/>
      <c r="J340" s="115"/>
      <c r="K340" s="48"/>
      <c r="L340" s="47">
        <f t="shared" si="23"/>
        <v>0</v>
      </c>
      <c r="M340" s="48"/>
      <c r="N340" s="49"/>
      <c r="O340" s="48"/>
      <c r="P340" s="48"/>
      <c r="Q340" s="48"/>
      <c r="R340" s="48"/>
      <c r="S340" s="48"/>
      <c r="T340" s="48"/>
      <c r="U340" s="48"/>
      <c r="V340" s="48"/>
      <c r="W340" s="106"/>
      <c r="X340" s="48"/>
      <c r="Y340" s="116">
        <f t="shared" si="8"/>
        <v>0</v>
      </c>
      <c r="Z340" s="108"/>
      <c r="AA340" s="48"/>
      <c r="AB340" s="110"/>
      <c r="AC340" s="84"/>
      <c r="AD340" s="84"/>
      <c r="AE340" s="84"/>
      <c r="AF340" s="84"/>
      <c r="AG340" s="48"/>
      <c r="AH340" s="48"/>
      <c r="AI340" s="48"/>
      <c r="AJ340" s="111"/>
      <c r="AK340" s="115"/>
      <c r="AL340" s="48"/>
      <c r="AM340" s="48"/>
      <c r="AN340" s="48"/>
      <c r="AO340" s="48"/>
      <c r="AP340" s="48"/>
      <c r="AQ340" s="112"/>
      <c r="AR340" s="48"/>
      <c r="AS340" s="113"/>
    </row>
    <row r="341" ht="15.75" customHeight="1">
      <c r="A341" s="48"/>
      <c r="B341" s="48"/>
      <c r="C341" s="126"/>
      <c r="D341" s="98"/>
      <c r="E341" s="137"/>
      <c r="F341" s="103">
        <f t="shared" si="1"/>
        <v>0</v>
      </c>
      <c r="G341" s="138"/>
      <c r="H341" s="138"/>
      <c r="I341" s="138"/>
      <c r="J341" s="115"/>
      <c r="K341" s="48"/>
      <c r="L341" s="47">
        <f t="shared" si="23"/>
        <v>0</v>
      </c>
      <c r="M341" s="48"/>
      <c r="N341" s="49"/>
      <c r="O341" s="48"/>
      <c r="P341" s="48"/>
      <c r="Q341" s="48"/>
      <c r="R341" s="48"/>
      <c r="S341" s="48"/>
      <c r="T341" s="48"/>
      <c r="U341" s="48"/>
      <c r="V341" s="48"/>
      <c r="W341" s="106"/>
      <c r="X341" s="48"/>
      <c r="Y341" s="116">
        <f t="shared" si="8"/>
        <v>0</v>
      </c>
      <c r="Z341" s="108"/>
      <c r="AA341" s="48"/>
      <c r="AB341" s="110"/>
      <c r="AC341" s="84"/>
      <c r="AD341" s="84"/>
      <c r="AE341" s="84"/>
      <c r="AF341" s="84"/>
      <c r="AG341" s="48"/>
      <c r="AH341" s="48"/>
      <c r="AI341" s="48"/>
      <c r="AJ341" s="111"/>
      <c r="AK341" s="115"/>
      <c r="AL341" s="48"/>
      <c r="AM341" s="48"/>
      <c r="AN341" s="48"/>
      <c r="AO341" s="48"/>
      <c r="AP341" s="48"/>
      <c r="AQ341" s="112"/>
      <c r="AR341" s="48"/>
      <c r="AS341" s="113"/>
    </row>
    <row r="342" ht="15.75" customHeight="1">
      <c r="A342" s="48"/>
      <c r="B342" s="48"/>
      <c r="C342" s="126"/>
      <c r="D342" s="98"/>
      <c r="E342" s="137"/>
      <c r="F342" s="103">
        <f t="shared" si="1"/>
        <v>0</v>
      </c>
      <c r="G342" s="138"/>
      <c r="H342" s="138"/>
      <c r="I342" s="138"/>
      <c r="J342" s="115"/>
      <c r="K342" s="48"/>
      <c r="L342" s="47">
        <f t="shared" si="23"/>
        <v>0</v>
      </c>
      <c r="M342" s="48"/>
      <c r="N342" s="49"/>
      <c r="O342" s="48"/>
      <c r="P342" s="48"/>
      <c r="Q342" s="48"/>
      <c r="R342" s="48"/>
      <c r="S342" s="48"/>
      <c r="T342" s="48"/>
      <c r="U342" s="48"/>
      <c r="V342" s="48"/>
      <c r="W342" s="106"/>
      <c r="X342" s="48"/>
      <c r="Y342" s="116">
        <f t="shared" si="8"/>
        <v>0</v>
      </c>
      <c r="Z342" s="108"/>
      <c r="AA342" s="48"/>
      <c r="AB342" s="110"/>
      <c r="AC342" s="84"/>
      <c r="AD342" s="84"/>
      <c r="AE342" s="84"/>
      <c r="AF342" s="84"/>
      <c r="AG342" s="48"/>
      <c r="AH342" s="48"/>
      <c r="AI342" s="48"/>
      <c r="AJ342" s="111"/>
      <c r="AK342" s="115"/>
      <c r="AL342" s="48"/>
      <c r="AM342" s="48"/>
      <c r="AN342" s="48"/>
      <c r="AO342" s="48"/>
      <c r="AP342" s="48"/>
      <c r="AQ342" s="112"/>
      <c r="AR342" s="48"/>
      <c r="AS342" s="113"/>
    </row>
    <row r="343" ht="15.75" customHeight="1">
      <c r="A343" s="48"/>
      <c r="B343" s="48"/>
      <c r="C343" s="126"/>
      <c r="D343" s="98"/>
      <c r="E343" s="137"/>
      <c r="F343" s="103">
        <f t="shared" si="1"/>
        <v>0</v>
      </c>
      <c r="G343" s="138"/>
      <c r="H343" s="138"/>
      <c r="I343" s="138"/>
      <c r="J343" s="115"/>
      <c r="K343" s="48"/>
      <c r="L343" s="47">
        <f t="shared" si="23"/>
        <v>0</v>
      </c>
      <c r="M343" s="48"/>
      <c r="N343" s="49"/>
      <c r="O343" s="48"/>
      <c r="P343" s="48"/>
      <c r="Q343" s="48"/>
      <c r="R343" s="48"/>
      <c r="S343" s="48"/>
      <c r="T343" s="48"/>
      <c r="U343" s="48"/>
      <c r="V343" s="48"/>
      <c r="W343" s="106"/>
      <c r="X343" s="48"/>
      <c r="Y343" s="116">
        <f t="shared" si="8"/>
        <v>0</v>
      </c>
      <c r="Z343" s="108"/>
      <c r="AA343" s="48"/>
      <c r="AB343" s="110"/>
      <c r="AC343" s="84"/>
      <c r="AD343" s="84"/>
      <c r="AE343" s="84"/>
      <c r="AF343" s="84"/>
      <c r="AG343" s="48"/>
      <c r="AH343" s="48"/>
      <c r="AI343" s="48"/>
      <c r="AJ343" s="111"/>
      <c r="AK343" s="115"/>
      <c r="AL343" s="48"/>
      <c r="AM343" s="48"/>
      <c r="AN343" s="48"/>
      <c r="AO343" s="48"/>
      <c r="AP343" s="48"/>
      <c r="AQ343" s="112"/>
      <c r="AR343" s="48"/>
      <c r="AS343" s="113"/>
    </row>
    <row r="344" ht="15.75" customHeight="1">
      <c r="A344" s="48"/>
      <c r="B344" s="48"/>
      <c r="C344" s="126"/>
      <c r="D344" s="98"/>
      <c r="E344" s="137"/>
      <c r="F344" s="103">
        <f t="shared" si="1"/>
        <v>0</v>
      </c>
      <c r="G344" s="138"/>
      <c r="H344" s="138"/>
      <c r="I344" s="138"/>
      <c r="J344" s="115"/>
      <c r="K344" s="48"/>
      <c r="L344" s="47">
        <f t="shared" si="23"/>
        <v>0</v>
      </c>
      <c r="M344" s="48"/>
      <c r="N344" s="49"/>
      <c r="O344" s="48"/>
      <c r="P344" s="48"/>
      <c r="Q344" s="48"/>
      <c r="R344" s="48"/>
      <c r="S344" s="48"/>
      <c r="T344" s="48"/>
      <c r="U344" s="48"/>
      <c r="V344" s="48"/>
      <c r="W344" s="106"/>
      <c r="X344" s="48"/>
      <c r="Y344" s="116">
        <f t="shared" si="8"/>
        <v>0</v>
      </c>
      <c r="Z344" s="108"/>
      <c r="AA344" s="48"/>
      <c r="AB344" s="110"/>
      <c r="AC344" s="84"/>
      <c r="AD344" s="84"/>
      <c r="AE344" s="84"/>
      <c r="AF344" s="84"/>
      <c r="AG344" s="48"/>
      <c r="AH344" s="48"/>
      <c r="AI344" s="48"/>
      <c r="AJ344" s="111"/>
      <c r="AK344" s="115"/>
      <c r="AL344" s="48"/>
      <c r="AM344" s="48"/>
      <c r="AN344" s="48"/>
      <c r="AO344" s="48"/>
      <c r="AP344" s="48"/>
      <c r="AQ344" s="112"/>
      <c r="AR344" s="48"/>
      <c r="AS344" s="113"/>
    </row>
    <row r="345" ht="15.75" customHeight="1">
      <c r="A345" s="48"/>
      <c r="B345" s="48"/>
      <c r="C345" s="126"/>
      <c r="D345" s="98"/>
      <c r="E345" s="137"/>
      <c r="F345" s="103">
        <f t="shared" si="1"/>
        <v>0</v>
      </c>
      <c r="G345" s="138"/>
      <c r="H345" s="138"/>
      <c r="I345" s="138"/>
      <c r="J345" s="115"/>
      <c r="K345" s="48"/>
      <c r="L345" s="47">
        <f t="shared" si="23"/>
        <v>0</v>
      </c>
      <c r="M345" s="48"/>
      <c r="N345" s="49"/>
      <c r="O345" s="48"/>
      <c r="P345" s="48"/>
      <c r="Q345" s="48"/>
      <c r="R345" s="48"/>
      <c r="S345" s="48"/>
      <c r="T345" s="48"/>
      <c r="U345" s="48"/>
      <c r="V345" s="48"/>
      <c r="W345" s="106"/>
      <c r="X345" s="48"/>
      <c r="Y345" s="116">
        <f t="shared" si="8"/>
        <v>0</v>
      </c>
      <c r="Z345" s="108"/>
      <c r="AA345" s="48"/>
      <c r="AB345" s="110"/>
      <c r="AC345" s="84"/>
      <c r="AD345" s="84"/>
      <c r="AE345" s="84"/>
      <c r="AF345" s="84"/>
      <c r="AG345" s="48"/>
      <c r="AH345" s="48"/>
      <c r="AI345" s="48"/>
      <c r="AJ345" s="111"/>
      <c r="AK345" s="115"/>
      <c r="AL345" s="48"/>
      <c r="AM345" s="48"/>
      <c r="AN345" s="48"/>
      <c r="AO345" s="48"/>
      <c r="AP345" s="48"/>
      <c r="AQ345" s="112"/>
      <c r="AR345" s="48"/>
      <c r="AS345" s="113"/>
    </row>
    <row r="346" ht="15.75" customHeight="1">
      <c r="A346" s="48"/>
      <c r="B346" s="48"/>
      <c r="C346" s="126"/>
      <c r="D346" s="98"/>
      <c r="E346" s="137"/>
      <c r="F346" s="103">
        <f t="shared" si="1"/>
        <v>0</v>
      </c>
      <c r="G346" s="138"/>
      <c r="H346" s="138"/>
      <c r="I346" s="138"/>
      <c r="J346" s="115"/>
      <c r="K346" s="48"/>
      <c r="L346" s="47">
        <f t="shared" si="23"/>
        <v>0</v>
      </c>
      <c r="M346" s="48"/>
      <c r="N346" s="49"/>
      <c r="O346" s="48"/>
      <c r="P346" s="48"/>
      <c r="Q346" s="48"/>
      <c r="R346" s="48"/>
      <c r="S346" s="48"/>
      <c r="T346" s="48"/>
      <c r="U346" s="48"/>
      <c r="V346" s="48"/>
      <c r="W346" s="106"/>
      <c r="X346" s="48"/>
      <c r="Y346" s="116">
        <f t="shared" si="8"/>
        <v>0</v>
      </c>
      <c r="Z346" s="108"/>
      <c r="AA346" s="48"/>
      <c r="AB346" s="110"/>
      <c r="AC346" s="84"/>
      <c r="AD346" s="84"/>
      <c r="AE346" s="84"/>
      <c r="AF346" s="84"/>
      <c r="AG346" s="48"/>
      <c r="AH346" s="48"/>
      <c r="AI346" s="48"/>
      <c r="AJ346" s="111"/>
      <c r="AK346" s="115"/>
      <c r="AL346" s="48"/>
      <c r="AM346" s="48"/>
      <c r="AN346" s="48"/>
      <c r="AO346" s="48"/>
      <c r="AP346" s="48"/>
      <c r="AQ346" s="112"/>
      <c r="AR346" s="48"/>
      <c r="AS346" s="113"/>
    </row>
    <row r="347" ht="15.75" customHeight="1">
      <c r="A347" s="48"/>
      <c r="B347" s="48"/>
      <c r="C347" s="126"/>
      <c r="D347" s="98"/>
      <c r="E347" s="137"/>
      <c r="F347" s="103">
        <f t="shared" si="1"/>
        <v>0</v>
      </c>
      <c r="G347" s="138"/>
      <c r="H347" s="138"/>
      <c r="I347" s="138"/>
      <c r="J347" s="115"/>
      <c r="K347" s="48"/>
      <c r="L347" s="47">
        <f t="shared" si="23"/>
        <v>0</v>
      </c>
      <c r="M347" s="48"/>
      <c r="N347" s="49"/>
      <c r="O347" s="48"/>
      <c r="P347" s="48"/>
      <c r="Q347" s="48"/>
      <c r="R347" s="48"/>
      <c r="S347" s="48"/>
      <c r="T347" s="48"/>
      <c r="U347" s="48"/>
      <c r="V347" s="48"/>
      <c r="W347" s="106"/>
      <c r="X347" s="48"/>
      <c r="Y347" s="116">
        <f t="shared" si="8"/>
        <v>0</v>
      </c>
      <c r="Z347" s="108"/>
      <c r="AA347" s="48"/>
      <c r="AB347" s="110"/>
      <c r="AC347" s="84"/>
      <c r="AD347" s="84"/>
      <c r="AE347" s="84"/>
      <c r="AF347" s="84"/>
      <c r="AG347" s="48"/>
      <c r="AH347" s="48"/>
      <c r="AI347" s="48"/>
      <c r="AJ347" s="111"/>
      <c r="AK347" s="115"/>
      <c r="AL347" s="48"/>
      <c r="AM347" s="48"/>
      <c r="AN347" s="48"/>
      <c r="AO347" s="48"/>
      <c r="AP347" s="48"/>
      <c r="AQ347" s="112"/>
      <c r="AR347" s="48"/>
      <c r="AS347" s="113"/>
    </row>
    <row r="348" ht="15.75" customHeight="1">
      <c r="A348" s="48"/>
      <c r="B348" s="48"/>
      <c r="C348" s="126"/>
      <c r="D348" s="98"/>
      <c r="E348" s="137"/>
      <c r="F348" s="103">
        <f t="shared" si="1"/>
        <v>0</v>
      </c>
      <c r="G348" s="138"/>
      <c r="H348" s="138"/>
      <c r="I348" s="138"/>
      <c r="J348" s="115"/>
      <c r="K348" s="48"/>
      <c r="L348" s="47">
        <f t="shared" si="23"/>
        <v>0</v>
      </c>
      <c r="M348" s="48"/>
      <c r="N348" s="49"/>
      <c r="O348" s="48"/>
      <c r="P348" s="48"/>
      <c r="Q348" s="48"/>
      <c r="R348" s="48"/>
      <c r="S348" s="48"/>
      <c r="T348" s="48"/>
      <c r="U348" s="48"/>
      <c r="V348" s="48"/>
      <c r="W348" s="106"/>
      <c r="X348" s="48"/>
      <c r="Y348" s="116">
        <f t="shared" si="8"/>
        <v>0</v>
      </c>
      <c r="Z348" s="108"/>
      <c r="AA348" s="48"/>
      <c r="AB348" s="110"/>
      <c r="AC348" s="84"/>
      <c r="AD348" s="84"/>
      <c r="AE348" s="84"/>
      <c r="AF348" s="84"/>
      <c r="AG348" s="48"/>
      <c r="AH348" s="48"/>
      <c r="AI348" s="48"/>
      <c r="AJ348" s="111"/>
      <c r="AK348" s="115"/>
      <c r="AL348" s="48"/>
      <c r="AM348" s="48"/>
      <c r="AN348" s="48"/>
      <c r="AO348" s="48"/>
      <c r="AP348" s="48"/>
      <c r="AQ348" s="112"/>
      <c r="AR348" s="48"/>
      <c r="AS348" s="113"/>
    </row>
    <row r="349" ht="15.75" customHeight="1">
      <c r="A349" s="48"/>
      <c r="B349" s="48"/>
      <c r="C349" s="126"/>
      <c r="D349" s="98"/>
      <c r="E349" s="137"/>
      <c r="F349" s="103">
        <f t="shared" si="1"/>
        <v>0</v>
      </c>
      <c r="G349" s="138"/>
      <c r="H349" s="138"/>
      <c r="I349" s="138"/>
      <c r="J349" s="115"/>
      <c r="K349" s="48"/>
      <c r="L349" s="47">
        <f t="shared" si="23"/>
        <v>0</v>
      </c>
      <c r="M349" s="48"/>
      <c r="N349" s="49"/>
      <c r="O349" s="48"/>
      <c r="P349" s="48"/>
      <c r="Q349" s="48"/>
      <c r="R349" s="48"/>
      <c r="S349" s="48"/>
      <c r="T349" s="48"/>
      <c r="U349" s="48"/>
      <c r="V349" s="48"/>
      <c r="W349" s="106"/>
      <c r="X349" s="48"/>
      <c r="Y349" s="116">
        <f t="shared" si="8"/>
        <v>0</v>
      </c>
      <c r="Z349" s="108"/>
      <c r="AA349" s="48"/>
      <c r="AB349" s="110"/>
      <c r="AC349" s="84"/>
      <c r="AD349" s="84"/>
      <c r="AE349" s="84"/>
      <c r="AF349" s="84"/>
      <c r="AG349" s="48"/>
      <c r="AH349" s="48"/>
      <c r="AI349" s="48"/>
      <c r="AJ349" s="111"/>
      <c r="AK349" s="115"/>
      <c r="AL349" s="48"/>
      <c r="AM349" s="48"/>
      <c r="AN349" s="48"/>
      <c r="AO349" s="48"/>
      <c r="AP349" s="48"/>
      <c r="AQ349" s="112"/>
      <c r="AR349" s="48"/>
      <c r="AS349" s="113"/>
    </row>
    <row r="350" ht="15.75" customHeight="1">
      <c r="A350" s="48"/>
      <c r="B350" s="48"/>
      <c r="C350" s="126"/>
      <c r="D350" s="98"/>
      <c r="E350" s="137"/>
      <c r="F350" s="103">
        <f t="shared" si="1"/>
        <v>0</v>
      </c>
      <c r="G350" s="138"/>
      <c r="H350" s="138"/>
      <c r="I350" s="138"/>
      <c r="J350" s="115"/>
      <c r="K350" s="48"/>
      <c r="L350" s="47">
        <f t="shared" si="23"/>
        <v>0</v>
      </c>
      <c r="M350" s="48"/>
      <c r="N350" s="49"/>
      <c r="O350" s="48"/>
      <c r="P350" s="48"/>
      <c r="Q350" s="48"/>
      <c r="R350" s="48"/>
      <c r="S350" s="48"/>
      <c r="T350" s="48"/>
      <c r="U350" s="48"/>
      <c r="V350" s="48"/>
      <c r="W350" s="106"/>
      <c r="X350" s="48"/>
      <c r="Y350" s="116">
        <f t="shared" si="8"/>
        <v>0</v>
      </c>
      <c r="Z350" s="108"/>
      <c r="AA350" s="48"/>
      <c r="AB350" s="110"/>
      <c r="AC350" s="84"/>
      <c r="AD350" s="84"/>
      <c r="AE350" s="84"/>
      <c r="AF350" s="84"/>
      <c r="AG350" s="48"/>
      <c r="AH350" s="48"/>
      <c r="AI350" s="48"/>
      <c r="AJ350" s="111"/>
      <c r="AK350" s="115"/>
      <c r="AL350" s="48"/>
      <c r="AM350" s="48"/>
      <c r="AN350" s="48"/>
      <c r="AO350" s="48"/>
      <c r="AP350" s="48"/>
      <c r="AQ350" s="112"/>
      <c r="AR350" s="48"/>
      <c r="AS350" s="113"/>
    </row>
    <row r="351" ht="15.75" customHeight="1">
      <c r="A351" s="48"/>
      <c r="B351" s="48"/>
      <c r="C351" s="126"/>
      <c r="D351" s="98"/>
      <c r="E351" s="137"/>
      <c r="F351" s="103">
        <f t="shared" si="1"/>
        <v>0</v>
      </c>
      <c r="G351" s="138"/>
      <c r="H351" s="138"/>
      <c r="I351" s="138"/>
      <c r="J351" s="115"/>
      <c r="K351" s="48"/>
      <c r="L351" s="47">
        <f t="shared" si="23"/>
        <v>0</v>
      </c>
      <c r="M351" s="48"/>
      <c r="N351" s="49"/>
      <c r="O351" s="48"/>
      <c r="P351" s="48"/>
      <c r="Q351" s="48"/>
      <c r="R351" s="48"/>
      <c r="S351" s="48"/>
      <c r="T351" s="48"/>
      <c r="U351" s="48"/>
      <c r="V351" s="48"/>
      <c r="W351" s="106"/>
      <c r="X351" s="48"/>
      <c r="Y351" s="116">
        <f t="shared" si="8"/>
        <v>0</v>
      </c>
      <c r="Z351" s="108"/>
      <c r="AA351" s="48"/>
      <c r="AB351" s="110"/>
      <c r="AC351" s="84"/>
      <c r="AD351" s="84"/>
      <c r="AE351" s="84"/>
      <c r="AF351" s="84"/>
      <c r="AG351" s="48"/>
      <c r="AH351" s="48"/>
      <c r="AI351" s="48"/>
      <c r="AJ351" s="111"/>
      <c r="AK351" s="115"/>
      <c r="AL351" s="48"/>
      <c r="AM351" s="48"/>
      <c r="AN351" s="48"/>
      <c r="AO351" s="48"/>
      <c r="AP351" s="48"/>
      <c r="AQ351" s="112"/>
      <c r="AR351" s="48"/>
      <c r="AS351" s="113"/>
    </row>
    <row r="352" ht="15.75" customHeight="1">
      <c r="A352" s="48"/>
      <c r="B352" s="48"/>
      <c r="C352" s="126"/>
      <c r="D352" s="98"/>
      <c r="E352" s="137"/>
      <c r="F352" s="103">
        <f t="shared" si="1"/>
        <v>0</v>
      </c>
      <c r="G352" s="138"/>
      <c r="H352" s="138"/>
      <c r="I352" s="138"/>
      <c r="J352" s="115"/>
      <c r="K352" s="48"/>
      <c r="L352" s="47">
        <f t="shared" si="23"/>
        <v>0</v>
      </c>
      <c r="M352" s="48"/>
      <c r="N352" s="49"/>
      <c r="O352" s="48"/>
      <c r="P352" s="48"/>
      <c r="Q352" s="48"/>
      <c r="R352" s="48"/>
      <c r="S352" s="48"/>
      <c r="T352" s="48"/>
      <c r="U352" s="48"/>
      <c r="V352" s="48"/>
      <c r="W352" s="106"/>
      <c r="X352" s="48"/>
      <c r="Y352" s="116">
        <f t="shared" si="8"/>
        <v>0</v>
      </c>
      <c r="Z352" s="108"/>
      <c r="AA352" s="48"/>
      <c r="AB352" s="110"/>
      <c r="AC352" s="84"/>
      <c r="AD352" s="84"/>
      <c r="AE352" s="84"/>
      <c r="AF352" s="84"/>
      <c r="AG352" s="48"/>
      <c r="AH352" s="48"/>
      <c r="AI352" s="48"/>
      <c r="AJ352" s="111"/>
      <c r="AK352" s="115"/>
      <c r="AL352" s="48"/>
      <c r="AM352" s="48"/>
      <c r="AN352" s="48"/>
      <c r="AO352" s="48"/>
      <c r="AP352" s="48"/>
      <c r="AQ352" s="112"/>
      <c r="AR352" s="48"/>
      <c r="AS352" s="113"/>
    </row>
    <row r="353" ht="15.75" customHeight="1">
      <c r="A353" s="48"/>
      <c r="B353" s="48"/>
      <c r="C353" s="126"/>
      <c r="D353" s="98"/>
      <c r="E353" s="137"/>
      <c r="F353" s="139"/>
      <c r="G353" s="138"/>
      <c r="H353" s="138"/>
      <c r="I353" s="138"/>
      <c r="J353" s="115"/>
      <c r="K353" s="48"/>
      <c r="L353" s="47"/>
      <c r="M353" s="48"/>
      <c r="N353" s="49"/>
      <c r="O353" s="48"/>
      <c r="P353" s="48"/>
      <c r="Q353" s="48"/>
      <c r="R353" s="48"/>
      <c r="S353" s="48"/>
      <c r="T353" s="48"/>
      <c r="U353" s="48"/>
      <c r="V353" s="48"/>
      <c r="W353" s="106"/>
      <c r="X353" s="48"/>
      <c r="Y353" s="116">
        <f t="shared" si="8"/>
        <v>0</v>
      </c>
      <c r="Z353" s="108"/>
      <c r="AA353" s="48"/>
      <c r="AB353" s="110"/>
      <c r="AC353" s="84"/>
      <c r="AD353" s="84"/>
      <c r="AE353" s="84"/>
      <c r="AF353" s="84"/>
      <c r="AG353" s="48"/>
      <c r="AH353" s="48"/>
      <c r="AI353" s="48"/>
      <c r="AJ353" s="111"/>
      <c r="AK353" s="115"/>
      <c r="AL353" s="48"/>
      <c r="AM353" s="48"/>
      <c r="AN353" s="48"/>
      <c r="AO353" s="48"/>
      <c r="AP353" s="48"/>
      <c r="AQ353" s="112"/>
      <c r="AR353" s="48"/>
      <c r="AS353" s="113"/>
    </row>
    <row r="354" ht="15.75" customHeight="1">
      <c r="A354" s="48"/>
      <c r="B354" s="48"/>
      <c r="C354" s="126"/>
      <c r="D354" s="98"/>
      <c r="E354" s="137"/>
      <c r="F354" s="139"/>
      <c r="G354" s="138"/>
      <c r="H354" s="138"/>
      <c r="I354" s="138"/>
      <c r="J354" s="115"/>
      <c r="K354" s="48"/>
      <c r="L354" s="47"/>
      <c r="M354" s="48"/>
      <c r="N354" s="49"/>
      <c r="O354" s="48"/>
      <c r="P354" s="48"/>
      <c r="Q354" s="48"/>
      <c r="R354" s="48"/>
      <c r="S354" s="48"/>
      <c r="T354" s="48"/>
      <c r="U354" s="48"/>
      <c r="V354" s="48"/>
      <c r="W354" s="106"/>
      <c r="X354" s="48"/>
      <c r="Y354" s="116">
        <f t="shared" si="8"/>
        <v>0</v>
      </c>
      <c r="Z354" s="108"/>
      <c r="AA354" s="48"/>
      <c r="AB354" s="110"/>
      <c r="AC354" s="84"/>
      <c r="AD354" s="84"/>
      <c r="AE354" s="84"/>
      <c r="AF354" s="84"/>
      <c r="AG354" s="48"/>
      <c r="AH354" s="48"/>
      <c r="AI354" s="48"/>
      <c r="AJ354" s="111"/>
      <c r="AK354" s="115"/>
      <c r="AL354" s="48"/>
      <c r="AM354" s="48"/>
      <c r="AN354" s="48"/>
      <c r="AO354" s="48"/>
      <c r="AP354" s="48"/>
      <c r="AQ354" s="112"/>
      <c r="AR354" s="48"/>
      <c r="AS354" s="113"/>
    </row>
    <row r="355" ht="15.75" customHeight="1">
      <c r="A355" s="48"/>
      <c r="B355" s="48"/>
      <c r="C355" s="126"/>
      <c r="D355" s="98"/>
      <c r="E355" s="137"/>
      <c r="F355" s="139"/>
      <c r="G355" s="138"/>
      <c r="H355" s="138"/>
      <c r="I355" s="138"/>
      <c r="J355" s="115"/>
      <c r="K355" s="48"/>
      <c r="L355" s="47"/>
      <c r="M355" s="48"/>
      <c r="N355" s="49"/>
      <c r="O355" s="48"/>
      <c r="P355" s="48"/>
      <c r="Q355" s="48"/>
      <c r="R355" s="48"/>
      <c r="S355" s="48"/>
      <c r="T355" s="48"/>
      <c r="U355" s="48"/>
      <c r="V355" s="48"/>
      <c r="W355" s="106"/>
      <c r="X355" s="48"/>
      <c r="Y355" s="116">
        <f t="shared" si="8"/>
        <v>0</v>
      </c>
      <c r="Z355" s="108"/>
      <c r="AA355" s="48"/>
      <c r="AB355" s="110"/>
      <c r="AC355" s="84"/>
      <c r="AD355" s="84"/>
      <c r="AE355" s="84"/>
      <c r="AF355" s="84"/>
      <c r="AG355" s="48"/>
      <c r="AH355" s="48"/>
      <c r="AI355" s="48"/>
      <c r="AJ355" s="111"/>
      <c r="AK355" s="115"/>
      <c r="AL355" s="48"/>
      <c r="AM355" s="48"/>
      <c r="AN355" s="48"/>
      <c r="AO355" s="48"/>
      <c r="AP355" s="48"/>
      <c r="AQ355" s="112"/>
      <c r="AR355" s="48"/>
      <c r="AS355" s="113"/>
    </row>
    <row r="356" ht="15.75" customHeight="1">
      <c r="A356" s="48"/>
      <c r="B356" s="48"/>
      <c r="C356" s="126"/>
      <c r="D356" s="98"/>
      <c r="E356" s="137"/>
      <c r="F356" s="139"/>
      <c r="G356" s="138"/>
      <c r="H356" s="138"/>
      <c r="I356" s="138"/>
      <c r="J356" s="115"/>
      <c r="K356" s="48"/>
      <c r="L356" s="47"/>
      <c r="M356" s="48"/>
      <c r="N356" s="49"/>
      <c r="O356" s="48"/>
      <c r="P356" s="48"/>
      <c r="Q356" s="48"/>
      <c r="R356" s="48"/>
      <c r="S356" s="48"/>
      <c r="T356" s="48"/>
      <c r="U356" s="48"/>
      <c r="V356" s="48"/>
      <c r="W356" s="106"/>
      <c r="X356" s="48"/>
      <c r="Y356" s="116">
        <f t="shared" si="8"/>
        <v>0</v>
      </c>
      <c r="Z356" s="108"/>
      <c r="AA356" s="48"/>
      <c r="AB356" s="110"/>
      <c r="AC356" s="84"/>
      <c r="AD356" s="84"/>
      <c r="AE356" s="84"/>
      <c r="AF356" s="84"/>
      <c r="AG356" s="48"/>
      <c r="AH356" s="48"/>
      <c r="AI356" s="48"/>
      <c r="AJ356" s="111"/>
      <c r="AK356" s="115"/>
      <c r="AL356" s="48"/>
      <c r="AM356" s="48"/>
      <c r="AN356" s="48"/>
      <c r="AO356" s="48"/>
      <c r="AP356" s="48"/>
      <c r="AQ356" s="112"/>
      <c r="AR356" s="48"/>
      <c r="AS356" s="113"/>
    </row>
    <row r="357" ht="15.75" customHeight="1">
      <c r="A357" s="48"/>
      <c r="B357" s="48"/>
      <c r="C357" s="126"/>
      <c r="D357" s="98"/>
      <c r="E357" s="137"/>
      <c r="F357" s="139"/>
      <c r="G357" s="138"/>
      <c r="H357" s="138"/>
      <c r="I357" s="138"/>
      <c r="J357" s="115"/>
      <c r="K357" s="48"/>
      <c r="L357" s="47"/>
      <c r="M357" s="48"/>
      <c r="N357" s="49"/>
      <c r="O357" s="48"/>
      <c r="P357" s="48"/>
      <c r="Q357" s="48"/>
      <c r="R357" s="48"/>
      <c r="S357" s="48"/>
      <c r="T357" s="48"/>
      <c r="U357" s="48"/>
      <c r="V357" s="48"/>
      <c r="W357" s="106"/>
      <c r="X357" s="48"/>
      <c r="Y357" s="116">
        <f t="shared" si="8"/>
        <v>0</v>
      </c>
      <c r="Z357" s="108"/>
      <c r="AA357" s="48"/>
      <c r="AB357" s="110"/>
      <c r="AC357" s="84"/>
      <c r="AD357" s="84"/>
      <c r="AE357" s="84"/>
      <c r="AF357" s="84"/>
      <c r="AG357" s="48"/>
      <c r="AH357" s="48"/>
      <c r="AI357" s="48"/>
      <c r="AJ357" s="111"/>
      <c r="AK357" s="115"/>
      <c r="AL357" s="48"/>
      <c r="AM357" s="48"/>
      <c r="AN357" s="48"/>
      <c r="AO357" s="48"/>
      <c r="AP357" s="48"/>
      <c r="AQ357" s="112"/>
      <c r="AR357" s="48"/>
      <c r="AS357" s="113"/>
    </row>
    <row r="358" ht="15.75" customHeight="1">
      <c r="A358" s="48"/>
      <c r="B358" s="48"/>
      <c r="C358" s="126"/>
      <c r="D358" s="98"/>
      <c r="E358" s="137"/>
      <c r="F358" s="139"/>
      <c r="G358" s="138"/>
      <c r="H358" s="138"/>
      <c r="I358" s="138"/>
      <c r="J358" s="115"/>
      <c r="K358" s="48"/>
      <c r="L358" s="47"/>
      <c r="M358" s="48"/>
      <c r="N358" s="49"/>
      <c r="O358" s="48"/>
      <c r="P358" s="48"/>
      <c r="Q358" s="48"/>
      <c r="R358" s="48"/>
      <c r="S358" s="48"/>
      <c r="T358" s="48"/>
      <c r="U358" s="48"/>
      <c r="V358" s="48"/>
      <c r="W358" s="106"/>
      <c r="X358" s="48"/>
      <c r="Y358" s="116">
        <f t="shared" si="8"/>
        <v>0</v>
      </c>
      <c r="Z358" s="108"/>
      <c r="AA358" s="48"/>
      <c r="AB358" s="110"/>
      <c r="AC358" s="84"/>
      <c r="AD358" s="84"/>
      <c r="AE358" s="84"/>
      <c r="AF358" s="84"/>
      <c r="AG358" s="48"/>
      <c r="AH358" s="48"/>
      <c r="AI358" s="48"/>
      <c r="AJ358" s="111"/>
      <c r="AK358" s="115"/>
      <c r="AL358" s="48"/>
      <c r="AM358" s="48"/>
      <c r="AN358" s="48"/>
      <c r="AO358" s="48"/>
      <c r="AP358" s="48"/>
      <c r="AQ358" s="112"/>
      <c r="AR358" s="48"/>
      <c r="AS358" s="113"/>
    </row>
    <row r="359" ht="15.75" customHeight="1">
      <c r="A359" s="48"/>
      <c r="B359" s="48"/>
      <c r="C359" s="126"/>
      <c r="D359" s="98"/>
      <c r="E359" s="137"/>
      <c r="F359" s="139"/>
      <c r="G359" s="138"/>
      <c r="H359" s="138"/>
      <c r="I359" s="138"/>
      <c r="J359" s="115"/>
      <c r="K359" s="48"/>
      <c r="L359" s="47"/>
      <c r="M359" s="48"/>
      <c r="N359" s="49"/>
      <c r="O359" s="48"/>
      <c r="P359" s="48"/>
      <c r="Q359" s="48"/>
      <c r="R359" s="48"/>
      <c r="S359" s="48"/>
      <c r="T359" s="48"/>
      <c r="U359" s="48"/>
      <c r="V359" s="48"/>
      <c r="W359" s="106"/>
      <c r="X359" s="48"/>
      <c r="Y359" s="116">
        <f t="shared" si="8"/>
        <v>0</v>
      </c>
      <c r="Z359" s="108"/>
      <c r="AA359" s="48"/>
      <c r="AB359" s="110"/>
      <c r="AC359" s="84"/>
      <c r="AD359" s="84"/>
      <c r="AE359" s="84"/>
      <c r="AF359" s="84"/>
      <c r="AG359" s="48"/>
      <c r="AH359" s="48"/>
      <c r="AI359" s="48"/>
      <c r="AJ359" s="111"/>
      <c r="AK359" s="115"/>
      <c r="AL359" s="48"/>
      <c r="AM359" s="48"/>
      <c r="AN359" s="48"/>
      <c r="AO359" s="48"/>
      <c r="AP359" s="48"/>
      <c r="AQ359" s="112"/>
      <c r="AR359" s="48"/>
      <c r="AS359" s="113"/>
    </row>
    <row r="360" ht="15.75" customHeight="1">
      <c r="A360" s="48"/>
      <c r="B360" s="48"/>
      <c r="C360" s="126"/>
      <c r="D360" s="98"/>
      <c r="E360" s="137"/>
      <c r="F360" s="139"/>
      <c r="G360" s="138"/>
      <c r="H360" s="138"/>
      <c r="I360" s="138"/>
      <c r="J360" s="115"/>
      <c r="K360" s="48"/>
      <c r="L360" s="47"/>
      <c r="M360" s="48"/>
      <c r="N360" s="49"/>
      <c r="O360" s="48"/>
      <c r="P360" s="48"/>
      <c r="Q360" s="48"/>
      <c r="R360" s="48"/>
      <c r="S360" s="48"/>
      <c r="T360" s="48"/>
      <c r="U360" s="48"/>
      <c r="V360" s="48"/>
      <c r="W360" s="106"/>
      <c r="X360" s="48"/>
      <c r="Y360" s="116">
        <f t="shared" si="8"/>
        <v>0</v>
      </c>
      <c r="Z360" s="108"/>
      <c r="AA360" s="48"/>
      <c r="AB360" s="110"/>
      <c r="AC360" s="84"/>
      <c r="AD360" s="84"/>
      <c r="AE360" s="84"/>
      <c r="AF360" s="84"/>
      <c r="AG360" s="48"/>
      <c r="AH360" s="48"/>
      <c r="AI360" s="48"/>
      <c r="AJ360" s="111"/>
      <c r="AK360" s="115"/>
      <c r="AL360" s="48"/>
      <c r="AM360" s="48"/>
      <c r="AN360" s="48"/>
      <c r="AO360" s="48"/>
      <c r="AP360" s="48"/>
      <c r="AQ360" s="112"/>
      <c r="AR360" s="48"/>
      <c r="AS360" s="113"/>
    </row>
    <row r="361" ht="15.75" customHeight="1">
      <c r="A361" s="48"/>
      <c r="B361" s="48"/>
      <c r="C361" s="126"/>
      <c r="D361" s="98"/>
      <c r="E361" s="137"/>
      <c r="F361" s="139"/>
      <c r="G361" s="138"/>
      <c r="H361" s="138"/>
      <c r="I361" s="138"/>
      <c r="J361" s="115"/>
      <c r="K361" s="48"/>
      <c r="L361" s="47"/>
      <c r="M361" s="48"/>
      <c r="N361" s="49"/>
      <c r="O361" s="48"/>
      <c r="P361" s="48"/>
      <c r="Q361" s="48"/>
      <c r="R361" s="48"/>
      <c r="S361" s="48"/>
      <c r="T361" s="48"/>
      <c r="U361" s="48"/>
      <c r="V361" s="48"/>
      <c r="W361" s="106"/>
      <c r="X361" s="48"/>
      <c r="Y361" s="116">
        <f t="shared" si="8"/>
        <v>0</v>
      </c>
      <c r="Z361" s="108"/>
      <c r="AA361" s="48"/>
      <c r="AB361" s="110"/>
      <c r="AC361" s="84"/>
      <c r="AD361" s="84"/>
      <c r="AE361" s="84"/>
      <c r="AF361" s="84"/>
      <c r="AG361" s="48"/>
      <c r="AH361" s="48"/>
      <c r="AI361" s="48"/>
      <c r="AJ361" s="111"/>
      <c r="AK361" s="115"/>
      <c r="AL361" s="48"/>
      <c r="AM361" s="48"/>
      <c r="AN361" s="48"/>
      <c r="AO361" s="48"/>
      <c r="AP361" s="48"/>
      <c r="AQ361" s="112"/>
      <c r="AR361" s="48"/>
      <c r="AS361" s="113"/>
    </row>
    <row r="362" ht="15.75" customHeight="1">
      <c r="A362" s="48"/>
      <c r="B362" s="48"/>
      <c r="C362" s="126"/>
      <c r="D362" s="98"/>
      <c r="E362" s="137"/>
      <c r="F362" s="139"/>
      <c r="G362" s="138"/>
      <c r="H362" s="138"/>
      <c r="I362" s="138"/>
      <c r="J362" s="115"/>
      <c r="K362" s="48"/>
      <c r="L362" s="47"/>
      <c r="M362" s="48"/>
      <c r="N362" s="49"/>
      <c r="O362" s="48"/>
      <c r="P362" s="48"/>
      <c r="Q362" s="48"/>
      <c r="R362" s="48"/>
      <c r="S362" s="48"/>
      <c r="T362" s="48"/>
      <c r="U362" s="48"/>
      <c r="V362" s="48"/>
      <c r="W362" s="106"/>
      <c r="X362" s="48"/>
      <c r="Y362" s="116">
        <f t="shared" si="8"/>
        <v>0</v>
      </c>
      <c r="Z362" s="108"/>
      <c r="AA362" s="48"/>
      <c r="AB362" s="110"/>
      <c r="AC362" s="84"/>
      <c r="AD362" s="84"/>
      <c r="AE362" s="84"/>
      <c r="AF362" s="84"/>
      <c r="AG362" s="48"/>
      <c r="AH362" s="48"/>
      <c r="AI362" s="48"/>
      <c r="AJ362" s="111"/>
      <c r="AK362" s="115"/>
      <c r="AL362" s="48"/>
      <c r="AM362" s="48"/>
      <c r="AN362" s="48"/>
      <c r="AO362" s="48"/>
      <c r="AP362" s="48"/>
      <c r="AQ362" s="112"/>
      <c r="AR362" s="48"/>
      <c r="AS362" s="113"/>
    </row>
    <row r="363" ht="15.75" customHeight="1">
      <c r="A363" s="48"/>
      <c r="B363" s="48"/>
      <c r="C363" s="126"/>
      <c r="D363" s="98"/>
      <c r="E363" s="137"/>
      <c r="F363" s="139"/>
      <c r="G363" s="138"/>
      <c r="H363" s="138"/>
      <c r="I363" s="138"/>
      <c r="J363" s="115"/>
      <c r="K363" s="48"/>
      <c r="L363" s="47"/>
      <c r="M363" s="48"/>
      <c r="N363" s="49"/>
      <c r="O363" s="48"/>
      <c r="P363" s="48"/>
      <c r="Q363" s="48"/>
      <c r="R363" s="48"/>
      <c r="S363" s="48"/>
      <c r="T363" s="48"/>
      <c r="U363" s="48"/>
      <c r="V363" s="48"/>
      <c r="W363" s="106"/>
      <c r="X363" s="48"/>
      <c r="Y363" s="116">
        <f t="shared" si="8"/>
        <v>0</v>
      </c>
      <c r="Z363" s="108"/>
      <c r="AA363" s="48"/>
      <c r="AB363" s="110"/>
      <c r="AC363" s="84"/>
      <c r="AD363" s="84"/>
      <c r="AE363" s="84"/>
      <c r="AF363" s="84"/>
      <c r="AG363" s="48"/>
      <c r="AH363" s="48"/>
      <c r="AI363" s="48"/>
      <c r="AJ363" s="111"/>
      <c r="AK363" s="115"/>
      <c r="AL363" s="48"/>
      <c r="AM363" s="48"/>
      <c r="AN363" s="48"/>
      <c r="AO363" s="48"/>
      <c r="AP363" s="48"/>
      <c r="AQ363" s="112"/>
      <c r="AR363" s="48"/>
      <c r="AS363" s="113"/>
    </row>
    <row r="364" ht="15.75" customHeight="1">
      <c r="A364" s="48"/>
      <c r="B364" s="48"/>
      <c r="C364" s="126"/>
      <c r="D364" s="98"/>
      <c r="E364" s="137"/>
      <c r="F364" s="139"/>
      <c r="G364" s="138"/>
      <c r="H364" s="138"/>
      <c r="I364" s="138"/>
      <c r="J364" s="115"/>
      <c r="K364" s="48"/>
      <c r="L364" s="47"/>
      <c r="M364" s="48"/>
      <c r="N364" s="49"/>
      <c r="O364" s="48"/>
      <c r="P364" s="48"/>
      <c r="Q364" s="48"/>
      <c r="R364" s="48"/>
      <c r="S364" s="48"/>
      <c r="T364" s="48"/>
      <c r="U364" s="48"/>
      <c r="V364" s="48"/>
      <c r="W364" s="106"/>
      <c r="X364" s="48"/>
      <c r="Y364" s="116">
        <f t="shared" si="8"/>
        <v>0</v>
      </c>
      <c r="Z364" s="108"/>
      <c r="AA364" s="48"/>
      <c r="AB364" s="110"/>
      <c r="AC364" s="84"/>
      <c r="AD364" s="84"/>
      <c r="AE364" s="84"/>
      <c r="AF364" s="84"/>
      <c r="AG364" s="48"/>
      <c r="AH364" s="48"/>
      <c r="AI364" s="48"/>
      <c r="AJ364" s="111"/>
      <c r="AK364" s="115"/>
      <c r="AL364" s="48"/>
      <c r="AM364" s="48"/>
      <c r="AN364" s="48"/>
      <c r="AO364" s="48"/>
      <c r="AP364" s="48"/>
      <c r="AQ364" s="112"/>
      <c r="AR364" s="48"/>
      <c r="AS364" s="113"/>
    </row>
    <row r="365" ht="15.75" customHeight="1">
      <c r="A365" s="48"/>
      <c r="B365" s="48"/>
      <c r="C365" s="126"/>
      <c r="D365" s="98"/>
      <c r="E365" s="137"/>
      <c r="F365" s="139"/>
      <c r="G365" s="138"/>
      <c r="H365" s="138"/>
      <c r="I365" s="138"/>
      <c r="J365" s="115"/>
      <c r="K365" s="48"/>
      <c r="L365" s="47"/>
      <c r="M365" s="48"/>
      <c r="N365" s="49"/>
      <c r="O365" s="48"/>
      <c r="P365" s="48"/>
      <c r="Q365" s="48"/>
      <c r="R365" s="48"/>
      <c r="S365" s="48"/>
      <c r="T365" s="48"/>
      <c r="U365" s="48"/>
      <c r="V365" s="48"/>
      <c r="W365" s="106"/>
      <c r="X365" s="48"/>
      <c r="Y365" s="116">
        <f t="shared" si="8"/>
        <v>0</v>
      </c>
      <c r="Z365" s="108"/>
      <c r="AA365" s="48"/>
      <c r="AB365" s="110"/>
      <c r="AC365" s="84"/>
      <c r="AD365" s="84"/>
      <c r="AE365" s="84"/>
      <c r="AF365" s="84"/>
      <c r="AG365" s="48"/>
      <c r="AH365" s="48"/>
      <c r="AI365" s="48"/>
      <c r="AJ365" s="111"/>
      <c r="AK365" s="115"/>
      <c r="AL365" s="48"/>
      <c r="AM365" s="48"/>
      <c r="AN365" s="48"/>
      <c r="AO365" s="48"/>
      <c r="AP365" s="48"/>
      <c r="AQ365" s="112"/>
      <c r="AR365" s="48"/>
      <c r="AS365" s="113"/>
    </row>
    <row r="366" ht="15.75" customHeight="1">
      <c r="A366" s="48"/>
      <c r="B366" s="48"/>
      <c r="C366" s="126"/>
      <c r="D366" s="98"/>
      <c r="E366" s="137"/>
      <c r="F366" s="139"/>
      <c r="G366" s="138"/>
      <c r="H366" s="138"/>
      <c r="I366" s="138"/>
      <c r="J366" s="115"/>
      <c r="K366" s="48"/>
      <c r="L366" s="47"/>
      <c r="M366" s="48"/>
      <c r="N366" s="49"/>
      <c r="O366" s="48"/>
      <c r="P366" s="48"/>
      <c r="Q366" s="48"/>
      <c r="R366" s="48"/>
      <c r="S366" s="48"/>
      <c r="T366" s="48"/>
      <c r="U366" s="48"/>
      <c r="V366" s="48"/>
      <c r="W366" s="106"/>
      <c r="X366" s="48"/>
      <c r="Y366" s="116">
        <f t="shared" si="8"/>
        <v>0</v>
      </c>
      <c r="Z366" s="108"/>
      <c r="AA366" s="48"/>
      <c r="AB366" s="110"/>
      <c r="AC366" s="84"/>
      <c r="AD366" s="84"/>
      <c r="AE366" s="84"/>
      <c r="AF366" s="84"/>
      <c r="AG366" s="48"/>
      <c r="AH366" s="48"/>
      <c r="AI366" s="48"/>
      <c r="AJ366" s="111"/>
      <c r="AK366" s="115"/>
      <c r="AL366" s="48"/>
      <c r="AM366" s="48"/>
      <c r="AN366" s="48"/>
      <c r="AO366" s="48"/>
      <c r="AP366" s="48"/>
      <c r="AQ366" s="112"/>
      <c r="AR366" s="48"/>
      <c r="AS366" s="113"/>
    </row>
    <row r="367" ht="15.75" customHeight="1">
      <c r="A367" s="140"/>
      <c r="B367" s="141"/>
      <c r="C367" s="142"/>
      <c r="D367" s="143"/>
      <c r="E367" s="144"/>
      <c r="F367" s="145"/>
      <c r="G367" s="146"/>
      <c r="H367" s="146"/>
      <c r="I367" s="146"/>
      <c r="J367" s="147"/>
      <c r="K367" s="140"/>
      <c r="L367" s="148"/>
      <c r="M367" s="149"/>
      <c r="N367" s="150"/>
      <c r="O367" s="149"/>
      <c r="P367" s="149"/>
      <c r="Q367" s="149"/>
      <c r="R367" s="149"/>
      <c r="S367" s="149"/>
      <c r="T367" s="149"/>
      <c r="U367" s="149"/>
      <c r="V367" s="149"/>
      <c r="W367" s="151"/>
      <c r="X367" s="149"/>
      <c r="Y367" s="152"/>
      <c r="Z367" s="153"/>
      <c r="AA367" s="149"/>
      <c r="AB367" s="154"/>
      <c r="AC367" s="155"/>
      <c r="AD367" s="155"/>
      <c r="AE367" s="155"/>
      <c r="AF367" s="155"/>
      <c r="AG367" s="149"/>
      <c r="AH367" s="149"/>
      <c r="AI367" s="149"/>
      <c r="AJ367" s="156"/>
      <c r="AK367" s="147"/>
      <c r="AL367" s="149"/>
      <c r="AM367" s="149"/>
      <c r="AN367" s="149"/>
      <c r="AO367" s="149"/>
      <c r="AP367" s="149"/>
      <c r="AQ367" s="157"/>
      <c r="AR367" s="149"/>
      <c r="AS367" s="158"/>
    </row>
    <row r="368" ht="15.75" customHeight="1">
      <c r="A368" s="140"/>
      <c r="B368" s="141"/>
      <c r="C368" s="142"/>
      <c r="D368" s="143"/>
      <c r="E368" s="144"/>
      <c r="F368" s="145"/>
      <c r="G368" s="146"/>
      <c r="H368" s="146"/>
      <c r="I368" s="146"/>
      <c r="J368" s="147"/>
      <c r="K368" s="140"/>
      <c r="L368" s="148"/>
      <c r="M368" s="149"/>
      <c r="N368" s="150"/>
      <c r="O368" s="149"/>
      <c r="P368" s="149"/>
      <c r="Q368" s="149"/>
      <c r="R368" s="149"/>
      <c r="S368" s="149"/>
      <c r="T368" s="149"/>
      <c r="U368" s="149"/>
      <c r="V368" s="149"/>
      <c r="W368" s="151"/>
      <c r="X368" s="149"/>
      <c r="Y368" s="152"/>
      <c r="Z368" s="153"/>
      <c r="AA368" s="149"/>
      <c r="AB368" s="154"/>
      <c r="AC368" s="155"/>
      <c r="AD368" s="155"/>
      <c r="AE368" s="155"/>
      <c r="AF368" s="155"/>
      <c r="AG368" s="149"/>
      <c r="AH368" s="149"/>
      <c r="AI368" s="149"/>
      <c r="AJ368" s="156"/>
      <c r="AK368" s="147"/>
      <c r="AL368" s="149"/>
      <c r="AM368" s="149"/>
      <c r="AN368" s="149"/>
      <c r="AO368" s="149"/>
      <c r="AP368" s="149"/>
      <c r="AQ368" s="157"/>
      <c r="AR368" s="149"/>
      <c r="AS368" s="158"/>
    </row>
    <row r="369" ht="15.75" customHeight="1">
      <c r="A369" s="140"/>
      <c r="B369" s="141"/>
      <c r="C369" s="142"/>
      <c r="D369" s="143"/>
      <c r="E369" s="144"/>
      <c r="F369" s="145"/>
      <c r="G369" s="146"/>
      <c r="H369" s="146"/>
      <c r="I369" s="146"/>
      <c r="J369" s="147"/>
      <c r="K369" s="140"/>
      <c r="L369" s="148"/>
      <c r="M369" s="149"/>
      <c r="N369" s="150"/>
      <c r="O369" s="149"/>
      <c r="P369" s="149"/>
      <c r="Q369" s="149"/>
      <c r="R369" s="149"/>
      <c r="S369" s="149"/>
      <c r="T369" s="149"/>
      <c r="U369" s="149"/>
      <c r="V369" s="149"/>
      <c r="W369" s="151"/>
      <c r="X369" s="149"/>
      <c r="Y369" s="152"/>
      <c r="Z369" s="153"/>
      <c r="AA369" s="149"/>
      <c r="AB369" s="154"/>
      <c r="AC369" s="155"/>
      <c r="AD369" s="155"/>
      <c r="AE369" s="155"/>
      <c r="AF369" s="155"/>
      <c r="AG369" s="149"/>
      <c r="AH369" s="149"/>
      <c r="AI369" s="149"/>
      <c r="AJ369" s="156"/>
      <c r="AK369" s="147"/>
      <c r="AL369" s="149"/>
      <c r="AM369" s="149"/>
      <c r="AN369" s="149"/>
      <c r="AO369" s="149"/>
      <c r="AP369" s="149"/>
      <c r="AQ369" s="157"/>
      <c r="AR369" s="149"/>
      <c r="AS369" s="158"/>
    </row>
    <row r="370" ht="15.75" customHeight="1">
      <c r="A370" s="140"/>
      <c r="B370" s="141"/>
      <c r="C370" s="142"/>
      <c r="D370" s="143"/>
      <c r="E370" s="144"/>
      <c r="F370" s="145"/>
      <c r="G370" s="146"/>
      <c r="H370" s="146"/>
      <c r="I370" s="146"/>
      <c r="J370" s="147"/>
      <c r="K370" s="140"/>
      <c r="L370" s="148"/>
      <c r="M370" s="149"/>
      <c r="N370" s="150"/>
      <c r="O370" s="149"/>
      <c r="P370" s="149"/>
      <c r="Q370" s="149"/>
      <c r="R370" s="149"/>
      <c r="S370" s="149"/>
      <c r="T370" s="149"/>
      <c r="U370" s="149"/>
      <c r="V370" s="149"/>
      <c r="W370" s="151"/>
      <c r="X370" s="149"/>
      <c r="Y370" s="152"/>
      <c r="Z370" s="153"/>
      <c r="AA370" s="149"/>
      <c r="AB370" s="154"/>
      <c r="AC370" s="155"/>
      <c r="AD370" s="155"/>
      <c r="AE370" s="155"/>
      <c r="AF370" s="155"/>
      <c r="AG370" s="149"/>
      <c r="AH370" s="149"/>
      <c r="AI370" s="149"/>
      <c r="AJ370" s="156"/>
      <c r="AK370" s="147"/>
      <c r="AL370" s="149"/>
      <c r="AM370" s="149"/>
      <c r="AN370" s="149"/>
      <c r="AO370" s="149"/>
      <c r="AP370" s="149"/>
      <c r="AQ370" s="157"/>
      <c r="AR370" s="149"/>
      <c r="AS370" s="158"/>
    </row>
    <row r="371" ht="15.75" customHeight="1">
      <c r="A371" s="140"/>
      <c r="B371" s="141"/>
      <c r="C371" s="142"/>
      <c r="D371" s="143"/>
      <c r="E371" s="144"/>
      <c r="F371" s="145"/>
      <c r="G371" s="146"/>
      <c r="H371" s="146"/>
      <c r="I371" s="146"/>
      <c r="J371" s="147"/>
      <c r="K371" s="140"/>
      <c r="L371" s="148"/>
      <c r="M371" s="149"/>
      <c r="N371" s="150"/>
      <c r="O371" s="149"/>
      <c r="P371" s="149"/>
      <c r="Q371" s="149"/>
      <c r="R371" s="149"/>
      <c r="S371" s="149"/>
      <c r="T371" s="149"/>
      <c r="U371" s="149"/>
      <c r="V371" s="149"/>
      <c r="W371" s="151"/>
      <c r="X371" s="149"/>
      <c r="Y371" s="152"/>
      <c r="Z371" s="153"/>
      <c r="AA371" s="149"/>
      <c r="AB371" s="154"/>
      <c r="AC371" s="155"/>
      <c r="AD371" s="155"/>
      <c r="AE371" s="155"/>
      <c r="AF371" s="155"/>
      <c r="AG371" s="149"/>
      <c r="AH371" s="149"/>
      <c r="AI371" s="149"/>
      <c r="AJ371" s="156"/>
      <c r="AK371" s="147"/>
      <c r="AL371" s="149"/>
      <c r="AM371" s="149"/>
      <c r="AN371" s="149"/>
      <c r="AO371" s="149"/>
      <c r="AP371" s="149"/>
      <c r="AQ371" s="157"/>
      <c r="AR371" s="149"/>
      <c r="AS371" s="158"/>
    </row>
    <row r="372" ht="15.75" customHeight="1">
      <c r="A372" s="140"/>
      <c r="B372" s="141"/>
      <c r="C372" s="142"/>
      <c r="D372" s="143"/>
      <c r="E372" s="144"/>
      <c r="F372" s="145"/>
      <c r="G372" s="146"/>
      <c r="H372" s="146"/>
      <c r="I372" s="146"/>
      <c r="J372" s="147"/>
      <c r="K372" s="140"/>
      <c r="L372" s="148"/>
      <c r="M372" s="149"/>
      <c r="N372" s="150"/>
      <c r="O372" s="149"/>
      <c r="P372" s="149"/>
      <c r="Q372" s="149"/>
      <c r="R372" s="149"/>
      <c r="S372" s="149"/>
      <c r="T372" s="149"/>
      <c r="U372" s="149"/>
      <c r="V372" s="149"/>
      <c r="W372" s="151"/>
      <c r="X372" s="149"/>
      <c r="Y372" s="152"/>
      <c r="Z372" s="153"/>
      <c r="AA372" s="149"/>
      <c r="AB372" s="154"/>
      <c r="AC372" s="155"/>
      <c r="AD372" s="155"/>
      <c r="AE372" s="155"/>
      <c r="AF372" s="155"/>
      <c r="AG372" s="149"/>
      <c r="AH372" s="149"/>
      <c r="AI372" s="149"/>
      <c r="AJ372" s="156"/>
      <c r="AK372" s="147"/>
      <c r="AL372" s="149"/>
      <c r="AM372" s="149"/>
      <c r="AN372" s="149"/>
      <c r="AO372" s="149"/>
      <c r="AP372" s="149"/>
      <c r="AQ372" s="157"/>
      <c r="AR372" s="149"/>
      <c r="AS372" s="158"/>
    </row>
    <row r="373" ht="15.75" customHeight="1">
      <c r="A373" s="140"/>
      <c r="B373" s="141"/>
      <c r="C373" s="142"/>
      <c r="D373" s="143"/>
      <c r="E373" s="144"/>
      <c r="F373" s="145"/>
      <c r="G373" s="146"/>
      <c r="H373" s="146"/>
      <c r="I373" s="146"/>
      <c r="J373" s="147"/>
      <c r="K373" s="140"/>
      <c r="L373" s="148"/>
      <c r="M373" s="149"/>
      <c r="N373" s="150"/>
      <c r="O373" s="149"/>
      <c r="P373" s="149"/>
      <c r="Q373" s="149"/>
      <c r="R373" s="149"/>
      <c r="S373" s="149"/>
      <c r="T373" s="149"/>
      <c r="U373" s="149"/>
      <c r="V373" s="149"/>
      <c r="W373" s="151"/>
      <c r="X373" s="149"/>
      <c r="Y373" s="152"/>
      <c r="Z373" s="153"/>
      <c r="AA373" s="149"/>
      <c r="AB373" s="154"/>
      <c r="AC373" s="155"/>
      <c r="AD373" s="155"/>
      <c r="AE373" s="155"/>
      <c r="AF373" s="155"/>
      <c r="AG373" s="149"/>
      <c r="AH373" s="149"/>
      <c r="AI373" s="149"/>
      <c r="AJ373" s="156"/>
      <c r="AK373" s="147"/>
      <c r="AL373" s="149"/>
      <c r="AM373" s="149"/>
      <c r="AN373" s="149"/>
      <c r="AO373" s="149"/>
      <c r="AP373" s="149"/>
      <c r="AQ373" s="157"/>
      <c r="AR373" s="149"/>
      <c r="AS373" s="158"/>
    </row>
    <row r="374" ht="15.75" customHeight="1">
      <c r="A374" s="140"/>
      <c r="B374" s="141"/>
      <c r="C374" s="142"/>
      <c r="D374" s="143"/>
      <c r="E374" s="144"/>
      <c r="F374" s="145"/>
      <c r="G374" s="146"/>
      <c r="H374" s="146"/>
      <c r="I374" s="146"/>
      <c r="J374" s="147"/>
      <c r="K374" s="140"/>
      <c r="L374" s="148"/>
      <c r="M374" s="149"/>
      <c r="N374" s="150"/>
      <c r="O374" s="149"/>
      <c r="P374" s="149"/>
      <c r="Q374" s="149"/>
      <c r="R374" s="149"/>
      <c r="S374" s="149"/>
      <c r="T374" s="149"/>
      <c r="U374" s="149"/>
      <c r="V374" s="149"/>
      <c r="W374" s="151"/>
      <c r="X374" s="149"/>
      <c r="Y374" s="152"/>
      <c r="Z374" s="153"/>
      <c r="AA374" s="149"/>
      <c r="AB374" s="154"/>
      <c r="AC374" s="155"/>
      <c r="AD374" s="155"/>
      <c r="AE374" s="155"/>
      <c r="AF374" s="155"/>
      <c r="AG374" s="149"/>
      <c r="AH374" s="149"/>
      <c r="AI374" s="149"/>
      <c r="AJ374" s="156"/>
      <c r="AK374" s="147"/>
      <c r="AL374" s="149"/>
      <c r="AM374" s="149"/>
      <c r="AN374" s="149"/>
      <c r="AO374" s="149"/>
      <c r="AP374" s="149"/>
      <c r="AQ374" s="157"/>
      <c r="AR374" s="149"/>
      <c r="AS374" s="158"/>
    </row>
    <row r="375" ht="15.75" customHeight="1">
      <c r="A375" s="140"/>
      <c r="B375" s="141"/>
      <c r="C375" s="142"/>
      <c r="D375" s="143"/>
      <c r="E375" s="144"/>
      <c r="F375" s="145"/>
      <c r="G375" s="146"/>
      <c r="H375" s="146"/>
      <c r="I375" s="146"/>
      <c r="J375" s="147"/>
      <c r="K375" s="140"/>
      <c r="L375" s="148"/>
      <c r="M375" s="149"/>
      <c r="N375" s="150"/>
      <c r="O375" s="149"/>
      <c r="P375" s="149"/>
      <c r="Q375" s="149"/>
      <c r="R375" s="149"/>
      <c r="S375" s="149"/>
      <c r="T375" s="149"/>
      <c r="U375" s="149"/>
      <c r="V375" s="149"/>
      <c r="W375" s="151"/>
      <c r="X375" s="149"/>
      <c r="Y375" s="152"/>
      <c r="Z375" s="153"/>
      <c r="AA375" s="149"/>
      <c r="AB375" s="154"/>
      <c r="AC375" s="155"/>
      <c r="AD375" s="155"/>
      <c r="AE375" s="155"/>
      <c r="AF375" s="155"/>
      <c r="AG375" s="149"/>
      <c r="AH375" s="149"/>
      <c r="AI375" s="149"/>
      <c r="AJ375" s="156"/>
      <c r="AK375" s="147"/>
      <c r="AL375" s="149"/>
      <c r="AM375" s="149"/>
      <c r="AN375" s="149"/>
      <c r="AO375" s="149"/>
      <c r="AP375" s="149"/>
      <c r="AQ375" s="157"/>
      <c r="AR375" s="149"/>
      <c r="AS375" s="158"/>
    </row>
    <row r="376" ht="15.75" customHeight="1">
      <c r="A376" s="140"/>
      <c r="B376" s="141"/>
      <c r="C376" s="142"/>
      <c r="D376" s="143"/>
      <c r="E376" s="144"/>
      <c r="F376" s="145"/>
      <c r="G376" s="146"/>
      <c r="H376" s="146"/>
      <c r="I376" s="146"/>
      <c r="J376" s="147"/>
      <c r="K376" s="140"/>
      <c r="L376" s="148"/>
      <c r="M376" s="149"/>
      <c r="N376" s="150"/>
      <c r="O376" s="149"/>
      <c r="P376" s="149"/>
      <c r="Q376" s="149"/>
      <c r="R376" s="149"/>
      <c r="S376" s="149"/>
      <c r="T376" s="149"/>
      <c r="U376" s="149"/>
      <c r="V376" s="149"/>
      <c r="W376" s="151"/>
      <c r="X376" s="149"/>
      <c r="Y376" s="152"/>
      <c r="Z376" s="153"/>
      <c r="AA376" s="149"/>
      <c r="AB376" s="154"/>
      <c r="AC376" s="155"/>
      <c r="AD376" s="155"/>
      <c r="AE376" s="155"/>
      <c r="AF376" s="155"/>
      <c r="AG376" s="149"/>
      <c r="AH376" s="149"/>
      <c r="AI376" s="149"/>
      <c r="AJ376" s="156"/>
      <c r="AK376" s="147"/>
      <c r="AL376" s="149"/>
      <c r="AM376" s="149"/>
      <c r="AN376" s="149"/>
      <c r="AO376" s="149"/>
      <c r="AP376" s="149"/>
      <c r="AQ376" s="157"/>
      <c r="AR376" s="149"/>
      <c r="AS376" s="158"/>
    </row>
    <row r="377" ht="15.75" customHeight="1">
      <c r="A377" s="140"/>
      <c r="B377" s="141"/>
      <c r="C377" s="142"/>
      <c r="D377" s="143"/>
      <c r="E377" s="144"/>
      <c r="F377" s="145"/>
      <c r="G377" s="146"/>
      <c r="H377" s="146"/>
      <c r="I377" s="146"/>
      <c r="J377" s="147"/>
      <c r="K377" s="140"/>
      <c r="L377" s="148"/>
      <c r="M377" s="149"/>
      <c r="N377" s="150"/>
      <c r="O377" s="149"/>
      <c r="P377" s="149"/>
      <c r="Q377" s="149"/>
      <c r="R377" s="149"/>
      <c r="S377" s="149"/>
      <c r="T377" s="149"/>
      <c r="U377" s="149"/>
      <c r="V377" s="149"/>
      <c r="W377" s="151"/>
      <c r="X377" s="149"/>
      <c r="Y377" s="152"/>
      <c r="Z377" s="153"/>
      <c r="AA377" s="149"/>
      <c r="AB377" s="154"/>
      <c r="AC377" s="155"/>
      <c r="AD377" s="155"/>
      <c r="AE377" s="155"/>
      <c r="AF377" s="155"/>
      <c r="AG377" s="149"/>
      <c r="AH377" s="149"/>
      <c r="AI377" s="149"/>
      <c r="AJ377" s="156"/>
      <c r="AK377" s="147"/>
      <c r="AL377" s="149"/>
      <c r="AM377" s="149"/>
      <c r="AN377" s="149"/>
      <c r="AO377" s="149"/>
      <c r="AP377" s="149"/>
      <c r="AQ377" s="157"/>
      <c r="AR377" s="149"/>
      <c r="AS377" s="158"/>
    </row>
    <row r="378" ht="15.75" customHeight="1">
      <c r="A378" s="140"/>
      <c r="B378" s="141"/>
      <c r="C378" s="142"/>
      <c r="D378" s="143"/>
      <c r="E378" s="144"/>
      <c r="F378" s="145"/>
      <c r="G378" s="146"/>
      <c r="H378" s="146"/>
      <c r="I378" s="146"/>
      <c r="J378" s="147"/>
      <c r="K378" s="140"/>
      <c r="L378" s="148"/>
      <c r="M378" s="149"/>
      <c r="N378" s="150"/>
      <c r="O378" s="149"/>
      <c r="P378" s="149"/>
      <c r="Q378" s="149"/>
      <c r="R378" s="149"/>
      <c r="S378" s="149"/>
      <c r="T378" s="149"/>
      <c r="U378" s="149"/>
      <c r="V378" s="149"/>
      <c r="W378" s="151"/>
      <c r="X378" s="149"/>
      <c r="Y378" s="152"/>
      <c r="Z378" s="153"/>
      <c r="AA378" s="149"/>
      <c r="AB378" s="154"/>
      <c r="AC378" s="155"/>
      <c r="AD378" s="155"/>
      <c r="AE378" s="155"/>
      <c r="AF378" s="155"/>
      <c r="AG378" s="149"/>
      <c r="AH378" s="149"/>
      <c r="AI378" s="149"/>
      <c r="AJ378" s="156"/>
      <c r="AK378" s="147"/>
      <c r="AL378" s="149"/>
      <c r="AM378" s="149"/>
      <c r="AN378" s="149"/>
      <c r="AO378" s="149"/>
      <c r="AP378" s="149"/>
      <c r="AQ378" s="157"/>
      <c r="AR378" s="149"/>
      <c r="AS378" s="158"/>
    </row>
    <row r="379" ht="15.75" customHeight="1">
      <c r="A379" s="140"/>
      <c r="B379" s="141"/>
      <c r="C379" s="142"/>
      <c r="D379" s="143"/>
      <c r="E379" s="144"/>
      <c r="F379" s="145"/>
      <c r="G379" s="146"/>
      <c r="H379" s="146"/>
      <c r="I379" s="146"/>
      <c r="J379" s="147"/>
      <c r="K379" s="140"/>
      <c r="L379" s="148"/>
      <c r="M379" s="149"/>
      <c r="N379" s="150"/>
      <c r="O379" s="149"/>
      <c r="P379" s="149"/>
      <c r="Q379" s="149"/>
      <c r="R379" s="149"/>
      <c r="S379" s="149"/>
      <c r="T379" s="149"/>
      <c r="U379" s="149"/>
      <c r="V379" s="149"/>
      <c r="W379" s="151"/>
      <c r="X379" s="149"/>
      <c r="Y379" s="152"/>
      <c r="Z379" s="153"/>
      <c r="AA379" s="149"/>
      <c r="AB379" s="154"/>
      <c r="AC379" s="155"/>
      <c r="AD379" s="155"/>
      <c r="AE379" s="155"/>
      <c r="AF379" s="155"/>
      <c r="AG379" s="149"/>
      <c r="AH379" s="149"/>
      <c r="AI379" s="149"/>
      <c r="AJ379" s="156"/>
      <c r="AK379" s="147"/>
      <c r="AL379" s="149"/>
      <c r="AM379" s="149"/>
      <c r="AN379" s="149"/>
      <c r="AO379" s="149"/>
      <c r="AP379" s="149"/>
      <c r="AQ379" s="157"/>
      <c r="AR379" s="149"/>
      <c r="AS379" s="158"/>
    </row>
    <row r="380" ht="15.75" customHeight="1">
      <c r="A380" s="140"/>
      <c r="B380" s="141"/>
      <c r="C380" s="142"/>
      <c r="D380" s="143"/>
      <c r="E380" s="144"/>
      <c r="F380" s="145"/>
      <c r="G380" s="146"/>
      <c r="H380" s="146"/>
      <c r="I380" s="146"/>
      <c r="J380" s="147"/>
      <c r="K380" s="140"/>
      <c r="L380" s="148"/>
      <c r="M380" s="149"/>
      <c r="N380" s="150"/>
      <c r="O380" s="149"/>
      <c r="P380" s="149"/>
      <c r="Q380" s="149"/>
      <c r="R380" s="149"/>
      <c r="S380" s="149"/>
      <c r="T380" s="149"/>
      <c r="U380" s="149"/>
      <c r="V380" s="149"/>
      <c r="W380" s="151"/>
      <c r="X380" s="149"/>
      <c r="Y380" s="152"/>
      <c r="Z380" s="153"/>
      <c r="AA380" s="149"/>
      <c r="AB380" s="154"/>
      <c r="AC380" s="155"/>
      <c r="AD380" s="155"/>
      <c r="AE380" s="155"/>
      <c r="AF380" s="155"/>
      <c r="AG380" s="149"/>
      <c r="AH380" s="149"/>
      <c r="AI380" s="149"/>
      <c r="AJ380" s="156"/>
      <c r="AK380" s="147"/>
      <c r="AL380" s="149"/>
      <c r="AM380" s="149"/>
      <c r="AN380" s="149"/>
      <c r="AO380" s="149"/>
      <c r="AP380" s="149"/>
      <c r="AQ380" s="157"/>
      <c r="AR380" s="149"/>
      <c r="AS380" s="158"/>
    </row>
    <row r="381" ht="15.75" customHeight="1">
      <c r="A381" s="140"/>
      <c r="B381" s="141"/>
      <c r="C381" s="142"/>
      <c r="D381" s="143"/>
      <c r="E381" s="144"/>
      <c r="F381" s="145"/>
      <c r="G381" s="146"/>
      <c r="H381" s="146"/>
      <c r="I381" s="146"/>
      <c r="J381" s="147"/>
      <c r="K381" s="140"/>
      <c r="L381" s="148"/>
      <c r="M381" s="149"/>
      <c r="N381" s="150"/>
      <c r="O381" s="149"/>
      <c r="P381" s="149"/>
      <c r="Q381" s="149"/>
      <c r="R381" s="149"/>
      <c r="S381" s="149"/>
      <c r="T381" s="149"/>
      <c r="U381" s="149"/>
      <c r="V381" s="149"/>
      <c r="W381" s="151"/>
      <c r="X381" s="149"/>
      <c r="Y381" s="152"/>
      <c r="Z381" s="153"/>
      <c r="AA381" s="149"/>
      <c r="AB381" s="154"/>
      <c r="AC381" s="155"/>
      <c r="AD381" s="155"/>
      <c r="AE381" s="155"/>
      <c r="AF381" s="155"/>
      <c r="AG381" s="149"/>
      <c r="AH381" s="149"/>
      <c r="AI381" s="149"/>
      <c r="AJ381" s="156"/>
      <c r="AK381" s="147"/>
      <c r="AL381" s="149"/>
      <c r="AM381" s="149"/>
      <c r="AN381" s="149"/>
      <c r="AO381" s="149"/>
      <c r="AP381" s="149"/>
      <c r="AQ381" s="157"/>
      <c r="AR381" s="149"/>
      <c r="AS381" s="158"/>
    </row>
    <row r="382" ht="15.75" customHeight="1">
      <c r="A382" s="140"/>
      <c r="B382" s="141"/>
      <c r="C382" s="142"/>
      <c r="D382" s="143"/>
      <c r="E382" s="144"/>
      <c r="F382" s="145"/>
      <c r="G382" s="146"/>
      <c r="H382" s="146"/>
      <c r="I382" s="146"/>
      <c r="J382" s="147"/>
      <c r="K382" s="140"/>
      <c r="L382" s="148"/>
      <c r="M382" s="149"/>
      <c r="N382" s="150"/>
      <c r="O382" s="149"/>
      <c r="P382" s="149"/>
      <c r="Q382" s="149"/>
      <c r="R382" s="149"/>
      <c r="S382" s="149"/>
      <c r="T382" s="149"/>
      <c r="U382" s="149"/>
      <c r="V382" s="149"/>
      <c r="W382" s="151"/>
      <c r="X382" s="149"/>
      <c r="Y382" s="152"/>
      <c r="Z382" s="153"/>
      <c r="AA382" s="149"/>
      <c r="AB382" s="154"/>
      <c r="AC382" s="155"/>
      <c r="AD382" s="155"/>
      <c r="AE382" s="155"/>
      <c r="AF382" s="155"/>
      <c r="AG382" s="149"/>
      <c r="AH382" s="149"/>
      <c r="AI382" s="149"/>
      <c r="AJ382" s="156"/>
      <c r="AK382" s="147"/>
      <c r="AL382" s="149"/>
      <c r="AM382" s="149"/>
      <c r="AN382" s="149"/>
      <c r="AO382" s="149"/>
      <c r="AP382" s="149"/>
      <c r="AQ382" s="157"/>
      <c r="AR382" s="149"/>
      <c r="AS382" s="158"/>
    </row>
    <row r="383" ht="15.75" customHeight="1">
      <c r="A383" s="140"/>
      <c r="B383" s="141"/>
      <c r="C383" s="142"/>
      <c r="D383" s="143"/>
      <c r="E383" s="144"/>
      <c r="F383" s="145"/>
      <c r="G383" s="146"/>
      <c r="H383" s="146"/>
      <c r="I383" s="146"/>
      <c r="J383" s="147"/>
      <c r="K383" s="140"/>
      <c r="L383" s="148"/>
      <c r="M383" s="149"/>
      <c r="N383" s="150"/>
      <c r="O383" s="149"/>
      <c r="P383" s="149"/>
      <c r="Q383" s="149"/>
      <c r="R383" s="149"/>
      <c r="S383" s="149"/>
      <c r="T383" s="149"/>
      <c r="U383" s="149"/>
      <c r="V383" s="149"/>
      <c r="W383" s="151"/>
      <c r="X383" s="149"/>
      <c r="Y383" s="152"/>
      <c r="Z383" s="153"/>
      <c r="AA383" s="149"/>
      <c r="AB383" s="154"/>
      <c r="AC383" s="155"/>
      <c r="AD383" s="155"/>
      <c r="AE383" s="155"/>
      <c r="AF383" s="155"/>
      <c r="AG383" s="149"/>
      <c r="AH383" s="149"/>
      <c r="AI383" s="149"/>
      <c r="AJ383" s="156"/>
      <c r="AK383" s="147"/>
      <c r="AL383" s="149"/>
      <c r="AM383" s="149"/>
      <c r="AN383" s="149"/>
      <c r="AO383" s="149"/>
      <c r="AP383" s="149"/>
      <c r="AQ383" s="157"/>
      <c r="AR383" s="149"/>
      <c r="AS383" s="158"/>
    </row>
    <row r="384" ht="15.75" customHeight="1">
      <c r="A384" s="140"/>
      <c r="B384" s="141"/>
      <c r="C384" s="142"/>
      <c r="D384" s="143"/>
      <c r="E384" s="144"/>
      <c r="F384" s="145"/>
      <c r="G384" s="146"/>
      <c r="H384" s="146"/>
      <c r="I384" s="146"/>
      <c r="J384" s="147"/>
      <c r="K384" s="140"/>
      <c r="L384" s="148"/>
      <c r="M384" s="149"/>
      <c r="N384" s="150"/>
      <c r="O384" s="149"/>
      <c r="P384" s="149"/>
      <c r="Q384" s="149"/>
      <c r="R384" s="149"/>
      <c r="S384" s="149"/>
      <c r="T384" s="149"/>
      <c r="U384" s="149"/>
      <c r="V384" s="149"/>
      <c r="W384" s="151"/>
      <c r="X384" s="149"/>
      <c r="Y384" s="152"/>
      <c r="Z384" s="153"/>
      <c r="AA384" s="149"/>
      <c r="AB384" s="154"/>
      <c r="AC384" s="155"/>
      <c r="AD384" s="155"/>
      <c r="AE384" s="155"/>
      <c r="AF384" s="155"/>
      <c r="AG384" s="149"/>
      <c r="AH384" s="149"/>
      <c r="AI384" s="149"/>
      <c r="AJ384" s="156"/>
      <c r="AK384" s="147"/>
      <c r="AL384" s="149"/>
      <c r="AM384" s="149"/>
      <c r="AN384" s="149"/>
      <c r="AO384" s="149"/>
      <c r="AP384" s="149"/>
      <c r="AQ384" s="157"/>
      <c r="AR384" s="149"/>
      <c r="AS384" s="158"/>
    </row>
    <row r="385" ht="15.75" customHeight="1">
      <c r="A385" s="140"/>
      <c r="B385" s="141"/>
      <c r="C385" s="142"/>
      <c r="D385" s="143"/>
      <c r="E385" s="144"/>
      <c r="F385" s="145"/>
      <c r="G385" s="146"/>
      <c r="H385" s="146"/>
      <c r="I385" s="146"/>
      <c r="J385" s="147"/>
      <c r="K385" s="140"/>
      <c r="L385" s="148"/>
      <c r="M385" s="149"/>
      <c r="N385" s="150"/>
      <c r="O385" s="149"/>
      <c r="P385" s="149"/>
      <c r="Q385" s="149"/>
      <c r="R385" s="149"/>
      <c r="S385" s="149"/>
      <c r="T385" s="149"/>
      <c r="U385" s="149"/>
      <c r="V385" s="149"/>
      <c r="W385" s="151"/>
      <c r="X385" s="149"/>
      <c r="Y385" s="152"/>
      <c r="Z385" s="153"/>
      <c r="AA385" s="149"/>
      <c r="AB385" s="154"/>
      <c r="AC385" s="155"/>
      <c r="AD385" s="155"/>
      <c r="AE385" s="155"/>
      <c r="AF385" s="155"/>
      <c r="AG385" s="149"/>
      <c r="AH385" s="149"/>
      <c r="AI385" s="149"/>
      <c r="AJ385" s="156"/>
      <c r="AK385" s="147"/>
      <c r="AL385" s="149"/>
      <c r="AM385" s="149"/>
      <c r="AN385" s="149"/>
      <c r="AO385" s="149"/>
      <c r="AP385" s="149"/>
      <c r="AQ385" s="157"/>
      <c r="AR385" s="149"/>
      <c r="AS385" s="158"/>
    </row>
    <row r="386" ht="15.75" customHeight="1">
      <c r="A386" s="140"/>
      <c r="B386" s="141"/>
      <c r="C386" s="142"/>
      <c r="D386" s="143"/>
      <c r="E386" s="144"/>
      <c r="F386" s="145"/>
      <c r="G386" s="146"/>
      <c r="H386" s="146"/>
      <c r="I386" s="146"/>
      <c r="J386" s="147"/>
      <c r="K386" s="140"/>
      <c r="L386" s="148"/>
      <c r="M386" s="149"/>
      <c r="N386" s="150"/>
      <c r="O386" s="149"/>
      <c r="P386" s="149"/>
      <c r="Q386" s="149"/>
      <c r="R386" s="149"/>
      <c r="S386" s="149"/>
      <c r="T386" s="149"/>
      <c r="U386" s="149"/>
      <c r="V386" s="149"/>
      <c r="W386" s="151"/>
      <c r="X386" s="149"/>
      <c r="Y386" s="152"/>
      <c r="Z386" s="153"/>
      <c r="AA386" s="149"/>
      <c r="AB386" s="154"/>
      <c r="AC386" s="155"/>
      <c r="AD386" s="155"/>
      <c r="AE386" s="155"/>
      <c r="AF386" s="155"/>
      <c r="AG386" s="149"/>
      <c r="AH386" s="149"/>
      <c r="AI386" s="149"/>
      <c r="AJ386" s="156"/>
      <c r="AK386" s="147"/>
      <c r="AL386" s="149"/>
      <c r="AM386" s="149"/>
      <c r="AN386" s="149"/>
      <c r="AO386" s="149"/>
      <c r="AP386" s="149"/>
      <c r="AQ386" s="157"/>
      <c r="AR386" s="149"/>
      <c r="AS386" s="158"/>
    </row>
    <row r="387" ht="15.75" customHeight="1">
      <c r="A387" s="140"/>
      <c r="B387" s="141"/>
      <c r="C387" s="142"/>
      <c r="D387" s="143"/>
      <c r="E387" s="144"/>
      <c r="F387" s="145"/>
      <c r="G387" s="146"/>
      <c r="H387" s="146"/>
      <c r="I387" s="146"/>
      <c r="J387" s="147"/>
      <c r="K387" s="140"/>
      <c r="L387" s="148"/>
      <c r="M387" s="149"/>
      <c r="N387" s="150"/>
      <c r="O387" s="149"/>
      <c r="P387" s="149"/>
      <c r="Q387" s="149"/>
      <c r="R387" s="149"/>
      <c r="S387" s="149"/>
      <c r="T387" s="149"/>
      <c r="U387" s="149"/>
      <c r="V387" s="149"/>
      <c r="W387" s="151"/>
      <c r="X387" s="149"/>
      <c r="Y387" s="152"/>
      <c r="Z387" s="153"/>
      <c r="AA387" s="149"/>
      <c r="AB387" s="154"/>
      <c r="AC387" s="155"/>
      <c r="AD387" s="155"/>
      <c r="AE387" s="155"/>
      <c r="AF387" s="155"/>
      <c r="AG387" s="149"/>
      <c r="AH387" s="149"/>
      <c r="AI387" s="149"/>
      <c r="AJ387" s="156"/>
      <c r="AK387" s="147"/>
      <c r="AL387" s="149"/>
      <c r="AM387" s="149"/>
      <c r="AN387" s="149"/>
      <c r="AO387" s="149"/>
      <c r="AP387" s="149"/>
      <c r="AQ387" s="157"/>
      <c r="AR387" s="149"/>
      <c r="AS387" s="158"/>
    </row>
    <row r="388" ht="15.75" customHeight="1">
      <c r="A388" s="140"/>
      <c r="B388" s="141"/>
      <c r="C388" s="142"/>
      <c r="D388" s="143"/>
      <c r="E388" s="144"/>
      <c r="F388" s="145"/>
      <c r="G388" s="146"/>
      <c r="H388" s="146"/>
      <c r="I388" s="146"/>
      <c r="J388" s="147"/>
      <c r="K388" s="140"/>
      <c r="L388" s="148"/>
      <c r="M388" s="149"/>
      <c r="N388" s="150"/>
      <c r="O388" s="149"/>
      <c r="P388" s="149"/>
      <c r="Q388" s="149"/>
      <c r="R388" s="149"/>
      <c r="S388" s="149"/>
      <c r="T388" s="149"/>
      <c r="U388" s="149"/>
      <c r="V388" s="149"/>
      <c r="W388" s="151"/>
      <c r="X388" s="149"/>
      <c r="Y388" s="152"/>
      <c r="Z388" s="153"/>
      <c r="AA388" s="149"/>
      <c r="AB388" s="154"/>
      <c r="AC388" s="155"/>
      <c r="AD388" s="155"/>
      <c r="AE388" s="155"/>
      <c r="AF388" s="155"/>
      <c r="AG388" s="149"/>
      <c r="AH388" s="149"/>
      <c r="AI388" s="149"/>
      <c r="AJ388" s="156"/>
      <c r="AK388" s="147"/>
      <c r="AL388" s="149"/>
      <c r="AM388" s="149"/>
      <c r="AN388" s="149"/>
      <c r="AO388" s="149"/>
      <c r="AP388" s="149"/>
      <c r="AQ388" s="157"/>
      <c r="AR388" s="149"/>
      <c r="AS388" s="158"/>
    </row>
    <row r="389" ht="15.75" customHeight="1">
      <c r="A389" s="140"/>
      <c r="B389" s="141"/>
      <c r="C389" s="142"/>
      <c r="D389" s="143"/>
      <c r="E389" s="144"/>
      <c r="F389" s="145"/>
      <c r="G389" s="146"/>
      <c r="H389" s="146"/>
      <c r="I389" s="146"/>
      <c r="J389" s="147"/>
      <c r="K389" s="140"/>
      <c r="L389" s="148"/>
      <c r="M389" s="149"/>
      <c r="N389" s="150"/>
      <c r="O389" s="149"/>
      <c r="P389" s="149"/>
      <c r="Q389" s="149"/>
      <c r="R389" s="149"/>
      <c r="S389" s="149"/>
      <c r="T389" s="149"/>
      <c r="U389" s="149"/>
      <c r="V389" s="149"/>
      <c r="W389" s="151"/>
      <c r="X389" s="149"/>
      <c r="Y389" s="152"/>
      <c r="Z389" s="153"/>
      <c r="AA389" s="149"/>
      <c r="AB389" s="154"/>
      <c r="AC389" s="155"/>
      <c r="AD389" s="155"/>
      <c r="AE389" s="155"/>
      <c r="AF389" s="155"/>
      <c r="AG389" s="149"/>
      <c r="AH389" s="149"/>
      <c r="AI389" s="149"/>
      <c r="AJ389" s="156"/>
      <c r="AK389" s="147"/>
      <c r="AL389" s="149"/>
      <c r="AM389" s="149"/>
      <c r="AN389" s="149"/>
      <c r="AO389" s="149"/>
      <c r="AP389" s="149"/>
      <c r="AQ389" s="157"/>
      <c r="AR389" s="149"/>
      <c r="AS389" s="158"/>
    </row>
    <row r="390" ht="15.75" customHeight="1">
      <c r="A390" s="140"/>
      <c r="B390" s="141"/>
      <c r="C390" s="142"/>
      <c r="D390" s="143"/>
      <c r="E390" s="144"/>
      <c r="F390" s="145"/>
      <c r="G390" s="146"/>
      <c r="H390" s="146"/>
      <c r="I390" s="146"/>
      <c r="J390" s="147"/>
      <c r="K390" s="140"/>
      <c r="L390" s="148"/>
      <c r="M390" s="149"/>
      <c r="N390" s="150"/>
      <c r="O390" s="149"/>
      <c r="P390" s="149"/>
      <c r="Q390" s="149"/>
      <c r="R390" s="149"/>
      <c r="S390" s="149"/>
      <c r="T390" s="149"/>
      <c r="U390" s="149"/>
      <c r="V390" s="149"/>
      <c r="W390" s="151"/>
      <c r="X390" s="149"/>
      <c r="Y390" s="152"/>
      <c r="Z390" s="153"/>
      <c r="AA390" s="149"/>
      <c r="AB390" s="154"/>
      <c r="AC390" s="155"/>
      <c r="AD390" s="155"/>
      <c r="AE390" s="155"/>
      <c r="AF390" s="155"/>
      <c r="AG390" s="149"/>
      <c r="AH390" s="149"/>
      <c r="AI390" s="149"/>
      <c r="AJ390" s="156"/>
      <c r="AK390" s="147"/>
      <c r="AL390" s="149"/>
      <c r="AM390" s="149"/>
      <c r="AN390" s="149"/>
      <c r="AO390" s="149"/>
      <c r="AP390" s="149"/>
      <c r="AQ390" s="157"/>
      <c r="AR390" s="149"/>
      <c r="AS390" s="158"/>
    </row>
    <row r="391" ht="15.75" customHeight="1">
      <c r="A391" s="140"/>
      <c r="B391" s="141"/>
      <c r="C391" s="142"/>
      <c r="D391" s="143"/>
      <c r="E391" s="144"/>
      <c r="F391" s="145"/>
      <c r="G391" s="146"/>
      <c r="H391" s="146"/>
      <c r="I391" s="146"/>
      <c r="J391" s="147"/>
      <c r="K391" s="140"/>
      <c r="L391" s="148"/>
      <c r="M391" s="149"/>
      <c r="N391" s="150"/>
      <c r="O391" s="149"/>
      <c r="P391" s="149"/>
      <c r="Q391" s="149"/>
      <c r="R391" s="149"/>
      <c r="S391" s="149"/>
      <c r="T391" s="149"/>
      <c r="U391" s="149"/>
      <c r="V391" s="149"/>
      <c r="W391" s="151"/>
      <c r="X391" s="149"/>
      <c r="Y391" s="152"/>
      <c r="Z391" s="153"/>
      <c r="AA391" s="149"/>
      <c r="AB391" s="154"/>
      <c r="AC391" s="155"/>
      <c r="AD391" s="155"/>
      <c r="AE391" s="155"/>
      <c r="AF391" s="155"/>
      <c r="AG391" s="149"/>
      <c r="AH391" s="149"/>
      <c r="AI391" s="149"/>
      <c r="AJ391" s="156"/>
      <c r="AK391" s="147"/>
      <c r="AL391" s="149"/>
      <c r="AM391" s="149"/>
      <c r="AN391" s="149"/>
      <c r="AO391" s="149"/>
      <c r="AP391" s="149"/>
      <c r="AQ391" s="157"/>
      <c r="AR391" s="149"/>
      <c r="AS391" s="158"/>
    </row>
    <row r="392" ht="15.75" customHeight="1">
      <c r="A392" s="140"/>
      <c r="B392" s="141"/>
      <c r="C392" s="142"/>
      <c r="D392" s="143"/>
      <c r="E392" s="144"/>
      <c r="F392" s="145"/>
      <c r="G392" s="146"/>
      <c r="H392" s="146"/>
      <c r="I392" s="146"/>
      <c r="J392" s="147"/>
      <c r="K392" s="140"/>
      <c r="L392" s="148"/>
      <c r="M392" s="149"/>
      <c r="N392" s="150"/>
      <c r="O392" s="149"/>
      <c r="P392" s="149"/>
      <c r="Q392" s="149"/>
      <c r="R392" s="149"/>
      <c r="S392" s="149"/>
      <c r="T392" s="149"/>
      <c r="U392" s="149"/>
      <c r="V392" s="149"/>
      <c r="W392" s="151"/>
      <c r="X392" s="149"/>
      <c r="Y392" s="152"/>
      <c r="Z392" s="153"/>
      <c r="AA392" s="149"/>
      <c r="AB392" s="154"/>
      <c r="AC392" s="155"/>
      <c r="AD392" s="155"/>
      <c r="AE392" s="155"/>
      <c r="AF392" s="155"/>
      <c r="AG392" s="149"/>
      <c r="AH392" s="149"/>
      <c r="AI392" s="149"/>
      <c r="AJ392" s="156"/>
      <c r="AK392" s="147"/>
      <c r="AL392" s="149"/>
      <c r="AM392" s="149"/>
      <c r="AN392" s="149"/>
      <c r="AO392" s="149"/>
      <c r="AP392" s="149"/>
      <c r="AQ392" s="157"/>
      <c r="AR392" s="149"/>
      <c r="AS392" s="158"/>
    </row>
    <row r="393" ht="15.75" customHeight="1">
      <c r="A393" s="140"/>
      <c r="B393" s="141"/>
      <c r="C393" s="142"/>
      <c r="D393" s="143"/>
      <c r="E393" s="144"/>
      <c r="F393" s="145"/>
      <c r="G393" s="146"/>
      <c r="H393" s="146"/>
      <c r="I393" s="146"/>
      <c r="J393" s="147"/>
      <c r="K393" s="140"/>
      <c r="L393" s="148"/>
      <c r="M393" s="149"/>
      <c r="N393" s="150"/>
      <c r="O393" s="149"/>
      <c r="P393" s="149"/>
      <c r="Q393" s="149"/>
      <c r="R393" s="149"/>
      <c r="S393" s="149"/>
      <c r="T393" s="149"/>
      <c r="U393" s="149"/>
      <c r="V393" s="149"/>
      <c r="W393" s="151"/>
      <c r="X393" s="149"/>
      <c r="Y393" s="152"/>
      <c r="Z393" s="153"/>
      <c r="AA393" s="149"/>
      <c r="AB393" s="154"/>
      <c r="AC393" s="155"/>
      <c r="AD393" s="155"/>
      <c r="AE393" s="155"/>
      <c r="AF393" s="155"/>
      <c r="AG393" s="149"/>
      <c r="AH393" s="149"/>
      <c r="AI393" s="149"/>
      <c r="AJ393" s="156"/>
      <c r="AK393" s="147"/>
      <c r="AL393" s="149"/>
      <c r="AM393" s="149"/>
      <c r="AN393" s="149"/>
      <c r="AO393" s="149"/>
      <c r="AP393" s="149"/>
      <c r="AQ393" s="157"/>
      <c r="AR393" s="149"/>
      <c r="AS393" s="158"/>
    </row>
    <row r="394" ht="15.75" customHeight="1">
      <c r="A394" s="140"/>
      <c r="B394" s="141"/>
      <c r="C394" s="142"/>
      <c r="D394" s="143"/>
      <c r="E394" s="144"/>
      <c r="F394" s="145"/>
      <c r="G394" s="146"/>
      <c r="H394" s="146"/>
      <c r="I394" s="146"/>
      <c r="J394" s="147"/>
      <c r="K394" s="140"/>
      <c r="L394" s="148"/>
      <c r="M394" s="149"/>
      <c r="N394" s="150"/>
      <c r="O394" s="149"/>
      <c r="P394" s="149"/>
      <c r="Q394" s="149"/>
      <c r="R394" s="149"/>
      <c r="S394" s="149"/>
      <c r="T394" s="149"/>
      <c r="U394" s="149"/>
      <c r="V394" s="149"/>
      <c r="W394" s="151"/>
      <c r="X394" s="149"/>
      <c r="Y394" s="152"/>
      <c r="Z394" s="153"/>
      <c r="AA394" s="149"/>
      <c r="AB394" s="154"/>
      <c r="AC394" s="155"/>
      <c r="AD394" s="155"/>
      <c r="AE394" s="155"/>
      <c r="AF394" s="155"/>
      <c r="AG394" s="149"/>
      <c r="AH394" s="149"/>
      <c r="AI394" s="149"/>
      <c r="AJ394" s="156"/>
      <c r="AK394" s="147"/>
      <c r="AL394" s="149"/>
      <c r="AM394" s="149"/>
      <c r="AN394" s="149"/>
      <c r="AO394" s="149"/>
      <c r="AP394" s="149"/>
      <c r="AQ394" s="157"/>
      <c r="AR394" s="149"/>
      <c r="AS394" s="158"/>
    </row>
    <row r="395" ht="15.75" customHeight="1">
      <c r="A395" s="140"/>
      <c r="B395" s="141"/>
      <c r="C395" s="142"/>
      <c r="D395" s="143"/>
      <c r="E395" s="144"/>
      <c r="F395" s="145"/>
      <c r="G395" s="146"/>
      <c r="H395" s="146"/>
      <c r="I395" s="146"/>
      <c r="J395" s="147"/>
      <c r="K395" s="140"/>
      <c r="L395" s="148"/>
      <c r="M395" s="149"/>
      <c r="N395" s="150"/>
      <c r="O395" s="149"/>
      <c r="P395" s="149"/>
      <c r="Q395" s="149"/>
      <c r="R395" s="149"/>
      <c r="S395" s="149"/>
      <c r="T395" s="149"/>
      <c r="U395" s="149"/>
      <c r="V395" s="149"/>
      <c r="W395" s="151"/>
      <c r="X395" s="149"/>
      <c r="Y395" s="152"/>
      <c r="Z395" s="153"/>
      <c r="AA395" s="149"/>
      <c r="AB395" s="154"/>
      <c r="AC395" s="155"/>
      <c r="AD395" s="155"/>
      <c r="AE395" s="155"/>
      <c r="AF395" s="155"/>
      <c r="AG395" s="149"/>
      <c r="AH395" s="149"/>
      <c r="AI395" s="149"/>
      <c r="AJ395" s="156"/>
      <c r="AK395" s="147"/>
      <c r="AL395" s="149"/>
      <c r="AM395" s="149"/>
      <c r="AN395" s="149"/>
      <c r="AO395" s="149"/>
      <c r="AP395" s="149"/>
      <c r="AQ395" s="157"/>
      <c r="AR395" s="149"/>
      <c r="AS395" s="158"/>
    </row>
    <row r="396" ht="15.75" customHeight="1">
      <c r="A396" s="140"/>
      <c r="B396" s="141"/>
      <c r="C396" s="142"/>
      <c r="D396" s="143"/>
      <c r="E396" s="144"/>
      <c r="F396" s="145"/>
      <c r="G396" s="146"/>
      <c r="H396" s="146"/>
      <c r="I396" s="146"/>
      <c r="J396" s="147"/>
      <c r="K396" s="140"/>
      <c r="L396" s="148"/>
      <c r="M396" s="149"/>
      <c r="N396" s="150"/>
      <c r="O396" s="149"/>
      <c r="P396" s="149"/>
      <c r="Q396" s="149"/>
      <c r="R396" s="149"/>
      <c r="S396" s="149"/>
      <c r="T396" s="149"/>
      <c r="U396" s="149"/>
      <c r="V396" s="149"/>
      <c r="W396" s="151"/>
      <c r="X396" s="149"/>
      <c r="Y396" s="152"/>
      <c r="Z396" s="153"/>
      <c r="AA396" s="149"/>
      <c r="AB396" s="154"/>
      <c r="AC396" s="155"/>
      <c r="AD396" s="155"/>
      <c r="AE396" s="155"/>
      <c r="AF396" s="155"/>
      <c r="AG396" s="149"/>
      <c r="AH396" s="149"/>
      <c r="AI396" s="149"/>
      <c r="AJ396" s="156"/>
      <c r="AK396" s="147"/>
      <c r="AL396" s="149"/>
      <c r="AM396" s="149"/>
      <c r="AN396" s="149"/>
      <c r="AO396" s="149"/>
      <c r="AP396" s="149"/>
      <c r="AQ396" s="157"/>
      <c r="AR396" s="149"/>
      <c r="AS396" s="158"/>
    </row>
    <row r="397" ht="15.75" customHeight="1">
      <c r="A397" s="140"/>
      <c r="B397" s="141"/>
      <c r="C397" s="142"/>
      <c r="D397" s="143"/>
      <c r="E397" s="144"/>
      <c r="F397" s="145"/>
      <c r="G397" s="146"/>
      <c r="H397" s="146"/>
      <c r="I397" s="146"/>
      <c r="J397" s="147"/>
      <c r="K397" s="140"/>
      <c r="L397" s="148"/>
      <c r="M397" s="149"/>
      <c r="N397" s="150"/>
      <c r="O397" s="149"/>
      <c r="P397" s="149"/>
      <c r="Q397" s="149"/>
      <c r="R397" s="149"/>
      <c r="S397" s="149"/>
      <c r="T397" s="149"/>
      <c r="U397" s="149"/>
      <c r="V397" s="149"/>
      <c r="W397" s="151"/>
      <c r="X397" s="149"/>
      <c r="Y397" s="152"/>
      <c r="Z397" s="153"/>
      <c r="AA397" s="149"/>
      <c r="AB397" s="154"/>
      <c r="AC397" s="155"/>
      <c r="AD397" s="155"/>
      <c r="AE397" s="155"/>
      <c r="AF397" s="155"/>
      <c r="AG397" s="149"/>
      <c r="AH397" s="149"/>
      <c r="AI397" s="149"/>
      <c r="AJ397" s="156"/>
      <c r="AK397" s="147"/>
      <c r="AL397" s="149"/>
      <c r="AM397" s="149"/>
      <c r="AN397" s="149"/>
      <c r="AO397" s="149"/>
      <c r="AP397" s="149"/>
      <c r="AQ397" s="157"/>
      <c r="AR397" s="149"/>
      <c r="AS397" s="158"/>
    </row>
    <row r="398" ht="15.75" customHeight="1">
      <c r="A398" s="140"/>
      <c r="B398" s="141"/>
      <c r="C398" s="142"/>
      <c r="D398" s="143"/>
      <c r="E398" s="144"/>
      <c r="F398" s="145"/>
      <c r="G398" s="146"/>
      <c r="H398" s="146"/>
      <c r="I398" s="146"/>
      <c r="J398" s="147"/>
      <c r="K398" s="140"/>
      <c r="L398" s="148"/>
      <c r="M398" s="149"/>
      <c r="N398" s="150"/>
      <c r="O398" s="149"/>
      <c r="P398" s="149"/>
      <c r="Q398" s="149"/>
      <c r="R398" s="149"/>
      <c r="S398" s="149"/>
      <c r="T398" s="149"/>
      <c r="U398" s="149"/>
      <c r="V398" s="149"/>
      <c r="W398" s="151"/>
      <c r="X398" s="149"/>
      <c r="Y398" s="152"/>
      <c r="Z398" s="153"/>
      <c r="AA398" s="149"/>
      <c r="AB398" s="154"/>
      <c r="AC398" s="155"/>
      <c r="AD398" s="155"/>
      <c r="AE398" s="155"/>
      <c r="AF398" s="155"/>
      <c r="AG398" s="149"/>
      <c r="AH398" s="149"/>
      <c r="AI398" s="149"/>
      <c r="AJ398" s="156"/>
      <c r="AK398" s="147"/>
      <c r="AL398" s="149"/>
      <c r="AM398" s="149"/>
      <c r="AN398" s="149"/>
      <c r="AO398" s="149"/>
      <c r="AP398" s="149"/>
      <c r="AQ398" s="157"/>
      <c r="AR398" s="149"/>
      <c r="AS398" s="158"/>
    </row>
    <row r="399" ht="15.75" customHeight="1">
      <c r="A399" s="140"/>
      <c r="B399" s="141"/>
      <c r="C399" s="142"/>
      <c r="D399" s="143"/>
      <c r="E399" s="144"/>
      <c r="F399" s="145"/>
      <c r="G399" s="146"/>
      <c r="H399" s="146"/>
      <c r="I399" s="146"/>
      <c r="J399" s="147"/>
      <c r="K399" s="140"/>
      <c r="L399" s="148"/>
      <c r="M399" s="149"/>
      <c r="N399" s="150"/>
      <c r="O399" s="149"/>
      <c r="P399" s="149"/>
      <c r="Q399" s="149"/>
      <c r="R399" s="149"/>
      <c r="S399" s="149"/>
      <c r="T399" s="149"/>
      <c r="U399" s="149"/>
      <c r="V399" s="149"/>
      <c r="W399" s="151"/>
      <c r="X399" s="149"/>
      <c r="Y399" s="152"/>
      <c r="Z399" s="153"/>
      <c r="AA399" s="149"/>
      <c r="AB399" s="154"/>
      <c r="AC399" s="155"/>
      <c r="AD399" s="155"/>
      <c r="AE399" s="155"/>
      <c r="AF399" s="155"/>
      <c r="AG399" s="149"/>
      <c r="AH399" s="149"/>
      <c r="AI399" s="149"/>
      <c r="AJ399" s="156"/>
      <c r="AK399" s="147"/>
      <c r="AL399" s="149"/>
      <c r="AM399" s="149"/>
      <c r="AN399" s="149"/>
      <c r="AO399" s="149"/>
      <c r="AP399" s="149"/>
      <c r="AQ399" s="157"/>
      <c r="AR399" s="149"/>
      <c r="AS399" s="158"/>
    </row>
    <row r="400" ht="15.75" customHeight="1">
      <c r="A400" s="140"/>
      <c r="B400" s="141"/>
      <c r="C400" s="142"/>
      <c r="D400" s="143"/>
      <c r="E400" s="144"/>
      <c r="F400" s="145"/>
      <c r="G400" s="146"/>
      <c r="H400" s="146"/>
      <c r="I400" s="146"/>
      <c r="J400" s="147"/>
      <c r="K400" s="140"/>
      <c r="L400" s="148"/>
      <c r="M400" s="149"/>
      <c r="N400" s="150"/>
      <c r="O400" s="149"/>
      <c r="P400" s="149"/>
      <c r="Q400" s="149"/>
      <c r="R400" s="149"/>
      <c r="S400" s="149"/>
      <c r="T400" s="149"/>
      <c r="U400" s="149"/>
      <c r="V400" s="149"/>
      <c r="W400" s="151"/>
      <c r="X400" s="149"/>
      <c r="Y400" s="152"/>
      <c r="Z400" s="153"/>
      <c r="AA400" s="149"/>
      <c r="AB400" s="154"/>
      <c r="AC400" s="155"/>
      <c r="AD400" s="155"/>
      <c r="AE400" s="155"/>
      <c r="AF400" s="155"/>
      <c r="AG400" s="149"/>
      <c r="AH400" s="149"/>
      <c r="AI400" s="149"/>
      <c r="AJ400" s="156"/>
      <c r="AK400" s="147"/>
      <c r="AL400" s="149"/>
      <c r="AM400" s="149"/>
      <c r="AN400" s="149"/>
      <c r="AO400" s="149"/>
      <c r="AP400" s="149"/>
      <c r="AQ400" s="157"/>
      <c r="AR400" s="149"/>
      <c r="AS400" s="158"/>
    </row>
    <row r="401" ht="15.75" customHeight="1">
      <c r="A401" s="140"/>
      <c r="B401" s="141"/>
      <c r="C401" s="142"/>
      <c r="D401" s="143"/>
      <c r="E401" s="144"/>
      <c r="F401" s="145"/>
      <c r="G401" s="146"/>
      <c r="H401" s="146"/>
      <c r="I401" s="146"/>
      <c r="J401" s="147"/>
      <c r="K401" s="140"/>
      <c r="L401" s="148"/>
      <c r="M401" s="149"/>
      <c r="N401" s="150"/>
      <c r="O401" s="149"/>
      <c r="P401" s="149"/>
      <c r="Q401" s="149"/>
      <c r="R401" s="149"/>
      <c r="S401" s="149"/>
      <c r="T401" s="149"/>
      <c r="U401" s="149"/>
      <c r="V401" s="149"/>
      <c r="W401" s="151"/>
      <c r="X401" s="149"/>
      <c r="Y401" s="152"/>
      <c r="Z401" s="153"/>
      <c r="AA401" s="149"/>
      <c r="AB401" s="154"/>
      <c r="AC401" s="155"/>
      <c r="AD401" s="155"/>
      <c r="AE401" s="155"/>
      <c r="AF401" s="155"/>
      <c r="AG401" s="149"/>
      <c r="AH401" s="149"/>
      <c r="AI401" s="149"/>
      <c r="AJ401" s="156"/>
      <c r="AK401" s="147"/>
      <c r="AL401" s="149"/>
      <c r="AM401" s="149"/>
      <c r="AN401" s="149"/>
      <c r="AO401" s="149"/>
      <c r="AP401" s="149"/>
      <c r="AQ401" s="157"/>
      <c r="AR401" s="149"/>
      <c r="AS401" s="158"/>
    </row>
    <row r="402" ht="15.75" customHeight="1">
      <c r="A402" s="140"/>
      <c r="B402" s="141"/>
      <c r="C402" s="142"/>
      <c r="D402" s="143"/>
      <c r="E402" s="144"/>
      <c r="F402" s="145"/>
      <c r="G402" s="146"/>
      <c r="H402" s="146"/>
      <c r="I402" s="146"/>
      <c r="J402" s="147"/>
      <c r="K402" s="140"/>
      <c r="L402" s="148"/>
      <c r="M402" s="149"/>
      <c r="N402" s="150"/>
      <c r="O402" s="149"/>
      <c r="P402" s="149"/>
      <c r="Q402" s="149"/>
      <c r="R402" s="149"/>
      <c r="S402" s="149"/>
      <c r="T402" s="149"/>
      <c r="U402" s="149"/>
      <c r="V402" s="149"/>
      <c r="W402" s="151"/>
      <c r="X402" s="149"/>
      <c r="Y402" s="152"/>
      <c r="Z402" s="153"/>
      <c r="AA402" s="149"/>
      <c r="AB402" s="154"/>
      <c r="AC402" s="155"/>
      <c r="AD402" s="155"/>
      <c r="AE402" s="155"/>
      <c r="AF402" s="155"/>
      <c r="AG402" s="149"/>
      <c r="AH402" s="149"/>
      <c r="AI402" s="149"/>
      <c r="AJ402" s="156"/>
      <c r="AK402" s="147"/>
      <c r="AL402" s="149"/>
      <c r="AM402" s="149"/>
      <c r="AN402" s="149"/>
      <c r="AO402" s="149"/>
      <c r="AP402" s="149"/>
      <c r="AQ402" s="157"/>
      <c r="AR402" s="149"/>
      <c r="AS402" s="158"/>
    </row>
    <row r="403" ht="15.75" customHeight="1">
      <c r="A403" s="140"/>
      <c r="B403" s="141"/>
      <c r="C403" s="142"/>
      <c r="D403" s="143"/>
      <c r="E403" s="144"/>
      <c r="F403" s="145"/>
      <c r="G403" s="146"/>
      <c r="H403" s="146"/>
      <c r="I403" s="146"/>
      <c r="J403" s="147"/>
      <c r="K403" s="140"/>
      <c r="L403" s="148"/>
      <c r="M403" s="149"/>
      <c r="N403" s="150"/>
      <c r="O403" s="149"/>
      <c r="P403" s="149"/>
      <c r="Q403" s="149"/>
      <c r="R403" s="149"/>
      <c r="S403" s="149"/>
      <c r="T403" s="149"/>
      <c r="U403" s="149"/>
      <c r="V403" s="149"/>
      <c r="W403" s="151"/>
      <c r="X403" s="149"/>
      <c r="Y403" s="152"/>
      <c r="Z403" s="153"/>
      <c r="AA403" s="149"/>
      <c r="AB403" s="154"/>
      <c r="AC403" s="155"/>
      <c r="AD403" s="155"/>
      <c r="AE403" s="155"/>
      <c r="AF403" s="155"/>
      <c r="AG403" s="149"/>
      <c r="AH403" s="149"/>
      <c r="AI403" s="149"/>
      <c r="AJ403" s="156"/>
      <c r="AK403" s="147"/>
      <c r="AL403" s="149"/>
      <c r="AM403" s="149"/>
      <c r="AN403" s="149"/>
      <c r="AO403" s="149"/>
      <c r="AP403" s="149"/>
      <c r="AQ403" s="157"/>
      <c r="AR403" s="149"/>
      <c r="AS403" s="158"/>
    </row>
    <row r="404" ht="15.75" customHeight="1">
      <c r="A404" s="140"/>
      <c r="B404" s="141"/>
      <c r="C404" s="142"/>
      <c r="D404" s="143"/>
      <c r="E404" s="144"/>
      <c r="F404" s="145"/>
      <c r="G404" s="146"/>
      <c r="H404" s="146"/>
      <c r="I404" s="146"/>
      <c r="J404" s="147"/>
      <c r="K404" s="140"/>
      <c r="L404" s="148"/>
      <c r="M404" s="149"/>
      <c r="N404" s="150"/>
      <c r="O404" s="149"/>
      <c r="P404" s="149"/>
      <c r="Q404" s="149"/>
      <c r="R404" s="149"/>
      <c r="S404" s="149"/>
      <c r="T404" s="149"/>
      <c r="U404" s="149"/>
      <c r="V404" s="149"/>
      <c r="W404" s="151"/>
      <c r="X404" s="149"/>
      <c r="Y404" s="152"/>
      <c r="Z404" s="153"/>
      <c r="AA404" s="149"/>
      <c r="AB404" s="154"/>
      <c r="AC404" s="155"/>
      <c r="AD404" s="155"/>
      <c r="AE404" s="155"/>
      <c r="AF404" s="155"/>
      <c r="AG404" s="149"/>
      <c r="AH404" s="149"/>
      <c r="AI404" s="149"/>
      <c r="AJ404" s="156"/>
      <c r="AK404" s="147"/>
      <c r="AL404" s="149"/>
      <c r="AM404" s="149"/>
      <c r="AN404" s="149"/>
      <c r="AO404" s="149"/>
      <c r="AP404" s="149"/>
      <c r="AQ404" s="157"/>
      <c r="AR404" s="149"/>
      <c r="AS404" s="158"/>
    </row>
    <row r="405" ht="15.75" customHeight="1">
      <c r="A405" s="140"/>
      <c r="B405" s="141"/>
      <c r="C405" s="142"/>
      <c r="D405" s="143"/>
      <c r="E405" s="144"/>
      <c r="F405" s="145"/>
      <c r="G405" s="146"/>
      <c r="H405" s="146"/>
      <c r="I405" s="146"/>
      <c r="J405" s="147"/>
      <c r="K405" s="140"/>
      <c r="L405" s="148"/>
      <c r="M405" s="149"/>
      <c r="N405" s="150"/>
      <c r="O405" s="149"/>
      <c r="P405" s="149"/>
      <c r="Q405" s="149"/>
      <c r="R405" s="149"/>
      <c r="S405" s="149"/>
      <c r="T405" s="149"/>
      <c r="U405" s="149"/>
      <c r="V405" s="149"/>
      <c r="W405" s="151"/>
      <c r="X405" s="149"/>
      <c r="Y405" s="152"/>
      <c r="Z405" s="153"/>
      <c r="AA405" s="149"/>
      <c r="AB405" s="154"/>
      <c r="AC405" s="155"/>
      <c r="AD405" s="155"/>
      <c r="AE405" s="155"/>
      <c r="AF405" s="155"/>
      <c r="AG405" s="149"/>
      <c r="AH405" s="149"/>
      <c r="AI405" s="149"/>
      <c r="AJ405" s="156"/>
      <c r="AK405" s="147"/>
      <c r="AL405" s="149"/>
      <c r="AM405" s="149"/>
      <c r="AN405" s="149"/>
      <c r="AO405" s="149"/>
      <c r="AP405" s="149"/>
      <c r="AQ405" s="157"/>
      <c r="AR405" s="149"/>
      <c r="AS405" s="158"/>
    </row>
    <row r="406" ht="15.75" customHeight="1">
      <c r="A406" s="140"/>
      <c r="B406" s="141"/>
      <c r="C406" s="142"/>
      <c r="D406" s="143"/>
      <c r="E406" s="144"/>
      <c r="F406" s="145"/>
      <c r="G406" s="146"/>
      <c r="H406" s="146"/>
      <c r="I406" s="146"/>
      <c r="J406" s="147"/>
      <c r="K406" s="140"/>
      <c r="L406" s="148"/>
      <c r="M406" s="149"/>
      <c r="N406" s="150"/>
      <c r="O406" s="149"/>
      <c r="P406" s="149"/>
      <c r="Q406" s="149"/>
      <c r="R406" s="149"/>
      <c r="S406" s="149"/>
      <c r="T406" s="149"/>
      <c r="U406" s="149"/>
      <c r="V406" s="149"/>
      <c r="W406" s="151"/>
      <c r="X406" s="149"/>
      <c r="Y406" s="152"/>
      <c r="Z406" s="153"/>
      <c r="AA406" s="149"/>
      <c r="AB406" s="154"/>
      <c r="AC406" s="155"/>
      <c r="AD406" s="155"/>
      <c r="AE406" s="155"/>
      <c r="AF406" s="155"/>
      <c r="AG406" s="149"/>
      <c r="AH406" s="149"/>
      <c r="AI406" s="149"/>
      <c r="AJ406" s="156"/>
      <c r="AK406" s="147"/>
      <c r="AL406" s="149"/>
      <c r="AM406" s="149"/>
      <c r="AN406" s="149"/>
      <c r="AO406" s="149"/>
      <c r="AP406" s="149"/>
      <c r="AQ406" s="157"/>
      <c r="AR406" s="149"/>
      <c r="AS406" s="158"/>
    </row>
    <row r="407" ht="15.75" customHeight="1">
      <c r="A407" s="140"/>
      <c r="B407" s="141"/>
      <c r="C407" s="142"/>
      <c r="D407" s="143"/>
      <c r="E407" s="144"/>
      <c r="F407" s="145"/>
      <c r="G407" s="146"/>
      <c r="H407" s="146"/>
      <c r="I407" s="146"/>
      <c r="J407" s="147"/>
      <c r="K407" s="140"/>
      <c r="L407" s="148"/>
      <c r="M407" s="149"/>
      <c r="N407" s="150"/>
      <c r="O407" s="149"/>
      <c r="P407" s="149"/>
      <c r="Q407" s="149"/>
      <c r="R407" s="149"/>
      <c r="S407" s="149"/>
      <c r="T407" s="149"/>
      <c r="U407" s="149"/>
      <c r="V407" s="149"/>
      <c r="W407" s="151"/>
      <c r="X407" s="149"/>
      <c r="Y407" s="152"/>
      <c r="Z407" s="153"/>
      <c r="AA407" s="149"/>
      <c r="AB407" s="154"/>
      <c r="AC407" s="155"/>
      <c r="AD407" s="155"/>
      <c r="AE407" s="155"/>
      <c r="AF407" s="155"/>
      <c r="AG407" s="149"/>
      <c r="AH407" s="149"/>
      <c r="AI407" s="149"/>
      <c r="AJ407" s="156"/>
      <c r="AK407" s="147"/>
      <c r="AL407" s="149"/>
      <c r="AM407" s="149"/>
      <c r="AN407" s="149"/>
      <c r="AO407" s="149"/>
      <c r="AP407" s="149"/>
      <c r="AQ407" s="157"/>
      <c r="AR407" s="149"/>
      <c r="AS407" s="158"/>
    </row>
    <row r="408" ht="15.75" customHeight="1">
      <c r="A408" s="140"/>
      <c r="B408" s="141"/>
      <c r="C408" s="142"/>
      <c r="D408" s="143"/>
      <c r="E408" s="144"/>
      <c r="F408" s="145"/>
      <c r="G408" s="146"/>
      <c r="H408" s="146"/>
      <c r="I408" s="146"/>
      <c r="J408" s="147"/>
      <c r="K408" s="140"/>
      <c r="L408" s="148"/>
      <c r="M408" s="149"/>
      <c r="N408" s="150"/>
      <c r="O408" s="149"/>
      <c r="P408" s="149"/>
      <c r="Q408" s="149"/>
      <c r="R408" s="149"/>
      <c r="S408" s="149"/>
      <c r="T408" s="149"/>
      <c r="U408" s="149"/>
      <c r="V408" s="149"/>
      <c r="W408" s="151"/>
      <c r="X408" s="149"/>
      <c r="Y408" s="152"/>
      <c r="Z408" s="153"/>
      <c r="AA408" s="149"/>
      <c r="AB408" s="154"/>
      <c r="AC408" s="155"/>
      <c r="AD408" s="155"/>
      <c r="AE408" s="155"/>
      <c r="AF408" s="155"/>
      <c r="AG408" s="149"/>
      <c r="AH408" s="149"/>
      <c r="AI408" s="149"/>
      <c r="AJ408" s="156"/>
      <c r="AK408" s="147"/>
      <c r="AL408" s="149"/>
      <c r="AM408" s="149"/>
      <c r="AN408" s="149"/>
      <c r="AO408" s="149"/>
      <c r="AP408" s="149"/>
      <c r="AQ408" s="157"/>
      <c r="AR408" s="149"/>
      <c r="AS408" s="158"/>
    </row>
    <row r="409" ht="15.75" customHeight="1">
      <c r="A409" s="140"/>
      <c r="B409" s="141"/>
      <c r="C409" s="142"/>
      <c r="D409" s="143"/>
      <c r="E409" s="144"/>
      <c r="F409" s="145"/>
      <c r="G409" s="146"/>
      <c r="H409" s="146"/>
      <c r="I409" s="146"/>
      <c r="J409" s="147"/>
      <c r="K409" s="140"/>
      <c r="L409" s="148"/>
      <c r="M409" s="149"/>
      <c r="N409" s="150"/>
      <c r="O409" s="149"/>
      <c r="P409" s="149"/>
      <c r="Q409" s="149"/>
      <c r="R409" s="149"/>
      <c r="S409" s="149"/>
      <c r="T409" s="149"/>
      <c r="U409" s="149"/>
      <c r="V409" s="149"/>
      <c r="W409" s="151"/>
      <c r="X409" s="149"/>
      <c r="Y409" s="152"/>
      <c r="Z409" s="153"/>
      <c r="AA409" s="149"/>
      <c r="AB409" s="154"/>
      <c r="AC409" s="155"/>
      <c r="AD409" s="155"/>
      <c r="AE409" s="155"/>
      <c r="AF409" s="155"/>
      <c r="AG409" s="149"/>
      <c r="AH409" s="149"/>
      <c r="AI409" s="149"/>
      <c r="AJ409" s="156"/>
      <c r="AK409" s="147"/>
      <c r="AL409" s="149"/>
      <c r="AM409" s="149"/>
      <c r="AN409" s="149"/>
      <c r="AO409" s="149"/>
      <c r="AP409" s="149"/>
      <c r="AQ409" s="157"/>
      <c r="AR409" s="149"/>
      <c r="AS409" s="158"/>
    </row>
    <row r="410" ht="15.75" customHeight="1">
      <c r="A410" s="140"/>
      <c r="B410" s="141"/>
      <c r="C410" s="142"/>
      <c r="D410" s="143"/>
      <c r="E410" s="144"/>
      <c r="F410" s="145"/>
      <c r="G410" s="146"/>
      <c r="H410" s="146"/>
      <c r="I410" s="146"/>
      <c r="J410" s="147"/>
      <c r="K410" s="140"/>
      <c r="L410" s="148"/>
      <c r="M410" s="149"/>
      <c r="N410" s="150"/>
      <c r="O410" s="149"/>
      <c r="P410" s="149"/>
      <c r="Q410" s="149"/>
      <c r="R410" s="149"/>
      <c r="S410" s="149"/>
      <c r="T410" s="149"/>
      <c r="U410" s="149"/>
      <c r="V410" s="149"/>
      <c r="W410" s="151"/>
      <c r="X410" s="149"/>
      <c r="Y410" s="152"/>
      <c r="Z410" s="153"/>
      <c r="AA410" s="149"/>
      <c r="AB410" s="154"/>
      <c r="AC410" s="155"/>
      <c r="AD410" s="155"/>
      <c r="AE410" s="155"/>
      <c r="AF410" s="155"/>
      <c r="AG410" s="149"/>
      <c r="AH410" s="149"/>
      <c r="AI410" s="149"/>
      <c r="AJ410" s="156"/>
      <c r="AK410" s="147"/>
      <c r="AL410" s="149"/>
      <c r="AM410" s="149"/>
      <c r="AN410" s="149"/>
      <c r="AO410" s="149"/>
      <c r="AP410" s="149"/>
      <c r="AQ410" s="157"/>
      <c r="AR410" s="149"/>
      <c r="AS410" s="158"/>
    </row>
    <row r="411" ht="15.75" customHeight="1">
      <c r="A411" s="140"/>
      <c r="B411" s="141"/>
      <c r="C411" s="142"/>
      <c r="D411" s="143"/>
      <c r="E411" s="144"/>
      <c r="F411" s="145"/>
      <c r="G411" s="146"/>
      <c r="H411" s="146"/>
      <c r="I411" s="146"/>
      <c r="J411" s="147"/>
      <c r="K411" s="140"/>
      <c r="L411" s="148"/>
      <c r="M411" s="149"/>
      <c r="N411" s="150"/>
      <c r="O411" s="149"/>
      <c r="P411" s="149"/>
      <c r="Q411" s="149"/>
      <c r="R411" s="149"/>
      <c r="S411" s="149"/>
      <c r="T411" s="149"/>
      <c r="U411" s="149"/>
      <c r="V411" s="149"/>
      <c r="W411" s="151"/>
      <c r="X411" s="149"/>
      <c r="Y411" s="152"/>
      <c r="Z411" s="153"/>
      <c r="AA411" s="149"/>
      <c r="AB411" s="154"/>
      <c r="AC411" s="155"/>
      <c r="AD411" s="155"/>
      <c r="AE411" s="155"/>
      <c r="AF411" s="155"/>
      <c r="AG411" s="149"/>
      <c r="AH411" s="149"/>
      <c r="AI411" s="149"/>
      <c r="AJ411" s="156"/>
      <c r="AK411" s="147"/>
      <c r="AL411" s="149"/>
      <c r="AM411" s="149"/>
      <c r="AN411" s="149"/>
      <c r="AO411" s="149"/>
      <c r="AP411" s="149"/>
      <c r="AQ411" s="157"/>
      <c r="AR411" s="149"/>
      <c r="AS411" s="158"/>
    </row>
    <row r="412" ht="15.75" customHeight="1">
      <c r="A412" s="140"/>
      <c r="B412" s="141"/>
      <c r="C412" s="142"/>
      <c r="D412" s="143"/>
      <c r="E412" s="144"/>
      <c r="F412" s="145"/>
      <c r="G412" s="146"/>
      <c r="H412" s="146"/>
      <c r="I412" s="146"/>
      <c r="J412" s="147"/>
      <c r="K412" s="140"/>
      <c r="L412" s="148"/>
      <c r="M412" s="149"/>
      <c r="N412" s="150"/>
      <c r="O412" s="149"/>
      <c r="P412" s="149"/>
      <c r="Q412" s="149"/>
      <c r="R412" s="149"/>
      <c r="S412" s="149"/>
      <c r="T412" s="149"/>
      <c r="U412" s="149"/>
      <c r="V412" s="149"/>
      <c r="W412" s="151"/>
      <c r="X412" s="149"/>
      <c r="Y412" s="152"/>
      <c r="Z412" s="153"/>
      <c r="AA412" s="149"/>
      <c r="AB412" s="154"/>
      <c r="AC412" s="155"/>
      <c r="AD412" s="155"/>
      <c r="AE412" s="155"/>
      <c r="AF412" s="155"/>
      <c r="AG412" s="149"/>
      <c r="AH412" s="149"/>
      <c r="AI412" s="149"/>
      <c r="AJ412" s="156"/>
      <c r="AK412" s="147"/>
      <c r="AL412" s="149"/>
      <c r="AM412" s="149"/>
      <c r="AN412" s="149"/>
      <c r="AO412" s="149"/>
      <c r="AP412" s="149"/>
      <c r="AQ412" s="157"/>
      <c r="AR412" s="149"/>
      <c r="AS412" s="158"/>
    </row>
    <row r="413" ht="15.75" customHeight="1">
      <c r="A413" s="140"/>
      <c r="B413" s="141"/>
      <c r="C413" s="142"/>
      <c r="D413" s="143"/>
      <c r="E413" s="144"/>
      <c r="F413" s="145"/>
      <c r="G413" s="146"/>
      <c r="H413" s="146"/>
      <c r="I413" s="146"/>
      <c r="J413" s="147"/>
      <c r="K413" s="140"/>
      <c r="L413" s="148"/>
      <c r="M413" s="149"/>
      <c r="N413" s="150"/>
      <c r="O413" s="149"/>
      <c r="P413" s="149"/>
      <c r="Q413" s="149"/>
      <c r="R413" s="149"/>
      <c r="S413" s="149"/>
      <c r="T413" s="149"/>
      <c r="U413" s="149"/>
      <c r="V413" s="149"/>
      <c r="W413" s="151"/>
      <c r="X413" s="149"/>
      <c r="Y413" s="152"/>
      <c r="Z413" s="153"/>
      <c r="AA413" s="149"/>
      <c r="AB413" s="154"/>
      <c r="AC413" s="155"/>
      <c r="AD413" s="155"/>
      <c r="AE413" s="155"/>
      <c r="AF413" s="155"/>
      <c r="AG413" s="149"/>
      <c r="AH413" s="149"/>
      <c r="AI413" s="149"/>
      <c r="AJ413" s="156"/>
      <c r="AK413" s="147"/>
      <c r="AL413" s="149"/>
      <c r="AM413" s="149"/>
      <c r="AN413" s="149"/>
      <c r="AO413" s="149"/>
      <c r="AP413" s="149"/>
      <c r="AQ413" s="157"/>
      <c r="AR413" s="149"/>
      <c r="AS413" s="158"/>
    </row>
    <row r="414" ht="15.75" customHeight="1">
      <c r="A414" s="140"/>
      <c r="B414" s="141"/>
      <c r="C414" s="142"/>
      <c r="D414" s="143"/>
      <c r="E414" s="144"/>
      <c r="F414" s="145"/>
      <c r="G414" s="146"/>
      <c r="H414" s="146"/>
      <c r="I414" s="146"/>
      <c r="J414" s="147"/>
      <c r="K414" s="140"/>
      <c r="L414" s="148"/>
      <c r="M414" s="149"/>
      <c r="N414" s="150"/>
      <c r="O414" s="149"/>
      <c r="P414" s="149"/>
      <c r="Q414" s="149"/>
      <c r="R414" s="149"/>
      <c r="S414" s="149"/>
      <c r="T414" s="149"/>
      <c r="U414" s="149"/>
      <c r="V414" s="149"/>
      <c r="W414" s="151"/>
      <c r="X414" s="149"/>
      <c r="Y414" s="152"/>
      <c r="Z414" s="153"/>
      <c r="AA414" s="149"/>
      <c r="AB414" s="154"/>
      <c r="AC414" s="155"/>
      <c r="AD414" s="155"/>
      <c r="AE414" s="155"/>
      <c r="AF414" s="155"/>
      <c r="AG414" s="149"/>
      <c r="AH414" s="149"/>
      <c r="AI414" s="149"/>
      <c r="AJ414" s="156"/>
      <c r="AK414" s="147"/>
      <c r="AL414" s="149"/>
      <c r="AM414" s="149"/>
      <c r="AN414" s="149"/>
      <c r="AO414" s="149"/>
      <c r="AP414" s="149"/>
      <c r="AQ414" s="157"/>
      <c r="AR414" s="149"/>
      <c r="AS414" s="158"/>
    </row>
    <row r="415" ht="15.75" customHeight="1">
      <c r="A415" s="140"/>
      <c r="B415" s="141"/>
      <c r="C415" s="142"/>
      <c r="D415" s="143"/>
      <c r="E415" s="144"/>
      <c r="F415" s="145"/>
      <c r="G415" s="146"/>
      <c r="H415" s="146"/>
      <c r="I415" s="146"/>
      <c r="J415" s="147"/>
      <c r="K415" s="140"/>
      <c r="L415" s="148"/>
      <c r="M415" s="149"/>
      <c r="N415" s="150"/>
      <c r="O415" s="149"/>
      <c r="P415" s="149"/>
      <c r="Q415" s="149"/>
      <c r="R415" s="149"/>
      <c r="S415" s="149"/>
      <c r="T415" s="149"/>
      <c r="U415" s="149"/>
      <c r="V415" s="149"/>
      <c r="W415" s="151"/>
      <c r="X415" s="149"/>
      <c r="Y415" s="152"/>
      <c r="Z415" s="153"/>
      <c r="AA415" s="149"/>
      <c r="AB415" s="154"/>
      <c r="AC415" s="155"/>
      <c r="AD415" s="155"/>
      <c r="AE415" s="155"/>
      <c r="AF415" s="155"/>
      <c r="AG415" s="149"/>
      <c r="AH415" s="149"/>
      <c r="AI415" s="149"/>
      <c r="AJ415" s="156"/>
      <c r="AK415" s="147"/>
      <c r="AL415" s="149"/>
      <c r="AM415" s="149"/>
      <c r="AN415" s="149"/>
      <c r="AO415" s="149"/>
      <c r="AP415" s="149"/>
      <c r="AQ415" s="157"/>
      <c r="AR415" s="149"/>
      <c r="AS415" s="158"/>
    </row>
    <row r="416" ht="15.75" customHeight="1">
      <c r="A416" s="140"/>
      <c r="B416" s="141"/>
      <c r="C416" s="142"/>
      <c r="D416" s="143"/>
      <c r="E416" s="144"/>
      <c r="F416" s="145"/>
      <c r="G416" s="146"/>
      <c r="H416" s="146"/>
      <c r="I416" s="146"/>
      <c r="J416" s="147"/>
      <c r="K416" s="140"/>
      <c r="L416" s="148"/>
      <c r="M416" s="149"/>
      <c r="N416" s="150"/>
      <c r="O416" s="149"/>
      <c r="P416" s="149"/>
      <c r="Q416" s="149"/>
      <c r="R416" s="149"/>
      <c r="S416" s="149"/>
      <c r="T416" s="149"/>
      <c r="U416" s="149"/>
      <c r="V416" s="149"/>
      <c r="W416" s="151"/>
      <c r="X416" s="149"/>
      <c r="Y416" s="152"/>
      <c r="Z416" s="153"/>
      <c r="AA416" s="149"/>
      <c r="AB416" s="154"/>
      <c r="AC416" s="155"/>
      <c r="AD416" s="155"/>
      <c r="AE416" s="155"/>
      <c r="AF416" s="155"/>
      <c r="AG416" s="149"/>
      <c r="AH416" s="149"/>
      <c r="AI416" s="149"/>
      <c r="AJ416" s="156"/>
      <c r="AK416" s="147"/>
      <c r="AL416" s="149"/>
      <c r="AM416" s="149"/>
      <c r="AN416" s="149"/>
      <c r="AO416" s="149"/>
      <c r="AP416" s="149"/>
      <c r="AQ416" s="157"/>
      <c r="AR416" s="149"/>
      <c r="AS416" s="158"/>
    </row>
    <row r="417" ht="15.75" customHeight="1">
      <c r="A417" s="140"/>
      <c r="B417" s="141"/>
      <c r="C417" s="142"/>
      <c r="D417" s="143"/>
      <c r="E417" s="144"/>
      <c r="F417" s="145"/>
      <c r="G417" s="146"/>
      <c r="H417" s="146"/>
      <c r="I417" s="146"/>
      <c r="J417" s="147"/>
      <c r="K417" s="140"/>
      <c r="L417" s="148"/>
      <c r="M417" s="149"/>
      <c r="N417" s="150"/>
      <c r="O417" s="149"/>
      <c r="P417" s="149"/>
      <c r="Q417" s="149"/>
      <c r="R417" s="149"/>
      <c r="S417" s="149"/>
      <c r="T417" s="149"/>
      <c r="U417" s="149"/>
      <c r="V417" s="149"/>
      <c r="W417" s="151"/>
      <c r="X417" s="149"/>
      <c r="Y417" s="152"/>
      <c r="Z417" s="153"/>
      <c r="AA417" s="149"/>
      <c r="AB417" s="154"/>
      <c r="AC417" s="155"/>
      <c r="AD417" s="155"/>
      <c r="AE417" s="155"/>
      <c r="AF417" s="155"/>
      <c r="AG417" s="149"/>
      <c r="AH417" s="149"/>
      <c r="AI417" s="149"/>
      <c r="AJ417" s="156"/>
      <c r="AK417" s="147"/>
      <c r="AL417" s="149"/>
      <c r="AM417" s="149"/>
      <c r="AN417" s="149"/>
      <c r="AO417" s="149"/>
      <c r="AP417" s="149"/>
      <c r="AQ417" s="157"/>
      <c r="AR417" s="149"/>
      <c r="AS417" s="158"/>
    </row>
    <row r="418" ht="15.75" customHeight="1">
      <c r="A418" s="140"/>
      <c r="B418" s="141"/>
      <c r="C418" s="142"/>
      <c r="D418" s="143"/>
      <c r="E418" s="144"/>
      <c r="F418" s="145"/>
      <c r="G418" s="146"/>
      <c r="H418" s="146"/>
      <c r="I418" s="146"/>
      <c r="J418" s="147"/>
      <c r="K418" s="140"/>
      <c r="L418" s="148"/>
      <c r="M418" s="149"/>
      <c r="N418" s="150"/>
      <c r="O418" s="149"/>
      <c r="P418" s="149"/>
      <c r="Q418" s="149"/>
      <c r="R418" s="149"/>
      <c r="S418" s="149"/>
      <c r="T418" s="149"/>
      <c r="U418" s="149"/>
      <c r="V418" s="149"/>
      <c r="W418" s="151"/>
      <c r="X418" s="149"/>
      <c r="Y418" s="152"/>
      <c r="Z418" s="153"/>
      <c r="AA418" s="149"/>
      <c r="AB418" s="154"/>
      <c r="AC418" s="155"/>
      <c r="AD418" s="155"/>
      <c r="AE418" s="155"/>
      <c r="AF418" s="155"/>
      <c r="AG418" s="149"/>
      <c r="AH418" s="149"/>
      <c r="AI418" s="149"/>
      <c r="AJ418" s="156"/>
      <c r="AK418" s="147"/>
      <c r="AL418" s="149"/>
      <c r="AM418" s="149"/>
      <c r="AN418" s="149"/>
      <c r="AO418" s="149"/>
      <c r="AP418" s="149"/>
      <c r="AQ418" s="157"/>
      <c r="AR418" s="149"/>
      <c r="AS418" s="158"/>
    </row>
    <row r="419" ht="15.75" customHeight="1">
      <c r="A419" s="140"/>
      <c r="B419" s="141"/>
      <c r="C419" s="142"/>
      <c r="D419" s="143"/>
      <c r="E419" s="144"/>
      <c r="F419" s="145"/>
      <c r="G419" s="146"/>
      <c r="H419" s="146"/>
      <c r="I419" s="146"/>
      <c r="J419" s="147"/>
      <c r="K419" s="140"/>
      <c r="L419" s="148"/>
      <c r="M419" s="149"/>
      <c r="N419" s="150"/>
      <c r="O419" s="149"/>
      <c r="P419" s="149"/>
      <c r="Q419" s="149"/>
      <c r="R419" s="149"/>
      <c r="S419" s="149"/>
      <c r="T419" s="149"/>
      <c r="U419" s="149"/>
      <c r="V419" s="149"/>
      <c r="W419" s="151"/>
      <c r="X419" s="149"/>
      <c r="Y419" s="152"/>
      <c r="Z419" s="153"/>
      <c r="AA419" s="149"/>
      <c r="AB419" s="154"/>
      <c r="AC419" s="155"/>
      <c r="AD419" s="155"/>
      <c r="AE419" s="155"/>
      <c r="AF419" s="155"/>
      <c r="AG419" s="149"/>
      <c r="AH419" s="149"/>
      <c r="AI419" s="149"/>
      <c r="AJ419" s="156"/>
      <c r="AK419" s="147"/>
      <c r="AL419" s="149"/>
      <c r="AM419" s="149"/>
      <c r="AN419" s="149"/>
      <c r="AO419" s="149"/>
      <c r="AP419" s="149"/>
      <c r="AQ419" s="157"/>
      <c r="AR419" s="149"/>
      <c r="AS419" s="158"/>
    </row>
    <row r="420" ht="15.75" customHeight="1">
      <c r="A420" s="140"/>
      <c r="B420" s="141"/>
      <c r="C420" s="142"/>
      <c r="D420" s="143"/>
      <c r="E420" s="144"/>
      <c r="F420" s="145"/>
      <c r="G420" s="146"/>
      <c r="H420" s="146"/>
      <c r="I420" s="146"/>
      <c r="J420" s="147"/>
      <c r="K420" s="140"/>
      <c r="L420" s="148"/>
      <c r="M420" s="149"/>
      <c r="N420" s="150"/>
      <c r="O420" s="149"/>
      <c r="P420" s="149"/>
      <c r="Q420" s="149"/>
      <c r="R420" s="149"/>
      <c r="S420" s="149"/>
      <c r="T420" s="149"/>
      <c r="U420" s="149"/>
      <c r="V420" s="149"/>
      <c r="W420" s="151"/>
      <c r="X420" s="149"/>
      <c r="Y420" s="152"/>
      <c r="Z420" s="153"/>
      <c r="AA420" s="149"/>
      <c r="AB420" s="154"/>
      <c r="AC420" s="155"/>
      <c r="AD420" s="155"/>
      <c r="AE420" s="155"/>
      <c r="AF420" s="155"/>
      <c r="AG420" s="149"/>
      <c r="AH420" s="149"/>
      <c r="AI420" s="149"/>
      <c r="AJ420" s="156"/>
      <c r="AK420" s="147"/>
      <c r="AL420" s="149"/>
      <c r="AM420" s="149"/>
      <c r="AN420" s="149"/>
      <c r="AO420" s="149"/>
      <c r="AP420" s="149"/>
      <c r="AQ420" s="157"/>
      <c r="AR420" s="149"/>
      <c r="AS420" s="158"/>
    </row>
    <row r="421" ht="15.75" customHeight="1">
      <c r="A421" s="140"/>
      <c r="B421" s="141"/>
      <c r="C421" s="142"/>
      <c r="D421" s="143"/>
      <c r="E421" s="144"/>
      <c r="F421" s="145"/>
      <c r="G421" s="146"/>
      <c r="H421" s="146"/>
      <c r="I421" s="146"/>
      <c r="J421" s="147"/>
      <c r="K421" s="140"/>
      <c r="L421" s="148"/>
      <c r="M421" s="149"/>
      <c r="N421" s="150"/>
      <c r="O421" s="149"/>
      <c r="P421" s="149"/>
      <c r="Q421" s="149"/>
      <c r="R421" s="149"/>
      <c r="S421" s="149"/>
      <c r="T421" s="149"/>
      <c r="U421" s="149"/>
      <c r="V421" s="149"/>
      <c r="W421" s="151"/>
      <c r="X421" s="149"/>
      <c r="Y421" s="152"/>
      <c r="Z421" s="153"/>
      <c r="AA421" s="149"/>
      <c r="AB421" s="154"/>
      <c r="AC421" s="155"/>
      <c r="AD421" s="155"/>
      <c r="AE421" s="155"/>
      <c r="AF421" s="155"/>
      <c r="AG421" s="149"/>
      <c r="AH421" s="149"/>
      <c r="AI421" s="149"/>
      <c r="AJ421" s="156"/>
      <c r="AK421" s="147"/>
      <c r="AL421" s="149"/>
      <c r="AM421" s="149"/>
      <c r="AN421" s="149"/>
      <c r="AO421" s="149"/>
      <c r="AP421" s="149"/>
      <c r="AQ421" s="157"/>
      <c r="AR421" s="149"/>
      <c r="AS421" s="158"/>
    </row>
    <row r="422" ht="15.75" customHeight="1">
      <c r="A422" s="140"/>
      <c r="B422" s="141"/>
      <c r="C422" s="142"/>
      <c r="D422" s="143"/>
      <c r="E422" s="144"/>
      <c r="F422" s="145"/>
      <c r="G422" s="146"/>
      <c r="H422" s="146"/>
      <c r="I422" s="146"/>
      <c r="J422" s="147"/>
      <c r="K422" s="140"/>
      <c r="L422" s="148"/>
      <c r="M422" s="149"/>
      <c r="N422" s="150"/>
      <c r="O422" s="149"/>
      <c r="P422" s="149"/>
      <c r="Q422" s="149"/>
      <c r="R422" s="149"/>
      <c r="S422" s="149"/>
      <c r="T422" s="149"/>
      <c r="U422" s="149"/>
      <c r="V422" s="149"/>
      <c r="W422" s="151"/>
      <c r="X422" s="149"/>
      <c r="Y422" s="152"/>
      <c r="Z422" s="153"/>
      <c r="AA422" s="149"/>
      <c r="AB422" s="154"/>
      <c r="AC422" s="155"/>
      <c r="AD422" s="155"/>
      <c r="AE422" s="155"/>
      <c r="AF422" s="155"/>
      <c r="AG422" s="149"/>
      <c r="AH422" s="149"/>
      <c r="AI422" s="149"/>
      <c r="AJ422" s="156"/>
      <c r="AK422" s="147"/>
      <c r="AL422" s="149"/>
      <c r="AM422" s="149"/>
      <c r="AN422" s="149"/>
      <c r="AO422" s="149"/>
      <c r="AP422" s="149"/>
      <c r="AQ422" s="157"/>
      <c r="AR422" s="149"/>
      <c r="AS422" s="158"/>
    </row>
    <row r="423" ht="15.75" customHeight="1">
      <c r="A423" s="140"/>
      <c r="B423" s="141"/>
      <c r="C423" s="142"/>
      <c r="D423" s="143"/>
      <c r="E423" s="144"/>
      <c r="F423" s="145"/>
      <c r="G423" s="146"/>
      <c r="H423" s="146"/>
      <c r="I423" s="146"/>
      <c r="J423" s="147"/>
      <c r="K423" s="140"/>
      <c r="L423" s="148"/>
      <c r="M423" s="149"/>
      <c r="N423" s="150"/>
      <c r="O423" s="149"/>
      <c r="P423" s="149"/>
      <c r="Q423" s="149"/>
      <c r="R423" s="149"/>
      <c r="S423" s="149"/>
      <c r="T423" s="149"/>
      <c r="U423" s="149"/>
      <c r="V423" s="149"/>
      <c r="W423" s="151"/>
      <c r="X423" s="149"/>
      <c r="Y423" s="152"/>
      <c r="Z423" s="153"/>
      <c r="AA423" s="149"/>
      <c r="AB423" s="154"/>
      <c r="AC423" s="155"/>
      <c r="AD423" s="155"/>
      <c r="AE423" s="155"/>
      <c r="AF423" s="155"/>
      <c r="AG423" s="149"/>
      <c r="AH423" s="149"/>
      <c r="AI423" s="149"/>
      <c r="AJ423" s="156"/>
      <c r="AK423" s="147"/>
      <c r="AL423" s="149"/>
      <c r="AM423" s="149"/>
      <c r="AN423" s="149"/>
      <c r="AO423" s="149"/>
      <c r="AP423" s="149"/>
      <c r="AQ423" s="157"/>
      <c r="AR423" s="149"/>
      <c r="AS423" s="158"/>
    </row>
    <row r="424" ht="15.75" customHeight="1">
      <c r="A424" s="140"/>
      <c r="B424" s="141"/>
      <c r="C424" s="142"/>
      <c r="D424" s="143"/>
      <c r="E424" s="144"/>
      <c r="F424" s="145"/>
      <c r="G424" s="146"/>
      <c r="H424" s="146"/>
      <c r="I424" s="146"/>
      <c r="J424" s="147"/>
      <c r="K424" s="140"/>
      <c r="L424" s="148"/>
      <c r="M424" s="149"/>
      <c r="N424" s="150"/>
      <c r="O424" s="149"/>
      <c r="P424" s="149"/>
      <c r="Q424" s="149"/>
      <c r="R424" s="149"/>
      <c r="S424" s="149"/>
      <c r="T424" s="149"/>
      <c r="U424" s="149"/>
      <c r="V424" s="149"/>
      <c r="W424" s="151"/>
      <c r="X424" s="149"/>
      <c r="Y424" s="152"/>
      <c r="Z424" s="153"/>
      <c r="AA424" s="149"/>
      <c r="AB424" s="154"/>
      <c r="AC424" s="155"/>
      <c r="AD424" s="155"/>
      <c r="AE424" s="155"/>
      <c r="AF424" s="155"/>
      <c r="AG424" s="149"/>
      <c r="AH424" s="149"/>
      <c r="AI424" s="149"/>
      <c r="AJ424" s="156"/>
      <c r="AK424" s="147"/>
      <c r="AL424" s="149"/>
      <c r="AM424" s="149"/>
      <c r="AN424" s="149"/>
      <c r="AO424" s="149"/>
      <c r="AP424" s="149"/>
      <c r="AQ424" s="157"/>
      <c r="AR424" s="149"/>
      <c r="AS424" s="158"/>
    </row>
    <row r="425" ht="15.75" customHeight="1">
      <c r="A425" s="140"/>
      <c r="B425" s="141"/>
      <c r="C425" s="142"/>
      <c r="D425" s="143"/>
      <c r="E425" s="144"/>
      <c r="F425" s="145"/>
      <c r="G425" s="146"/>
      <c r="H425" s="146"/>
      <c r="I425" s="146"/>
      <c r="J425" s="147"/>
      <c r="K425" s="140"/>
      <c r="L425" s="148"/>
      <c r="M425" s="149"/>
      <c r="N425" s="150"/>
      <c r="O425" s="149"/>
      <c r="P425" s="149"/>
      <c r="Q425" s="149"/>
      <c r="R425" s="149"/>
      <c r="S425" s="149"/>
      <c r="T425" s="149"/>
      <c r="U425" s="149"/>
      <c r="V425" s="149"/>
      <c r="W425" s="151"/>
      <c r="X425" s="149"/>
      <c r="Y425" s="152"/>
      <c r="Z425" s="153"/>
      <c r="AA425" s="149"/>
      <c r="AB425" s="154"/>
      <c r="AC425" s="155"/>
      <c r="AD425" s="155"/>
      <c r="AE425" s="155"/>
      <c r="AF425" s="155"/>
      <c r="AG425" s="149"/>
      <c r="AH425" s="149"/>
      <c r="AI425" s="149"/>
      <c r="AJ425" s="156"/>
      <c r="AK425" s="147"/>
      <c r="AL425" s="149"/>
      <c r="AM425" s="149"/>
      <c r="AN425" s="149"/>
      <c r="AO425" s="149"/>
      <c r="AP425" s="149"/>
      <c r="AQ425" s="157"/>
      <c r="AR425" s="149"/>
      <c r="AS425" s="158"/>
    </row>
    <row r="426" ht="15.75" customHeight="1">
      <c r="A426" s="140"/>
      <c r="B426" s="141"/>
      <c r="C426" s="142"/>
      <c r="D426" s="143"/>
      <c r="E426" s="144"/>
      <c r="F426" s="145"/>
      <c r="G426" s="146"/>
      <c r="H426" s="146"/>
      <c r="I426" s="146"/>
      <c r="J426" s="147"/>
      <c r="K426" s="140"/>
      <c r="L426" s="148"/>
      <c r="M426" s="149"/>
      <c r="N426" s="150"/>
      <c r="O426" s="149"/>
      <c r="P426" s="149"/>
      <c r="Q426" s="149"/>
      <c r="R426" s="149"/>
      <c r="S426" s="149"/>
      <c r="T426" s="149"/>
      <c r="U426" s="149"/>
      <c r="V426" s="149"/>
      <c r="W426" s="151"/>
      <c r="X426" s="149"/>
      <c r="Y426" s="152"/>
      <c r="Z426" s="153"/>
      <c r="AA426" s="149"/>
      <c r="AB426" s="154"/>
      <c r="AC426" s="155"/>
      <c r="AD426" s="155"/>
      <c r="AE426" s="155"/>
      <c r="AF426" s="155"/>
      <c r="AG426" s="149"/>
      <c r="AH426" s="149"/>
      <c r="AI426" s="149"/>
      <c r="AJ426" s="156"/>
      <c r="AK426" s="147"/>
      <c r="AL426" s="149"/>
      <c r="AM426" s="149"/>
      <c r="AN426" s="149"/>
      <c r="AO426" s="149"/>
      <c r="AP426" s="149"/>
      <c r="AQ426" s="157"/>
      <c r="AR426" s="149"/>
      <c r="AS426" s="158"/>
    </row>
    <row r="427" ht="15.75" customHeight="1">
      <c r="A427" s="140"/>
      <c r="B427" s="141"/>
      <c r="C427" s="142"/>
      <c r="D427" s="143"/>
      <c r="E427" s="144"/>
      <c r="F427" s="145"/>
      <c r="G427" s="146"/>
      <c r="H427" s="146"/>
      <c r="I427" s="146"/>
      <c r="J427" s="147"/>
      <c r="K427" s="140"/>
      <c r="L427" s="148"/>
      <c r="M427" s="149"/>
      <c r="N427" s="150"/>
      <c r="O427" s="149"/>
      <c r="P427" s="149"/>
      <c r="Q427" s="149"/>
      <c r="R427" s="149"/>
      <c r="S427" s="149"/>
      <c r="T427" s="149"/>
      <c r="U427" s="149"/>
      <c r="V427" s="149"/>
      <c r="W427" s="151"/>
      <c r="X427" s="149"/>
      <c r="Y427" s="152"/>
      <c r="Z427" s="153"/>
      <c r="AA427" s="149"/>
      <c r="AB427" s="154"/>
      <c r="AC427" s="155"/>
      <c r="AD427" s="155"/>
      <c r="AE427" s="155"/>
      <c r="AF427" s="155"/>
      <c r="AG427" s="149"/>
      <c r="AH427" s="149"/>
      <c r="AI427" s="149"/>
      <c r="AJ427" s="156"/>
      <c r="AK427" s="147"/>
      <c r="AL427" s="149"/>
      <c r="AM427" s="149"/>
      <c r="AN427" s="149"/>
      <c r="AO427" s="149"/>
      <c r="AP427" s="149"/>
      <c r="AQ427" s="157"/>
      <c r="AR427" s="149"/>
      <c r="AS427" s="158"/>
    </row>
    <row r="428" ht="15.75" customHeight="1">
      <c r="A428" s="140"/>
      <c r="B428" s="141"/>
      <c r="C428" s="142"/>
      <c r="D428" s="143"/>
      <c r="E428" s="144"/>
      <c r="F428" s="145"/>
      <c r="G428" s="146"/>
      <c r="H428" s="146"/>
      <c r="I428" s="146"/>
      <c r="J428" s="147"/>
      <c r="K428" s="140"/>
      <c r="L428" s="148"/>
      <c r="M428" s="149"/>
      <c r="N428" s="150"/>
      <c r="O428" s="149"/>
      <c r="P428" s="149"/>
      <c r="Q428" s="149"/>
      <c r="R428" s="149"/>
      <c r="S428" s="149"/>
      <c r="T428" s="149"/>
      <c r="U428" s="149"/>
      <c r="V428" s="149"/>
      <c r="W428" s="151"/>
      <c r="X428" s="149"/>
      <c r="Y428" s="152"/>
      <c r="Z428" s="153"/>
      <c r="AA428" s="149"/>
      <c r="AB428" s="154"/>
      <c r="AC428" s="155"/>
      <c r="AD428" s="155"/>
      <c r="AE428" s="155"/>
      <c r="AF428" s="155"/>
      <c r="AG428" s="149"/>
      <c r="AH428" s="149"/>
      <c r="AI428" s="149"/>
      <c r="AJ428" s="156"/>
      <c r="AK428" s="147"/>
      <c r="AL428" s="149"/>
      <c r="AM428" s="149"/>
      <c r="AN428" s="149"/>
      <c r="AO428" s="149"/>
      <c r="AP428" s="149"/>
      <c r="AQ428" s="157"/>
      <c r="AR428" s="149"/>
      <c r="AS428" s="158"/>
    </row>
    <row r="429" ht="15.75" customHeight="1">
      <c r="A429" s="140"/>
      <c r="B429" s="141"/>
      <c r="C429" s="142"/>
      <c r="D429" s="143"/>
      <c r="E429" s="144"/>
      <c r="F429" s="145"/>
      <c r="G429" s="146"/>
      <c r="H429" s="146"/>
      <c r="I429" s="146"/>
      <c r="J429" s="147"/>
      <c r="K429" s="140"/>
      <c r="L429" s="148"/>
      <c r="M429" s="149"/>
      <c r="N429" s="150"/>
      <c r="O429" s="149"/>
      <c r="P429" s="149"/>
      <c r="Q429" s="149"/>
      <c r="R429" s="149"/>
      <c r="S429" s="149"/>
      <c r="T429" s="149"/>
      <c r="U429" s="149"/>
      <c r="V429" s="149"/>
      <c r="W429" s="151"/>
      <c r="X429" s="149"/>
      <c r="Y429" s="152"/>
      <c r="Z429" s="153"/>
      <c r="AA429" s="149"/>
      <c r="AB429" s="154"/>
      <c r="AC429" s="155"/>
      <c r="AD429" s="155"/>
      <c r="AE429" s="155"/>
      <c r="AF429" s="155"/>
      <c r="AG429" s="149"/>
      <c r="AH429" s="149"/>
      <c r="AI429" s="149"/>
      <c r="AJ429" s="156"/>
      <c r="AK429" s="147"/>
      <c r="AL429" s="149"/>
      <c r="AM429" s="149"/>
      <c r="AN429" s="149"/>
      <c r="AO429" s="149"/>
      <c r="AP429" s="149"/>
      <c r="AQ429" s="157"/>
      <c r="AR429" s="149"/>
      <c r="AS429" s="158"/>
    </row>
    <row r="430" ht="15.75" customHeight="1">
      <c r="A430" s="140"/>
      <c r="B430" s="141"/>
      <c r="C430" s="142"/>
      <c r="D430" s="143"/>
      <c r="E430" s="144"/>
      <c r="F430" s="145"/>
      <c r="G430" s="146"/>
      <c r="H430" s="146"/>
      <c r="I430" s="146"/>
      <c r="J430" s="147"/>
      <c r="K430" s="140"/>
      <c r="L430" s="148"/>
      <c r="M430" s="149"/>
      <c r="N430" s="150"/>
      <c r="O430" s="149"/>
      <c r="P430" s="149"/>
      <c r="Q430" s="149"/>
      <c r="R430" s="149"/>
      <c r="S430" s="149"/>
      <c r="T430" s="149"/>
      <c r="U430" s="149"/>
      <c r="V430" s="149"/>
      <c r="W430" s="151"/>
      <c r="X430" s="149"/>
      <c r="Y430" s="152"/>
      <c r="Z430" s="153"/>
      <c r="AA430" s="149"/>
      <c r="AB430" s="154"/>
      <c r="AC430" s="155"/>
      <c r="AD430" s="155"/>
      <c r="AE430" s="155"/>
      <c r="AF430" s="155"/>
      <c r="AG430" s="149"/>
      <c r="AH430" s="149"/>
      <c r="AI430" s="149"/>
      <c r="AJ430" s="156"/>
      <c r="AK430" s="147"/>
      <c r="AL430" s="149"/>
      <c r="AM430" s="149"/>
      <c r="AN430" s="149"/>
      <c r="AO430" s="149"/>
      <c r="AP430" s="149"/>
      <c r="AQ430" s="157"/>
      <c r="AR430" s="149"/>
      <c r="AS430" s="158"/>
    </row>
    <row r="431" ht="15.75" customHeight="1">
      <c r="A431" s="140"/>
      <c r="B431" s="141"/>
      <c r="C431" s="142"/>
      <c r="D431" s="143"/>
      <c r="E431" s="144"/>
      <c r="F431" s="145"/>
      <c r="G431" s="146"/>
      <c r="H431" s="146"/>
      <c r="I431" s="146"/>
      <c r="J431" s="147"/>
      <c r="K431" s="140"/>
      <c r="L431" s="148"/>
      <c r="M431" s="149"/>
      <c r="N431" s="150"/>
      <c r="O431" s="149"/>
      <c r="P431" s="149"/>
      <c r="Q431" s="149"/>
      <c r="R431" s="149"/>
      <c r="S431" s="149"/>
      <c r="T431" s="149"/>
      <c r="U431" s="149"/>
      <c r="V431" s="149"/>
      <c r="W431" s="151"/>
      <c r="X431" s="149"/>
      <c r="Y431" s="152"/>
      <c r="Z431" s="153"/>
      <c r="AA431" s="149"/>
      <c r="AB431" s="154"/>
      <c r="AC431" s="155"/>
      <c r="AD431" s="155"/>
      <c r="AE431" s="155"/>
      <c r="AF431" s="155"/>
      <c r="AG431" s="149"/>
      <c r="AH431" s="149"/>
      <c r="AI431" s="149"/>
      <c r="AJ431" s="156"/>
      <c r="AK431" s="147"/>
      <c r="AL431" s="149"/>
      <c r="AM431" s="149"/>
      <c r="AN431" s="149"/>
      <c r="AO431" s="149"/>
      <c r="AP431" s="149"/>
      <c r="AQ431" s="157"/>
      <c r="AR431" s="149"/>
      <c r="AS431" s="158"/>
    </row>
    <row r="432" ht="15.75" customHeight="1">
      <c r="A432" s="140"/>
      <c r="B432" s="141"/>
      <c r="C432" s="142"/>
      <c r="D432" s="143"/>
      <c r="E432" s="144"/>
      <c r="F432" s="145"/>
      <c r="G432" s="146"/>
      <c r="H432" s="146"/>
      <c r="I432" s="146"/>
      <c r="J432" s="147"/>
      <c r="K432" s="140"/>
      <c r="L432" s="148"/>
      <c r="M432" s="149"/>
      <c r="N432" s="150"/>
      <c r="O432" s="149"/>
      <c r="P432" s="149"/>
      <c r="Q432" s="149"/>
      <c r="R432" s="149"/>
      <c r="S432" s="149"/>
      <c r="T432" s="149"/>
      <c r="U432" s="149"/>
      <c r="V432" s="149"/>
      <c r="W432" s="151"/>
      <c r="X432" s="149"/>
      <c r="Y432" s="152"/>
      <c r="Z432" s="153"/>
      <c r="AA432" s="149"/>
      <c r="AB432" s="154"/>
      <c r="AC432" s="155"/>
      <c r="AD432" s="155"/>
      <c r="AE432" s="155"/>
      <c r="AF432" s="155"/>
      <c r="AG432" s="149"/>
      <c r="AH432" s="149"/>
      <c r="AI432" s="149"/>
      <c r="AJ432" s="156"/>
      <c r="AK432" s="147"/>
      <c r="AL432" s="149"/>
      <c r="AM432" s="149"/>
      <c r="AN432" s="149"/>
      <c r="AO432" s="149"/>
      <c r="AP432" s="149"/>
      <c r="AQ432" s="157"/>
      <c r="AR432" s="149"/>
      <c r="AS432" s="158"/>
    </row>
    <row r="433" ht="15.75" customHeight="1">
      <c r="A433" s="140"/>
      <c r="B433" s="141"/>
      <c r="C433" s="142"/>
      <c r="D433" s="143"/>
      <c r="E433" s="144"/>
      <c r="F433" s="145"/>
      <c r="G433" s="146"/>
      <c r="H433" s="146"/>
      <c r="I433" s="146"/>
      <c r="J433" s="147"/>
      <c r="K433" s="140"/>
      <c r="L433" s="148"/>
      <c r="M433" s="149"/>
      <c r="N433" s="150"/>
      <c r="O433" s="149"/>
      <c r="P433" s="149"/>
      <c r="Q433" s="149"/>
      <c r="R433" s="149"/>
      <c r="S433" s="149"/>
      <c r="T433" s="149"/>
      <c r="U433" s="149"/>
      <c r="V433" s="149"/>
      <c r="W433" s="151"/>
      <c r="X433" s="149"/>
      <c r="Y433" s="152"/>
      <c r="Z433" s="153"/>
      <c r="AA433" s="149"/>
      <c r="AB433" s="154"/>
      <c r="AC433" s="155"/>
      <c r="AD433" s="155"/>
      <c r="AE433" s="155"/>
      <c r="AF433" s="155"/>
      <c r="AG433" s="149"/>
      <c r="AH433" s="149"/>
      <c r="AI433" s="149"/>
      <c r="AJ433" s="156"/>
      <c r="AK433" s="147"/>
      <c r="AL433" s="149"/>
      <c r="AM433" s="149"/>
      <c r="AN433" s="149"/>
      <c r="AO433" s="149"/>
      <c r="AP433" s="149"/>
      <c r="AQ433" s="157"/>
      <c r="AR433" s="149"/>
      <c r="AS433" s="158"/>
    </row>
    <row r="434" ht="15.75" customHeight="1">
      <c r="A434" s="140"/>
      <c r="B434" s="141"/>
      <c r="C434" s="142"/>
      <c r="D434" s="143"/>
      <c r="E434" s="144"/>
      <c r="F434" s="145"/>
      <c r="G434" s="146"/>
      <c r="H434" s="146"/>
      <c r="I434" s="146"/>
      <c r="J434" s="147"/>
      <c r="K434" s="140"/>
      <c r="L434" s="148"/>
      <c r="M434" s="149"/>
      <c r="N434" s="150"/>
      <c r="O434" s="149"/>
      <c r="P434" s="149"/>
      <c r="Q434" s="149"/>
      <c r="R434" s="149"/>
      <c r="S434" s="149"/>
      <c r="T434" s="149"/>
      <c r="U434" s="149"/>
      <c r="V434" s="149"/>
      <c r="W434" s="151"/>
      <c r="X434" s="149"/>
      <c r="Y434" s="152"/>
      <c r="Z434" s="153"/>
      <c r="AA434" s="149"/>
      <c r="AB434" s="154"/>
      <c r="AC434" s="155"/>
      <c r="AD434" s="155"/>
      <c r="AE434" s="155"/>
      <c r="AF434" s="155"/>
      <c r="AG434" s="149"/>
      <c r="AH434" s="149"/>
      <c r="AI434" s="149"/>
      <c r="AJ434" s="156"/>
      <c r="AK434" s="147"/>
      <c r="AL434" s="149"/>
      <c r="AM434" s="149"/>
      <c r="AN434" s="149"/>
      <c r="AO434" s="149"/>
      <c r="AP434" s="149"/>
      <c r="AQ434" s="157"/>
      <c r="AR434" s="149"/>
      <c r="AS434" s="158"/>
    </row>
    <row r="435" ht="15.75" customHeight="1">
      <c r="A435" s="140"/>
      <c r="B435" s="141"/>
      <c r="C435" s="142"/>
      <c r="D435" s="143"/>
      <c r="E435" s="144"/>
      <c r="F435" s="145"/>
      <c r="G435" s="146"/>
      <c r="H435" s="146"/>
      <c r="I435" s="146"/>
      <c r="J435" s="147"/>
      <c r="K435" s="140"/>
      <c r="L435" s="148"/>
      <c r="M435" s="149"/>
      <c r="N435" s="150"/>
      <c r="O435" s="149"/>
      <c r="P435" s="149"/>
      <c r="Q435" s="149"/>
      <c r="R435" s="149"/>
      <c r="S435" s="149"/>
      <c r="T435" s="149"/>
      <c r="U435" s="149"/>
      <c r="V435" s="149"/>
      <c r="W435" s="151"/>
      <c r="X435" s="149"/>
      <c r="Y435" s="152"/>
      <c r="Z435" s="153"/>
      <c r="AA435" s="149"/>
      <c r="AB435" s="154"/>
      <c r="AC435" s="155"/>
      <c r="AD435" s="155"/>
      <c r="AE435" s="155"/>
      <c r="AF435" s="155"/>
      <c r="AG435" s="149"/>
      <c r="AH435" s="149"/>
      <c r="AI435" s="149"/>
      <c r="AJ435" s="156"/>
      <c r="AK435" s="147"/>
      <c r="AL435" s="149"/>
      <c r="AM435" s="149"/>
      <c r="AN435" s="149"/>
      <c r="AO435" s="149"/>
      <c r="AP435" s="149"/>
      <c r="AQ435" s="157"/>
      <c r="AR435" s="149"/>
      <c r="AS435" s="158"/>
    </row>
    <row r="436" ht="15.75" customHeight="1">
      <c r="A436" s="140"/>
      <c r="B436" s="141"/>
      <c r="C436" s="142"/>
      <c r="D436" s="143"/>
      <c r="E436" s="144"/>
      <c r="F436" s="145"/>
      <c r="G436" s="146"/>
      <c r="H436" s="146"/>
      <c r="I436" s="146"/>
      <c r="J436" s="147"/>
      <c r="K436" s="140"/>
      <c r="L436" s="148"/>
      <c r="M436" s="149"/>
      <c r="N436" s="150"/>
      <c r="O436" s="149"/>
      <c r="P436" s="149"/>
      <c r="Q436" s="149"/>
      <c r="R436" s="149"/>
      <c r="S436" s="149"/>
      <c r="T436" s="149"/>
      <c r="U436" s="149"/>
      <c r="V436" s="149"/>
      <c r="W436" s="151"/>
      <c r="X436" s="149"/>
      <c r="Y436" s="152"/>
      <c r="Z436" s="153"/>
      <c r="AA436" s="149"/>
      <c r="AB436" s="154"/>
      <c r="AC436" s="155"/>
      <c r="AD436" s="155"/>
      <c r="AE436" s="155"/>
      <c r="AF436" s="155"/>
      <c r="AG436" s="149"/>
      <c r="AH436" s="149"/>
      <c r="AI436" s="149"/>
      <c r="AJ436" s="156"/>
      <c r="AK436" s="147"/>
      <c r="AL436" s="149"/>
      <c r="AM436" s="149"/>
      <c r="AN436" s="149"/>
      <c r="AO436" s="149"/>
      <c r="AP436" s="149"/>
      <c r="AQ436" s="157"/>
      <c r="AR436" s="149"/>
      <c r="AS436" s="158"/>
    </row>
    <row r="437" ht="15.75" customHeight="1">
      <c r="A437" s="140"/>
      <c r="B437" s="141"/>
      <c r="C437" s="142"/>
      <c r="D437" s="143"/>
      <c r="E437" s="144"/>
      <c r="F437" s="145"/>
      <c r="G437" s="146"/>
      <c r="H437" s="146"/>
      <c r="I437" s="146"/>
      <c r="J437" s="147"/>
      <c r="K437" s="140"/>
      <c r="L437" s="148"/>
      <c r="M437" s="149"/>
      <c r="N437" s="150"/>
      <c r="O437" s="149"/>
      <c r="P437" s="149"/>
      <c r="Q437" s="149"/>
      <c r="R437" s="149"/>
      <c r="S437" s="149"/>
      <c r="T437" s="149"/>
      <c r="U437" s="149"/>
      <c r="V437" s="149"/>
      <c r="W437" s="151"/>
      <c r="X437" s="149"/>
      <c r="Y437" s="152"/>
      <c r="Z437" s="153"/>
      <c r="AA437" s="149"/>
      <c r="AB437" s="154"/>
      <c r="AC437" s="155"/>
      <c r="AD437" s="155"/>
      <c r="AE437" s="155"/>
      <c r="AF437" s="155"/>
      <c r="AG437" s="149"/>
      <c r="AH437" s="149"/>
      <c r="AI437" s="149"/>
      <c r="AJ437" s="156"/>
      <c r="AK437" s="147"/>
      <c r="AL437" s="149"/>
      <c r="AM437" s="149"/>
      <c r="AN437" s="149"/>
      <c r="AO437" s="149"/>
      <c r="AP437" s="149"/>
      <c r="AQ437" s="157"/>
      <c r="AR437" s="149"/>
      <c r="AS437" s="158"/>
    </row>
    <row r="438" ht="15.75" customHeight="1">
      <c r="A438" s="140"/>
      <c r="B438" s="141"/>
      <c r="C438" s="142"/>
      <c r="D438" s="143"/>
      <c r="E438" s="144"/>
      <c r="F438" s="145"/>
      <c r="G438" s="146"/>
      <c r="H438" s="146"/>
      <c r="I438" s="146"/>
      <c r="J438" s="147"/>
      <c r="K438" s="140"/>
      <c r="L438" s="148"/>
      <c r="M438" s="149"/>
      <c r="N438" s="150"/>
      <c r="O438" s="149"/>
      <c r="P438" s="149"/>
      <c r="Q438" s="149"/>
      <c r="R438" s="149"/>
      <c r="S438" s="149"/>
      <c r="T438" s="149"/>
      <c r="U438" s="149"/>
      <c r="V438" s="149"/>
      <c r="W438" s="151"/>
      <c r="X438" s="149"/>
      <c r="Y438" s="152"/>
      <c r="Z438" s="153"/>
      <c r="AA438" s="149"/>
      <c r="AB438" s="154"/>
      <c r="AC438" s="155"/>
      <c r="AD438" s="155"/>
      <c r="AE438" s="155"/>
      <c r="AF438" s="155"/>
      <c r="AG438" s="149"/>
      <c r="AH438" s="149"/>
      <c r="AI438" s="149"/>
      <c r="AJ438" s="156"/>
      <c r="AK438" s="147"/>
      <c r="AL438" s="149"/>
      <c r="AM438" s="149"/>
      <c r="AN438" s="149"/>
      <c r="AO438" s="149"/>
      <c r="AP438" s="149"/>
      <c r="AQ438" s="157"/>
      <c r="AR438" s="149"/>
      <c r="AS438" s="158"/>
    </row>
    <row r="439" ht="15.75" customHeight="1">
      <c r="A439" s="140"/>
      <c r="B439" s="141"/>
      <c r="C439" s="142"/>
      <c r="D439" s="143"/>
      <c r="E439" s="144"/>
      <c r="F439" s="145"/>
      <c r="G439" s="146"/>
      <c r="H439" s="146"/>
      <c r="I439" s="146"/>
      <c r="J439" s="147"/>
      <c r="K439" s="140"/>
      <c r="L439" s="148"/>
      <c r="M439" s="149"/>
      <c r="N439" s="150"/>
      <c r="O439" s="149"/>
      <c r="P439" s="149"/>
      <c r="Q439" s="149"/>
      <c r="R439" s="149"/>
      <c r="S439" s="149"/>
      <c r="T439" s="149"/>
      <c r="U439" s="149"/>
      <c r="V439" s="149"/>
      <c r="W439" s="151"/>
      <c r="X439" s="149"/>
      <c r="Y439" s="152"/>
      <c r="Z439" s="153"/>
      <c r="AA439" s="149"/>
      <c r="AB439" s="154"/>
      <c r="AC439" s="155"/>
      <c r="AD439" s="155"/>
      <c r="AE439" s="155"/>
      <c r="AF439" s="155"/>
      <c r="AG439" s="149"/>
      <c r="AH439" s="149"/>
      <c r="AI439" s="149"/>
      <c r="AJ439" s="156"/>
      <c r="AK439" s="147"/>
      <c r="AL439" s="149"/>
      <c r="AM439" s="149"/>
      <c r="AN439" s="149"/>
      <c r="AO439" s="149"/>
      <c r="AP439" s="149"/>
      <c r="AQ439" s="157"/>
      <c r="AR439" s="149"/>
      <c r="AS439" s="158"/>
    </row>
    <row r="440" ht="15.75" customHeight="1">
      <c r="A440" s="140"/>
      <c r="B440" s="141"/>
      <c r="C440" s="142"/>
      <c r="D440" s="143"/>
      <c r="E440" s="144"/>
      <c r="F440" s="145"/>
      <c r="G440" s="146"/>
      <c r="H440" s="146"/>
      <c r="I440" s="146"/>
      <c r="J440" s="147"/>
      <c r="K440" s="140"/>
      <c r="L440" s="148"/>
      <c r="M440" s="149"/>
      <c r="N440" s="150"/>
      <c r="O440" s="149"/>
      <c r="P440" s="149"/>
      <c r="Q440" s="149"/>
      <c r="R440" s="149"/>
      <c r="S440" s="149"/>
      <c r="T440" s="149"/>
      <c r="U440" s="149"/>
      <c r="V440" s="149"/>
      <c r="W440" s="151"/>
      <c r="X440" s="149"/>
      <c r="Y440" s="152"/>
      <c r="Z440" s="153"/>
      <c r="AA440" s="149"/>
      <c r="AB440" s="154"/>
      <c r="AC440" s="155"/>
      <c r="AD440" s="155"/>
      <c r="AE440" s="155"/>
      <c r="AF440" s="155"/>
      <c r="AG440" s="149"/>
      <c r="AH440" s="149"/>
      <c r="AI440" s="149"/>
      <c r="AJ440" s="156"/>
      <c r="AK440" s="147"/>
      <c r="AL440" s="149"/>
      <c r="AM440" s="149"/>
      <c r="AN440" s="149"/>
      <c r="AO440" s="149"/>
      <c r="AP440" s="149"/>
      <c r="AQ440" s="157"/>
      <c r="AR440" s="149"/>
      <c r="AS440" s="158"/>
    </row>
    <row r="441" ht="15.75" customHeight="1">
      <c r="A441" s="140"/>
      <c r="B441" s="141"/>
      <c r="C441" s="142"/>
      <c r="D441" s="143"/>
      <c r="E441" s="144"/>
      <c r="F441" s="145"/>
      <c r="G441" s="146"/>
      <c r="H441" s="146"/>
      <c r="I441" s="146"/>
      <c r="J441" s="147"/>
      <c r="K441" s="140"/>
      <c r="L441" s="148"/>
      <c r="M441" s="149"/>
      <c r="N441" s="150"/>
      <c r="O441" s="149"/>
      <c r="P441" s="149"/>
      <c r="Q441" s="149"/>
      <c r="R441" s="149"/>
      <c r="S441" s="149"/>
      <c r="T441" s="149"/>
      <c r="U441" s="149"/>
      <c r="V441" s="149"/>
      <c r="W441" s="151"/>
      <c r="X441" s="149"/>
      <c r="Y441" s="152"/>
      <c r="Z441" s="153"/>
      <c r="AA441" s="149"/>
      <c r="AB441" s="154"/>
      <c r="AC441" s="155"/>
      <c r="AD441" s="155"/>
      <c r="AE441" s="155"/>
      <c r="AF441" s="155"/>
      <c r="AG441" s="149"/>
      <c r="AH441" s="149"/>
      <c r="AI441" s="149"/>
      <c r="AJ441" s="156"/>
      <c r="AK441" s="147"/>
      <c r="AL441" s="149"/>
      <c r="AM441" s="149"/>
      <c r="AN441" s="149"/>
      <c r="AO441" s="149"/>
      <c r="AP441" s="149"/>
      <c r="AQ441" s="157"/>
      <c r="AR441" s="149"/>
      <c r="AS441" s="158"/>
    </row>
    <row r="442" ht="15.75" customHeight="1">
      <c r="A442" s="140"/>
      <c r="B442" s="141"/>
      <c r="C442" s="142"/>
      <c r="D442" s="143"/>
      <c r="E442" s="144"/>
      <c r="F442" s="145"/>
      <c r="G442" s="146"/>
      <c r="H442" s="146"/>
      <c r="I442" s="146"/>
      <c r="J442" s="147"/>
      <c r="K442" s="140"/>
      <c r="L442" s="148"/>
      <c r="M442" s="149"/>
      <c r="N442" s="150"/>
      <c r="O442" s="149"/>
      <c r="P442" s="149"/>
      <c r="Q442" s="149"/>
      <c r="R442" s="149"/>
      <c r="S442" s="149"/>
      <c r="T442" s="149"/>
      <c r="U442" s="149"/>
      <c r="V442" s="149"/>
      <c r="W442" s="151"/>
      <c r="X442" s="149"/>
      <c r="Y442" s="152"/>
      <c r="Z442" s="153"/>
      <c r="AA442" s="149"/>
      <c r="AB442" s="154"/>
      <c r="AC442" s="155"/>
      <c r="AD442" s="155"/>
      <c r="AE442" s="155"/>
      <c r="AF442" s="155"/>
      <c r="AG442" s="149"/>
      <c r="AH442" s="149"/>
      <c r="AI442" s="149"/>
      <c r="AJ442" s="156"/>
      <c r="AK442" s="147"/>
      <c r="AL442" s="149"/>
      <c r="AM442" s="149"/>
      <c r="AN442" s="149"/>
      <c r="AO442" s="149"/>
      <c r="AP442" s="149"/>
      <c r="AQ442" s="157"/>
      <c r="AR442" s="149"/>
      <c r="AS442" s="158"/>
    </row>
    <row r="443" ht="15.75" customHeight="1">
      <c r="A443" s="140"/>
      <c r="B443" s="141"/>
      <c r="C443" s="142"/>
      <c r="D443" s="143"/>
      <c r="E443" s="144"/>
      <c r="F443" s="145"/>
      <c r="G443" s="146"/>
      <c r="H443" s="146"/>
      <c r="I443" s="146"/>
      <c r="J443" s="147"/>
      <c r="K443" s="140"/>
      <c r="L443" s="148"/>
      <c r="M443" s="149"/>
      <c r="N443" s="150"/>
      <c r="O443" s="149"/>
      <c r="P443" s="149"/>
      <c r="Q443" s="149"/>
      <c r="R443" s="149"/>
      <c r="S443" s="149"/>
      <c r="T443" s="149"/>
      <c r="U443" s="149"/>
      <c r="V443" s="149"/>
      <c r="W443" s="151"/>
      <c r="X443" s="149"/>
      <c r="Y443" s="152"/>
      <c r="Z443" s="153"/>
      <c r="AA443" s="149"/>
      <c r="AB443" s="154"/>
      <c r="AC443" s="155"/>
      <c r="AD443" s="155"/>
      <c r="AE443" s="155"/>
      <c r="AF443" s="155"/>
      <c r="AG443" s="149"/>
      <c r="AH443" s="149"/>
      <c r="AI443" s="149"/>
      <c r="AJ443" s="156"/>
      <c r="AK443" s="147"/>
      <c r="AL443" s="149"/>
      <c r="AM443" s="149"/>
      <c r="AN443" s="149"/>
      <c r="AO443" s="149"/>
      <c r="AP443" s="149"/>
      <c r="AQ443" s="157"/>
      <c r="AR443" s="149"/>
      <c r="AS443" s="158"/>
    </row>
    <row r="444" ht="15.75" customHeight="1">
      <c r="A444" s="140"/>
      <c r="B444" s="141"/>
      <c r="C444" s="142"/>
      <c r="D444" s="143"/>
      <c r="E444" s="144"/>
      <c r="F444" s="145"/>
      <c r="G444" s="146"/>
      <c r="H444" s="146"/>
      <c r="I444" s="146"/>
      <c r="J444" s="147"/>
      <c r="K444" s="140"/>
      <c r="L444" s="148"/>
      <c r="M444" s="149"/>
      <c r="N444" s="150"/>
      <c r="O444" s="149"/>
      <c r="P444" s="149"/>
      <c r="Q444" s="149"/>
      <c r="R444" s="149"/>
      <c r="S444" s="149"/>
      <c r="T444" s="149"/>
      <c r="U444" s="149"/>
      <c r="V444" s="149"/>
      <c r="W444" s="151"/>
      <c r="X444" s="149"/>
      <c r="Y444" s="152"/>
      <c r="Z444" s="153"/>
      <c r="AA444" s="149"/>
      <c r="AB444" s="154"/>
      <c r="AC444" s="155"/>
      <c r="AD444" s="155"/>
      <c r="AE444" s="155"/>
      <c r="AF444" s="155"/>
      <c r="AG444" s="149"/>
      <c r="AH444" s="149"/>
      <c r="AI444" s="149"/>
      <c r="AJ444" s="156"/>
      <c r="AK444" s="147"/>
      <c r="AL444" s="149"/>
      <c r="AM444" s="149"/>
      <c r="AN444" s="149"/>
      <c r="AO444" s="149"/>
      <c r="AP444" s="149"/>
      <c r="AQ444" s="157"/>
      <c r="AR444" s="149"/>
      <c r="AS444" s="158"/>
    </row>
    <row r="445" ht="15.75" customHeight="1">
      <c r="A445" s="140"/>
      <c r="B445" s="141"/>
      <c r="C445" s="142"/>
      <c r="D445" s="143"/>
      <c r="E445" s="144"/>
      <c r="F445" s="145"/>
      <c r="G445" s="146"/>
      <c r="H445" s="146"/>
      <c r="I445" s="146"/>
      <c r="J445" s="147"/>
      <c r="K445" s="140"/>
      <c r="L445" s="148"/>
      <c r="M445" s="149"/>
      <c r="N445" s="150"/>
      <c r="O445" s="149"/>
      <c r="P445" s="149"/>
      <c r="Q445" s="149"/>
      <c r="R445" s="149"/>
      <c r="S445" s="149"/>
      <c r="T445" s="149"/>
      <c r="U445" s="149"/>
      <c r="V445" s="149"/>
      <c r="W445" s="151"/>
      <c r="X445" s="149"/>
      <c r="Y445" s="152"/>
      <c r="Z445" s="153"/>
      <c r="AA445" s="149"/>
      <c r="AB445" s="154"/>
      <c r="AC445" s="155"/>
      <c r="AD445" s="155"/>
      <c r="AE445" s="155"/>
      <c r="AF445" s="155"/>
      <c r="AG445" s="149"/>
      <c r="AH445" s="149"/>
      <c r="AI445" s="149"/>
      <c r="AJ445" s="156"/>
      <c r="AK445" s="147"/>
      <c r="AL445" s="149"/>
      <c r="AM445" s="149"/>
      <c r="AN445" s="149"/>
      <c r="AO445" s="149"/>
      <c r="AP445" s="149"/>
      <c r="AQ445" s="157"/>
      <c r="AR445" s="149"/>
      <c r="AS445" s="158"/>
    </row>
    <row r="446" ht="15.75" customHeight="1">
      <c r="A446" s="140"/>
      <c r="B446" s="141"/>
      <c r="C446" s="142"/>
      <c r="D446" s="143"/>
      <c r="E446" s="144"/>
      <c r="F446" s="145"/>
      <c r="G446" s="146"/>
      <c r="H446" s="146"/>
      <c r="I446" s="146"/>
      <c r="J446" s="147"/>
      <c r="K446" s="140"/>
      <c r="L446" s="148"/>
      <c r="M446" s="149"/>
      <c r="N446" s="150"/>
      <c r="O446" s="149"/>
      <c r="P446" s="149"/>
      <c r="Q446" s="149"/>
      <c r="R446" s="149"/>
      <c r="S446" s="149"/>
      <c r="T446" s="149"/>
      <c r="U446" s="149"/>
      <c r="V446" s="149"/>
      <c r="W446" s="151"/>
      <c r="X446" s="149"/>
      <c r="Y446" s="152"/>
      <c r="Z446" s="153"/>
      <c r="AA446" s="149"/>
      <c r="AB446" s="154"/>
      <c r="AC446" s="155"/>
      <c r="AD446" s="155"/>
      <c r="AE446" s="155"/>
      <c r="AF446" s="155"/>
      <c r="AG446" s="149"/>
      <c r="AH446" s="149"/>
      <c r="AI446" s="149"/>
      <c r="AJ446" s="156"/>
      <c r="AK446" s="147"/>
      <c r="AL446" s="149"/>
      <c r="AM446" s="149"/>
      <c r="AN446" s="149"/>
      <c r="AO446" s="149"/>
      <c r="AP446" s="149"/>
      <c r="AQ446" s="157"/>
      <c r="AR446" s="149"/>
      <c r="AS446" s="158"/>
    </row>
    <row r="447" ht="15.75" customHeight="1">
      <c r="A447" s="140"/>
      <c r="B447" s="141"/>
      <c r="C447" s="142"/>
      <c r="D447" s="143"/>
      <c r="E447" s="144"/>
      <c r="F447" s="145"/>
      <c r="G447" s="146"/>
      <c r="H447" s="146"/>
      <c r="I447" s="146"/>
      <c r="J447" s="147"/>
      <c r="K447" s="140"/>
      <c r="L447" s="148"/>
      <c r="M447" s="149"/>
      <c r="N447" s="150"/>
      <c r="O447" s="149"/>
      <c r="P447" s="149"/>
      <c r="Q447" s="149"/>
      <c r="R447" s="149"/>
      <c r="S447" s="149"/>
      <c r="T447" s="149"/>
      <c r="U447" s="149"/>
      <c r="V447" s="149"/>
      <c r="W447" s="151"/>
      <c r="X447" s="149"/>
      <c r="Y447" s="152"/>
      <c r="Z447" s="153"/>
      <c r="AA447" s="149"/>
      <c r="AB447" s="154"/>
      <c r="AC447" s="155"/>
      <c r="AD447" s="155"/>
      <c r="AE447" s="155"/>
      <c r="AF447" s="155"/>
      <c r="AG447" s="149"/>
      <c r="AH447" s="149"/>
      <c r="AI447" s="149"/>
      <c r="AJ447" s="156"/>
      <c r="AK447" s="147"/>
      <c r="AL447" s="149"/>
      <c r="AM447" s="149"/>
      <c r="AN447" s="149"/>
      <c r="AO447" s="149"/>
      <c r="AP447" s="149"/>
      <c r="AQ447" s="157"/>
      <c r="AR447" s="149"/>
      <c r="AS447" s="158"/>
    </row>
    <row r="448" ht="15.75" customHeight="1">
      <c r="A448" s="140"/>
      <c r="B448" s="141"/>
      <c r="C448" s="142"/>
      <c r="D448" s="143"/>
      <c r="E448" s="144"/>
      <c r="F448" s="145"/>
      <c r="G448" s="146"/>
      <c r="H448" s="146"/>
      <c r="I448" s="146"/>
      <c r="J448" s="147"/>
      <c r="K448" s="140"/>
      <c r="L448" s="148"/>
      <c r="M448" s="149"/>
      <c r="N448" s="150"/>
      <c r="O448" s="149"/>
      <c r="P448" s="149"/>
      <c r="Q448" s="149"/>
      <c r="R448" s="149"/>
      <c r="S448" s="149"/>
      <c r="T448" s="149"/>
      <c r="U448" s="149"/>
      <c r="V448" s="149"/>
      <c r="W448" s="151"/>
      <c r="X448" s="149"/>
      <c r="Y448" s="152"/>
      <c r="Z448" s="153"/>
      <c r="AA448" s="149"/>
      <c r="AB448" s="154"/>
      <c r="AC448" s="155"/>
      <c r="AD448" s="155"/>
      <c r="AE448" s="155"/>
      <c r="AF448" s="155"/>
      <c r="AG448" s="149"/>
      <c r="AH448" s="149"/>
      <c r="AI448" s="149"/>
      <c r="AJ448" s="156"/>
      <c r="AK448" s="147"/>
      <c r="AL448" s="149"/>
      <c r="AM448" s="149"/>
      <c r="AN448" s="149"/>
      <c r="AO448" s="149"/>
      <c r="AP448" s="149"/>
      <c r="AQ448" s="157"/>
      <c r="AR448" s="149"/>
      <c r="AS448" s="158"/>
    </row>
    <row r="449" ht="15.75" customHeight="1">
      <c r="A449" s="140"/>
      <c r="B449" s="141"/>
      <c r="C449" s="142"/>
      <c r="D449" s="143"/>
      <c r="E449" s="144"/>
      <c r="F449" s="145"/>
      <c r="G449" s="146"/>
      <c r="H449" s="146"/>
      <c r="I449" s="146"/>
      <c r="J449" s="147"/>
      <c r="K449" s="140"/>
      <c r="L449" s="148"/>
      <c r="M449" s="149"/>
      <c r="N449" s="150"/>
      <c r="O449" s="149"/>
      <c r="P449" s="149"/>
      <c r="Q449" s="149"/>
      <c r="R449" s="149"/>
      <c r="S449" s="149"/>
      <c r="T449" s="149"/>
      <c r="U449" s="149"/>
      <c r="V449" s="149"/>
      <c r="W449" s="151"/>
      <c r="X449" s="149"/>
      <c r="Y449" s="152"/>
      <c r="Z449" s="153"/>
      <c r="AA449" s="149"/>
      <c r="AB449" s="154"/>
      <c r="AC449" s="155"/>
      <c r="AD449" s="155"/>
      <c r="AE449" s="155"/>
      <c r="AF449" s="155"/>
      <c r="AG449" s="149"/>
      <c r="AH449" s="149"/>
      <c r="AI449" s="149"/>
      <c r="AJ449" s="156"/>
      <c r="AK449" s="147"/>
      <c r="AL449" s="149"/>
      <c r="AM449" s="149"/>
      <c r="AN449" s="149"/>
      <c r="AO449" s="149"/>
      <c r="AP449" s="149"/>
      <c r="AQ449" s="157"/>
      <c r="AR449" s="149"/>
      <c r="AS449" s="158"/>
    </row>
    <row r="450" ht="15.75" customHeight="1">
      <c r="A450" s="140"/>
      <c r="B450" s="141"/>
      <c r="C450" s="142"/>
      <c r="D450" s="143"/>
      <c r="E450" s="144"/>
      <c r="F450" s="145"/>
      <c r="G450" s="146"/>
      <c r="H450" s="146"/>
      <c r="I450" s="146"/>
      <c r="J450" s="147"/>
      <c r="K450" s="140"/>
      <c r="L450" s="148"/>
      <c r="M450" s="149"/>
      <c r="N450" s="150"/>
      <c r="O450" s="149"/>
      <c r="P450" s="149"/>
      <c r="Q450" s="149"/>
      <c r="R450" s="149"/>
      <c r="S450" s="149"/>
      <c r="T450" s="149"/>
      <c r="U450" s="149"/>
      <c r="V450" s="149"/>
      <c r="W450" s="151"/>
      <c r="X450" s="149"/>
      <c r="Y450" s="152"/>
      <c r="Z450" s="153"/>
      <c r="AA450" s="149"/>
      <c r="AB450" s="154"/>
      <c r="AC450" s="155"/>
      <c r="AD450" s="155"/>
      <c r="AE450" s="155"/>
      <c r="AF450" s="155"/>
      <c r="AG450" s="149"/>
      <c r="AH450" s="149"/>
      <c r="AI450" s="149"/>
      <c r="AJ450" s="156"/>
      <c r="AK450" s="147"/>
      <c r="AL450" s="149"/>
      <c r="AM450" s="149"/>
      <c r="AN450" s="149"/>
      <c r="AO450" s="149"/>
      <c r="AP450" s="149"/>
      <c r="AQ450" s="157"/>
      <c r="AR450" s="149"/>
      <c r="AS450" s="158"/>
    </row>
    <row r="451" ht="15.75" customHeight="1">
      <c r="A451" s="140"/>
      <c r="B451" s="141"/>
      <c r="C451" s="142"/>
      <c r="D451" s="143"/>
      <c r="E451" s="144"/>
      <c r="F451" s="145"/>
      <c r="G451" s="146"/>
      <c r="H451" s="146"/>
      <c r="I451" s="146"/>
      <c r="J451" s="147"/>
      <c r="K451" s="140"/>
      <c r="L451" s="148"/>
      <c r="M451" s="149"/>
      <c r="N451" s="150"/>
      <c r="O451" s="149"/>
      <c r="P451" s="149"/>
      <c r="Q451" s="149"/>
      <c r="R451" s="149"/>
      <c r="S451" s="149"/>
      <c r="T451" s="149"/>
      <c r="U451" s="149"/>
      <c r="V451" s="149"/>
      <c r="W451" s="151"/>
      <c r="X451" s="149"/>
      <c r="Y451" s="152"/>
      <c r="Z451" s="153"/>
      <c r="AA451" s="149"/>
      <c r="AB451" s="154"/>
      <c r="AC451" s="155"/>
      <c r="AD451" s="155"/>
      <c r="AE451" s="155"/>
      <c r="AF451" s="155"/>
      <c r="AG451" s="149"/>
      <c r="AH451" s="149"/>
      <c r="AI451" s="149"/>
      <c r="AJ451" s="156"/>
      <c r="AK451" s="147"/>
      <c r="AL451" s="149"/>
      <c r="AM451" s="149"/>
      <c r="AN451" s="149"/>
      <c r="AO451" s="149"/>
      <c r="AP451" s="149"/>
      <c r="AQ451" s="157"/>
      <c r="AR451" s="149"/>
      <c r="AS451" s="158"/>
    </row>
    <row r="452" ht="15.75" customHeight="1">
      <c r="A452" s="140"/>
      <c r="B452" s="141"/>
      <c r="C452" s="142"/>
      <c r="D452" s="143"/>
      <c r="E452" s="144"/>
      <c r="F452" s="145"/>
      <c r="G452" s="146"/>
      <c r="H452" s="146"/>
      <c r="I452" s="146"/>
      <c r="J452" s="147"/>
      <c r="K452" s="140"/>
      <c r="L452" s="148"/>
      <c r="M452" s="149"/>
      <c r="N452" s="150"/>
      <c r="O452" s="149"/>
      <c r="P452" s="149"/>
      <c r="Q452" s="149"/>
      <c r="R452" s="149"/>
      <c r="S452" s="149"/>
      <c r="T452" s="149"/>
      <c r="U452" s="149"/>
      <c r="V452" s="149"/>
      <c r="W452" s="151"/>
      <c r="X452" s="149"/>
      <c r="Y452" s="152"/>
      <c r="Z452" s="153"/>
      <c r="AA452" s="149"/>
      <c r="AB452" s="154"/>
      <c r="AC452" s="155"/>
      <c r="AD452" s="155"/>
      <c r="AE452" s="155"/>
      <c r="AF452" s="155"/>
      <c r="AG452" s="149"/>
      <c r="AH452" s="149"/>
      <c r="AI452" s="149"/>
      <c r="AJ452" s="156"/>
      <c r="AK452" s="147"/>
      <c r="AL452" s="149"/>
      <c r="AM452" s="149"/>
      <c r="AN452" s="149"/>
      <c r="AO452" s="149"/>
      <c r="AP452" s="149"/>
      <c r="AQ452" s="157"/>
      <c r="AR452" s="149"/>
      <c r="AS452" s="158"/>
    </row>
    <row r="453" ht="15.75" customHeight="1">
      <c r="A453" s="140"/>
      <c r="B453" s="141"/>
      <c r="C453" s="142"/>
      <c r="D453" s="143"/>
      <c r="E453" s="144"/>
      <c r="F453" s="145"/>
      <c r="G453" s="146"/>
      <c r="H453" s="146"/>
      <c r="I453" s="146"/>
      <c r="J453" s="147"/>
      <c r="K453" s="140"/>
      <c r="L453" s="148"/>
      <c r="M453" s="149"/>
      <c r="N453" s="150"/>
      <c r="O453" s="149"/>
      <c r="P453" s="149"/>
      <c r="Q453" s="149"/>
      <c r="R453" s="149"/>
      <c r="S453" s="149"/>
      <c r="T453" s="149"/>
      <c r="U453" s="149"/>
      <c r="V453" s="149"/>
      <c r="W453" s="151"/>
      <c r="X453" s="149"/>
      <c r="Y453" s="152"/>
      <c r="Z453" s="153"/>
      <c r="AA453" s="149"/>
      <c r="AB453" s="154"/>
      <c r="AC453" s="155"/>
      <c r="AD453" s="155"/>
      <c r="AE453" s="155"/>
      <c r="AF453" s="155"/>
      <c r="AG453" s="149"/>
      <c r="AH453" s="149"/>
      <c r="AI453" s="149"/>
      <c r="AJ453" s="156"/>
      <c r="AK453" s="147"/>
      <c r="AL453" s="149"/>
      <c r="AM453" s="149"/>
      <c r="AN453" s="149"/>
      <c r="AO453" s="149"/>
      <c r="AP453" s="149"/>
      <c r="AQ453" s="157"/>
      <c r="AR453" s="149"/>
      <c r="AS453" s="158"/>
    </row>
    <row r="454" ht="15.75" customHeight="1">
      <c r="A454" s="140"/>
      <c r="B454" s="141"/>
      <c r="C454" s="142"/>
      <c r="D454" s="143"/>
      <c r="E454" s="144"/>
      <c r="F454" s="145"/>
      <c r="G454" s="146"/>
      <c r="H454" s="146"/>
      <c r="I454" s="146"/>
      <c r="J454" s="147"/>
      <c r="K454" s="140"/>
      <c r="L454" s="148"/>
      <c r="M454" s="149"/>
      <c r="N454" s="150"/>
      <c r="O454" s="149"/>
      <c r="P454" s="149"/>
      <c r="Q454" s="149"/>
      <c r="R454" s="149"/>
      <c r="S454" s="149"/>
      <c r="T454" s="149"/>
      <c r="U454" s="149"/>
      <c r="V454" s="149"/>
      <c r="W454" s="151"/>
      <c r="X454" s="149"/>
      <c r="Y454" s="152"/>
      <c r="Z454" s="153"/>
      <c r="AA454" s="149"/>
      <c r="AB454" s="154"/>
      <c r="AC454" s="155"/>
      <c r="AD454" s="155"/>
      <c r="AE454" s="155"/>
      <c r="AF454" s="155"/>
      <c r="AG454" s="149"/>
      <c r="AH454" s="149"/>
      <c r="AI454" s="149"/>
      <c r="AJ454" s="156"/>
      <c r="AK454" s="147"/>
      <c r="AL454" s="149"/>
      <c r="AM454" s="149"/>
      <c r="AN454" s="149"/>
      <c r="AO454" s="149"/>
      <c r="AP454" s="149"/>
      <c r="AQ454" s="157"/>
      <c r="AR454" s="149"/>
      <c r="AS454" s="158"/>
    </row>
    <row r="455" ht="15.75" customHeight="1">
      <c r="A455" s="140"/>
      <c r="B455" s="141"/>
      <c r="C455" s="142"/>
      <c r="D455" s="143"/>
      <c r="E455" s="144"/>
      <c r="F455" s="145"/>
      <c r="G455" s="146"/>
      <c r="H455" s="146"/>
      <c r="I455" s="146"/>
      <c r="J455" s="147"/>
      <c r="K455" s="140"/>
      <c r="L455" s="148"/>
      <c r="M455" s="149"/>
      <c r="N455" s="150"/>
      <c r="O455" s="149"/>
      <c r="P455" s="149"/>
      <c r="Q455" s="149"/>
      <c r="R455" s="149"/>
      <c r="S455" s="149"/>
      <c r="T455" s="149"/>
      <c r="U455" s="149"/>
      <c r="V455" s="149"/>
      <c r="W455" s="151"/>
      <c r="X455" s="149"/>
      <c r="Y455" s="152"/>
      <c r="Z455" s="153"/>
      <c r="AA455" s="149"/>
      <c r="AB455" s="154"/>
      <c r="AC455" s="155"/>
      <c r="AD455" s="155"/>
      <c r="AE455" s="155"/>
      <c r="AF455" s="155"/>
      <c r="AG455" s="149"/>
      <c r="AH455" s="149"/>
      <c r="AI455" s="149"/>
      <c r="AJ455" s="156"/>
      <c r="AK455" s="147"/>
      <c r="AL455" s="149"/>
      <c r="AM455" s="149"/>
      <c r="AN455" s="149"/>
      <c r="AO455" s="149"/>
      <c r="AP455" s="149"/>
      <c r="AQ455" s="157"/>
      <c r="AR455" s="149"/>
      <c r="AS455" s="158"/>
    </row>
    <row r="456" ht="15.75" customHeight="1">
      <c r="A456" s="140"/>
      <c r="B456" s="141"/>
      <c r="C456" s="142"/>
      <c r="D456" s="143"/>
      <c r="E456" s="144"/>
      <c r="F456" s="145"/>
      <c r="G456" s="146"/>
      <c r="H456" s="146"/>
      <c r="I456" s="146"/>
      <c r="J456" s="147"/>
      <c r="K456" s="140"/>
      <c r="L456" s="148"/>
      <c r="M456" s="149"/>
      <c r="N456" s="150"/>
      <c r="O456" s="149"/>
      <c r="P456" s="149"/>
      <c r="Q456" s="149"/>
      <c r="R456" s="149"/>
      <c r="S456" s="149"/>
      <c r="T456" s="149"/>
      <c r="U456" s="149"/>
      <c r="V456" s="149"/>
      <c r="W456" s="151"/>
      <c r="X456" s="149"/>
      <c r="Y456" s="152"/>
      <c r="Z456" s="153"/>
      <c r="AA456" s="149"/>
      <c r="AB456" s="154"/>
      <c r="AC456" s="155"/>
      <c r="AD456" s="155"/>
      <c r="AE456" s="155"/>
      <c r="AF456" s="155"/>
      <c r="AG456" s="149"/>
      <c r="AH456" s="149"/>
      <c r="AI456" s="149"/>
      <c r="AJ456" s="156"/>
      <c r="AK456" s="147"/>
      <c r="AL456" s="149"/>
      <c r="AM456" s="149"/>
      <c r="AN456" s="149"/>
      <c r="AO456" s="149"/>
      <c r="AP456" s="149"/>
      <c r="AQ456" s="157"/>
      <c r="AR456" s="149"/>
      <c r="AS456" s="158"/>
    </row>
    <row r="457" ht="15.75" customHeight="1">
      <c r="A457" s="140"/>
      <c r="B457" s="141"/>
      <c r="C457" s="142"/>
      <c r="D457" s="143"/>
      <c r="E457" s="144"/>
      <c r="F457" s="145"/>
      <c r="G457" s="146"/>
      <c r="H457" s="146"/>
      <c r="I457" s="146"/>
      <c r="J457" s="147"/>
      <c r="K457" s="140"/>
      <c r="L457" s="148"/>
      <c r="M457" s="149"/>
      <c r="N457" s="150"/>
      <c r="O457" s="149"/>
      <c r="P457" s="149"/>
      <c r="Q457" s="149"/>
      <c r="R457" s="149"/>
      <c r="S457" s="149"/>
      <c r="T457" s="149"/>
      <c r="U457" s="149"/>
      <c r="V457" s="149"/>
      <c r="W457" s="151"/>
      <c r="X457" s="149"/>
      <c r="Y457" s="152"/>
      <c r="Z457" s="153"/>
      <c r="AA457" s="149"/>
      <c r="AB457" s="154"/>
      <c r="AC457" s="155"/>
      <c r="AD457" s="155"/>
      <c r="AE457" s="155"/>
      <c r="AF457" s="155"/>
      <c r="AG457" s="149"/>
      <c r="AH457" s="149"/>
      <c r="AI457" s="149"/>
      <c r="AJ457" s="156"/>
      <c r="AK457" s="147"/>
      <c r="AL457" s="149"/>
      <c r="AM457" s="149"/>
      <c r="AN457" s="149"/>
      <c r="AO457" s="149"/>
      <c r="AP457" s="149"/>
      <c r="AQ457" s="157"/>
      <c r="AR457" s="149"/>
      <c r="AS457" s="158"/>
    </row>
    <row r="458" ht="15.75" customHeight="1">
      <c r="A458" s="140"/>
      <c r="B458" s="141"/>
      <c r="C458" s="142"/>
      <c r="D458" s="143"/>
      <c r="E458" s="144"/>
      <c r="F458" s="145"/>
      <c r="G458" s="146"/>
      <c r="H458" s="146"/>
      <c r="I458" s="146"/>
      <c r="J458" s="147"/>
      <c r="K458" s="140"/>
      <c r="L458" s="148"/>
      <c r="M458" s="149"/>
      <c r="N458" s="150"/>
      <c r="O458" s="149"/>
      <c r="P458" s="149"/>
      <c r="Q458" s="149"/>
      <c r="R458" s="149"/>
      <c r="S458" s="149"/>
      <c r="T458" s="149"/>
      <c r="U458" s="149"/>
      <c r="V458" s="149"/>
      <c r="W458" s="151"/>
      <c r="X458" s="149"/>
      <c r="Y458" s="152"/>
      <c r="Z458" s="153"/>
      <c r="AA458" s="149"/>
      <c r="AB458" s="154"/>
      <c r="AC458" s="155"/>
      <c r="AD458" s="155"/>
      <c r="AE458" s="155"/>
      <c r="AF458" s="155"/>
      <c r="AG458" s="149"/>
      <c r="AH458" s="149"/>
      <c r="AI458" s="149"/>
      <c r="AJ458" s="156"/>
      <c r="AK458" s="147"/>
      <c r="AL458" s="149"/>
      <c r="AM458" s="149"/>
      <c r="AN458" s="149"/>
      <c r="AO458" s="149"/>
      <c r="AP458" s="149"/>
      <c r="AQ458" s="157"/>
      <c r="AR458" s="149"/>
      <c r="AS458" s="158"/>
    </row>
    <row r="459" ht="15.75" customHeight="1">
      <c r="A459" s="140"/>
      <c r="B459" s="141"/>
      <c r="C459" s="142"/>
      <c r="D459" s="143"/>
      <c r="E459" s="144"/>
      <c r="F459" s="145"/>
      <c r="G459" s="146"/>
      <c r="H459" s="146"/>
      <c r="I459" s="146"/>
      <c r="J459" s="147"/>
      <c r="K459" s="140"/>
      <c r="L459" s="148"/>
      <c r="M459" s="149"/>
      <c r="N459" s="150"/>
      <c r="O459" s="149"/>
      <c r="P459" s="149"/>
      <c r="Q459" s="149"/>
      <c r="R459" s="149"/>
      <c r="S459" s="149"/>
      <c r="T459" s="149"/>
      <c r="U459" s="149"/>
      <c r="V459" s="149"/>
      <c r="W459" s="151"/>
      <c r="X459" s="149"/>
      <c r="Y459" s="152"/>
      <c r="Z459" s="153"/>
      <c r="AA459" s="149"/>
      <c r="AB459" s="154"/>
      <c r="AC459" s="155"/>
      <c r="AD459" s="155"/>
      <c r="AE459" s="155"/>
      <c r="AF459" s="155"/>
      <c r="AG459" s="149"/>
      <c r="AH459" s="149"/>
      <c r="AI459" s="149"/>
      <c r="AJ459" s="156"/>
      <c r="AK459" s="147"/>
      <c r="AL459" s="149"/>
      <c r="AM459" s="149"/>
      <c r="AN459" s="149"/>
      <c r="AO459" s="149"/>
      <c r="AP459" s="149"/>
      <c r="AQ459" s="157"/>
      <c r="AR459" s="149"/>
      <c r="AS459" s="158"/>
    </row>
    <row r="460" ht="15.75" customHeight="1">
      <c r="A460" s="140"/>
      <c r="B460" s="141"/>
      <c r="C460" s="142"/>
      <c r="D460" s="143"/>
      <c r="E460" s="144"/>
      <c r="F460" s="145"/>
      <c r="G460" s="146"/>
      <c r="H460" s="146"/>
      <c r="I460" s="146"/>
      <c r="J460" s="147"/>
      <c r="K460" s="140"/>
      <c r="L460" s="148"/>
      <c r="M460" s="149"/>
      <c r="N460" s="150"/>
      <c r="O460" s="149"/>
      <c r="P460" s="149"/>
      <c r="Q460" s="149"/>
      <c r="R460" s="149"/>
      <c r="S460" s="149"/>
      <c r="T460" s="149"/>
      <c r="U460" s="149"/>
      <c r="V460" s="149"/>
      <c r="W460" s="151"/>
      <c r="X460" s="149"/>
      <c r="Y460" s="152"/>
      <c r="Z460" s="153"/>
      <c r="AA460" s="149"/>
      <c r="AB460" s="154"/>
      <c r="AC460" s="155"/>
      <c r="AD460" s="155"/>
      <c r="AE460" s="155"/>
      <c r="AF460" s="155"/>
      <c r="AG460" s="149"/>
      <c r="AH460" s="149"/>
      <c r="AI460" s="149"/>
      <c r="AJ460" s="156"/>
      <c r="AK460" s="147"/>
      <c r="AL460" s="149"/>
      <c r="AM460" s="149"/>
      <c r="AN460" s="149"/>
      <c r="AO460" s="149"/>
      <c r="AP460" s="149"/>
      <c r="AQ460" s="157"/>
      <c r="AR460" s="149"/>
      <c r="AS460" s="158"/>
    </row>
    <row r="461" ht="15.75" customHeight="1">
      <c r="A461" s="140"/>
      <c r="B461" s="141"/>
      <c r="C461" s="142"/>
      <c r="D461" s="143"/>
      <c r="E461" s="144"/>
      <c r="F461" s="145"/>
      <c r="G461" s="146"/>
      <c r="H461" s="146"/>
      <c r="I461" s="146"/>
      <c r="J461" s="147"/>
      <c r="K461" s="140"/>
      <c r="L461" s="148"/>
      <c r="M461" s="149"/>
      <c r="N461" s="150"/>
      <c r="O461" s="149"/>
      <c r="P461" s="149"/>
      <c r="Q461" s="149"/>
      <c r="R461" s="149"/>
      <c r="S461" s="149"/>
      <c r="T461" s="149"/>
      <c r="U461" s="149"/>
      <c r="V461" s="149"/>
      <c r="W461" s="151"/>
      <c r="X461" s="149"/>
      <c r="Y461" s="152"/>
      <c r="Z461" s="153"/>
      <c r="AA461" s="149"/>
      <c r="AB461" s="154"/>
      <c r="AC461" s="155"/>
      <c r="AD461" s="155"/>
      <c r="AE461" s="155"/>
      <c r="AF461" s="155"/>
      <c r="AG461" s="149"/>
      <c r="AH461" s="149"/>
      <c r="AI461" s="149"/>
      <c r="AJ461" s="156"/>
      <c r="AK461" s="147"/>
      <c r="AL461" s="149"/>
      <c r="AM461" s="149"/>
      <c r="AN461" s="149"/>
      <c r="AO461" s="149"/>
      <c r="AP461" s="149"/>
      <c r="AQ461" s="157"/>
      <c r="AR461" s="149"/>
      <c r="AS461" s="158"/>
    </row>
    <row r="462" ht="15.75" customHeight="1">
      <c r="A462" s="140"/>
      <c r="B462" s="141"/>
      <c r="C462" s="142"/>
      <c r="D462" s="143"/>
      <c r="E462" s="144"/>
      <c r="F462" s="145"/>
      <c r="G462" s="146"/>
      <c r="H462" s="146"/>
      <c r="I462" s="146"/>
      <c r="J462" s="147"/>
      <c r="K462" s="140"/>
      <c r="L462" s="148"/>
      <c r="M462" s="149"/>
      <c r="N462" s="150"/>
      <c r="O462" s="149"/>
      <c r="P462" s="149"/>
      <c r="Q462" s="149"/>
      <c r="R462" s="149"/>
      <c r="S462" s="149"/>
      <c r="T462" s="149"/>
      <c r="U462" s="149"/>
      <c r="V462" s="149"/>
      <c r="W462" s="151"/>
      <c r="X462" s="149"/>
      <c r="Y462" s="152"/>
      <c r="Z462" s="153"/>
      <c r="AA462" s="149"/>
      <c r="AB462" s="154"/>
      <c r="AC462" s="155"/>
      <c r="AD462" s="155"/>
      <c r="AE462" s="155"/>
      <c r="AF462" s="155"/>
      <c r="AG462" s="149"/>
      <c r="AH462" s="149"/>
      <c r="AI462" s="149"/>
      <c r="AJ462" s="156"/>
      <c r="AK462" s="147"/>
      <c r="AL462" s="149"/>
      <c r="AM462" s="149"/>
      <c r="AN462" s="149"/>
      <c r="AO462" s="149"/>
      <c r="AP462" s="149"/>
      <c r="AQ462" s="157"/>
      <c r="AR462" s="149"/>
      <c r="AS462" s="158"/>
    </row>
    <row r="463" ht="15.75" customHeight="1">
      <c r="A463" s="140"/>
      <c r="B463" s="141"/>
      <c r="C463" s="142"/>
      <c r="D463" s="143"/>
      <c r="E463" s="144"/>
      <c r="F463" s="145"/>
      <c r="G463" s="146"/>
      <c r="H463" s="146"/>
      <c r="I463" s="146"/>
      <c r="J463" s="147"/>
      <c r="K463" s="140"/>
      <c r="L463" s="148"/>
      <c r="M463" s="149"/>
      <c r="N463" s="150"/>
      <c r="O463" s="149"/>
      <c r="P463" s="149"/>
      <c r="Q463" s="149"/>
      <c r="R463" s="149"/>
      <c r="S463" s="149"/>
      <c r="T463" s="149"/>
      <c r="U463" s="149"/>
      <c r="V463" s="149"/>
      <c r="W463" s="151"/>
      <c r="X463" s="149"/>
      <c r="Y463" s="152"/>
      <c r="Z463" s="153"/>
      <c r="AA463" s="149"/>
      <c r="AB463" s="154"/>
      <c r="AC463" s="155"/>
      <c r="AD463" s="155"/>
      <c r="AE463" s="155"/>
      <c r="AF463" s="155"/>
      <c r="AG463" s="149"/>
      <c r="AH463" s="149"/>
      <c r="AI463" s="149"/>
      <c r="AJ463" s="156"/>
      <c r="AK463" s="147"/>
      <c r="AL463" s="149"/>
      <c r="AM463" s="149"/>
      <c r="AN463" s="149"/>
      <c r="AO463" s="149"/>
      <c r="AP463" s="149"/>
      <c r="AQ463" s="157"/>
      <c r="AR463" s="149"/>
      <c r="AS463" s="158"/>
    </row>
    <row r="464" ht="15.75" customHeight="1">
      <c r="A464" s="140"/>
      <c r="B464" s="141"/>
      <c r="C464" s="142"/>
      <c r="D464" s="143"/>
      <c r="E464" s="144"/>
      <c r="F464" s="145"/>
      <c r="G464" s="146"/>
      <c r="H464" s="146"/>
      <c r="I464" s="146"/>
      <c r="J464" s="147"/>
      <c r="K464" s="140"/>
      <c r="L464" s="148"/>
      <c r="M464" s="149"/>
      <c r="N464" s="150"/>
      <c r="O464" s="149"/>
      <c r="P464" s="149"/>
      <c r="Q464" s="149"/>
      <c r="R464" s="149"/>
      <c r="S464" s="149"/>
      <c r="T464" s="149"/>
      <c r="U464" s="149"/>
      <c r="V464" s="149"/>
      <c r="W464" s="151"/>
      <c r="X464" s="149"/>
      <c r="Y464" s="152"/>
      <c r="Z464" s="153"/>
      <c r="AA464" s="149"/>
      <c r="AB464" s="154"/>
      <c r="AC464" s="155"/>
      <c r="AD464" s="155"/>
      <c r="AE464" s="155"/>
      <c r="AF464" s="155"/>
      <c r="AG464" s="149"/>
      <c r="AH464" s="149"/>
      <c r="AI464" s="149"/>
      <c r="AJ464" s="156"/>
      <c r="AK464" s="147"/>
      <c r="AL464" s="149"/>
      <c r="AM464" s="149"/>
      <c r="AN464" s="149"/>
      <c r="AO464" s="149"/>
      <c r="AP464" s="149"/>
      <c r="AQ464" s="157"/>
      <c r="AR464" s="149"/>
      <c r="AS464" s="158"/>
    </row>
    <row r="465" ht="15.75" customHeight="1">
      <c r="A465" s="140"/>
      <c r="B465" s="141"/>
      <c r="C465" s="142"/>
      <c r="D465" s="143"/>
      <c r="E465" s="144"/>
      <c r="F465" s="145"/>
      <c r="G465" s="146"/>
      <c r="H465" s="146"/>
      <c r="I465" s="146"/>
      <c r="J465" s="147"/>
      <c r="K465" s="140"/>
      <c r="L465" s="148"/>
      <c r="M465" s="149"/>
      <c r="N465" s="150"/>
      <c r="O465" s="149"/>
      <c r="P465" s="149"/>
      <c r="Q465" s="149"/>
      <c r="R465" s="149"/>
      <c r="S465" s="149"/>
      <c r="T465" s="149"/>
      <c r="U465" s="149"/>
      <c r="V465" s="149"/>
      <c r="W465" s="151"/>
      <c r="X465" s="149"/>
      <c r="Y465" s="152"/>
      <c r="Z465" s="153"/>
      <c r="AA465" s="149"/>
      <c r="AB465" s="154"/>
      <c r="AC465" s="155"/>
      <c r="AD465" s="155"/>
      <c r="AE465" s="155"/>
      <c r="AF465" s="155"/>
      <c r="AG465" s="149"/>
      <c r="AH465" s="149"/>
      <c r="AI465" s="149"/>
      <c r="AJ465" s="156"/>
      <c r="AK465" s="147"/>
      <c r="AL465" s="149"/>
      <c r="AM465" s="149"/>
      <c r="AN465" s="149"/>
      <c r="AO465" s="149"/>
      <c r="AP465" s="149"/>
      <c r="AQ465" s="157"/>
      <c r="AR465" s="149"/>
      <c r="AS465" s="158"/>
    </row>
    <row r="466" ht="15.75" customHeight="1">
      <c r="A466" s="140"/>
      <c r="B466" s="141"/>
      <c r="C466" s="142"/>
      <c r="D466" s="143"/>
      <c r="E466" s="144"/>
      <c r="F466" s="145"/>
      <c r="G466" s="146"/>
      <c r="H466" s="146"/>
      <c r="I466" s="146"/>
      <c r="J466" s="147"/>
      <c r="K466" s="140"/>
      <c r="L466" s="148"/>
      <c r="M466" s="149"/>
      <c r="N466" s="150"/>
      <c r="O466" s="149"/>
      <c r="P466" s="149"/>
      <c r="Q466" s="149"/>
      <c r="R466" s="149"/>
      <c r="S466" s="149"/>
      <c r="T466" s="149"/>
      <c r="U466" s="149"/>
      <c r="V466" s="149"/>
      <c r="W466" s="151"/>
      <c r="X466" s="149"/>
      <c r="Y466" s="152"/>
      <c r="Z466" s="153"/>
      <c r="AA466" s="149"/>
      <c r="AB466" s="154"/>
      <c r="AC466" s="155"/>
      <c r="AD466" s="155"/>
      <c r="AE466" s="155"/>
      <c r="AF466" s="155"/>
      <c r="AG466" s="149"/>
      <c r="AH466" s="149"/>
      <c r="AI466" s="149"/>
      <c r="AJ466" s="156"/>
      <c r="AK466" s="147"/>
      <c r="AL466" s="149"/>
      <c r="AM466" s="149"/>
      <c r="AN466" s="149"/>
      <c r="AO466" s="149"/>
      <c r="AP466" s="149"/>
      <c r="AQ466" s="157"/>
      <c r="AR466" s="149"/>
      <c r="AS466" s="158"/>
    </row>
    <row r="467" ht="15.75" customHeight="1">
      <c r="A467" s="140"/>
      <c r="B467" s="141"/>
      <c r="C467" s="142"/>
      <c r="D467" s="143"/>
      <c r="E467" s="144"/>
      <c r="F467" s="145"/>
      <c r="G467" s="146"/>
      <c r="H467" s="146"/>
      <c r="I467" s="146"/>
      <c r="J467" s="147"/>
      <c r="K467" s="140"/>
      <c r="L467" s="148"/>
      <c r="M467" s="149"/>
      <c r="N467" s="150"/>
      <c r="O467" s="149"/>
      <c r="P467" s="149"/>
      <c r="Q467" s="149"/>
      <c r="R467" s="149"/>
      <c r="S467" s="149"/>
      <c r="T467" s="149"/>
      <c r="U467" s="149"/>
      <c r="V467" s="149"/>
      <c r="W467" s="151"/>
      <c r="X467" s="149"/>
      <c r="Y467" s="152"/>
      <c r="Z467" s="153"/>
      <c r="AA467" s="149"/>
      <c r="AB467" s="154"/>
      <c r="AC467" s="155"/>
      <c r="AD467" s="155"/>
      <c r="AE467" s="155"/>
      <c r="AF467" s="155"/>
      <c r="AG467" s="149"/>
      <c r="AH467" s="149"/>
      <c r="AI467" s="149"/>
      <c r="AJ467" s="156"/>
      <c r="AK467" s="147"/>
      <c r="AL467" s="149"/>
      <c r="AM467" s="149"/>
      <c r="AN467" s="149"/>
      <c r="AO467" s="149"/>
      <c r="AP467" s="149"/>
      <c r="AQ467" s="157"/>
      <c r="AR467" s="149"/>
      <c r="AS467" s="158"/>
    </row>
    <row r="468" ht="15.75" customHeight="1">
      <c r="A468" s="140"/>
      <c r="B468" s="141"/>
      <c r="C468" s="142"/>
      <c r="D468" s="143"/>
      <c r="E468" s="144"/>
      <c r="F468" s="145"/>
      <c r="G468" s="146"/>
      <c r="H468" s="146"/>
      <c r="I468" s="146"/>
      <c r="J468" s="147"/>
      <c r="K468" s="140"/>
      <c r="L468" s="148"/>
      <c r="M468" s="149"/>
      <c r="N468" s="150"/>
      <c r="O468" s="149"/>
      <c r="P468" s="149"/>
      <c r="Q468" s="149"/>
      <c r="R468" s="149"/>
      <c r="S468" s="149"/>
      <c r="T468" s="149"/>
      <c r="U468" s="149"/>
      <c r="V468" s="149"/>
      <c r="W468" s="151"/>
      <c r="X468" s="149"/>
      <c r="Y468" s="152"/>
      <c r="Z468" s="153"/>
      <c r="AA468" s="149"/>
      <c r="AB468" s="154"/>
      <c r="AC468" s="155"/>
      <c r="AD468" s="155"/>
      <c r="AE468" s="155"/>
      <c r="AF468" s="155"/>
      <c r="AG468" s="149"/>
      <c r="AH468" s="149"/>
      <c r="AI468" s="149"/>
      <c r="AJ468" s="156"/>
      <c r="AK468" s="147"/>
      <c r="AL468" s="149"/>
      <c r="AM468" s="149"/>
      <c r="AN468" s="149"/>
      <c r="AO468" s="149"/>
      <c r="AP468" s="149"/>
      <c r="AQ468" s="157"/>
      <c r="AR468" s="149"/>
      <c r="AS468" s="158"/>
    </row>
    <row r="469" ht="15.75" customHeight="1">
      <c r="A469" s="140"/>
      <c r="B469" s="141"/>
      <c r="C469" s="142"/>
      <c r="D469" s="143"/>
      <c r="E469" s="144"/>
      <c r="F469" s="145"/>
      <c r="G469" s="146"/>
      <c r="H469" s="146"/>
      <c r="I469" s="146"/>
      <c r="J469" s="147"/>
      <c r="K469" s="140"/>
      <c r="L469" s="148"/>
      <c r="M469" s="149"/>
      <c r="N469" s="150"/>
      <c r="O469" s="149"/>
      <c r="P469" s="149"/>
      <c r="Q469" s="149"/>
      <c r="R469" s="149"/>
      <c r="S469" s="149"/>
      <c r="T469" s="149"/>
      <c r="U469" s="149"/>
      <c r="V469" s="149"/>
      <c r="W469" s="151"/>
      <c r="X469" s="149"/>
      <c r="Y469" s="152"/>
      <c r="Z469" s="153"/>
      <c r="AA469" s="149"/>
      <c r="AB469" s="154"/>
      <c r="AC469" s="155"/>
      <c r="AD469" s="155"/>
      <c r="AE469" s="155"/>
      <c r="AF469" s="155"/>
      <c r="AG469" s="149"/>
      <c r="AH469" s="149"/>
      <c r="AI469" s="149"/>
      <c r="AJ469" s="156"/>
      <c r="AK469" s="147"/>
      <c r="AL469" s="149"/>
      <c r="AM469" s="149"/>
      <c r="AN469" s="149"/>
      <c r="AO469" s="149"/>
      <c r="AP469" s="149"/>
      <c r="AQ469" s="157"/>
      <c r="AR469" s="149"/>
      <c r="AS469" s="158"/>
    </row>
    <row r="470" ht="15.75" customHeight="1">
      <c r="A470" s="140"/>
      <c r="B470" s="141"/>
      <c r="C470" s="142"/>
      <c r="D470" s="143"/>
      <c r="E470" s="144"/>
      <c r="F470" s="145"/>
      <c r="G470" s="146"/>
      <c r="H470" s="146"/>
      <c r="I470" s="146"/>
      <c r="J470" s="147"/>
      <c r="K470" s="140"/>
      <c r="L470" s="148"/>
      <c r="M470" s="149"/>
      <c r="N470" s="150"/>
      <c r="O470" s="149"/>
      <c r="P470" s="149"/>
      <c r="Q470" s="149"/>
      <c r="R470" s="149"/>
      <c r="S470" s="149"/>
      <c r="T470" s="149"/>
      <c r="U470" s="149"/>
      <c r="V470" s="149"/>
      <c r="W470" s="151"/>
      <c r="X470" s="149"/>
      <c r="Y470" s="152"/>
      <c r="Z470" s="153"/>
      <c r="AA470" s="149"/>
      <c r="AB470" s="154"/>
      <c r="AC470" s="155"/>
      <c r="AD470" s="155"/>
      <c r="AE470" s="155"/>
      <c r="AF470" s="155"/>
      <c r="AG470" s="149"/>
      <c r="AH470" s="149"/>
      <c r="AI470" s="149"/>
      <c r="AJ470" s="156"/>
      <c r="AK470" s="147"/>
      <c r="AL470" s="149"/>
      <c r="AM470" s="149"/>
      <c r="AN470" s="149"/>
      <c r="AO470" s="149"/>
      <c r="AP470" s="149"/>
      <c r="AQ470" s="157"/>
      <c r="AR470" s="149"/>
      <c r="AS470" s="158"/>
    </row>
    <row r="471" ht="15.75" customHeight="1">
      <c r="A471" s="140"/>
      <c r="B471" s="141"/>
      <c r="C471" s="142"/>
      <c r="D471" s="143"/>
      <c r="E471" s="144"/>
      <c r="F471" s="145"/>
      <c r="G471" s="146"/>
      <c r="H471" s="146"/>
      <c r="I471" s="146"/>
      <c r="J471" s="147"/>
      <c r="K471" s="140"/>
      <c r="L471" s="148"/>
      <c r="M471" s="149"/>
      <c r="N471" s="150"/>
      <c r="O471" s="149"/>
      <c r="P471" s="149"/>
      <c r="Q471" s="149"/>
      <c r="R471" s="149"/>
      <c r="S471" s="149"/>
      <c r="T471" s="149"/>
      <c r="U471" s="149"/>
      <c r="V471" s="149"/>
      <c r="W471" s="151"/>
      <c r="X471" s="149"/>
      <c r="Y471" s="152"/>
      <c r="Z471" s="153"/>
      <c r="AA471" s="149"/>
      <c r="AB471" s="154"/>
      <c r="AC471" s="155"/>
      <c r="AD471" s="155"/>
      <c r="AE471" s="155"/>
      <c r="AF471" s="155"/>
      <c r="AG471" s="149"/>
      <c r="AH471" s="149"/>
      <c r="AI471" s="149"/>
      <c r="AJ471" s="156"/>
      <c r="AK471" s="147"/>
      <c r="AL471" s="149"/>
      <c r="AM471" s="149"/>
      <c r="AN471" s="149"/>
      <c r="AO471" s="149"/>
      <c r="AP471" s="149"/>
      <c r="AQ471" s="157"/>
      <c r="AR471" s="149"/>
      <c r="AS471" s="158"/>
    </row>
    <row r="472" ht="15.75" customHeight="1">
      <c r="A472" s="140"/>
      <c r="B472" s="141"/>
      <c r="C472" s="142"/>
      <c r="D472" s="143"/>
      <c r="E472" s="144"/>
      <c r="F472" s="145"/>
      <c r="G472" s="146"/>
      <c r="H472" s="146"/>
      <c r="I472" s="146"/>
      <c r="J472" s="147"/>
      <c r="K472" s="140"/>
      <c r="L472" s="148"/>
      <c r="M472" s="149"/>
      <c r="N472" s="150"/>
      <c r="O472" s="149"/>
      <c r="P472" s="149"/>
      <c r="Q472" s="149"/>
      <c r="R472" s="149"/>
      <c r="S472" s="149"/>
      <c r="T472" s="149"/>
      <c r="U472" s="149"/>
      <c r="V472" s="149"/>
      <c r="W472" s="151"/>
      <c r="X472" s="149"/>
      <c r="Y472" s="152"/>
      <c r="Z472" s="153"/>
      <c r="AA472" s="149"/>
      <c r="AB472" s="154"/>
      <c r="AC472" s="155"/>
      <c r="AD472" s="155"/>
      <c r="AE472" s="155"/>
      <c r="AF472" s="155"/>
      <c r="AG472" s="149"/>
      <c r="AH472" s="149"/>
      <c r="AI472" s="149"/>
      <c r="AJ472" s="156"/>
      <c r="AK472" s="147"/>
      <c r="AL472" s="149"/>
      <c r="AM472" s="149"/>
      <c r="AN472" s="149"/>
      <c r="AO472" s="149"/>
      <c r="AP472" s="149"/>
      <c r="AQ472" s="157"/>
      <c r="AR472" s="149"/>
      <c r="AS472" s="158"/>
    </row>
    <row r="473" ht="15.75" customHeight="1">
      <c r="A473" s="140"/>
      <c r="B473" s="141"/>
      <c r="C473" s="142"/>
      <c r="D473" s="143"/>
      <c r="E473" s="144"/>
      <c r="F473" s="145"/>
      <c r="G473" s="146"/>
      <c r="H473" s="146"/>
      <c r="I473" s="146"/>
      <c r="J473" s="147"/>
      <c r="K473" s="140"/>
      <c r="L473" s="148"/>
      <c r="M473" s="149"/>
      <c r="N473" s="150"/>
      <c r="O473" s="149"/>
      <c r="P473" s="149"/>
      <c r="Q473" s="149"/>
      <c r="R473" s="149"/>
      <c r="S473" s="149"/>
      <c r="T473" s="149"/>
      <c r="U473" s="149"/>
      <c r="V473" s="149"/>
      <c r="W473" s="151"/>
      <c r="X473" s="149"/>
      <c r="Y473" s="152"/>
      <c r="Z473" s="153"/>
      <c r="AA473" s="149"/>
      <c r="AB473" s="154"/>
      <c r="AC473" s="155"/>
      <c r="AD473" s="155"/>
      <c r="AE473" s="155"/>
      <c r="AF473" s="155"/>
      <c r="AG473" s="149"/>
      <c r="AH473" s="149"/>
      <c r="AI473" s="149"/>
      <c r="AJ473" s="156"/>
      <c r="AK473" s="147"/>
      <c r="AL473" s="149"/>
      <c r="AM473" s="149"/>
      <c r="AN473" s="149"/>
      <c r="AO473" s="149"/>
      <c r="AP473" s="149"/>
      <c r="AQ473" s="157"/>
      <c r="AR473" s="149"/>
      <c r="AS473" s="158"/>
    </row>
    <row r="474" ht="15.75" customHeight="1">
      <c r="A474" s="140"/>
      <c r="B474" s="141"/>
      <c r="C474" s="142"/>
      <c r="D474" s="143"/>
      <c r="E474" s="144"/>
      <c r="F474" s="145"/>
      <c r="G474" s="146"/>
      <c r="H474" s="146"/>
      <c r="I474" s="146"/>
      <c r="J474" s="147"/>
      <c r="K474" s="140"/>
      <c r="L474" s="148"/>
      <c r="M474" s="149"/>
      <c r="N474" s="150"/>
      <c r="O474" s="149"/>
      <c r="P474" s="149"/>
      <c r="Q474" s="149"/>
      <c r="R474" s="149"/>
      <c r="S474" s="149"/>
      <c r="T474" s="149"/>
      <c r="U474" s="149"/>
      <c r="V474" s="149"/>
      <c r="W474" s="151"/>
      <c r="X474" s="149"/>
      <c r="Y474" s="152"/>
      <c r="Z474" s="153"/>
      <c r="AA474" s="149"/>
      <c r="AB474" s="154"/>
      <c r="AC474" s="155"/>
      <c r="AD474" s="155"/>
      <c r="AE474" s="155"/>
      <c r="AF474" s="155"/>
      <c r="AG474" s="149"/>
      <c r="AH474" s="149"/>
      <c r="AI474" s="149"/>
      <c r="AJ474" s="156"/>
      <c r="AK474" s="147"/>
      <c r="AL474" s="149"/>
      <c r="AM474" s="149"/>
      <c r="AN474" s="149"/>
      <c r="AO474" s="149"/>
      <c r="AP474" s="149"/>
      <c r="AQ474" s="157"/>
      <c r="AR474" s="149"/>
      <c r="AS474" s="158"/>
    </row>
    <row r="475" ht="15.75" customHeight="1">
      <c r="A475" s="140"/>
      <c r="B475" s="141"/>
      <c r="C475" s="142"/>
      <c r="D475" s="143"/>
      <c r="E475" s="144"/>
      <c r="F475" s="145"/>
      <c r="G475" s="146"/>
      <c r="H475" s="146"/>
      <c r="I475" s="146"/>
      <c r="J475" s="147"/>
      <c r="K475" s="140"/>
      <c r="L475" s="148"/>
      <c r="M475" s="149"/>
      <c r="N475" s="150"/>
      <c r="O475" s="149"/>
      <c r="P475" s="149"/>
      <c r="Q475" s="149"/>
      <c r="R475" s="149"/>
      <c r="S475" s="149"/>
      <c r="T475" s="149"/>
      <c r="U475" s="149"/>
      <c r="V475" s="149"/>
      <c r="W475" s="151"/>
      <c r="X475" s="149"/>
      <c r="Y475" s="152"/>
      <c r="Z475" s="153"/>
      <c r="AA475" s="149"/>
      <c r="AB475" s="154"/>
      <c r="AC475" s="155"/>
      <c r="AD475" s="155"/>
      <c r="AE475" s="155"/>
      <c r="AF475" s="155"/>
      <c r="AG475" s="149"/>
      <c r="AH475" s="149"/>
      <c r="AI475" s="149"/>
      <c r="AJ475" s="156"/>
      <c r="AK475" s="147"/>
      <c r="AL475" s="149"/>
      <c r="AM475" s="149"/>
      <c r="AN475" s="149"/>
      <c r="AO475" s="149"/>
      <c r="AP475" s="149"/>
      <c r="AQ475" s="157"/>
      <c r="AR475" s="149"/>
      <c r="AS475" s="158"/>
    </row>
    <row r="476" ht="15.75" customHeight="1">
      <c r="A476" s="140"/>
      <c r="B476" s="141"/>
      <c r="C476" s="142"/>
      <c r="D476" s="143"/>
      <c r="E476" s="144"/>
      <c r="F476" s="145"/>
      <c r="G476" s="146"/>
      <c r="H476" s="146"/>
      <c r="I476" s="146"/>
      <c r="J476" s="147"/>
      <c r="K476" s="140"/>
      <c r="L476" s="148"/>
      <c r="M476" s="149"/>
      <c r="N476" s="150"/>
      <c r="O476" s="149"/>
      <c r="P476" s="149"/>
      <c r="Q476" s="149"/>
      <c r="R476" s="149"/>
      <c r="S476" s="149"/>
      <c r="T476" s="149"/>
      <c r="U476" s="149"/>
      <c r="V476" s="149"/>
      <c r="W476" s="151"/>
      <c r="X476" s="149"/>
      <c r="Y476" s="152"/>
      <c r="Z476" s="153"/>
      <c r="AA476" s="149"/>
      <c r="AB476" s="154"/>
      <c r="AC476" s="155"/>
      <c r="AD476" s="155"/>
      <c r="AE476" s="155"/>
      <c r="AF476" s="155"/>
      <c r="AG476" s="149"/>
      <c r="AH476" s="149"/>
      <c r="AI476" s="149"/>
      <c r="AJ476" s="156"/>
      <c r="AK476" s="147"/>
      <c r="AL476" s="149"/>
      <c r="AM476" s="149"/>
      <c r="AN476" s="149"/>
      <c r="AO476" s="149"/>
      <c r="AP476" s="149"/>
      <c r="AQ476" s="157"/>
      <c r="AR476" s="149"/>
      <c r="AS476" s="158"/>
    </row>
    <row r="477" ht="15.75" customHeight="1">
      <c r="A477" s="140"/>
      <c r="B477" s="141"/>
      <c r="C477" s="142"/>
      <c r="D477" s="143"/>
      <c r="E477" s="144"/>
      <c r="F477" s="145"/>
      <c r="G477" s="146"/>
      <c r="H477" s="146"/>
      <c r="I477" s="146"/>
      <c r="J477" s="147"/>
      <c r="K477" s="140"/>
      <c r="L477" s="148"/>
      <c r="M477" s="149"/>
      <c r="N477" s="150"/>
      <c r="O477" s="149"/>
      <c r="P477" s="149"/>
      <c r="Q477" s="149"/>
      <c r="R477" s="149"/>
      <c r="S477" s="149"/>
      <c r="T477" s="149"/>
      <c r="U477" s="149"/>
      <c r="V477" s="149"/>
      <c r="W477" s="151"/>
      <c r="X477" s="149"/>
      <c r="Y477" s="152"/>
      <c r="Z477" s="153"/>
      <c r="AA477" s="149"/>
      <c r="AB477" s="154"/>
      <c r="AC477" s="155"/>
      <c r="AD477" s="155"/>
      <c r="AE477" s="155"/>
      <c r="AF477" s="155"/>
      <c r="AG477" s="149"/>
      <c r="AH477" s="149"/>
      <c r="AI477" s="149"/>
      <c r="AJ477" s="156"/>
      <c r="AK477" s="147"/>
      <c r="AL477" s="149"/>
      <c r="AM477" s="149"/>
      <c r="AN477" s="149"/>
      <c r="AO477" s="149"/>
      <c r="AP477" s="149"/>
      <c r="AQ477" s="157"/>
      <c r="AR477" s="149"/>
      <c r="AS477" s="158"/>
    </row>
    <row r="478" ht="15.75" customHeight="1">
      <c r="A478" s="140"/>
      <c r="B478" s="141"/>
      <c r="C478" s="142"/>
      <c r="D478" s="143"/>
      <c r="E478" s="144"/>
      <c r="F478" s="145"/>
      <c r="G478" s="146"/>
      <c r="H478" s="146"/>
      <c r="I478" s="146"/>
      <c r="J478" s="147"/>
      <c r="K478" s="140"/>
      <c r="L478" s="148"/>
      <c r="M478" s="149"/>
      <c r="N478" s="150"/>
      <c r="O478" s="149"/>
      <c r="P478" s="149"/>
      <c r="Q478" s="149"/>
      <c r="R478" s="149"/>
      <c r="S478" s="149"/>
      <c r="T478" s="149"/>
      <c r="U478" s="149"/>
      <c r="V478" s="149"/>
      <c r="W478" s="151"/>
      <c r="X478" s="149"/>
      <c r="Y478" s="152"/>
      <c r="Z478" s="153"/>
      <c r="AA478" s="149"/>
      <c r="AB478" s="154"/>
      <c r="AC478" s="155"/>
      <c r="AD478" s="155"/>
      <c r="AE478" s="155"/>
      <c r="AF478" s="155"/>
      <c r="AG478" s="149"/>
      <c r="AH478" s="149"/>
      <c r="AI478" s="149"/>
      <c r="AJ478" s="156"/>
      <c r="AK478" s="147"/>
      <c r="AL478" s="149"/>
      <c r="AM478" s="149"/>
      <c r="AN478" s="149"/>
      <c r="AO478" s="149"/>
      <c r="AP478" s="149"/>
      <c r="AQ478" s="157"/>
      <c r="AR478" s="149"/>
      <c r="AS478" s="158"/>
    </row>
    <row r="479" ht="15.75" customHeight="1">
      <c r="A479" s="140"/>
      <c r="B479" s="141"/>
      <c r="C479" s="142"/>
      <c r="D479" s="143"/>
      <c r="E479" s="144"/>
      <c r="F479" s="145"/>
      <c r="G479" s="146"/>
      <c r="H479" s="146"/>
      <c r="I479" s="146"/>
      <c r="J479" s="147"/>
      <c r="K479" s="140"/>
      <c r="L479" s="148"/>
      <c r="M479" s="149"/>
      <c r="N479" s="150"/>
      <c r="O479" s="149"/>
      <c r="P479" s="149"/>
      <c r="Q479" s="149"/>
      <c r="R479" s="149"/>
      <c r="S479" s="149"/>
      <c r="T479" s="149"/>
      <c r="U479" s="149"/>
      <c r="V479" s="149"/>
      <c r="W479" s="151"/>
      <c r="X479" s="149"/>
      <c r="Y479" s="152"/>
      <c r="Z479" s="153"/>
      <c r="AA479" s="149"/>
      <c r="AB479" s="154"/>
      <c r="AC479" s="155"/>
      <c r="AD479" s="155"/>
      <c r="AE479" s="155"/>
      <c r="AF479" s="155"/>
      <c r="AG479" s="149"/>
      <c r="AH479" s="149"/>
      <c r="AI479" s="149"/>
      <c r="AJ479" s="156"/>
      <c r="AK479" s="147"/>
      <c r="AL479" s="149"/>
      <c r="AM479" s="149"/>
      <c r="AN479" s="149"/>
      <c r="AO479" s="149"/>
      <c r="AP479" s="149"/>
      <c r="AQ479" s="157"/>
      <c r="AR479" s="149"/>
      <c r="AS479" s="158"/>
    </row>
    <row r="480" ht="15.75" customHeight="1">
      <c r="A480" s="140"/>
      <c r="B480" s="141"/>
      <c r="C480" s="142"/>
      <c r="D480" s="143"/>
      <c r="E480" s="144"/>
      <c r="F480" s="145"/>
      <c r="G480" s="146"/>
      <c r="H480" s="146"/>
      <c r="I480" s="146"/>
      <c r="J480" s="147"/>
      <c r="K480" s="140"/>
      <c r="L480" s="148"/>
      <c r="M480" s="149"/>
      <c r="N480" s="150"/>
      <c r="O480" s="149"/>
      <c r="P480" s="149"/>
      <c r="Q480" s="149"/>
      <c r="R480" s="149"/>
      <c r="S480" s="149"/>
      <c r="T480" s="149"/>
      <c r="U480" s="149"/>
      <c r="V480" s="149"/>
      <c r="W480" s="151"/>
      <c r="X480" s="149"/>
      <c r="Y480" s="152"/>
      <c r="Z480" s="153"/>
      <c r="AA480" s="149"/>
      <c r="AB480" s="154"/>
      <c r="AC480" s="155"/>
      <c r="AD480" s="155"/>
      <c r="AE480" s="155"/>
      <c r="AF480" s="155"/>
      <c r="AG480" s="149"/>
      <c r="AH480" s="149"/>
      <c r="AI480" s="149"/>
      <c r="AJ480" s="156"/>
      <c r="AK480" s="147"/>
      <c r="AL480" s="149"/>
      <c r="AM480" s="149"/>
      <c r="AN480" s="149"/>
      <c r="AO480" s="149"/>
      <c r="AP480" s="149"/>
      <c r="AQ480" s="157"/>
      <c r="AR480" s="149"/>
      <c r="AS480" s="158"/>
    </row>
    <row r="481" ht="15.75" customHeight="1">
      <c r="A481" s="140"/>
      <c r="B481" s="141"/>
      <c r="C481" s="142"/>
      <c r="D481" s="143"/>
      <c r="E481" s="144"/>
      <c r="F481" s="145"/>
      <c r="G481" s="146"/>
      <c r="H481" s="146"/>
      <c r="I481" s="146"/>
      <c r="J481" s="147"/>
      <c r="K481" s="140"/>
      <c r="L481" s="148"/>
      <c r="M481" s="149"/>
      <c r="N481" s="150"/>
      <c r="O481" s="149"/>
      <c r="P481" s="149"/>
      <c r="Q481" s="149"/>
      <c r="R481" s="149"/>
      <c r="S481" s="149"/>
      <c r="T481" s="149"/>
      <c r="U481" s="149"/>
      <c r="V481" s="149"/>
      <c r="W481" s="151"/>
      <c r="X481" s="149"/>
      <c r="Y481" s="152"/>
      <c r="Z481" s="153"/>
      <c r="AA481" s="149"/>
      <c r="AB481" s="154"/>
      <c r="AC481" s="155"/>
      <c r="AD481" s="155"/>
      <c r="AE481" s="155"/>
      <c r="AF481" s="155"/>
      <c r="AG481" s="149"/>
      <c r="AH481" s="149"/>
      <c r="AI481" s="149"/>
      <c r="AJ481" s="156"/>
      <c r="AK481" s="147"/>
      <c r="AL481" s="149"/>
      <c r="AM481" s="149"/>
      <c r="AN481" s="149"/>
      <c r="AO481" s="149"/>
      <c r="AP481" s="149"/>
      <c r="AQ481" s="157"/>
      <c r="AR481" s="149"/>
      <c r="AS481" s="158"/>
    </row>
    <row r="482" ht="15.75" customHeight="1">
      <c r="A482" s="140"/>
      <c r="B482" s="141"/>
      <c r="C482" s="142"/>
      <c r="D482" s="143"/>
      <c r="E482" s="144"/>
      <c r="F482" s="145"/>
      <c r="G482" s="146"/>
      <c r="H482" s="146"/>
      <c r="I482" s="146"/>
      <c r="J482" s="147"/>
      <c r="K482" s="140"/>
      <c r="L482" s="148"/>
      <c r="M482" s="149"/>
      <c r="N482" s="150"/>
      <c r="O482" s="149"/>
      <c r="P482" s="149"/>
      <c r="Q482" s="149"/>
      <c r="R482" s="149"/>
      <c r="S482" s="149"/>
      <c r="T482" s="149"/>
      <c r="U482" s="149"/>
      <c r="V482" s="149"/>
      <c r="W482" s="151"/>
      <c r="X482" s="149"/>
      <c r="Y482" s="152"/>
      <c r="Z482" s="153"/>
      <c r="AA482" s="149"/>
      <c r="AB482" s="154"/>
      <c r="AC482" s="155"/>
      <c r="AD482" s="155"/>
      <c r="AE482" s="155"/>
      <c r="AF482" s="155"/>
      <c r="AG482" s="149"/>
      <c r="AH482" s="149"/>
      <c r="AI482" s="149"/>
      <c r="AJ482" s="156"/>
      <c r="AK482" s="147"/>
      <c r="AL482" s="149"/>
      <c r="AM482" s="149"/>
      <c r="AN482" s="149"/>
      <c r="AO482" s="149"/>
      <c r="AP482" s="149"/>
      <c r="AQ482" s="157"/>
      <c r="AR482" s="149"/>
      <c r="AS482" s="158"/>
    </row>
    <row r="483" ht="15.75" customHeight="1">
      <c r="A483" s="140"/>
      <c r="B483" s="141"/>
      <c r="C483" s="142"/>
      <c r="D483" s="143"/>
      <c r="E483" s="144"/>
      <c r="F483" s="145"/>
      <c r="G483" s="146"/>
      <c r="H483" s="146"/>
      <c r="I483" s="146"/>
      <c r="J483" s="147"/>
      <c r="K483" s="140"/>
      <c r="L483" s="148"/>
      <c r="M483" s="149"/>
      <c r="N483" s="150"/>
      <c r="O483" s="149"/>
      <c r="P483" s="149"/>
      <c r="Q483" s="149"/>
      <c r="R483" s="149"/>
      <c r="S483" s="149"/>
      <c r="T483" s="149"/>
      <c r="U483" s="149"/>
      <c r="V483" s="149"/>
      <c r="W483" s="151"/>
      <c r="X483" s="149"/>
      <c r="Y483" s="152"/>
      <c r="Z483" s="153"/>
      <c r="AA483" s="149"/>
      <c r="AB483" s="154"/>
      <c r="AC483" s="155"/>
      <c r="AD483" s="155"/>
      <c r="AE483" s="155"/>
      <c r="AF483" s="155"/>
      <c r="AG483" s="149"/>
      <c r="AH483" s="149"/>
      <c r="AI483" s="149"/>
      <c r="AJ483" s="156"/>
      <c r="AK483" s="147"/>
      <c r="AL483" s="149"/>
      <c r="AM483" s="149"/>
      <c r="AN483" s="149"/>
      <c r="AO483" s="149"/>
      <c r="AP483" s="149"/>
      <c r="AQ483" s="157"/>
      <c r="AR483" s="149"/>
      <c r="AS483" s="158"/>
    </row>
    <row r="484" ht="15.75" customHeight="1">
      <c r="A484" s="140"/>
      <c r="B484" s="141"/>
      <c r="C484" s="142"/>
      <c r="D484" s="143"/>
      <c r="E484" s="144"/>
      <c r="F484" s="145"/>
      <c r="G484" s="146"/>
      <c r="H484" s="146"/>
      <c r="I484" s="146"/>
      <c r="J484" s="147"/>
      <c r="K484" s="140"/>
      <c r="L484" s="148"/>
      <c r="M484" s="149"/>
      <c r="N484" s="150"/>
      <c r="O484" s="149"/>
      <c r="P484" s="149"/>
      <c r="Q484" s="149"/>
      <c r="R484" s="149"/>
      <c r="S484" s="149"/>
      <c r="T484" s="149"/>
      <c r="U484" s="149"/>
      <c r="V484" s="149"/>
      <c r="W484" s="151"/>
      <c r="X484" s="149"/>
      <c r="Y484" s="152"/>
      <c r="Z484" s="153"/>
      <c r="AA484" s="149"/>
      <c r="AB484" s="154"/>
      <c r="AC484" s="155"/>
      <c r="AD484" s="155"/>
      <c r="AE484" s="155"/>
      <c r="AF484" s="155"/>
      <c r="AG484" s="149"/>
      <c r="AH484" s="149"/>
      <c r="AI484" s="149"/>
      <c r="AJ484" s="156"/>
      <c r="AK484" s="147"/>
      <c r="AL484" s="149"/>
      <c r="AM484" s="149"/>
      <c r="AN484" s="149"/>
      <c r="AO484" s="149"/>
      <c r="AP484" s="149"/>
      <c r="AQ484" s="157"/>
      <c r="AR484" s="149"/>
      <c r="AS484" s="158"/>
    </row>
    <row r="485" ht="15.75" customHeight="1">
      <c r="A485" s="140"/>
      <c r="B485" s="141"/>
      <c r="C485" s="142"/>
      <c r="D485" s="143"/>
      <c r="E485" s="144"/>
      <c r="F485" s="145"/>
      <c r="G485" s="146"/>
      <c r="H485" s="146"/>
      <c r="I485" s="146"/>
      <c r="J485" s="147"/>
      <c r="K485" s="140"/>
      <c r="L485" s="148"/>
      <c r="M485" s="149"/>
      <c r="N485" s="150"/>
      <c r="O485" s="149"/>
      <c r="P485" s="149"/>
      <c r="Q485" s="149"/>
      <c r="R485" s="149"/>
      <c r="S485" s="149"/>
      <c r="T485" s="149"/>
      <c r="U485" s="149"/>
      <c r="V485" s="149"/>
      <c r="W485" s="151"/>
      <c r="X485" s="149"/>
      <c r="Y485" s="152"/>
      <c r="Z485" s="153"/>
      <c r="AA485" s="149"/>
      <c r="AB485" s="154"/>
      <c r="AC485" s="155"/>
      <c r="AD485" s="155"/>
      <c r="AE485" s="155"/>
      <c r="AF485" s="155"/>
      <c r="AG485" s="149"/>
      <c r="AH485" s="149"/>
      <c r="AI485" s="149"/>
      <c r="AJ485" s="156"/>
      <c r="AK485" s="147"/>
      <c r="AL485" s="149"/>
      <c r="AM485" s="149"/>
      <c r="AN485" s="149"/>
      <c r="AO485" s="149"/>
      <c r="AP485" s="149"/>
      <c r="AQ485" s="157"/>
      <c r="AR485" s="149"/>
      <c r="AS485" s="158"/>
    </row>
    <row r="486" ht="15.75" customHeight="1">
      <c r="A486" s="140"/>
      <c r="B486" s="141"/>
      <c r="C486" s="142"/>
      <c r="D486" s="143"/>
      <c r="E486" s="144"/>
      <c r="F486" s="145"/>
      <c r="G486" s="146"/>
      <c r="H486" s="146"/>
      <c r="I486" s="146"/>
      <c r="J486" s="147"/>
      <c r="K486" s="140"/>
      <c r="L486" s="148"/>
      <c r="M486" s="149"/>
      <c r="N486" s="150"/>
      <c r="O486" s="149"/>
      <c r="P486" s="149"/>
      <c r="Q486" s="149"/>
      <c r="R486" s="149"/>
      <c r="S486" s="149"/>
      <c r="T486" s="149"/>
      <c r="U486" s="149"/>
      <c r="V486" s="149"/>
      <c r="W486" s="151"/>
      <c r="X486" s="149"/>
      <c r="Y486" s="152"/>
      <c r="Z486" s="153"/>
      <c r="AA486" s="149"/>
      <c r="AB486" s="154"/>
      <c r="AC486" s="155"/>
      <c r="AD486" s="155"/>
      <c r="AE486" s="155"/>
      <c r="AF486" s="155"/>
      <c r="AG486" s="149"/>
      <c r="AH486" s="149"/>
      <c r="AI486" s="149"/>
      <c r="AJ486" s="156"/>
      <c r="AK486" s="147"/>
      <c r="AL486" s="149"/>
      <c r="AM486" s="149"/>
      <c r="AN486" s="149"/>
      <c r="AO486" s="149"/>
      <c r="AP486" s="149"/>
      <c r="AQ486" s="157"/>
      <c r="AR486" s="149"/>
      <c r="AS486" s="158"/>
    </row>
    <row r="487" ht="15.75" customHeight="1">
      <c r="A487" s="140"/>
      <c r="B487" s="141"/>
      <c r="C487" s="142"/>
      <c r="D487" s="143"/>
      <c r="E487" s="144"/>
      <c r="F487" s="145"/>
      <c r="G487" s="146"/>
      <c r="H487" s="146"/>
      <c r="I487" s="146"/>
      <c r="J487" s="147"/>
      <c r="K487" s="140"/>
      <c r="L487" s="148"/>
      <c r="M487" s="149"/>
      <c r="N487" s="150"/>
      <c r="O487" s="149"/>
      <c r="P487" s="149"/>
      <c r="Q487" s="149"/>
      <c r="R487" s="149"/>
      <c r="S487" s="149"/>
      <c r="T487" s="149"/>
      <c r="U487" s="149"/>
      <c r="V487" s="149"/>
      <c r="W487" s="151"/>
      <c r="X487" s="149"/>
      <c r="Y487" s="152"/>
      <c r="Z487" s="153"/>
      <c r="AA487" s="149"/>
      <c r="AB487" s="154"/>
      <c r="AC487" s="155"/>
      <c r="AD487" s="155"/>
      <c r="AE487" s="155"/>
      <c r="AF487" s="155"/>
      <c r="AG487" s="149"/>
      <c r="AH487" s="149"/>
      <c r="AI487" s="149"/>
      <c r="AJ487" s="156"/>
      <c r="AK487" s="147"/>
      <c r="AL487" s="149"/>
      <c r="AM487" s="149"/>
      <c r="AN487" s="149"/>
      <c r="AO487" s="149"/>
      <c r="AP487" s="149"/>
      <c r="AQ487" s="157"/>
      <c r="AR487" s="149"/>
      <c r="AS487" s="158"/>
    </row>
    <row r="488" ht="15.75" customHeight="1">
      <c r="A488" s="140"/>
      <c r="B488" s="141"/>
      <c r="C488" s="142"/>
      <c r="D488" s="143"/>
      <c r="E488" s="144"/>
      <c r="F488" s="145"/>
      <c r="G488" s="146"/>
      <c r="H488" s="146"/>
      <c r="I488" s="146"/>
      <c r="J488" s="147"/>
      <c r="K488" s="140"/>
      <c r="L488" s="148"/>
      <c r="M488" s="149"/>
      <c r="N488" s="150"/>
      <c r="O488" s="149"/>
      <c r="P488" s="149"/>
      <c r="Q488" s="149"/>
      <c r="R488" s="149"/>
      <c r="S488" s="149"/>
      <c r="T488" s="149"/>
      <c r="U488" s="149"/>
      <c r="V488" s="149"/>
      <c r="W488" s="151"/>
      <c r="X488" s="149"/>
      <c r="Y488" s="152"/>
      <c r="Z488" s="153"/>
      <c r="AA488" s="149"/>
      <c r="AB488" s="154"/>
      <c r="AC488" s="155"/>
      <c r="AD488" s="155"/>
      <c r="AE488" s="155"/>
      <c r="AF488" s="155"/>
      <c r="AG488" s="149"/>
      <c r="AH488" s="149"/>
      <c r="AI488" s="149"/>
      <c r="AJ488" s="156"/>
      <c r="AK488" s="147"/>
      <c r="AL488" s="149"/>
      <c r="AM488" s="149"/>
      <c r="AN488" s="149"/>
      <c r="AO488" s="149"/>
      <c r="AP488" s="149"/>
      <c r="AQ488" s="157"/>
      <c r="AR488" s="149"/>
      <c r="AS488" s="158"/>
    </row>
    <row r="489" ht="15.75" customHeight="1">
      <c r="A489" s="140"/>
      <c r="B489" s="141"/>
      <c r="C489" s="142"/>
      <c r="D489" s="143"/>
      <c r="E489" s="144"/>
      <c r="F489" s="145"/>
      <c r="G489" s="146"/>
      <c r="H489" s="146"/>
      <c r="I489" s="146"/>
      <c r="J489" s="147"/>
      <c r="K489" s="140"/>
      <c r="L489" s="148"/>
      <c r="M489" s="149"/>
      <c r="N489" s="150"/>
      <c r="O489" s="149"/>
      <c r="P489" s="149"/>
      <c r="Q489" s="149"/>
      <c r="R489" s="149"/>
      <c r="S489" s="149"/>
      <c r="T489" s="149"/>
      <c r="U489" s="149"/>
      <c r="V489" s="149"/>
      <c r="W489" s="151"/>
      <c r="X489" s="149"/>
      <c r="Y489" s="152"/>
      <c r="Z489" s="153"/>
      <c r="AA489" s="149"/>
      <c r="AB489" s="154"/>
      <c r="AC489" s="155"/>
      <c r="AD489" s="155"/>
      <c r="AE489" s="155"/>
      <c r="AF489" s="155"/>
      <c r="AG489" s="149"/>
      <c r="AH489" s="149"/>
      <c r="AI489" s="149"/>
      <c r="AJ489" s="156"/>
      <c r="AK489" s="147"/>
      <c r="AL489" s="149"/>
      <c r="AM489" s="149"/>
      <c r="AN489" s="149"/>
      <c r="AO489" s="149"/>
      <c r="AP489" s="149"/>
      <c r="AQ489" s="157"/>
      <c r="AR489" s="149"/>
      <c r="AS489" s="158"/>
    </row>
    <row r="490" ht="15.75" customHeight="1">
      <c r="A490" s="140"/>
      <c r="B490" s="141"/>
      <c r="C490" s="142"/>
      <c r="D490" s="143"/>
      <c r="E490" s="144"/>
      <c r="F490" s="145"/>
      <c r="G490" s="146"/>
      <c r="H490" s="146"/>
      <c r="I490" s="146"/>
      <c r="J490" s="147"/>
      <c r="K490" s="140"/>
      <c r="L490" s="148"/>
      <c r="M490" s="149"/>
      <c r="N490" s="150"/>
      <c r="O490" s="149"/>
      <c r="P490" s="149"/>
      <c r="Q490" s="149"/>
      <c r="R490" s="149"/>
      <c r="S490" s="149"/>
      <c r="T490" s="149"/>
      <c r="U490" s="149"/>
      <c r="V490" s="149"/>
      <c r="W490" s="151"/>
      <c r="X490" s="149"/>
      <c r="Y490" s="152"/>
      <c r="Z490" s="153"/>
      <c r="AA490" s="149"/>
      <c r="AB490" s="154"/>
      <c r="AC490" s="155"/>
      <c r="AD490" s="155"/>
      <c r="AE490" s="155"/>
      <c r="AF490" s="155"/>
      <c r="AG490" s="149"/>
      <c r="AH490" s="149"/>
      <c r="AI490" s="149"/>
      <c r="AJ490" s="156"/>
      <c r="AK490" s="147"/>
      <c r="AL490" s="149"/>
      <c r="AM490" s="149"/>
      <c r="AN490" s="149"/>
      <c r="AO490" s="149"/>
      <c r="AP490" s="149"/>
      <c r="AQ490" s="157"/>
      <c r="AR490" s="149"/>
      <c r="AS490" s="158"/>
    </row>
    <row r="491" ht="15.75" customHeight="1">
      <c r="A491" s="140"/>
      <c r="B491" s="141"/>
      <c r="C491" s="142"/>
      <c r="D491" s="143"/>
      <c r="E491" s="144"/>
      <c r="F491" s="145"/>
      <c r="G491" s="146"/>
      <c r="H491" s="146"/>
      <c r="I491" s="146"/>
      <c r="J491" s="147"/>
      <c r="K491" s="140"/>
      <c r="L491" s="148"/>
      <c r="M491" s="149"/>
      <c r="N491" s="150"/>
      <c r="O491" s="149"/>
      <c r="P491" s="149"/>
      <c r="Q491" s="149"/>
      <c r="R491" s="149"/>
      <c r="S491" s="149"/>
      <c r="T491" s="149"/>
      <c r="U491" s="149"/>
      <c r="V491" s="149"/>
      <c r="W491" s="151"/>
      <c r="X491" s="149"/>
      <c r="Y491" s="152"/>
      <c r="Z491" s="153"/>
      <c r="AA491" s="149"/>
      <c r="AB491" s="154"/>
      <c r="AC491" s="155"/>
      <c r="AD491" s="155"/>
      <c r="AE491" s="155"/>
      <c r="AF491" s="155"/>
      <c r="AG491" s="149"/>
      <c r="AH491" s="149"/>
      <c r="AI491" s="149"/>
      <c r="AJ491" s="156"/>
      <c r="AK491" s="147"/>
      <c r="AL491" s="149"/>
      <c r="AM491" s="149"/>
      <c r="AN491" s="149"/>
      <c r="AO491" s="149"/>
      <c r="AP491" s="149"/>
      <c r="AQ491" s="157"/>
      <c r="AR491" s="149"/>
      <c r="AS491" s="158"/>
    </row>
    <row r="492" ht="15.75" customHeight="1">
      <c r="A492" s="140"/>
      <c r="B492" s="141"/>
      <c r="C492" s="142"/>
      <c r="D492" s="143"/>
      <c r="E492" s="144"/>
      <c r="F492" s="145"/>
      <c r="G492" s="146"/>
      <c r="H492" s="146"/>
      <c r="I492" s="146"/>
      <c r="J492" s="147"/>
      <c r="K492" s="140"/>
      <c r="L492" s="148"/>
      <c r="M492" s="149"/>
      <c r="N492" s="150"/>
      <c r="O492" s="149"/>
      <c r="P492" s="149"/>
      <c r="Q492" s="149"/>
      <c r="R492" s="149"/>
      <c r="S492" s="149"/>
      <c r="T492" s="149"/>
      <c r="U492" s="149"/>
      <c r="V492" s="149"/>
      <c r="W492" s="151"/>
      <c r="X492" s="149"/>
      <c r="Y492" s="152"/>
      <c r="Z492" s="153"/>
      <c r="AA492" s="149"/>
      <c r="AB492" s="154"/>
      <c r="AC492" s="155"/>
      <c r="AD492" s="155"/>
      <c r="AE492" s="155"/>
      <c r="AF492" s="155"/>
      <c r="AG492" s="149"/>
      <c r="AH492" s="149"/>
      <c r="AI492" s="149"/>
      <c r="AJ492" s="156"/>
      <c r="AK492" s="147"/>
      <c r="AL492" s="149"/>
      <c r="AM492" s="149"/>
      <c r="AN492" s="149"/>
      <c r="AO492" s="149"/>
      <c r="AP492" s="149"/>
      <c r="AQ492" s="157"/>
      <c r="AR492" s="149"/>
      <c r="AS492" s="158"/>
    </row>
    <row r="493" ht="15.75" customHeight="1">
      <c r="A493" s="140"/>
      <c r="B493" s="141"/>
      <c r="C493" s="142"/>
      <c r="D493" s="143"/>
      <c r="E493" s="144"/>
      <c r="F493" s="145"/>
      <c r="G493" s="146"/>
      <c r="H493" s="146"/>
      <c r="I493" s="146"/>
      <c r="J493" s="147"/>
      <c r="K493" s="140"/>
      <c r="L493" s="148"/>
      <c r="M493" s="149"/>
      <c r="N493" s="150"/>
      <c r="O493" s="149"/>
      <c r="P493" s="149"/>
      <c r="Q493" s="149"/>
      <c r="R493" s="149"/>
      <c r="S493" s="149"/>
      <c r="T493" s="149"/>
      <c r="U493" s="149"/>
      <c r="V493" s="149"/>
      <c r="W493" s="151"/>
      <c r="X493" s="149"/>
      <c r="Y493" s="152"/>
      <c r="Z493" s="153"/>
      <c r="AA493" s="149"/>
      <c r="AB493" s="154"/>
      <c r="AC493" s="155"/>
      <c r="AD493" s="155"/>
      <c r="AE493" s="155"/>
      <c r="AF493" s="155"/>
      <c r="AG493" s="149"/>
      <c r="AH493" s="149"/>
      <c r="AI493" s="149"/>
      <c r="AJ493" s="156"/>
      <c r="AK493" s="147"/>
      <c r="AL493" s="149"/>
      <c r="AM493" s="149"/>
      <c r="AN493" s="149"/>
      <c r="AO493" s="149"/>
      <c r="AP493" s="149"/>
      <c r="AQ493" s="157"/>
      <c r="AR493" s="149"/>
      <c r="AS493" s="158"/>
    </row>
    <row r="494" ht="15.75" customHeight="1">
      <c r="A494" s="140"/>
      <c r="B494" s="141"/>
      <c r="C494" s="142"/>
      <c r="D494" s="143"/>
      <c r="E494" s="144"/>
      <c r="F494" s="145"/>
      <c r="G494" s="146"/>
      <c r="H494" s="146"/>
      <c r="I494" s="146"/>
      <c r="J494" s="147"/>
      <c r="K494" s="140"/>
      <c r="L494" s="148"/>
      <c r="M494" s="149"/>
      <c r="N494" s="150"/>
      <c r="O494" s="149"/>
      <c r="P494" s="149"/>
      <c r="Q494" s="149"/>
      <c r="R494" s="149"/>
      <c r="S494" s="149"/>
      <c r="T494" s="149"/>
      <c r="U494" s="149"/>
      <c r="V494" s="149"/>
      <c r="W494" s="151"/>
      <c r="X494" s="149"/>
      <c r="Y494" s="152"/>
      <c r="Z494" s="153"/>
      <c r="AA494" s="149"/>
      <c r="AB494" s="154"/>
      <c r="AC494" s="155"/>
      <c r="AD494" s="155"/>
      <c r="AE494" s="155"/>
      <c r="AF494" s="155"/>
      <c r="AG494" s="149"/>
      <c r="AH494" s="149"/>
      <c r="AI494" s="149"/>
      <c r="AJ494" s="156"/>
      <c r="AK494" s="147"/>
      <c r="AL494" s="149"/>
      <c r="AM494" s="149"/>
      <c r="AN494" s="149"/>
      <c r="AO494" s="149"/>
      <c r="AP494" s="149"/>
      <c r="AQ494" s="157"/>
      <c r="AR494" s="149"/>
      <c r="AS494" s="158"/>
    </row>
    <row r="495" ht="15.75" customHeight="1">
      <c r="A495" s="140"/>
      <c r="B495" s="141"/>
      <c r="C495" s="142"/>
      <c r="D495" s="143"/>
      <c r="E495" s="144"/>
      <c r="F495" s="145"/>
      <c r="G495" s="146"/>
      <c r="H495" s="146"/>
      <c r="I495" s="146"/>
      <c r="J495" s="147"/>
      <c r="K495" s="140"/>
      <c r="L495" s="148"/>
      <c r="M495" s="149"/>
      <c r="N495" s="150"/>
      <c r="O495" s="149"/>
      <c r="P495" s="149"/>
      <c r="Q495" s="149"/>
      <c r="R495" s="149"/>
      <c r="S495" s="149"/>
      <c r="T495" s="149"/>
      <c r="U495" s="149"/>
      <c r="V495" s="149"/>
      <c r="W495" s="151"/>
      <c r="X495" s="149"/>
      <c r="Y495" s="152"/>
      <c r="Z495" s="153"/>
      <c r="AA495" s="149"/>
      <c r="AB495" s="154"/>
      <c r="AC495" s="155"/>
      <c r="AD495" s="155"/>
      <c r="AE495" s="155"/>
      <c r="AF495" s="155"/>
      <c r="AG495" s="149"/>
      <c r="AH495" s="149"/>
      <c r="AI495" s="149"/>
      <c r="AJ495" s="156"/>
      <c r="AK495" s="147"/>
      <c r="AL495" s="149"/>
      <c r="AM495" s="149"/>
      <c r="AN495" s="149"/>
      <c r="AO495" s="149"/>
      <c r="AP495" s="149"/>
      <c r="AQ495" s="157"/>
      <c r="AR495" s="149"/>
      <c r="AS495" s="158"/>
    </row>
    <row r="496" ht="15.75" customHeight="1">
      <c r="A496" s="140"/>
      <c r="B496" s="141"/>
      <c r="C496" s="142"/>
      <c r="D496" s="143"/>
      <c r="E496" s="144"/>
      <c r="F496" s="145"/>
      <c r="G496" s="146"/>
      <c r="H496" s="146"/>
      <c r="I496" s="146"/>
      <c r="J496" s="147"/>
      <c r="K496" s="140"/>
      <c r="L496" s="148"/>
      <c r="M496" s="149"/>
      <c r="N496" s="150"/>
      <c r="O496" s="149"/>
      <c r="P496" s="149"/>
      <c r="Q496" s="149"/>
      <c r="R496" s="149"/>
      <c r="S496" s="149"/>
      <c r="T496" s="149"/>
      <c r="U496" s="149"/>
      <c r="V496" s="149"/>
      <c r="W496" s="151"/>
      <c r="X496" s="149"/>
      <c r="Y496" s="152"/>
      <c r="Z496" s="153"/>
      <c r="AA496" s="149"/>
      <c r="AB496" s="154"/>
      <c r="AC496" s="155"/>
      <c r="AD496" s="155"/>
      <c r="AE496" s="155"/>
      <c r="AF496" s="155"/>
      <c r="AG496" s="149"/>
      <c r="AH496" s="149"/>
      <c r="AI496" s="149"/>
      <c r="AJ496" s="156"/>
      <c r="AK496" s="147"/>
      <c r="AL496" s="149"/>
      <c r="AM496" s="149"/>
      <c r="AN496" s="149"/>
      <c r="AO496" s="149"/>
      <c r="AP496" s="149"/>
      <c r="AQ496" s="157"/>
      <c r="AR496" s="149"/>
      <c r="AS496" s="158"/>
    </row>
    <row r="497" ht="15.75" customHeight="1">
      <c r="A497" s="140"/>
      <c r="B497" s="141"/>
      <c r="C497" s="142"/>
      <c r="D497" s="143"/>
      <c r="E497" s="144"/>
      <c r="F497" s="145"/>
      <c r="G497" s="146"/>
      <c r="H497" s="146"/>
      <c r="I497" s="146"/>
      <c r="J497" s="147"/>
      <c r="K497" s="140"/>
      <c r="L497" s="148"/>
      <c r="M497" s="149"/>
      <c r="N497" s="150"/>
      <c r="O497" s="149"/>
      <c r="P497" s="149"/>
      <c r="Q497" s="149"/>
      <c r="R497" s="149"/>
      <c r="S497" s="149"/>
      <c r="T497" s="149"/>
      <c r="U497" s="149"/>
      <c r="V497" s="149"/>
      <c r="W497" s="151"/>
      <c r="X497" s="149"/>
      <c r="Y497" s="152"/>
      <c r="Z497" s="153"/>
      <c r="AA497" s="149"/>
      <c r="AB497" s="154"/>
      <c r="AC497" s="155"/>
      <c r="AD497" s="155"/>
      <c r="AE497" s="155"/>
      <c r="AF497" s="155"/>
      <c r="AG497" s="149"/>
      <c r="AH497" s="149"/>
      <c r="AI497" s="149"/>
      <c r="AJ497" s="156"/>
      <c r="AK497" s="147"/>
      <c r="AL497" s="149"/>
      <c r="AM497" s="149"/>
      <c r="AN497" s="149"/>
      <c r="AO497" s="149"/>
      <c r="AP497" s="149"/>
      <c r="AQ497" s="157"/>
      <c r="AR497" s="149"/>
      <c r="AS497" s="158"/>
    </row>
    <row r="498" ht="15.75" customHeight="1">
      <c r="A498" s="140"/>
      <c r="B498" s="141"/>
      <c r="C498" s="142"/>
      <c r="D498" s="143"/>
      <c r="E498" s="144"/>
      <c r="F498" s="145"/>
      <c r="G498" s="146"/>
      <c r="H498" s="146"/>
      <c r="I498" s="146"/>
      <c r="J498" s="147"/>
      <c r="K498" s="140"/>
      <c r="L498" s="148"/>
      <c r="M498" s="149"/>
      <c r="N498" s="150"/>
      <c r="O498" s="149"/>
      <c r="P498" s="149"/>
      <c r="Q498" s="149"/>
      <c r="R498" s="149"/>
      <c r="S498" s="149"/>
      <c r="T498" s="149"/>
      <c r="U498" s="149"/>
      <c r="V498" s="149"/>
      <c r="W498" s="151"/>
      <c r="X498" s="149"/>
      <c r="Y498" s="152"/>
      <c r="Z498" s="153"/>
      <c r="AA498" s="149"/>
      <c r="AB498" s="154"/>
      <c r="AC498" s="155"/>
      <c r="AD498" s="155"/>
      <c r="AE498" s="155"/>
      <c r="AF498" s="155"/>
      <c r="AG498" s="149"/>
      <c r="AH498" s="149"/>
      <c r="AI498" s="149"/>
      <c r="AJ498" s="156"/>
      <c r="AK498" s="147"/>
      <c r="AL498" s="149"/>
      <c r="AM498" s="149"/>
      <c r="AN498" s="149"/>
      <c r="AO498" s="149"/>
      <c r="AP498" s="149"/>
      <c r="AQ498" s="157"/>
      <c r="AR498" s="149"/>
      <c r="AS498" s="158"/>
    </row>
    <row r="499" ht="15.75" customHeight="1">
      <c r="A499" s="140"/>
      <c r="B499" s="141"/>
      <c r="C499" s="142"/>
      <c r="D499" s="143"/>
      <c r="E499" s="144"/>
      <c r="F499" s="145"/>
      <c r="G499" s="146"/>
      <c r="H499" s="146"/>
      <c r="I499" s="146"/>
      <c r="J499" s="147"/>
      <c r="K499" s="140"/>
      <c r="L499" s="148"/>
      <c r="M499" s="149"/>
      <c r="N499" s="150"/>
      <c r="O499" s="149"/>
      <c r="P499" s="149"/>
      <c r="Q499" s="149"/>
      <c r="R499" s="149"/>
      <c r="S499" s="149"/>
      <c r="T499" s="149"/>
      <c r="U499" s="149"/>
      <c r="V499" s="149"/>
      <c r="W499" s="151"/>
      <c r="X499" s="149"/>
      <c r="Y499" s="152"/>
      <c r="Z499" s="153"/>
      <c r="AA499" s="149"/>
      <c r="AB499" s="154"/>
      <c r="AC499" s="155"/>
      <c r="AD499" s="155"/>
      <c r="AE499" s="155"/>
      <c r="AF499" s="155"/>
      <c r="AG499" s="149"/>
      <c r="AH499" s="149"/>
      <c r="AI499" s="149"/>
      <c r="AJ499" s="156"/>
      <c r="AK499" s="147"/>
      <c r="AL499" s="149"/>
      <c r="AM499" s="149"/>
      <c r="AN499" s="149"/>
      <c r="AO499" s="149"/>
      <c r="AP499" s="149"/>
      <c r="AQ499" s="157"/>
      <c r="AR499" s="149"/>
      <c r="AS499" s="158"/>
    </row>
    <row r="500" ht="15.75" customHeight="1">
      <c r="A500" s="140"/>
      <c r="B500" s="141"/>
      <c r="C500" s="142"/>
      <c r="D500" s="143"/>
      <c r="E500" s="144"/>
      <c r="F500" s="145"/>
      <c r="G500" s="146"/>
      <c r="H500" s="146"/>
      <c r="I500" s="146"/>
      <c r="J500" s="147"/>
      <c r="K500" s="140"/>
      <c r="L500" s="148"/>
      <c r="M500" s="149"/>
      <c r="N500" s="150"/>
      <c r="O500" s="149"/>
      <c r="P500" s="149"/>
      <c r="Q500" s="149"/>
      <c r="R500" s="149"/>
      <c r="S500" s="149"/>
      <c r="T500" s="149"/>
      <c r="U500" s="149"/>
      <c r="V500" s="149"/>
      <c r="W500" s="151"/>
      <c r="X500" s="149"/>
      <c r="Y500" s="152"/>
      <c r="Z500" s="153"/>
      <c r="AA500" s="149"/>
      <c r="AB500" s="154"/>
      <c r="AC500" s="155"/>
      <c r="AD500" s="155"/>
      <c r="AE500" s="155"/>
      <c r="AF500" s="155"/>
      <c r="AG500" s="149"/>
      <c r="AH500" s="149"/>
      <c r="AI500" s="149"/>
      <c r="AJ500" s="156"/>
      <c r="AK500" s="147"/>
      <c r="AL500" s="149"/>
      <c r="AM500" s="149"/>
      <c r="AN500" s="149"/>
      <c r="AO500" s="149"/>
      <c r="AP500" s="149"/>
      <c r="AQ500" s="157"/>
      <c r="AR500" s="149"/>
      <c r="AS500" s="158"/>
    </row>
    <row r="501" ht="15.75" customHeight="1">
      <c r="A501" s="140"/>
      <c r="B501" s="141"/>
      <c r="C501" s="142"/>
      <c r="D501" s="143"/>
      <c r="E501" s="144"/>
      <c r="F501" s="145"/>
      <c r="G501" s="146"/>
      <c r="H501" s="146"/>
      <c r="I501" s="146"/>
      <c r="J501" s="147"/>
      <c r="K501" s="140"/>
      <c r="L501" s="148"/>
      <c r="M501" s="149"/>
      <c r="N501" s="150"/>
      <c r="O501" s="149"/>
      <c r="P501" s="149"/>
      <c r="Q501" s="149"/>
      <c r="R501" s="149"/>
      <c r="S501" s="149"/>
      <c r="T501" s="149"/>
      <c r="U501" s="149"/>
      <c r="V501" s="149"/>
      <c r="W501" s="151"/>
      <c r="X501" s="149"/>
      <c r="Y501" s="152"/>
      <c r="Z501" s="153"/>
      <c r="AA501" s="149"/>
      <c r="AB501" s="154"/>
      <c r="AC501" s="155"/>
      <c r="AD501" s="155"/>
      <c r="AE501" s="155"/>
      <c r="AF501" s="155"/>
      <c r="AG501" s="149"/>
      <c r="AH501" s="149"/>
      <c r="AI501" s="149"/>
      <c r="AJ501" s="156"/>
      <c r="AK501" s="147"/>
      <c r="AL501" s="149"/>
      <c r="AM501" s="149"/>
      <c r="AN501" s="149"/>
      <c r="AO501" s="149"/>
      <c r="AP501" s="149"/>
      <c r="AQ501" s="157"/>
      <c r="AR501" s="149"/>
      <c r="AS501" s="158"/>
    </row>
    <row r="502" ht="15.75" customHeight="1">
      <c r="A502" s="140"/>
      <c r="B502" s="141"/>
      <c r="C502" s="142"/>
      <c r="D502" s="143"/>
      <c r="E502" s="144"/>
      <c r="F502" s="145"/>
      <c r="G502" s="146"/>
      <c r="H502" s="146"/>
      <c r="I502" s="146"/>
      <c r="J502" s="147"/>
      <c r="K502" s="140"/>
      <c r="L502" s="148"/>
      <c r="M502" s="149"/>
      <c r="N502" s="150"/>
      <c r="O502" s="149"/>
      <c r="P502" s="149"/>
      <c r="Q502" s="149"/>
      <c r="R502" s="149"/>
      <c r="S502" s="149"/>
      <c r="T502" s="149"/>
      <c r="U502" s="149"/>
      <c r="V502" s="149"/>
      <c r="W502" s="151"/>
      <c r="X502" s="149"/>
      <c r="Y502" s="152"/>
      <c r="Z502" s="153"/>
      <c r="AA502" s="149"/>
      <c r="AB502" s="154"/>
      <c r="AC502" s="155"/>
      <c r="AD502" s="155"/>
      <c r="AE502" s="155"/>
      <c r="AF502" s="155"/>
      <c r="AG502" s="149"/>
      <c r="AH502" s="149"/>
      <c r="AI502" s="149"/>
      <c r="AJ502" s="156"/>
      <c r="AK502" s="147"/>
      <c r="AL502" s="149"/>
      <c r="AM502" s="149"/>
      <c r="AN502" s="149"/>
      <c r="AO502" s="149"/>
      <c r="AP502" s="149"/>
      <c r="AQ502" s="157"/>
      <c r="AR502" s="149"/>
      <c r="AS502" s="158"/>
    </row>
    <row r="503" ht="15.75" customHeight="1">
      <c r="A503" s="140"/>
      <c r="B503" s="141"/>
      <c r="C503" s="142"/>
      <c r="D503" s="143"/>
      <c r="E503" s="144"/>
      <c r="F503" s="145"/>
      <c r="G503" s="146"/>
      <c r="H503" s="146"/>
      <c r="I503" s="146"/>
      <c r="J503" s="147"/>
      <c r="K503" s="140"/>
      <c r="L503" s="148"/>
      <c r="M503" s="149"/>
      <c r="N503" s="150"/>
      <c r="O503" s="149"/>
      <c r="P503" s="149"/>
      <c r="Q503" s="149"/>
      <c r="R503" s="149"/>
      <c r="S503" s="149"/>
      <c r="T503" s="149"/>
      <c r="U503" s="149"/>
      <c r="V503" s="149"/>
      <c r="W503" s="151"/>
      <c r="X503" s="149"/>
      <c r="Y503" s="152"/>
      <c r="Z503" s="153"/>
      <c r="AA503" s="149"/>
      <c r="AB503" s="154"/>
      <c r="AC503" s="155"/>
      <c r="AD503" s="155"/>
      <c r="AE503" s="155"/>
      <c r="AF503" s="155"/>
      <c r="AG503" s="149"/>
      <c r="AH503" s="149"/>
      <c r="AI503" s="149"/>
      <c r="AJ503" s="156"/>
      <c r="AK503" s="147"/>
      <c r="AL503" s="149"/>
      <c r="AM503" s="149"/>
      <c r="AN503" s="149"/>
      <c r="AO503" s="149"/>
      <c r="AP503" s="149"/>
      <c r="AQ503" s="157"/>
      <c r="AR503" s="149"/>
      <c r="AS503" s="158"/>
    </row>
    <row r="504" ht="15.75" customHeight="1">
      <c r="A504" s="140"/>
      <c r="B504" s="141"/>
      <c r="C504" s="142"/>
      <c r="D504" s="143"/>
      <c r="E504" s="144"/>
      <c r="F504" s="145"/>
      <c r="G504" s="146"/>
      <c r="H504" s="146"/>
      <c r="I504" s="146"/>
      <c r="J504" s="147"/>
      <c r="K504" s="140"/>
      <c r="L504" s="148"/>
      <c r="M504" s="149"/>
      <c r="N504" s="150"/>
      <c r="O504" s="149"/>
      <c r="P504" s="149"/>
      <c r="Q504" s="149"/>
      <c r="R504" s="149"/>
      <c r="S504" s="149"/>
      <c r="T504" s="149"/>
      <c r="U504" s="149"/>
      <c r="V504" s="149"/>
      <c r="W504" s="151"/>
      <c r="X504" s="149"/>
      <c r="Y504" s="152"/>
      <c r="Z504" s="153"/>
      <c r="AA504" s="149"/>
      <c r="AB504" s="154"/>
      <c r="AC504" s="155"/>
      <c r="AD504" s="155"/>
      <c r="AE504" s="155"/>
      <c r="AF504" s="155"/>
      <c r="AG504" s="149"/>
      <c r="AH504" s="149"/>
      <c r="AI504" s="149"/>
      <c r="AJ504" s="156"/>
      <c r="AK504" s="147"/>
      <c r="AL504" s="149"/>
      <c r="AM504" s="149"/>
      <c r="AN504" s="149"/>
      <c r="AO504" s="149"/>
      <c r="AP504" s="149"/>
      <c r="AQ504" s="157"/>
      <c r="AR504" s="149"/>
      <c r="AS504" s="158"/>
    </row>
    <row r="505" ht="15.75" customHeight="1">
      <c r="A505" s="140"/>
      <c r="B505" s="141"/>
      <c r="C505" s="142"/>
      <c r="D505" s="143"/>
      <c r="E505" s="144"/>
      <c r="F505" s="145"/>
      <c r="G505" s="146"/>
      <c r="H505" s="146"/>
      <c r="I505" s="146"/>
      <c r="J505" s="147"/>
      <c r="K505" s="140"/>
      <c r="L505" s="148"/>
      <c r="M505" s="149"/>
      <c r="N505" s="150"/>
      <c r="O505" s="149"/>
      <c r="P505" s="149"/>
      <c r="Q505" s="149"/>
      <c r="R505" s="149"/>
      <c r="S505" s="149"/>
      <c r="T505" s="149"/>
      <c r="U505" s="149"/>
      <c r="V505" s="149"/>
      <c r="W505" s="151"/>
      <c r="X505" s="149"/>
      <c r="Y505" s="152"/>
      <c r="Z505" s="153"/>
      <c r="AA505" s="149"/>
      <c r="AB505" s="154"/>
      <c r="AC505" s="155"/>
      <c r="AD505" s="155"/>
      <c r="AE505" s="155"/>
      <c r="AF505" s="155"/>
      <c r="AG505" s="149"/>
      <c r="AH505" s="149"/>
      <c r="AI505" s="149"/>
      <c r="AJ505" s="156"/>
      <c r="AK505" s="147"/>
      <c r="AL505" s="149"/>
      <c r="AM505" s="149"/>
      <c r="AN505" s="149"/>
      <c r="AO505" s="149"/>
      <c r="AP505" s="149"/>
      <c r="AQ505" s="157"/>
      <c r="AR505" s="149"/>
      <c r="AS505" s="158"/>
    </row>
    <row r="506" ht="15.75" customHeight="1">
      <c r="A506" s="140"/>
      <c r="B506" s="141"/>
      <c r="C506" s="142"/>
      <c r="D506" s="143"/>
      <c r="E506" s="144"/>
      <c r="F506" s="145"/>
      <c r="G506" s="146"/>
      <c r="H506" s="146"/>
      <c r="I506" s="146"/>
      <c r="J506" s="147"/>
      <c r="K506" s="140"/>
      <c r="L506" s="148"/>
      <c r="M506" s="149"/>
      <c r="N506" s="150"/>
      <c r="O506" s="149"/>
      <c r="P506" s="149"/>
      <c r="Q506" s="149"/>
      <c r="R506" s="149"/>
      <c r="S506" s="149"/>
      <c r="T506" s="149"/>
      <c r="U506" s="149"/>
      <c r="V506" s="149"/>
      <c r="W506" s="151"/>
      <c r="X506" s="149"/>
      <c r="Y506" s="152"/>
      <c r="Z506" s="153"/>
      <c r="AA506" s="149"/>
      <c r="AB506" s="154"/>
      <c r="AC506" s="155"/>
      <c r="AD506" s="155"/>
      <c r="AE506" s="155"/>
      <c r="AF506" s="155"/>
      <c r="AG506" s="149"/>
      <c r="AH506" s="149"/>
      <c r="AI506" s="149"/>
      <c r="AJ506" s="156"/>
      <c r="AK506" s="147"/>
      <c r="AL506" s="149"/>
      <c r="AM506" s="149"/>
      <c r="AN506" s="149"/>
      <c r="AO506" s="149"/>
      <c r="AP506" s="149"/>
      <c r="AQ506" s="157"/>
      <c r="AR506" s="149"/>
      <c r="AS506" s="158"/>
    </row>
    <row r="507" ht="15.75" customHeight="1">
      <c r="A507" s="140"/>
      <c r="B507" s="141"/>
      <c r="C507" s="142"/>
      <c r="D507" s="143"/>
      <c r="E507" s="144"/>
      <c r="F507" s="145"/>
      <c r="G507" s="146"/>
      <c r="H507" s="146"/>
      <c r="I507" s="146"/>
      <c r="J507" s="147"/>
      <c r="K507" s="140"/>
      <c r="L507" s="148"/>
      <c r="M507" s="149"/>
      <c r="N507" s="150"/>
      <c r="O507" s="149"/>
      <c r="P507" s="149"/>
      <c r="Q507" s="149"/>
      <c r="R507" s="149"/>
      <c r="S507" s="149"/>
      <c r="T507" s="149"/>
      <c r="U507" s="149"/>
      <c r="V507" s="149"/>
      <c r="W507" s="151"/>
      <c r="X507" s="149"/>
      <c r="Y507" s="152"/>
      <c r="Z507" s="153"/>
      <c r="AA507" s="149"/>
      <c r="AB507" s="154"/>
      <c r="AC507" s="155"/>
      <c r="AD507" s="155"/>
      <c r="AE507" s="155"/>
      <c r="AF507" s="155"/>
      <c r="AG507" s="149"/>
      <c r="AH507" s="149"/>
      <c r="AI507" s="149"/>
      <c r="AJ507" s="156"/>
      <c r="AK507" s="147"/>
      <c r="AL507" s="149"/>
      <c r="AM507" s="149"/>
      <c r="AN507" s="149"/>
      <c r="AO507" s="149"/>
      <c r="AP507" s="149"/>
      <c r="AQ507" s="157"/>
      <c r="AR507" s="149"/>
      <c r="AS507" s="158"/>
    </row>
    <row r="508" ht="15.75" customHeight="1">
      <c r="A508" s="140"/>
      <c r="B508" s="141"/>
      <c r="C508" s="142"/>
      <c r="D508" s="143"/>
      <c r="E508" s="144"/>
      <c r="F508" s="145"/>
      <c r="G508" s="146"/>
      <c r="H508" s="146"/>
      <c r="I508" s="146"/>
      <c r="J508" s="147"/>
      <c r="K508" s="140"/>
      <c r="L508" s="148"/>
      <c r="M508" s="149"/>
      <c r="N508" s="150"/>
      <c r="O508" s="149"/>
      <c r="P508" s="149"/>
      <c r="Q508" s="149"/>
      <c r="R508" s="149"/>
      <c r="S508" s="149"/>
      <c r="T508" s="149"/>
      <c r="U508" s="149"/>
      <c r="V508" s="149"/>
      <c r="W508" s="151"/>
      <c r="X508" s="149"/>
      <c r="Y508" s="152"/>
      <c r="Z508" s="153"/>
      <c r="AA508" s="149"/>
      <c r="AB508" s="154"/>
      <c r="AC508" s="155"/>
      <c r="AD508" s="155"/>
      <c r="AE508" s="155"/>
      <c r="AF508" s="155"/>
      <c r="AG508" s="149"/>
      <c r="AH508" s="149"/>
      <c r="AI508" s="149"/>
      <c r="AJ508" s="156"/>
      <c r="AK508" s="147"/>
      <c r="AL508" s="149"/>
      <c r="AM508" s="149"/>
      <c r="AN508" s="149"/>
      <c r="AO508" s="149"/>
      <c r="AP508" s="149"/>
      <c r="AQ508" s="157"/>
      <c r="AR508" s="149"/>
      <c r="AS508" s="158"/>
    </row>
    <row r="509" ht="15.75" customHeight="1">
      <c r="A509" s="140"/>
      <c r="B509" s="141"/>
      <c r="C509" s="142"/>
      <c r="D509" s="143"/>
      <c r="E509" s="144"/>
      <c r="F509" s="145"/>
      <c r="G509" s="146"/>
      <c r="H509" s="146"/>
      <c r="I509" s="146"/>
      <c r="J509" s="147"/>
      <c r="K509" s="140"/>
      <c r="L509" s="148"/>
      <c r="M509" s="149"/>
      <c r="N509" s="150"/>
      <c r="O509" s="149"/>
      <c r="P509" s="149"/>
      <c r="Q509" s="149"/>
      <c r="R509" s="149"/>
      <c r="S509" s="149"/>
      <c r="T509" s="149"/>
      <c r="U509" s="149"/>
      <c r="V509" s="149"/>
      <c r="W509" s="151"/>
      <c r="X509" s="149"/>
      <c r="Y509" s="152"/>
      <c r="Z509" s="153"/>
      <c r="AA509" s="149"/>
      <c r="AB509" s="154"/>
      <c r="AC509" s="155"/>
      <c r="AD509" s="155"/>
      <c r="AE509" s="155"/>
      <c r="AF509" s="155"/>
      <c r="AG509" s="149"/>
      <c r="AH509" s="149"/>
      <c r="AI509" s="149"/>
      <c r="AJ509" s="156"/>
      <c r="AK509" s="147"/>
      <c r="AL509" s="149"/>
      <c r="AM509" s="149"/>
      <c r="AN509" s="149"/>
      <c r="AO509" s="149"/>
      <c r="AP509" s="149"/>
      <c r="AQ509" s="157"/>
      <c r="AR509" s="149"/>
      <c r="AS509" s="158"/>
    </row>
    <row r="510" ht="15.75" customHeight="1">
      <c r="A510" s="149"/>
      <c r="B510" s="149"/>
      <c r="C510" s="159"/>
      <c r="D510" s="160"/>
      <c r="E510" s="161"/>
      <c r="F510" s="162"/>
      <c r="G510" s="163"/>
      <c r="H510" s="163"/>
      <c r="I510" s="163"/>
      <c r="J510" s="149"/>
      <c r="K510" s="149"/>
      <c r="L510" s="164"/>
      <c r="M510" s="149"/>
      <c r="N510" s="150"/>
      <c r="O510" s="149"/>
      <c r="P510" s="149"/>
      <c r="Q510" s="149"/>
      <c r="R510" s="149"/>
      <c r="S510" s="149"/>
      <c r="T510" s="149"/>
      <c r="U510" s="149"/>
      <c r="V510" s="149"/>
      <c r="W510" s="151"/>
      <c r="X510" s="149"/>
      <c r="Y510" s="152"/>
      <c r="Z510" s="153"/>
      <c r="AA510" s="149"/>
      <c r="AB510" s="154"/>
      <c r="AC510" s="155"/>
      <c r="AD510" s="155"/>
      <c r="AE510" s="155"/>
      <c r="AF510" s="155"/>
      <c r="AG510" s="149"/>
      <c r="AH510" s="149"/>
      <c r="AI510" s="149"/>
      <c r="AJ510" s="156"/>
      <c r="AK510" s="149"/>
      <c r="AL510" s="149"/>
      <c r="AM510" s="149"/>
      <c r="AN510" s="149"/>
      <c r="AO510" s="149"/>
      <c r="AP510" s="149"/>
      <c r="AQ510" s="157"/>
      <c r="AR510" s="149"/>
      <c r="AS510" s="158"/>
    </row>
    <row r="511" ht="15.75" customHeight="1">
      <c r="A511" s="149"/>
      <c r="B511" s="149"/>
      <c r="C511" s="159"/>
      <c r="D511" s="160"/>
      <c r="E511" s="161"/>
      <c r="F511" s="162"/>
      <c r="G511" s="163"/>
      <c r="H511" s="163"/>
      <c r="I511" s="163"/>
      <c r="J511" s="149"/>
      <c r="K511" s="149"/>
      <c r="L511" s="164"/>
      <c r="M511" s="149"/>
      <c r="N511" s="150"/>
      <c r="O511" s="149"/>
      <c r="P511" s="149"/>
      <c r="Q511" s="149"/>
      <c r="R511" s="149"/>
      <c r="S511" s="149"/>
      <c r="T511" s="149"/>
      <c r="U511" s="149"/>
      <c r="V511" s="149"/>
      <c r="W511" s="151"/>
      <c r="X511" s="149"/>
      <c r="Y511" s="152"/>
      <c r="Z511" s="153"/>
      <c r="AA511" s="149"/>
      <c r="AB511" s="154"/>
      <c r="AC511" s="155"/>
      <c r="AD511" s="155"/>
      <c r="AE511" s="155"/>
      <c r="AF511" s="155"/>
      <c r="AG511" s="149"/>
      <c r="AH511" s="149"/>
      <c r="AI511" s="149"/>
      <c r="AJ511" s="156"/>
      <c r="AK511" s="149"/>
      <c r="AL511" s="149"/>
      <c r="AM511" s="149"/>
      <c r="AN511" s="149"/>
      <c r="AO511" s="149"/>
      <c r="AP511" s="149"/>
      <c r="AQ511" s="157"/>
      <c r="AR511" s="149"/>
      <c r="AS511" s="158"/>
    </row>
    <row r="512" ht="15.75" customHeight="1">
      <c r="A512" s="149"/>
      <c r="B512" s="149"/>
      <c r="C512" s="159"/>
      <c r="D512" s="160"/>
      <c r="E512" s="161"/>
      <c r="F512" s="162"/>
      <c r="G512" s="163"/>
      <c r="H512" s="163"/>
      <c r="I512" s="163"/>
      <c r="J512" s="149"/>
      <c r="K512" s="149"/>
      <c r="L512" s="164"/>
      <c r="M512" s="149"/>
      <c r="N512" s="150"/>
      <c r="O512" s="149"/>
      <c r="P512" s="149"/>
      <c r="Q512" s="149"/>
      <c r="R512" s="149"/>
      <c r="S512" s="149"/>
      <c r="T512" s="149"/>
      <c r="U512" s="149"/>
      <c r="V512" s="149"/>
      <c r="W512" s="151"/>
      <c r="X512" s="149"/>
      <c r="Y512" s="152"/>
      <c r="Z512" s="153"/>
      <c r="AA512" s="149"/>
      <c r="AB512" s="154"/>
      <c r="AC512" s="155"/>
      <c r="AD512" s="155"/>
      <c r="AE512" s="155"/>
      <c r="AF512" s="155"/>
      <c r="AG512" s="149"/>
      <c r="AH512" s="149"/>
      <c r="AI512" s="149"/>
      <c r="AJ512" s="156"/>
      <c r="AK512" s="149"/>
      <c r="AL512" s="149"/>
      <c r="AM512" s="149"/>
      <c r="AN512" s="149"/>
      <c r="AO512" s="149"/>
      <c r="AP512" s="149"/>
      <c r="AQ512" s="157"/>
      <c r="AR512" s="149"/>
      <c r="AS512" s="158"/>
    </row>
    <row r="513" ht="15.75" customHeight="1">
      <c r="A513" s="149"/>
      <c r="B513" s="149"/>
      <c r="C513" s="159"/>
      <c r="D513" s="160"/>
      <c r="E513" s="161"/>
      <c r="F513" s="162"/>
      <c r="G513" s="163"/>
      <c r="H513" s="163"/>
      <c r="I513" s="163"/>
      <c r="J513" s="149"/>
      <c r="K513" s="149"/>
      <c r="L513" s="164"/>
      <c r="M513" s="149"/>
      <c r="N513" s="150"/>
      <c r="O513" s="149"/>
      <c r="P513" s="149"/>
      <c r="Q513" s="149"/>
      <c r="R513" s="149"/>
      <c r="S513" s="149"/>
      <c r="T513" s="149"/>
      <c r="U513" s="149"/>
      <c r="V513" s="149"/>
      <c r="W513" s="151"/>
      <c r="X513" s="149"/>
      <c r="Y513" s="152"/>
      <c r="Z513" s="153"/>
      <c r="AA513" s="149"/>
      <c r="AB513" s="154"/>
      <c r="AC513" s="155"/>
      <c r="AD513" s="155"/>
      <c r="AE513" s="155"/>
      <c r="AF513" s="155"/>
      <c r="AG513" s="149"/>
      <c r="AH513" s="149"/>
      <c r="AI513" s="149"/>
      <c r="AJ513" s="156"/>
      <c r="AK513" s="149"/>
      <c r="AL513" s="149"/>
      <c r="AM513" s="149"/>
      <c r="AN513" s="149"/>
      <c r="AO513" s="149"/>
      <c r="AP513" s="149"/>
      <c r="AQ513" s="157"/>
      <c r="AR513" s="149"/>
      <c r="AS513" s="158"/>
    </row>
    <row r="514" ht="15.75" customHeight="1">
      <c r="A514" s="149"/>
      <c r="B514" s="149"/>
      <c r="C514" s="159"/>
      <c r="D514" s="160"/>
      <c r="E514" s="161"/>
      <c r="F514" s="162"/>
      <c r="G514" s="163"/>
      <c r="H514" s="163"/>
      <c r="I514" s="163"/>
      <c r="J514" s="149"/>
      <c r="K514" s="149"/>
      <c r="L514" s="164"/>
      <c r="M514" s="149"/>
      <c r="N514" s="150"/>
      <c r="O514" s="149"/>
      <c r="P514" s="149"/>
      <c r="Q514" s="149"/>
      <c r="R514" s="149"/>
      <c r="S514" s="149"/>
      <c r="T514" s="149"/>
      <c r="U514" s="149"/>
      <c r="V514" s="149"/>
      <c r="W514" s="151"/>
      <c r="X514" s="149"/>
      <c r="Y514" s="152"/>
      <c r="Z514" s="153"/>
      <c r="AA514" s="149"/>
      <c r="AB514" s="154"/>
      <c r="AC514" s="155"/>
      <c r="AD514" s="155"/>
      <c r="AE514" s="155"/>
      <c r="AF514" s="155"/>
      <c r="AG514" s="149"/>
      <c r="AH514" s="149"/>
      <c r="AI514" s="149"/>
      <c r="AJ514" s="156"/>
      <c r="AK514" s="149"/>
      <c r="AL514" s="149"/>
      <c r="AM514" s="149"/>
      <c r="AN514" s="149"/>
      <c r="AO514" s="149"/>
      <c r="AP514" s="149"/>
      <c r="AQ514" s="157"/>
      <c r="AR514" s="149"/>
      <c r="AS514" s="158"/>
    </row>
    <row r="515" ht="15.75" customHeight="1">
      <c r="A515" s="149"/>
      <c r="B515" s="149"/>
      <c r="C515" s="159"/>
      <c r="D515" s="160"/>
      <c r="E515" s="161"/>
      <c r="F515" s="162"/>
      <c r="G515" s="163"/>
      <c r="H515" s="163"/>
      <c r="I515" s="163"/>
      <c r="J515" s="149"/>
      <c r="K515" s="149"/>
      <c r="L515" s="164"/>
      <c r="M515" s="149"/>
      <c r="N515" s="150"/>
      <c r="O515" s="149"/>
      <c r="P515" s="149"/>
      <c r="Q515" s="149"/>
      <c r="R515" s="149"/>
      <c r="S515" s="149"/>
      <c r="T515" s="149"/>
      <c r="U515" s="149"/>
      <c r="V515" s="149"/>
      <c r="W515" s="151"/>
      <c r="X515" s="149"/>
      <c r="Y515" s="152"/>
      <c r="Z515" s="153"/>
      <c r="AA515" s="149"/>
      <c r="AB515" s="154"/>
      <c r="AC515" s="155"/>
      <c r="AD515" s="155"/>
      <c r="AE515" s="155"/>
      <c r="AF515" s="155"/>
      <c r="AG515" s="149"/>
      <c r="AH515" s="149"/>
      <c r="AI515" s="149"/>
      <c r="AJ515" s="156"/>
      <c r="AK515" s="149"/>
      <c r="AL515" s="149"/>
      <c r="AM515" s="149"/>
      <c r="AN515" s="149"/>
      <c r="AO515" s="149"/>
      <c r="AP515" s="149"/>
      <c r="AQ515" s="157"/>
      <c r="AR515" s="149"/>
      <c r="AS515" s="158"/>
    </row>
    <row r="516" ht="15.75" customHeight="1">
      <c r="A516" s="149"/>
      <c r="B516" s="149"/>
      <c r="C516" s="159"/>
      <c r="D516" s="160"/>
      <c r="E516" s="161"/>
      <c r="F516" s="162"/>
      <c r="G516" s="163"/>
      <c r="H516" s="163"/>
      <c r="I516" s="163"/>
      <c r="J516" s="149"/>
      <c r="K516" s="149"/>
      <c r="L516" s="164"/>
      <c r="M516" s="149"/>
      <c r="N516" s="150"/>
      <c r="O516" s="149"/>
      <c r="P516" s="149"/>
      <c r="Q516" s="149"/>
      <c r="R516" s="149"/>
      <c r="S516" s="149"/>
      <c r="T516" s="149"/>
      <c r="U516" s="149"/>
      <c r="V516" s="149"/>
      <c r="W516" s="151"/>
      <c r="X516" s="149"/>
      <c r="Y516" s="152"/>
      <c r="Z516" s="153"/>
      <c r="AA516" s="149"/>
      <c r="AB516" s="154"/>
      <c r="AC516" s="155"/>
      <c r="AD516" s="155"/>
      <c r="AE516" s="155"/>
      <c r="AF516" s="155"/>
      <c r="AG516" s="149"/>
      <c r="AH516" s="149"/>
      <c r="AI516" s="149"/>
      <c r="AJ516" s="156"/>
      <c r="AK516" s="149"/>
      <c r="AL516" s="149"/>
      <c r="AM516" s="149"/>
      <c r="AN516" s="149"/>
      <c r="AO516" s="149"/>
      <c r="AP516" s="149"/>
      <c r="AQ516" s="157"/>
      <c r="AR516" s="149"/>
      <c r="AS516" s="158"/>
    </row>
    <row r="517" ht="15.75" customHeight="1">
      <c r="A517" s="149"/>
      <c r="B517" s="149"/>
      <c r="C517" s="159"/>
      <c r="D517" s="160"/>
      <c r="E517" s="161"/>
      <c r="F517" s="162"/>
      <c r="G517" s="163"/>
      <c r="H517" s="163"/>
      <c r="I517" s="163"/>
      <c r="J517" s="149"/>
      <c r="K517" s="149"/>
      <c r="L517" s="164"/>
      <c r="M517" s="149"/>
      <c r="N517" s="150"/>
      <c r="O517" s="149"/>
      <c r="P517" s="149"/>
      <c r="Q517" s="149"/>
      <c r="R517" s="149"/>
      <c r="S517" s="149"/>
      <c r="T517" s="149"/>
      <c r="U517" s="149"/>
      <c r="V517" s="149"/>
      <c r="W517" s="151"/>
      <c r="X517" s="149"/>
      <c r="Y517" s="152"/>
      <c r="Z517" s="153"/>
      <c r="AA517" s="149"/>
      <c r="AB517" s="154"/>
      <c r="AC517" s="155"/>
      <c r="AD517" s="155"/>
      <c r="AE517" s="155"/>
      <c r="AF517" s="155"/>
      <c r="AG517" s="149"/>
      <c r="AH517" s="149"/>
      <c r="AI517" s="149"/>
      <c r="AJ517" s="156"/>
      <c r="AK517" s="149"/>
      <c r="AL517" s="149"/>
      <c r="AM517" s="149"/>
      <c r="AN517" s="149"/>
      <c r="AO517" s="149"/>
      <c r="AP517" s="149"/>
      <c r="AQ517" s="157"/>
      <c r="AR517" s="149"/>
      <c r="AS517" s="158"/>
    </row>
    <row r="518" ht="15.75" customHeight="1">
      <c r="A518" s="149"/>
      <c r="B518" s="149"/>
      <c r="C518" s="159"/>
      <c r="D518" s="160"/>
      <c r="E518" s="161"/>
      <c r="F518" s="162"/>
      <c r="G518" s="163"/>
      <c r="H518" s="163"/>
      <c r="I518" s="163"/>
      <c r="J518" s="149"/>
      <c r="K518" s="149"/>
      <c r="L518" s="164"/>
      <c r="M518" s="149"/>
      <c r="N518" s="150"/>
      <c r="O518" s="149"/>
      <c r="P518" s="149"/>
      <c r="Q518" s="149"/>
      <c r="R518" s="149"/>
      <c r="S518" s="149"/>
      <c r="T518" s="149"/>
      <c r="U518" s="149"/>
      <c r="V518" s="149"/>
      <c r="W518" s="151"/>
      <c r="X518" s="149"/>
      <c r="Y518" s="152"/>
      <c r="Z518" s="153"/>
      <c r="AA518" s="149"/>
      <c r="AB518" s="154"/>
      <c r="AC518" s="155"/>
      <c r="AD518" s="155"/>
      <c r="AE518" s="155"/>
      <c r="AF518" s="155"/>
      <c r="AG518" s="149"/>
      <c r="AH518" s="149"/>
      <c r="AI518" s="149"/>
      <c r="AJ518" s="156"/>
      <c r="AK518" s="149"/>
      <c r="AL518" s="149"/>
      <c r="AM518" s="149"/>
      <c r="AN518" s="149"/>
      <c r="AO518" s="149"/>
      <c r="AP518" s="149"/>
      <c r="AQ518" s="157"/>
      <c r="AR518" s="149"/>
      <c r="AS518" s="158"/>
    </row>
    <row r="519" ht="15.75" customHeight="1">
      <c r="A519" s="149"/>
      <c r="B519" s="149"/>
      <c r="C519" s="159"/>
      <c r="D519" s="160"/>
      <c r="E519" s="161"/>
      <c r="F519" s="162"/>
      <c r="G519" s="163"/>
      <c r="H519" s="163"/>
      <c r="I519" s="163"/>
      <c r="J519" s="149"/>
      <c r="K519" s="149"/>
      <c r="L519" s="164"/>
      <c r="M519" s="149"/>
      <c r="N519" s="150"/>
      <c r="O519" s="149"/>
      <c r="P519" s="149"/>
      <c r="Q519" s="149"/>
      <c r="R519" s="149"/>
      <c r="S519" s="149"/>
      <c r="T519" s="149"/>
      <c r="U519" s="149"/>
      <c r="V519" s="149"/>
      <c r="W519" s="151"/>
      <c r="X519" s="149"/>
      <c r="Y519" s="152"/>
      <c r="Z519" s="153"/>
      <c r="AA519" s="149"/>
      <c r="AB519" s="154"/>
      <c r="AC519" s="155"/>
      <c r="AD519" s="155"/>
      <c r="AE519" s="155"/>
      <c r="AF519" s="155"/>
      <c r="AG519" s="149"/>
      <c r="AH519" s="149"/>
      <c r="AI519" s="149"/>
      <c r="AJ519" s="156"/>
      <c r="AK519" s="149"/>
      <c r="AL519" s="149"/>
      <c r="AM519" s="149"/>
      <c r="AN519" s="149"/>
      <c r="AO519" s="149"/>
      <c r="AP519" s="149"/>
      <c r="AQ519" s="157"/>
      <c r="AR519" s="149"/>
      <c r="AS519" s="158"/>
    </row>
    <row r="520" ht="15.75" customHeight="1">
      <c r="A520" s="149"/>
      <c r="B520" s="149"/>
      <c r="C520" s="159"/>
      <c r="D520" s="160"/>
      <c r="E520" s="161"/>
      <c r="F520" s="162"/>
      <c r="G520" s="163"/>
      <c r="H520" s="163"/>
      <c r="I520" s="163"/>
      <c r="J520" s="149"/>
      <c r="K520" s="149"/>
      <c r="L520" s="164"/>
      <c r="M520" s="149"/>
      <c r="N520" s="150"/>
      <c r="O520" s="149"/>
      <c r="P520" s="149"/>
      <c r="Q520" s="149"/>
      <c r="R520" s="149"/>
      <c r="S520" s="149"/>
      <c r="T520" s="149"/>
      <c r="U520" s="149"/>
      <c r="V520" s="149"/>
      <c r="W520" s="151"/>
      <c r="X520" s="149"/>
      <c r="Y520" s="152"/>
      <c r="Z520" s="153"/>
      <c r="AA520" s="149"/>
      <c r="AB520" s="154"/>
      <c r="AC520" s="155"/>
      <c r="AD520" s="155"/>
      <c r="AE520" s="155"/>
      <c r="AF520" s="155"/>
      <c r="AG520" s="149"/>
      <c r="AH520" s="149"/>
      <c r="AI520" s="149"/>
      <c r="AJ520" s="156"/>
      <c r="AK520" s="149"/>
      <c r="AL520" s="149"/>
      <c r="AM520" s="149"/>
      <c r="AN520" s="149"/>
      <c r="AO520" s="149"/>
      <c r="AP520" s="149"/>
      <c r="AQ520" s="157"/>
      <c r="AR520" s="149"/>
      <c r="AS520" s="158"/>
    </row>
    <row r="521" ht="15.75" customHeight="1">
      <c r="A521" s="149"/>
      <c r="B521" s="149"/>
      <c r="C521" s="159"/>
      <c r="D521" s="160"/>
      <c r="E521" s="161"/>
      <c r="F521" s="162"/>
      <c r="G521" s="163"/>
      <c r="H521" s="163"/>
      <c r="I521" s="163"/>
      <c r="J521" s="149"/>
      <c r="K521" s="149"/>
      <c r="L521" s="164"/>
      <c r="M521" s="149"/>
      <c r="N521" s="150"/>
      <c r="O521" s="149"/>
      <c r="P521" s="149"/>
      <c r="Q521" s="149"/>
      <c r="R521" s="149"/>
      <c r="S521" s="149"/>
      <c r="T521" s="149"/>
      <c r="U521" s="149"/>
      <c r="V521" s="149"/>
      <c r="W521" s="151"/>
      <c r="X521" s="149"/>
      <c r="Y521" s="152"/>
      <c r="Z521" s="153"/>
      <c r="AA521" s="149"/>
      <c r="AB521" s="154"/>
      <c r="AC521" s="155"/>
      <c r="AD521" s="155"/>
      <c r="AE521" s="155"/>
      <c r="AF521" s="155"/>
      <c r="AG521" s="149"/>
      <c r="AH521" s="149"/>
      <c r="AI521" s="149"/>
      <c r="AJ521" s="156"/>
      <c r="AK521" s="149"/>
      <c r="AL521" s="149"/>
      <c r="AM521" s="149"/>
      <c r="AN521" s="149"/>
      <c r="AO521" s="149"/>
      <c r="AP521" s="149"/>
      <c r="AQ521" s="157"/>
      <c r="AR521" s="149"/>
      <c r="AS521" s="158"/>
    </row>
    <row r="522" ht="15.75" customHeight="1">
      <c r="A522" s="149"/>
      <c r="B522" s="149"/>
      <c r="C522" s="159"/>
      <c r="D522" s="160"/>
      <c r="E522" s="161"/>
      <c r="F522" s="162"/>
      <c r="G522" s="163"/>
      <c r="H522" s="163"/>
      <c r="I522" s="163"/>
      <c r="J522" s="149"/>
      <c r="K522" s="149"/>
      <c r="L522" s="164"/>
      <c r="M522" s="149"/>
      <c r="N522" s="150"/>
      <c r="O522" s="149"/>
      <c r="P522" s="149"/>
      <c r="Q522" s="149"/>
      <c r="R522" s="149"/>
      <c r="S522" s="149"/>
      <c r="T522" s="149"/>
      <c r="U522" s="149"/>
      <c r="V522" s="149"/>
      <c r="W522" s="151"/>
      <c r="X522" s="149"/>
      <c r="Y522" s="152"/>
      <c r="Z522" s="153"/>
      <c r="AA522" s="149"/>
      <c r="AB522" s="154"/>
      <c r="AC522" s="155"/>
      <c r="AD522" s="155"/>
      <c r="AE522" s="155"/>
      <c r="AF522" s="155"/>
      <c r="AG522" s="149"/>
      <c r="AH522" s="149"/>
      <c r="AI522" s="149"/>
      <c r="AJ522" s="156"/>
      <c r="AK522" s="149"/>
      <c r="AL522" s="149"/>
      <c r="AM522" s="149"/>
      <c r="AN522" s="149"/>
      <c r="AO522" s="149"/>
      <c r="AP522" s="149"/>
      <c r="AQ522" s="157"/>
      <c r="AR522" s="149"/>
      <c r="AS522" s="158"/>
    </row>
    <row r="523" ht="15.75" customHeight="1">
      <c r="A523" s="149"/>
      <c r="B523" s="149"/>
      <c r="C523" s="159"/>
      <c r="D523" s="160"/>
      <c r="E523" s="161"/>
      <c r="F523" s="162"/>
      <c r="G523" s="163"/>
      <c r="H523" s="163"/>
      <c r="I523" s="163"/>
      <c r="J523" s="149"/>
      <c r="K523" s="149"/>
      <c r="L523" s="164"/>
      <c r="M523" s="149"/>
      <c r="N523" s="150"/>
      <c r="O523" s="149"/>
      <c r="P523" s="149"/>
      <c r="Q523" s="149"/>
      <c r="R523" s="149"/>
      <c r="S523" s="149"/>
      <c r="T523" s="149"/>
      <c r="U523" s="149"/>
      <c r="V523" s="149"/>
      <c r="W523" s="151"/>
      <c r="X523" s="149"/>
      <c r="Y523" s="152"/>
      <c r="Z523" s="153"/>
      <c r="AA523" s="149"/>
      <c r="AB523" s="154"/>
      <c r="AC523" s="155"/>
      <c r="AD523" s="155"/>
      <c r="AE523" s="155"/>
      <c r="AF523" s="155"/>
      <c r="AG523" s="149"/>
      <c r="AH523" s="149"/>
      <c r="AI523" s="149"/>
      <c r="AJ523" s="156"/>
      <c r="AK523" s="149"/>
      <c r="AL523" s="149"/>
      <c r="AM523" s="149"/>
      <c r="AN523" s="149"/>
      <c r="AO523" s="149"/>
      <c r="AP523" s="149"/>
      <c r="AQ523" s="157"/>
      <c r="AR523" s="149"/>
      <c r="AS523" s="158"/>
    </row>
    <row r="524" ht="15.75" customHeight="1">
      <c r="A524" s="149"/>
      <c r="B524" s="149"/>
      <c r="C524" s="159"/>
      <c r="D524" s="160"/>
      <c r="E524" s="161"/>
      <c r="F524" s="162"/>
      <c r="G524" s="163"/>
      <c r="H524" s="163"/>
      <c r="I524" s="163"/>
      <c r="J524" s="149"/>
      <c r="K524" s="149"/>
      <c r="L524" s="164"/>
      <c r="M524" s="149"/>
      <c r="N524" s="150"/>
      <c r="O524" s="149"/>
      <c r="P524" s="149"/>
      <c r="Q524" s="149"/>
      <c r="R524" s="149"/>
      <c r="S524" s="149"/>
      <c r="T524" s="149"/>
      <c r="U524" s="149"/>
      <c r="V524" s="149"/>
      <c r="W524" s="151"/>
      <c r="X524" s="149"/>
      <c r="Y524" s="152"/>
      <c r="Z524" s="153"/>
      <c r="AA524" s="149"/>
      <c r="AB524" s="154"/>
      <c r="AC524" s="155"/>
      <c r="AD524" s="155"/>
      <c r="AE524" s="155"/>
      <c r="AF524" s="155"/>
      <c r="AG524" s="149"/>
      <c r="AH524" s="149"/>
      <c r="AI524" s="149"/>
      <c r="AJ524" s="156"/>
      <c r="AK524" s="149"/>
      <c r="AL524" s="149"/>
      <c r="AM524" s="149"/>
      <c r="AN524" s="149"/>
      <c r="AO524" s="149"/>
      <c r="AP524" s="149"/>
      <c r="AQ524" s="157"/>
      <c r="AR524" s="149"/>
      <c r="AS524" s="158"/>
    </row>
    <row r="525" ht="15.75" customHeight="1">
      <c r="A525" s="149"/>
      <c r="B525" s="149"/>
      <c r="C525" s="159"/>
      <c r="D525" s="160"/>
      <c r="E525" s="161"/>
      <c r="F525" s="162"/>
      <c r="G525" s="163"/>
      <c r="H525" s="163"/>
      <c r="I525" s="163"/>
      <c r="J525" s="149"/>
      <c r="K525" s="149"/>
      <c r="L525" s="164"/>
      <c r="M525" s="149"/>
      <c r="N525" s="150"/>
      <c r="O525" s="149"/>
      <c r="P525" s="149"/>
      <c r="Q525" s="149"/>
      <c r="R525" s="149"/>
      <c r="S525" s="149"/>
      <c r="T525" s="149"/>
      <c r="U525" s="149"/>
      <c r="V525" s="149"/>
      <c r="W525" s="151"/>
      <c r="X525" s="149"/>
      <c r="Y525" s="152"/>
      <c r="Z525" s="153"/>
      <c r="AA525" s="149"/>
      <c r="AB525" s="154"/>
      <c r="AC525" s="155"/>
      <c r="AD525" s="155"/>
      <c r="AE525" s="155"/>
      <c r="AF525" s="155"/>
      <c r="AG525" s="149"/>
      <c r="AH525" s="149"/>
      <c r="AI525" s="149"/>
      <c r="AJ525" s="156"/>
      <c r="AK525" s="149"/>
      <c r="AL525" s="149"/>
      <c r="AM525" s="149"/>
      <c r="AN525" s="149"/>
      <c r="AO525" s="149"/>
      <c r="AP525" s="149"/>
      <c r="AQ525" s="157"/>
      <c r="AR525" s="149"/>
      <c r="AS525" s="158"/>
    </row>
    <row r="526" ht="15.75" customHeight="1">
      <c r="A526" s="149"/>
      <c r="B526" s="149"/>
      <c r="C526" s="159"/>
      <c r="D526" s="160"/>
      <c r="E526" s="161"/>
      <c r="F526" s="162"/>
      <c r="G526" s="163"/>
      <c r="H526" s="163"/>
      <c r="I526" s="163"/>
      <c r="J526" s="149"/>
      <c r="K526" s="149"/>
      <c r="L526" s="164"/>
      <c r="M526" s="149"/>
      <c r="N526" s="150"/>
      <c r="O526" s="149"/>
      <c r="P526" s="149"/>
      <c r="Q526" s="149"/>
      <c r="R526" s="149"/>
      <c r="S526" s="149"/>
      <c r="T526" s="149"/>
      <c r="U526" s="149"/>
      <c r="V526" s="149"/>
      <c r="W526" s="151"/>
      <c r="X526" s="149"/>
      <c r="Y526" s="152"/>
      <c r="Z526" s="153"/>
      <c r="AA526" s="149"/>
      <c r="AB526" s="154"/>
      <c r="AC526" s="155"/>
      <c r="AD526" s="155"/>
      <c r="AE526" s="155"/>
      <c r="AF526" s="155"/>
      <c r="AG526" s="149"/>
      <c r="AH526" s="149"/>
      <c r="AI526" s="149"/>
      <c r="AJ526" s="156"/>
      <c r="AK526" s="149"/>
      <c r="AL526" s="149"/>
      <c r="AM526" s="149"/>
      <c r="AN526" s="149"/>
      <c r="AO526" s="149"/>
      <c r="AP526" s="149"/>
      <c r="AQ526" s="157"/>
      <c r="AR526" s="149"/>
      <c r="AS526" s="158"/>
    </row>
    <row r="527" ht="15.75" customHeight="1">
      <c r="A527" s="149"/>
      <c r="B527" s="149"/>
      <c r="C527" s="159"/>
      <c r="D527" s="160"/>
      <c r="E527" s="161"/>
      <c r="F527" s="162"/>
      <c r="G527" s="163"/>
      <c r="H527" s="163"/>
      <c r="I527" s="163"/>
      <c r="J527" s="149"/>
      <c r="K527" s="149"/>
      <c r="L527" s="164"/>
      <c r="M527" s="149"/>
      <c r="N527" s="150"/>
      <c r="O527" s="149"/>
      <c r="P527" s="149"/>
      <c r="Q527" s="149"/>
      <c r="R527" s="149"/>
      <c r="S527" s="149"/>
      <c r="T527" s="149"/>
      <c r="U527" s="149"/>
      <c r="V527" s="149"/>
      <c r="W527" s="151"/>
      <c r="X527" s="149"/>
      <c r="Y527" s="152"/>
      <c r="Z527" s="153"/>
      <c r="AA527" s="149"/>
      <c r="AB527" s="154"/>
      <c r="AC527" s="155"/>
      <c r="AD527" s="155"/>
      <c r="AE527" s="155"/>
      <c r="AF527" s="155"/>
      <c r="AG527" s="149"/>
      <c r="AH527" s="149"/>
      <c r="AI527" s="149"/>
      <c r="AJ527" s="156"/>
      <c r="AK527" s="149"/>
      <c r="AL527" s="149"/>
      <c r="AM527" s="149"/>
      <c r="AN527" s="149"/>
      <c r="AO527" s="149"/>
      <c r="AP527" s="149"/>
      <c r="AQ527" s="157"/>
      <c r="AR527" s="149"/>
      <c r="AS527" s="158"/>
    </row>
    <row r="528" ht="15.75" customHeight="1">
      <c r="A528" s="149"/>
      <c r="B528" s="149"/>
      <c r="C528" s="159"/>
      <c r="D528" s="160"/>
      <c r="E528" s="161"/>
      <c r="F528" s="162"/>
      <c r="G528" s="163"/>
      <c r="H528" s="163"/>
      <c r="I528" s="163"/>
      <c r="J528" s="149"/>
      <c r="K528" s="149"/>
      <c r="L528" s="164"/>
      <c r="M528" s="149"/>
      <c r="N528" s="150"/>
      <c r="O528" s="149"/>
      <c r="P528" s="149"/>
      <c r="Q528" s="149"/>
      <c r="R528" s="149"/>
      <c r="S528" s="149"/>
      <c r="T528" s="149"/>
      <c r="U528" s="149"/>
      <c r="V528" s="149"/>
      <c r="W528" s="151"/>
      <c r="X528" s="149"/>
      <c r="Y528" s="152"/>
      <c r="Z528" s="153"/>
      <c r="AA528" s="149"/>
      <c r="AB528" s="154"/>
      <c r="AC528" s="155"/>
      <c r="AD528" s="155"/>
      <c r="AE528" s="155"/>
      <c r="AF528" s="155"/>
      <c r="AG528" s="149"/>
      <c r="AH528" s="149"/>
      <c r="AI528" s="149"/>
      <c r="AJ528" s="156"/>
      <c r="AK528" s="149"/>
      <c r="AL528" s="149"/>
      <c r="AM528" s="149"/>
      <c r="AN528" s="149"/>
      <c r="AO528" s="149"/>
      <c r="AP528" s="149"/>
      <c r="AQ528" s="157"/>
      <c r="AR528" s="149"/>
      <c r="AS528" s="158"/>
    </row>
    <row r="529" ht="15.75" customHeight="1">
      <c r="A529" s="149"/>
      <c r="B529" s="149"/>
      <c r="C529" s="159"/>
      <c r="D529" s="160"/>
      <c r="E529" s="161"/>
      <c r="F529" s="162"/>
      <c r="G529" s="163"/>
      <c r="H529" s="163"/>
      <c r="I529" s="163"/>
      <c r="J529" s="149"/>
      <c r="K529" s="149"/>
      <c r="L529" s="164"/>
      <c r="M529" s="149"/>
      <c r="N529" s="150"/>
      <c r="O529" s="149"/>
      <c r="P529" s="149"/>
      <c r="Q529" s="149"/>
      <c r="R529" s="149"/>
      <c r="S529" s="149"/>
      <c r="T529" s="149"/>
      <c r="U529" s="149"/>
      <c r="V529" s="149"/>
      <c r="W529" s="151"/>
      <c r="X529" s="149"/>
      <c r="Y529" s="152"/>
      <c r="Z529" s="153"/>
      <c r="AA529" s="149"/>
      <c r="AB529" s="154"/>
      <c r="AC529" s="155"/>
      <c r="AD529" s="155"/>
      <c r="AE529" s="155"/>
      <c r="AF529" s="155"/>
      <c r="AG529" s="149"/>
      <c r="AH529" s="149"/>
      <c r="AI529" s="149"/>
      <c r="AJ529" s="156"/>
      <c r="AK529" s="149"/>
      <c r="AL529" s="149"/>
      <c r="AM529" s="149"/>
      <c r="AN529" s="149"/>
      <c r="AO529" s="149"/>
      <c r="AP529" s="149"/>
      <c r="AQ529" s="157"/>
      <c r="AR529" s="149"/>
      <c r="AS529" s="158"/>
    </row>
    <row r="530" ht="15.75" customHeight="1">
      <c r="A530" s="149"/>
      <c r="B530" s="149"/>
      <c r="C530" s="159"/>
      <c r="D530" s="160"/>
      <c r="E530" s="161"/>
      <c r="F530" s="162"/>
      <c r="G530" s="163"/>
      <c r="H530" s="163"/>
      <c r="I530" s="163"/>
      <c r="J530" s="149"/>
      <c r="K530" s="149"/>
      <c r="L530" s="164"/>
      <c r="M530" s="149"/>
      <c r="N530" s="150"/>
      <c r="O530" s="149"/>
      <c r="P530" s="149"/>
      <c r="Q530" s="149"/>
      <c r="R530" s="149"/>
      <c r="S530" s="149"/>
      <c r="T530" s="149"/>
      <c r="U530" s="149"/>
      <c r="V530" s="149"/>
      <c r="W530" s="151"/>
      <c r="X530" s="149"/>
      <c r="Y530" s="152"/>
      <c r="Z530" s="153"/>
      <c r="AA530" s="149"/>
      <c r="AB530" s="154"/>
      <c r="AC530" s="155"/>
      <c r="AD530" s="155"/>
      <c r="AE530" s="155"/>
      <c r="AF530" s="155"/>
      <c r="AG530" s="149"/>
      <c r="AH530" s="149"/>
      <c r="AI530" s="149"/>
      <c r="AJ530" s="156"/>
      <c r="AK530" s="149"/>
      <c r="AL530" s="149"/>
      <c r="AM530" s="149"/>
      <c r="AN530" s="149"/>
      <c r="AO530" s="149"/>
      <c r="AP530" s="149"/>
      <c r="AQ530" s="157"/>
      <c r="AR530" s="149"/>
      <c r="AS530" s="158"/>
    </row>
    <row r="531" ht="15.75" customHeight="1">
      <c r="A531" s="149"/>
      <c r="B531" s="149"/>
      <c r="C531" s="159"/>
      <c r="D531" s="160"/>
      <c r="E531" s="161"/>
      <c r="F531" s="162"/>
      <c r="G531" s="163"/>
      <c r="H531" s="163"/>
      <c r="I531" s="163"/>
      <c r="J531" s="149"/>
      <c r="K531" s="149"/>
      <c r="L531" s="164"/>
      <c r="M531" s="149"/>
      <c r="N531" s="150"/>
      <c r="O531" s="149"/>
      <c r="P531" s="149"/>
      <c r="Q531" s="149"/>
      <c r="R531" s="149"/>
      <c r="S531" s="149"/>
      <c r="T531" s="149"/>
      <c r="U531" s="149"/>
      <c r="V531" s="149"/>
      <c r="W531" s="151"/>
      <c r="X531" s="149"/>
      <c r="Y531" s="152"/>
      <c r="Z531" s="153"/>
      <c r="AA531" s="149"/>
      <c r="AB531" s="154"/>
      <c r="AC531" s="155"/>
      <c r="AD531" s="155"/>
      <c r="AE531" s="155"/>
      <c r="AF531" s="155"/>
      <c r="AG531" s="149"/>
      <c r="AH531" s="149"/>
      <c r="AI531" s="149"/>
      <c r="AJ531" s="156"/>
      <c r="AK531" s="149"/>
      <c r="AL531" s="149"/>
      <c r="AM531" s="149"/>
      <c r="AN531" s="149"/>
      <c r="AO531" s="149"/>
      <c r="AP531" s="149"/>
      <c r="AQ531" s="157"/>
      <c r="AR531" s="149"/>
      <c r="AS531" s="158"/>
    </row>
    <row r="532" ht="15.75" customHeight="1">
      <c r="A532" s="149"/>
      <c r="B532" s="149"/>
      <c r="C532" s="159"/>
      <c r="D532" s="160"/>
      <c r="E532" s="161"/>
      <c r="F532" s="162"/>
      <c r="G532" s="163"/>
      <c r="H532" s="163"/>
      <c r="I532" s="163"/>
      <c r="J532" s="149"/>
      <c r="K532" s="149"/>
      <c r="L532" s="164"/>
      <c r="M532" s="149"/>
      <c r="N532" s="150"/>
      <c r="O532" s="149"/>
      <c r="P532" s="149"/>
      <c r="Q532" s="149"/>
      <c r="R532" s="149"/>
      <c r="S532" s="149"/>
      <c r="T532" s="149"/>
      <c r="U532" s="149"/>
      <c r="V532" s="149"/>
      <c r="W532" s="151"/>
      <c r="X532" s="149"/>
      <c r="Y532" s="152"/>
      <c r="Z532" s="153"/>
      <c r="AA532" s="149"/>
      <c r="AB532" s="154"/>
      <c r="AC532" s="155"/>
      <c r="AD532" s="155"/>
      <c r="AE532" s="155"/>
      <c r="AF532" s="155"/>
      <c r="AG532" s="149"/>
      <c r="AH532" s="149"/>
      <c r="AI532" s="149"/>
      <c r="AJ532" s="156"/>
      <c r="AK532" s="149"/>
      <c r="AL532" s="149"/>
      <c r="AM532" s="149"/>
      <c r="AN532" s="149"/>
      <c r="AO532" s="149"/>
      <c r="AP532" s="149"/>
      <c r="AQ532" s="157"/>
      <c r="AR532" s="149"/>
      <c r="AS532" s="158"/>
    </row>
    <row r="533" ht="15.75" customHeight="1">
      <c r="A533" s="149"/>
      <c r="B533" s="149"/>
      <c r="C533" s="159"/>
      <c r="D533" s="160"/>
      <c r="E533" s="161"/>
      <c r="F533" s="162"/>
      <c r="G533" s="163"/>
      <c r="H533" s="163"/>
      <c r="I533" s="163"/>
      <c r="J533" s="149"/>
      <c r="K533" s="149"/>
      <c r="L533" s="164"/>
      <c r="M533" s="149"/>
      <c r="N533" s="150"/>
      <c r="O533" s="149"/>
      <c r="P533" s="149"/>
      <c r="Q533" s="149"/>
      <c r="R533" s="149"/>
      <c r="S533" s="149"/>
      <c r="T533" s="149"/>
      <c r="U533" s="149"/>
      <c r="V533" s="149"/>
      <c r="W533" s="151"/>
      <c r="X533" s="149"/>
      <c r="Y533" s="152"/>
      <c r="Z533" s="153"/>
      <c r="AA533" s="149"/>
      <c r="AB533" s="154"/>
      <c r="AC533" s="155"/>
      <c r="AD533" s="155"/>
      <c r="AE533" s="155"/>
      <c r="AF533" s="155"/>
      <c r="AG533" s="149"/>
      <c r="AH533" s="149"/>
      <c r="AI533" s="149"/>
      <c r="AJ533" s="156"/>
      <c r="AK533" s="149"/>
      <c r="AL533" s="149"/>
      <c r="AM533" s="149"/>
      <c r="AN533" s="149"/>
      <c r="AO533" s="149"/>
      <c r="AP533" s="149"/>
      <c r="AQ533" s="157"/>
      <c r="AR533" s="149"/>
      <c r="AS533" s="158"/>
    </row>
    <row r="534" ht="15.75" customHeight="1">
      <c r="A534" s="149"/>
      <c r="B534" s="149"/>
      <c r="C534" s="159"/>
      <c r="D534" s="160"/>
      <c r="E534" s="161"/>
      <c r="F534" s="162"/>
      <c r="G534" s="163"/>
      <c r="H534" s="163"/>
      <c r="I534" s="163"/>
      <c r="J534" s="149"/>
      <c r="K534" s="149"/>
      <c r="L534" s="164"/>
      <c r="M534" s="149"/>
      <c r="N534" s="150"/>
      <c r="O534" s="149"/>
      <c r="P534" s="149"/>
      <c r="Q534" s="149"/>
      <c r="R534" s="149"/>
      <c r="S534" s="149"/>
      <c r="T534" s="149"/>
      <c r="U534" s="149"/>
      <c r="V534" s="149"/>
      <c r="W534" s="151"/>
      <c r="X534" s="149"/>
      <c r="Y534" s="152"/>
      <c r="Z534" s="153"/>
      <c r="AA534" s="149"/>
      <c r="AB534" s="154"/>
      <c r="AC534" s="155"/>
      <c r="AD534" s="155"/>
      <c r="AE534" s="155"/>
      <c r="AF534" s="155"/>
      <c r="AG534" s="149"/>
      <c r="AH534" s="149"/>
      <c r="AI534" s="149"/>
      <c r="AJ534" s="156"/>
      <c r="AK534" s="149"/>
      <c r="AL534" s="149"/>
      <c r="AM534" s="149"/>
      <c r="AN534" s="149"/>
      <c r="AO534" s="149"/>
      <c r="AP534" s="149"/>
      <c r="AQ534" s="157"/>
      <c r="AR534" s="149"/>
      <c r="AS534" s="158"/>
    </row>
    <row r="535" ht="15.75" customHeight="1">
      <c r="A535" s="149"/>
      <c r="B535" s="149"/>
      <c r="C535" s="159"/>
      <c r="D535" s="160"/>
      <c r="E535" s="161"/>
      <c r="F535" s="162"/>
      <c r="G535" s="163"/>
      <c r="H535" s="163"/>
      <c r="I535" s="163"/>
      <c r="J535" s="149"/>
      <c r="K535" s="149"/>
      <c r="L535" s="164"/>
      <c r="M535" s="149"/>
      <c r="N535" s="150"/>
      <c r="O535" s="149"/>
      <c r="P535" s="149"/>
      <c r="Q535" s="149"/>
      <c r="R535" s="149"/>
      <c r="S535" s="149"/>
      <c r="T535" s="149"/>
      <c r="U535" s="149"/>
      <c r="V535" s="149"/>
      <c r="W535" s="151"/>
      <c r="X535" s="149"/>
      <c r="Y535" s="152"/>
      <c r="Z535" s="153"/>
      <c r="AA535" s="149"/>
      <c r="AB535" s="154"/>
      <c r="AC535" s="155"/>
      <c r="AD535" s="155"/>
      <c r="AE535" s="155"/>
      <c r="AF535" s="155"/>
      <c r="AG535" s="149"/>
      <c r="AH535" s="149"/>
      <c r="AI535" s="149"/>
      <c r="AJ535" s="156"/>
      <c r="AK535" s="149"/>
      <c r="AL535" s="149"/>
      <c r="AM535" s="149"/>
      <c r="AN535" s="149"/>
      <c r="AO535" s="149"/>
      <c r="AP535" s="149"/>
      <c r="AQ535" s="157"/>
      <c r="AR535" s="149"/>
      <c r="AS535" s="158"/>
    </row>
    <row r="536" ht="15.75" customHeight="1">
      <c r="A536" s="149"/>
      <c r="B536" s="149"/>
      <c r="C536" s="159"/>
      <c r="D536" s="160"/>
      <c r="E536" s="161"/>
      <c r="F536" s="162"/>
      <c r="G536" s="163"/>
      <c r="H536" s="163"/>
      <c r="I536" s="163"/>
      <c r="J536" s="149"/>
      <c r="K536" s="149"/>
      <c r="L536" s="164"/>
      <c r="M536" s="149"/>
      <c r="N536" s="150"/>
      <c r="O536" s="149"/>
      <c r="P536" s="149"/>
      <c r="Q536" s="149"/>
      <c r="R536" s="149"/>
      <c r="S536" s="149"/>
      <c r="T536" s="149"/>
      <c r="U536" s="149"/>
      <c r="V536" s="149"/>
      <c r="W536" s="151"/>
      <c r="X536" s="149"/>
      <c r="Y536" s="152"/>
      <c r="Z536" s="153"/>
      <c r="AA536" s="149"/>
      <c r="AB536" s="154"/>
      <c r="AC536" s="155"/>
      <c r="AD536" s="155"/>
      <c r="AE536" s="155"/>
      <c r="AF536" s="155"/>
      <c r="AG536" s="149"/>
      <c r="AH536" s="149"/>
      <c r="AI536" s="149"/>
      <c r="AJ536" s="156"/>
      <c r="AK536" s="149"/>
      <c r="AL536" s="149"/>
      <c r="AM536" s="149"/>
      <c r="AN536" s="149"/>
      <c r="AO536" s="149"/>
      <c r="AP536" s="149"/>
      <c r="AQ536" s="157"/>
      <c r="AR536" s="149"/>
      <c r="AS536" s="158"/>
    </row>
    <row r="537" ht="15.75" customHeight="1">
      <c r="A537" s="149"/>
      <c r="B537" s="149"/>
      <c r="C537" s="159"/>
      <c r="D537" s="160"/>
      <c r="E537" s="161"/>
      <c r="F537" s="162"/>
      <c r="G537" s="163"/>
      <c r="H537" s="163"/>
      <c r="I537" s="163"/>
      <c r="J537" s="149"/>
      <c r="K537" s="149"/>
      <c r="L537" s="164"/>
      <c r="M537" s="149"/>
      <c r="N537" s="150"/>
      <c r="O537" s="149"/>
      <c r="P537" s="149"/>
      <c r="Q537" s="149"/>
      <c r="R537" s="149"/>
      <c r="S537" s="149"/>
      <c r="T537" s="149"/>
      <c r="U537" s="149"/>
      <c r="V537" s="149"/>
      <c r="W537" s="151"/>
      <c r="X537" s="149"/>
      <c r="Y537" s="152"/>
      <c r="Z537" s="153"/>
      <c r="AA537" s="149"/>
      <c r="AB537" s="154"/>
      <c r="AC537" s="155"/>
      <c r="AD537" s="155"/>
      <c r="AE537" s="155"/>
      <c r="AF537" s="155"/>
      <c r="AG537" s="149"/>
      <c r="AH537" s="149"/>
      <c r="AI537" s="149"/>
      <c r="AJ537" s="156"/>
      <c r="AK537" s="149"/>
      <c r="AL537" s="149"/>
      <c r="AM537" s="149"/>
      <c r="AN537" s="149"/>
      <c r="AO537" s="149"/>
      <c r="AP537" s="149"/>
      <c r="AQ537" s="157"/>
      <c r="AR537" s="149"/>
      <c r="AS537" s="158"/>
    </row>
    <row r="538" ht="15.75" customHeight="1">
      <c r="A538" s="149"/>
      <c r="B538" s="149"/>
      <c r="C538" s="159"/>
      <c r="D538" s="160"/>
      <c r="E538" s="161"/>
      <c r="F538" s="162"/>
      <c r="G538" s="163"/>
      <c r="H538" s="163"/>
      <c r="I538" s="163"/>
      <c r="J538" s="149"/>
      <c r="K538" s="149"/>
      <c r="L538" s="164"/>
      <c r="M538" s="149"/>
      <c r="N538" s="150"/>
      <c r="O538" s="149"/>
      <c r="P538" s="149"/>
      <c r="Q538" s="149"/>
      <c r="R538" s="149"/>
      <c r="S538" s="149"/>
      <c r="T538" s="149"/>
      <c r="U538" s="149"/>
      <c r="V538" s="149"/>
      <c r="W538" s="151"/>
      <c r="X538" s="149"/>
      <c r="Y538" s="152"/>
      <c r="Z538" s="153"/>
      <c r="AA538" s="149"/>
      <c r="AB538" s="154"/>
      <c r="AC538" s="155"/>
      <c r="AD538" s="155"/>
      <c r="AE538" s="155"/>
      <c r="AF538" s="155"/>
      <c r="AG538" s="149"/>
      <c r="AH538" s="149"/>
      <c r="AI538" s="149"/>
      <c r="AJ538" s="156"/>
      <c r="AK538" s="149"/>
      <c r="AL538" s="149"/>
      <c r="AM538" s="149"/>
      <c r="AN538" s="149"/>
      <c r="AO538" s="149"/>
      <c r="AP538" s="149"/>
      <c r="AQ538" s="157"/>
      <c r="AR538" s="149"/>
      <c r="AS538" s="158"/>
    </row>
    <row r="539" ht="15.75" customHeight="1">
      <c r="A539" s="149"/>
      <c r="B539" s="149"/>
      <c r="C539" s="159"/>
      <c r="D539" s="160"/>
      <c r="E539" s="161"/>
      <c r="F539" s="162"/>
      <c r="G539" s="163"/>
      <c r="H539" s="163"/>
      <c r="I539" s="163"/>
      <c r="J539" s="149"/>
      <c r="K539" s="149"/>
      <c r="L539" s="164"/>
      <c r="M539" s="149"/>
      <c r="N539" s="150"/>
      <c r="O539" s="149"/>
      <c r="P539" s="149"/>
      <c r="Q539" s="149"/>
      <c r="R539" s="149"/>
      <c r="S539" s="149"/>
      <c r="T539" s="149"/>
      <c r="U539" s="149"/>
      <c r="V539" s="149"/>
      <c r="W539" s="151"/>
      <c r="X539" s="149"/>
      <c r="Y539" s="152"/>
      <c r="Z539" s="153"/>
      <c r="AA539" s="149"/>
      <c r="AB539" s="154"/>
      <c r="AC539" s="155"/>
      <c r="AD539" s="155"/>
      <c r="AE539" s="155"/>
      <c r="AF539" s="155"/>
      <c r="AG539" s="149"/>
      <c r="AH539" s="149"/>
      <c r="AI539" s="149"/>
      <c r="AJ539" s="156"/>
      <c r="AK539" s="149"/>
      <c r="AL539" s="149"/>
      <c r="AM539" s="149"/>
      <c r="AN539" s="149"/>
      <c r="AO539" s="149"/>
      <c r="AP539" s="149"/>
      <c r="AQ539" s="157"/>
      <c r="AR539" s="149"/>
      <c r="AS539" s="158"/>
    </row>
    <row r="540" ht="15.75" customHeight="1">
      <c r="A540" s="149"/>
      <c r="B540" s="149"/>
      <c r="C540" s="159"/>
      <c r="D540" s="160"/>
      <c r="E540" s="161"/>
      <c r="F540" s="162"/>
      <c r="G540" s="163"/>
      <c r="H540" s="163"/>
      <c r="I540" s="163"/>
      <c r="J540" s="149"/>
      <c r="K540" s="149"/>
      <c r="L540" s="164"/>
      <c r="M540" s="149"/>
      <c r="N540" s="150"/>
      <c r="O540" s="149"/>
      <c r="P540" s="149"/>
      <c r="Q540" s="149"/>
      <c r="R540" s="149"/>
      <c r="S540" s="149"/>
      <c r="T540" s="149"/>
      <c r="U540" s="149"/>
      <c r="V540" s="149"/>
      <c r="W540" s="151"/>
      <c r="X540" s="149"/>
      <c r="Y540" s="152"/>
      <c r="Z540" s="153"/>
      <c r="AA540" s="149"/>
      <c r="AB540" s="154"/>
      <c r="AC540" s="155"/>
      <c r="AD540" s="155"/>
      <c r="AE540" s="155"/>
      <c r="AF540" s="155"/>
      <c r="AG540" s="149"/>
      <c r="AH540" s="149"/>
      <c r="AI540" s="149"/>
      <c r="AJ540" s="156"/>
      <c r="AK540" s="149"/>
      <c r="AL540" s="149"/>
      <c r="AM540" s="149"/>
      <c r="AN540" s="149"/>
      <c r="AO540" s="149"/>
      <c r="AP540" s="149"/>
      <c r="AQ540" s="157"/>
      <c r="AR540" s="149"/>
      <c r="AS540" s="158"/>
    </row>
    <row r="541" ht="15.75" customHeight="1">
      <c r="A541" s="149"/>
      <c r="B541" s="149"/>
      <c r="C541" s="159"/>
      <c r="D541" s="160"/>
      <c r="E541" s="161"/>
      <c r="F541" s="162"/>
      <c r="G541" s="163"/>
      <c r="H541" s="163"/>
      <c r="I541" s="163"/>
      <c r="J541" s="149"/>
      <c r="K541" s="149"/>
      <c r="L541" s="164"/>
      <c r="M541" s="149"/>
      <c r="N541" s="150"/>
      <c r="O541" s="149"/>
      <c r="P541" s="149"/>
      <c r="Q541" s="149"/>
      <c r="R541" s="149"/>
      <c r="S541" s="149"/>
      <c r="T541" s="149"/>
      <c r="U541" s="149"/>
      <c r="V541" s="149"/>
      <c r="W541" s="151"/>
      <c r="X541" s="149"/>
      <c r="Y541" s="152"/>
      <c r="Z541" s="153"/>
      <c r="AA541" s="149"/>
      <c r="AB541" s="154"/>
      <c r="AC541" s="155"/>
      <c r="AD541" s="155"/>
      <c r="AE541" s="155"/>
      <c r="AF541" s="155"/>
      <c r="AG541" s="149"/>
      <c r="AH541" s="149"/>
      <c r="AI541" s="149"/>
      <c r="AJ541" s="156"/>
      <c r="AK541" s="149"/>
      <c r="AL541" s="149"/>
      <c r="AM541" s="149"/>
      <c r="AN541" s="149"/>
      <c r="AO541" s="149"/>
      <c r="AP541" s="149"/>
      <c r="AQ541" s="157"/>
      <c r="AR541" s="149"/>
      <c r="AS541" s="158"/>
    </row>
    <row r="542" ht="15.75" customHeight="1">
      <c r="A542" s="149"/>
      <c r="B542" s="149"/>
      <c r="C542" s="159"/>
      <c r="D542" s="160"/>
      <c r="E542" s="161"/>
      <c r="F542" s="162"/>
      <c r="G542" s="163"/>
      <c r="H542" s="163"/>
      <c r="I542" s="163"/>
      <c r="J542" s="149"/>
      <c r="K542" s="149"/>
      <c r="L542" s="164"/>
      <c r="M542" s="149"/>
      <c r="N542" s="150"/>
      <c r="O542" s="149"/>
      <c r="P542" s="149"/>
      <c r="Q542" s="149"/>
      <c r="R542" s="149"/>
      <c r="S542" s="149"/>
      <c r="T542" s="149"/>
      <c r="U542" s="149"/>
      <c r="V542" s="149"/>
      <c r="W542" s="151"/>
      <c r="X542" s="149"/>
      <c r="Y542" s="152"/>
      <c r="Z542" s="153"/>
      <c r="AA542" s="149"/>
      <c r="AB542" s="154"/>
      <c r="AC542" s="155"/>
      <c r="AD542" s="155"/>
      <c r="AE542" s="155"/>
      <c r="AF542" s="155"/>
      <c r="AG542" s="149"/>
      <c r="AH542" s="149"/>
      <c r="AI542" s="149"/>
      <c r="AJ542" s="156"/>
      <c r="AK542" s="149"/>
      <c r="AL542" s="149"/>
      <c r="AM542" s="149"/>
      <c r="AN542" s="149"/>
      <c r="AO542" s="149"/>
      <c r="AP542" s="149"/>
      <c r="AQ542" s="157"/>
      <c r="AR542" s="149"/>
      <c r="AS542" s="158"/>
    </row>
    <row r="543" ht="15.75" customHeight="1">
      <c r="A543" s="149"/>
      <c r="B543" s="149"/>
      <c r="C543" s="159"/>
      <c r="D543" s="160"/>
      <c r="E543" s="161"/>
      <c r="F543" s="162"/>
      <c r="G543" s="163"/>
      <c r="H543" s="163"/>
      <c r="I543" s="163"/>
      <c r="J543" s="149"/>
      <c r="K543" s="149"/>
      <c r="L543" s="164"/>
      <c r="M543" s="149"/>
      <c r="N543" s="150"/>
      <c r="O543" s="149"/>
      <c r="P543" s="149"/>
      <c r="Q543" s="149"/>
      <c r="R543" s="149"/>
      <c r="S543" s="149"/>
      <c r="T543" s="149"/>
      <c r="U543" s="149"/>
      <c r="V543" s="149"/>
      <c r="W543" s="151"/>
      <c r="X543" s="149"/>
      <c r="Y543" s="152"/>
      <c r="Z543" s="153"/>
      <c r="AA543" s="149"/>
      <c r="AB543" s="154"/>
      <c r="AC543" s="155"/>
      <c r="AD543" s="155"/>
      <c r="AE543" s="155"/>
      <c r="AF543" s="155"/>
      <c r="AG543" s="149"/>
      <c r="AH543" s="149"/>
      <c r="AI543" s="149"/>
      <c r="AJ543" s="156"/>
      <c r="AK543" s="149"/>
      <c r="AL543" s="149"/>
      <c r="AM543" s="149"/>
      <c r="AN543" s="149"/>
      <c r="AO543" s="149"/>
      <c r="AP543" s="149"/>
      <c r="AQ543" s="157"/>
      <c r="AR543" s="149"/>
      <c r="AS543" s="158"/>
    </row>
    <row r="544" ht="15.75" customHeight="1">
      <c r="A544" s="149"/>
      <c r="B544" s="149"/>
      <c r="C544" s="159"/>
      <c r="D544" s="160"/>
      <c r="E544" s="161"/>
      <c r="F544" s="162"/>
      <c r="G544" s="163"/>
      <c r="H544" s="163"/>
      <c r="I544" s="163"/>
      <c r="J544" s="149"/>
      <c r="K544" s="149"/>
      <c r="L544" s="164"/>
      <c r="M544" s="149"/>
      <c r="N544" s="150"/>
      <c r="O544" s="149"/>
      <c r="P544" s="149"/>
      <c r="Q544" s="149"/>
      <c r="R544" s="149"/>
      <c r="S544" s="149"/>
      <c r="T544" s="149"/>
      <c r="U544" s="149"/>
      <c r="V544" s="149"/>
      <c r="W544" s="151"/>
      <c r="X544" s="149"/>
      <c r="Y544" s="152"/>
      <c r="Z544" s="153"/>
      <c r="AA544" s="149"/>
      <c r="AB544" s="154"/>
      <c r="AC544" s="155"/>
      <c r="AD544" s="155"/>
      <c r="AE544" s="155"/>
      <c r="AF544" s="155"/>
      <c r="AG544" s="149"/>
      <c r="AH544" s="149"/>
      <c r="AI544" s="149"/>
      <c r="AJ544" s="156"/>
      <c r="AK544" s="149"/>
      <c r="AL544" s="149"/>
      <c r="AM544" s="149"/>
      <c r="AN544" s="149"/>
      <c r="AO544" s="149"/>
      <c r="AP544" s="149"/>
      <c r="AQ544" s="157"/>
      <c r="AR544" s="149"/>
      <c r="AS544" s="158"/>
    </row>
    <row r="545" ht="15.75" customHeight="1">
      <c r="A545" s="149"/>
      <c r="B545" s="149"/>
      <c r="C545" s="159"/>
      <c r="D545" s="160"/>
      <c r="E545" s="161"/>
      <c r="F545" s="162"/>
      <c r="G545" s="163"/>
      <c r="H545" s="163"/>
      <c r="I545" s="163"/>
      <c r="J545" s="149"/>
      <c r="K545" s="149"/>
      <c r="L545" s="164"/>
      <c r="M545" s="149"/>
      <c r="N545" s="150"/>
      <c r="O545" s="149"/>
      <c r="P545" s="149"/>
      <c r="Q545" s="149"/>
      <c r="R545" s="149"/>
      <c r="S545" s="149"/>
      <c r="T545" s="149"/>
      <c r="U545" s="149"/>
      <c r="V545" s="149"/>
      <c r="W545" s="151"/>
      <c r="X545" s="149"/>
      <c r="Y545" s="152"/>
      <c r="Z545" s="153"/>
      <c r="AA545" s="149"/>
      <c r="AB545" s="154"/>
      <c r="AC545" s="155"/>
      <c r="AD545" s="155"/>
      <c r="AE545" s="155"/>
      <c r="AF545" s="155"/>
      <c r="AG545" s="149"/>
      <c r="AH545" s="149"/>
      <c r="AI545" s="149"/>
      <c r="AJ545" s="156"/>
      <c r="AK545" s="149"/>
      <c r="AL545" s="149"/>
      <c r="AM545" s="149"/>
      <c r="AN545" s="149"/>
      <c r="AO545" s="149"/>
      <c r="AP545" s="149"/>
      <c r="AQ545" s="157"/>
      <c r="AR545" s="149"/>
      <c r="AS545" s="158"/>
    </row>
    <row r="546" ht="15.75" customHeight="1">
      <c r="A546" s="149"/>
      <c r="B546" s="149"/>
      <c r="C546" s="159"/>
      <c r="D546" s="160"/>
      <c r="E546" s="161"/>
      <c r="F546" s="162"/>
      <c r="G546" s="163"/>
      <c r="H546" s="163"/>
      <c r="I546" s="163"/>
      <c r="J546" s="149"/>
      <c r="K546" s="149"/>
      <c r="L546" s="164"/>
      <c r="M546" s="149"/>
      <c r="N546" s="150"/>
      <c r="O546" s="149"/>
      <c r="P546" s="149"/>
      <c r="Q546" s="149"/>
      <c r="R546" s="149"/>
      <c r="S546" s="149"/>
      <c r="T546" s="149"/>
      <c r="U546" s="149"/>
      <c r="V546" s="149"/>
      <c r="W546" s="151"/>
      <c r="X546" s="149"/>
      <c r="Y546" s="152"/>
      <c r="Z546" s="153"/>
      <c r="AA546" s="149"/>
      <c r="AB546" s="154"/>
      <c r="AC546" s="155"/>
      <c r="AD546" s="155"/>
      <c r="AE546" s="155"/>
      <c r="AF546" s="155"/>
      <c r="AG546" s="149"/>
      <c r="AH546" s="149"/>
      <c r="AI546" s="149"/>
      <c r="AJ546" s="156"/>
      <c r="AK546" s="149"/>
      <c r="AL546" s="149"/>
      <c r="AM546" s="149"/>
      <c r="AN546" s="149"/>
      <c r="AO546" s="149"/>
      <c r="AP546" s="149"/>
      <c r="AQ546" s="157"/>
      <c r="AR546" s="149"/>
      <c r="AS546" s="158"/>
    </row>
    <row r="547" ht="15.75" customHeight="1">
      <c r="A547" s="149"/>
      <c r="B547" s="149"/>
      <c r="C547" s="159"/>
      <c r="D547" s="160"/>
      <c r="E547" s="161"/>
      <c r="F547" s="162"/>
      <c r="G547" s="163"/>
      <c r="H547" s="163"/>
      <c r="I547" s="163"/>
      <c r="J547" s="149"/>
      <c r="K547" s="149"/>
      <c r="L547" s="164"/>
      <c r="M547" s="149"/>
      <c r="N547" s="150"/>
      <c r="O547" s="149"/>
      <c r="P547" s="149"/>
      <c r="Q547" s="149"/>
      <c r="R547" s="149"/>
      <c r="S547" s="149"/>
      <c r="T547" s="149"/>
      <c r="U547" s="149"/>
      <c r="V547" s="149"/>
      <c r="W547" s="151"/>
      <c r="X547" s="149"/>
      <c r="Y547" s="152"/>
      <c r="Z547" s="153"/>
      <c r="AA547" s="149"/>
      <c r="AB547" s="154"/>
      <c r="AC547" s="155"/>
      <c r="AD547" s="155"/>
      <c r="AE547" s="155"/>
      <c r="AF547" s="155"/>
      <c r="AG547" s="149"/>
      <c r="AH547" s="149"/>
      <c r="AI547" s="149"/>
      <c r="AJ547" s="156"/>
      <c r="AK547" s="149"/>
      <c r="AL547" s="149"/>
      <c r="AM547" s="149"/>
      <c r="AN547" s="149"/>
      <c r="AO547" s="149"/>
      <c r="AP547" s="149"/>
      <c r="AQ547" s="157"/>
      <c r="AR547" s="149"/>
      <c r="AS547" s="158"/>
    </row>
    <row r="548" ht="15.75" customHeight="1">
      <c r="A548" s="149"/>
      <c r="B548" s="149"/>
      <c r="C548" s="159"/>
      <c r="D548" s="160"/>
      <c r="E548" s="161"/>
      <c r="F548" s="162"/>
      <c r="G548" s="163"/>
      <c r="H548" s="163"/>
      <c r="I548" s="163"/>
      <c r="J548" s="149"/>
      <c r="K548" s="149"/>
      <c r="L548" s="164"/>
      <c r="M548" s="149"/>
      <c r="N548" s="150"/>
      <c r="O548" s="149"/>
      <c r="P548" s="149"/>
      <c r="Q548" s="149"/>
      <c r="R548" s="149"/>
      <c r="S548" s="149"/>
      <c r="T548" s="149"/>
      <c r="U548" s="149"/>
      <c r="V548" s="149"/>
      <c r="W548" s="151"/>
      <c r="X548" s="149"/>
      <c r="Y548" s="152"/>
      <c r="Z548" s="153"/>
      <c r="AA548" s="149"/>
      <c r="AB548" s="154"/>
      <c r="AC548" s="155"/>
      <c r="AD548" s="155"/>
      <c r="AE548" s="155"/>
      <c r="AF548" s="155"/>
      <c r="AG548" s="149"/>
      <c r="AH548" s="149"/>
      <c r="AI548" s="149"/>
      <c r="AJ548" s="156"/>
      <c r="AK548" s="149"/>
      <c r="AL548" s="149"/>
      <c r="AM548" s="149"/>
      <c r="AN548" s="149"/>
      <c r="AO548" s="149"/>
      <c r="AP548" s="149"/>
      <c r="AQ548" s="157"/>
      <c r="AR548" s="149"/>
      <c r="AS548" s="158"/>
    </row>
    <row r="549" ht="15.75" customHeight="1">
      <c r="A549" s="149"/>
      <c r="B549" s="149"/>
      <c r="C549" s="159"/>
      <c r="D549" s="160"/>
      <c r="E549" s="161"/>
      <c r="F549" s="162"/>
      <c r="G549" s="163"/>
      <c r="H549" s="163"/>
      <c r="I549" s="163"/>
      <c r="J549" s="149"/>
      <c r="K549" s="149"/>
      <c r="L549" s="164"/>
      <c r="M549" s="149"/>
      <c r="N549" s="150"/>
      <c r="O549" s="149"/>
      <c r="P549" s="149"/>
      <c r="Q549" s="149"/>
      <c r="R549" s="149"/>
      <c r="S549" s="149"/>
      <c r="T549" s="149"/>
      <c r="U549" s="149"/>
      <c r="V549" s="149"/>
      <c r="W549" s="151"/>
      <c r="X549" s="149"/>
      <c r="Y549" s="152"/>
      <c r="Z549" s="153"/>
      <c r="AA549" s="149"/>
      <c r="AB549" s="154"/>
      <c r="AC549" s="155"/>
      <c r="AD549" s="155"/>
      <c r="AE549" s="155"/>
      <c r="AF549" s="155"/>
      <c r="AG549" s="149"/>
      <c r="AH549" s="149"/>
      <c r="AI549" s="149"/>
      <c r="AJ549" s="156"/>
      <c r="AK549" s="149"/>
      <c r="AL549" s="149"/>
      <c r="AM549" s="149"/>
      <c r="AN549" s="149"/>
      <c r="AO549" s="149"/>
      <c r="AP549" s="149"/>
      <c r="AQ549" s="157"/>
      <c r="AR549" s="149"/>
      <c r="AS549" s="158"/>
    </row>
    <row r="550" ht="15.75" customHeight="1">
      <c r="A550" s="149"/>
      <c r="B550" s="149"/>
      <c r="C550" s="159"/>
      <c r="D550" s="160"/>
      <c r="E550" s="161"/>
      <c r="F550" s="162"/>
      <c r="G550" s="163"/>
      <c r="H550" s="163"/>
      <c r="I550" s="163"/>
      <c r="J550" s="149"/>
      <c r="K550" s="149"/>
      <c r="L550" s="164"/>
      <c r="M550" s="149"/>
      <c r="N550" s="150"/>
      <c r="O550" s="149"/>
      <c r="P550" s="149"/>
      <c r="Q550" s="149"/>
      <c r="R550" s="149"/>
      <c r="S550" s="149"/>
      <c r="T550" s="149"/>
      <c r="U550" s="149"/>
      <c r="V550" s="149"/>
      <c r="W550" s="151"/>
      <c r="X550" s="149"/>
      <c r="Y550" s="152"/>
      <c r="Z550" s="153"/>
      <c r="AA550" s="149"/>
      <c r="AB550" s="154"/>
      <c r="AC550" s="155"/>
      <c r="AD550" s="155"/>
      <c r="AE550" s="155"/>
      <c r="AF550" s="155"/>
      <c r="AG550" s="149"/>
      <c r="AH550" s="149"/>
      <c r="AI550" s="149"/>
      <c r="AJ550" s="156"/>
      <c r="AK550" s="149"/>
      <c r="AL550" s="149"/>
      <c r="AM550" s="149"/>
      <c r="AN550" s="149"/>
      <c r="AO550" s="149"/>
      <c r="AP550" s="149"/>
      <c r="AQ550" s="157"/>
      <c r="AR550" s="149"/>
      <c r="AS550" s="158"/>
    </row>
    <row r="551" ht="15.75" customHeight="1">
      <c r="A551" s="149"/>
      <c r="B551" s="149"/>
      <c r="C551" s="159"/>
      <c r="D551" s="160"/>
      <c r="E551" s="161"/>
      <c r="F551" s="162"/>
      <c r="G551" s="163"/>
      <c r="H551" s="163"/>
      <c r="I551" s="163"/>
      <c r="J551" s="149"/>
      <c r="K551" s="149"/>
      <c r="L551" s="164"/>
      <c r="M551" s="149"/>
      <c r="N551" s="150"/>
      <c r="O551" s="149"/>
      <c r="P551" s="149"/>
      <c r="Q551" s="149"/>
      <c r="R551" s="149"/>
      <c r="S551" s="149"/>
      <c r="T551" s="149"/>
      <c r="U551" s="149"/>
      <c r="V551" s="149"/>
      <c r="W551" s="151"/>
      <c r="X551" s="149"/>
      <c r="Y551" s="152"/>
      <c r="Z551" s="153"/>
      <c r="AA551" s="149"/>
      <c r="AB551" s="154"/>
      <c r="AC551" s="155"/>
      <c r="AD551" s="155"/>
      <c r="AE551" s="155"/>
      <c r="AF551" s="155"/>
      <c r="AG551" s="149"/>
      <c r="AH551" s="149"/>
      <c r="AI551" s="149"/>
      <c r="AJ551" s="156"/>
      <c r="AK551" s="149"/>
      <c r="AL551" s="149"/>
      <c r="AM551" s="149"/>
      <c r="AN551" s="149"/>
      <c r="AO551" s="149"/>
      <c r="AP551" s="149"/>
      <c r="AQ551" s="157"/>
      <c r="AR551" s="149"/>
      <c r="AS551" s="158"/>
    </row>
    <row r="552" ht="15.75" customHeight="1">
      <c r="A552" s="149"/>
      <c r="B552" s="149"/>
      <c r="C552" s="159"/>
      <c r="D552" s="160"/>
      <c r="E552" s="161"/>
      <c r="F552" s="162"/>
      <c r="G552" s="163"/>
      <c r="H552" s="163"/>
      <c r="I552" s="163"/>
      <c r="J552" s="149"/>
      <c r="K552" s="149"/>
      <c r="L552" s="164"/>
      <c r="M552" s="149"/>
      <c r="N552" s="150"/>
      <c r="O552" s="149"/>
      <c r="P552" s="149"/>
      <c r="Q552" s="149"/>
      <c r="R552" s="149"/>
      <c r="S552" s="149"/>
      <c r="T552" s="149"/>
      <c r="U552" s="149"/>
      <c r="V552" s="149"/>
      <c r="W552" s="151"/>
      <c r="X552" s="149"/>
      <c r="Y552" s="152"/>
      <c r="Z552" s="153"/>
      <c r="AA552" s="149"/>
      <c r="AB552" s="154"/>
      <c r="AC552" s="155"/>
      <c r="AD552" s="155"/>
      <c r="AE552" s="155"/>
      <c r="AF552" s="155"/>
      <c r="AG552" s="149"/>
      <c r="AH552" s="149"/>
      <c r="AI552" s="149"/>
      <c r="AJ552" s="156"/>
      <c r="AK552" s="149"/>
      <c r="AL552" s="149"/>
      <c r="AM552" s="149"/>
      <c r="AN552" s="149"/>
      <c r="AO552" s="149"/>
      <c r="AP552" s="149"/>
      <c r="AQ552" s="157"/>
      <c r="AR552" s="149"/>
      <c r="AS552" s="158"/>
    </row>
    <row r="553" ht="15.75" customHeight="1">
      <c r="A553" s="149"/>
      <c r="B553" s="149"/>
      <c r="C553" s="159"/>
      <c r="D553" s="160"/>
      <c r="E553" s="161"/>
      <c r="F553" s="162"/>
      <c r="G553" s="163"/>
      <c r="H553" s="163"/>
      <c r="I553" s="163"/>
      <c r="J553" s="149"/>
      <c r="K553" s="149"/>
      <c r="L553" s="164"/>
      <c r="M553" s="149"/>
      <c r="N553" s="150"/>
      <c r="O553" s="149"/>
      <c r="P553" s="149"/>
      <c r="Q553" s="149"/>
      <c r="R553" s="149"/>
      <c r="S553" s="149"/>
      <c r="T553" s="149"/>
      <c r="U553" s="149"/>
      <c r="V553" s="149"/>
      <c r="W553" s="151"/>
      <c r="X553" s="149"/>
      <c r="Y553" s="152"/>
      <c r="Z553" s="153"/>
      <c r="AA553" s="149"/>
      <c r="AB553" s="154"/>
      <c r="AC553" s="155"/>
      <c r="AD553" s="155"/>
      <c r="AE553" s="155"/>
      <c r="AF553" s="155"/>
      <c r="AG553" s="149"/>
      <c r="AH553" s="149"/>
      <c r="AI553" s="149"/>
      <c r="AJ553" s="156"/>
      <c r="AK553" s="149"/>
      <c r="AL553" s="149"/>
      <c r="AM553" s="149"/>
      <c r="AN553" s="149"/>
      <c r="AO553" s="149"/>
      <c r="AP553" s="149"/>
      <c r="AQ553" s="157"/>
      <c r="AR553" s="149"/>
      <c r="AS553" s="158"/>
    </row>
    <row r="554" ht="15.75" customHeight="1">
      <c r="A554" s="149"/>
      <c r="B554" s="149"/>
      <c r="C554" s="159"/>
      <c r="D554" s="160"/>
      <c r="E554" s="161"/>
      <c r="F554" s="162"/>
      <c r="G554" s="163"/>
      <c r="H554" s="163"/>
      <c r="I554" s="163"/>
      <c r="J554" s="149"/>
      <c r="K554" s="149"/>
      <c r="L554" s="164"/>
      <c r="M554" s="149"/>
      <c r="N554" s="150"/>
      <c r="O554" s="149"/>
      <c r="P554" s="149"/>
      <c r="Q554" s="149"/>
      <c r="R554" s="149"/>
      <c r="S554" s="149"/>
      <c r="T554" s="149"/>
      <c r="U554" s="149"/>
      <c r="V554" s="149"/>
      <c r="W554" s="151"/>
      <c r="X554" s="149"/>
      <c r="Y554" s="152"/>
      <c r="Z554" s="153"/>
      <c r="AA554" s="149"/>
      <c r="AB554" s="154"/>
      <c r="AC554" s="155"/>
      <c r="AD554" s="155"/>
      <c r="AE554" s="155"/>
      <c r="AF554" s="155"/>
      <c r="AG554" s="149"/>
      <c r="AH554" s="149"/>
      <c r="AI554" s="149"/>
      <c r="AJ554" s="156"/>
      <c r="AK554" s="149"/>
      <c r="AL554" s="149"/>
      <c r="AM554" s="149"/>
      <c r="AN554" s="149"/>
      <c r="AO554" s="149"/>
      <c r="AP554" s="149"/>
      <c r="AQ554" s="157"/>
      <c r="AR554" s="149"/>
      <c r="AS554" s="158"/>
    </row>
    <row r="555" ht="15.75" customHeight="1">
      <c r="A555" s="149"/>
      <c r="B555" s="149"/>
      <c r="C555" s="159"/>
      <c r="D555" s="160"/>
      <c r="E555" s="161"/>
      <c r="F555" s="162"/>
      <c r="G555" s="163"/>
      <c r="H555" s="163"/>
      <c r="I555" s="163"/>
      <c r="J555" s="149"/>
      <c r="K555" s="149"/>
      <c r="L555" s="164"/>
      <c r="M555" s="149"/>
      <c r="N555" s="150"/>
      <c r="O555" s="149"/>
      <c r="P555" s="149"/>
      <c r="Q555" s="149"/>
      <c r="R555" s="149"/>
      <c r="S555" s="149"/>
      <c r="T555" s="149"/>
      <c r="U555" s="149"/>
      <c r="V555" s="149"/>
      <c r="W555" s="151"/>
      <c r="X555" s="149"/>
      <c r="Y555" s="152"/>
      <c r="Z555" s="153"/>
      <c r="AA555" s="149"/>
      <c r="AB555" s="154"/>
      <c r="AC555" s="155"/>
      <c r="AD555" s="155"/>
      <c r="AE555" s="155"/>
      <c r="AF555" s="155"/>
      <c r="AG555" s="149"/>
      <c r="AH555" s="149"/>
      <c r="AI555" s="149"/>
      <c r="AJ555" s="156"/>
      <c r="AK555" s="149"/>
      <c r="AL555" s="149"/>
      <c r="AM555" s="149"/>
      <c r="AN555" s="149"/>
      <c r="AO555" s="149"/>
      <c r="AP555" s="149"/>
      <c r="AQ555" s="157"/>
      <c r="AR555" s="149"/>
      <c r="AS555" s="158"/>
    </row>
    <row r="556" ht="15.75" customHeight="1">
      <c r="A556" s="149"/>
      <c r="B556" s="149"/>
      <c r="C556" s="159"/>
      <c r="D556" s="160"/>
      <c r="E556" s="161"/>
      <c r="F556" s="162"/>
      <c r="G556" s="163"/>
      <c r="H556" s="163"/>
      <c r="I556" s="163"/>
      <c r="J556" s="149"/>
      <c r="K556" s="149"/>
      <c r="L556" s="164"/>
      <c r="M556" s="149"/>
      <c r="N556" s="150"/>
      <c r="O556" s="149"/>
      <c r="P556" s="149"/>
      <c r="Q556" s="149"/>
      <c r="R556" s="149"/>
      <c r="S556" s="149"/>
      <c r="T556" s="149"/>
      <c r="U556" s="149"/>
      <c r="V556" s="149"/>
      <c r="W556" s="151"/>
      <c r="X556" s="149"/>
      <c r="Y556" s="152"/>
      <c r="Z556" s="153"/>
      <c r="AA556" s="149"/>
      <c r="AB556" s="154"/>
      <c r="AC556" s="155"/>
      <c r="AD556" s="155"/>
      <c r="AE556" s="155"/>
      <c r="AF556" s="155"/>
      <c r="AG556" s="149"/>
      <c r="AH556" s="149"/>
      <c r="AI556" s="149"/>
      <c r="AJ556" s="156"/>
      <c r="AK556" s="149"/>
      <c r="AL556" s="149"/>
      <c r="AM556" s="149"/>
      <c r="AN556" s="149"/>
      <c r="AO556" s="149"/>
      <c r="AP556" s="149"/>
      <c r="AQ556" s="157"/>
      <c r="AR556" s="149"/>
      <c r="AS556" s="158"/>
    </row>
    <row r="557" ht="15.75" customHeight="1">
      <c r="A557" s="149"/>
      <c r="B557" s="149"/>
      <c r="C557" s="159"/>
      <c r="D557" s="160"/>
      <c r="E557" s="161"/>
      <c r="F557" s="162"/>
      <c r="G557" s="163"/>
      <c r="H557" s="163"/>
      <c r="I557" s="163"/>
      <c r="J557" s="149"/>
      <c r="K557" s="149"/>
      <c r="L557" s="164"/>
      <c r="M557" s="149"/>
      <c r="N557" s="150"/>
      <c r="O557" s="149"/>
      <c r="P557" s="149"/>
      <c r="Q557" s="149"/>
      <c r="R557" s="149"/>
      <c r="S557" s="149"/>
      <c r="T557" s="149"/>
      <c r="U557" s="149"/>
      <c r="V557" s="149"/>
      <c r="W557" s="151"/>
      <c r="X557" s="149"/>
      <c r="Y557" s="152"/>
      <c r="Z557" s="153"/>
      <c r="AA557" s="149"/>
      <c r="AB557" s="154"/>
      <c r="AC557" s="155"/>
      <c r="AD557" s="155"/>
      <c r="AE557" s="155"/>
      <c r="AF557" s="155"/>
      <c r="AG557" s="149"/>
      <c r="AH557" s="149"/>
      <c r="AI557" s="149"/>
      <c r="AJ557" s="156"/>
      <c r="AK557" s="149"/>
      <c r="AL557" s="149"/>
      <c r="AM557" s="149"/>
      <c r="AN557" s="149"/>
      <c r="AO557" s="149"/>
      <c r="AP557" s="149"/>
      <c r="AQ557" s="157"/>
      <c r="AR557" s="149"/>
      <c r="AS557" s="158"/>
    </row>
    <row r="558" ht="15.75" customHeight="1">
      <c r="A558" s="149"/>
      <c r="B558" s="149"/>
      <c r="C558" s="159"/>
      <c r="D558" s="160"/>
      <c r="E558" s="161"/>
      <c r="F558" s="162"/>
      <c r="G558" s="163"/>
      <c r="H558" s="163"/>
      <c r="I558" s="163"/>
      <c r="J558" s="149"/>
      <c r="K558" s="149"/>
      <c r="L558" s="164"/>
      <c r="M558" s="149"/>
      <c r="N558" s="150"/>
      <c r="O558" s="149"/>
      <c r="P558" s="149"/>
      <c r="Q558" s="149"/>
      <c r="R558" s="149"/>
      <c r="S558" s="149"/>
      <c r="T558" s="149"/>
      <c r="U558" s="149"/>
      <c r="V558" s="149"/>
      <c r="W558" s="151"/>
      <c r="X558" s="149"/>
      <c r="Y558" s="152"/>
      <c r="Z558" s="153"/>
      <c r="AA558" s="149"/>
      <c r="AB558" s="154"/>
      <c r="AC558" s="155"/>
      <c r="AD558" s="155"/>
      <c r="AE558" s="155"/>
      <c r="AF558" s="155"/>
      <c r="AG558" s="149"/>
      <c r="AH558" s="149"/>
      <c r="AI558" s="149"/>
      <c r="AJ558" s="156"/>
      <c r="AK558" s="149"/>
      <c r="AL558" s="149"/>
      <c r="AM558" s="149"/>
      <c r="AN558" s="149"/>
      <c r="AO558" s="149"/>
      <c r="AP558" s="149"/>
      <c r="AQ558" s="157"/>
      <c r="AR558" s="149"/>
      <c r="AS558" s="158"/>
    </row>
    <row r="559" ht="15.75" customHeight="1">
      <c r="A559" s="149"/>
      <c r="B559" s="149"/>
      <c r="C559" s="159"/>
      <c r="D559" s="160"/>
      <c r="E559" s="161"/>
      <c r="F559" s="162"/>
      <c r="G559" s="163"/>
      <c r="H559" s="163"/>
      <c r="I559" s="163"/>
      <c r="J559" s="149"/>
      <c r="K559" s="149"/>
      <c r="L559" s="164"/>
      <c r="M559" s="149"/>
      <c r="N559" s="150"/>
      <c r="O559" s="149"/>
      <c r="P559" s="149"/>
      <c r="Q559" s="149"/>
      <c r="R559" s="149"/>
      <c r="S559" s="149"/>
      <c r="T559" s="149"/>
      <c r="U559" s="149"/>
      <c r="V559" s="149"/>
      <c r="W559" s="151"/>
      <c r="X559" s="149"/>
      <c r="Y559" s="152"/>
      <c r="Z559" s="153"/>
      <c r="AA559" s="149"/>
      <c r="AB559" s="154"/>
      <c r="AC559" s="155"/>
      <c r="AD559" s="155"/>
      <c r="AE559" s="155"/>
      <c r="AF559" s="155"/>
      <c r="AG559" s="149"/>
      <c r="AH559" s="149"/>
      <c r="AI559" s="149"/>
      <c r="AJ559" s="156"/>
      <c r="AK559" s="149"/>
      <c r="AL559" s="149"/>
      <c r="AM559" s="149"/>
      <c r="AN559" s="149"/>
      <c r="AO559" s="149"/>
      <c r="AP559" s="149"/>
      <c r="AQ559" s="157"/>
      <c r="AR559" s="149"/>
      <c r="AS559" s="158"/>
    </row>
    <row r="560" ht="15.75" customHeight="1">
      <c r="A560" s="149"/>
      <c r="B560" s="149"/>
      <c r="C560" s="159"/>
      <c r="D560" s="160"/>
      <c r="E560" s="161"/>
      <c r="F560" s="162"/>
      <c r="G560" s="163"/>
      <c r="H560" s="163"/>
      <c r="I560" s="163"/>
      <c r="J560" s="149"/>
      <c r="K560" s="149"/>
      <c r="L560" s="164"/>
      <c r="M560" s="149"/>
      <c r="N560" s="150"/>
      <c r="O560" s="149"/>
      <c r="P560" s="149"/>
      <c r="Q560" s="149"/>
      <c r="R560" s="149"/>
      <c r="S560" s="149"/>
      <c r="T560" s="149"/>
      <c r="U560" s="149"/>
      <c r="V560" s="149"/>
      <c r="W560" s="151"/>
      <c r="X560" s="149"/>
      <c r="Y560" s="152"/>
      <c r="Z560" s="153"/>
      <c r="AA560" s="149"/>
      <c r="AB560" s="154"/>
      <c r="AC560" s="155"/>
      <c r="AD560" s="155"/>
      <c r="AE560" s="155"/>
      <c r="AF560" s="155"/>
      <c r="AG560" s="149"/>
      <c r="AH560" s="149"/>
      <c r="AI560" s="149"/>
      <c r="AJ560" s="156"/>
      <c r="AK560" s="149"/>
      <c r="AL560" s="149"/>
      <c r="AM560" s="149"/>
      <c r="AN560" s="149"/>
      <c r="AO560" s="149"/>
      <c r="AP560" s="149"/>
      <c r="AQ560" s="157"/>
      <c r="AR560" s="149"/>
      <c r="AS560" s="158"/>
    </row>
    <row r="561" ht="15.75" customHeight="1">
      <c r="A561" s="149"/>
      <c r="B561" s="149"/>
      <c r="C561" s="159"/>
      <c r="D561" s="160"/>
      <c r="E561" s="161"/>
      <c r="F561" s="162"/>
      <c r="G561" s="163"/>
      <c r="H561" s="163"/>
      <c r="I561" s="163"/>
      <c r="J561" s="149"/>
      <c r="K561" s="149"/>
      <c r="L561" s="164"/>
      <c r="M561" s="149"/>
      <c r="N561" s="150"/>
      <c r="O561" s="149"/>
      <c r="P561" s="149"/>
      <c r="Q561" s="149"/>
      <c r="R561" s="149"/>
      <c r="S561" s="149"/>
      <c r="T561" s="149"/>
      <c r="U561" s="149"/>
      <c r="V561" s="149"/>
      <c r="W561" s="151"/>
      <c r="X561" s="149"/>
      <c r="Y561" s="152"/>
      <c r="Z561" s="153"/>
      <c r="AA561" s="149"/>
      <c r="AB561" s="154"/>
      <c r="AC561" s="155"/>
      <c r="AD561" s="155"/>
      <c r="AE561" s="155"/>
      <c r="AF561" s="155"/>
      <c r="AG561" s="149"/>
      <c r="AH561" s="149"/>
      <c r="AI561" s="149"/>
      <c r="AJ561" s="156"/>
      <c r="AK561" s="149"/>
      <c r="AL561" s="149"/>
      <c r="AM561" s="149"/>
      <c r="AN561" s="149"/>
      <c r="AO561" s="149"/>
      <c r="AP561" s="149"/>
      <c r="AQ561" s="157"/>
      <c r="AR561" s="149"/>
      <c r="AS561" s="158"/>
    </row>
    <row r="562" ht="15.75" customHeight="1">
      <c r="A562" s="149"/>
      <c r="B562" s="149"/>
      <c r="C562" s="159"/>
      <c r="D562" s="160"/>
      <c r="E562" s="161"/>
      <c r="F562" s="162"/>
      <c r="G562" s="163"/>
      <c r="H562" s="163"/>
      <c r="I562" s="163"/>
      <c r="J562" s="149"/>
      <c r="K562" s="149"/>
      <c r="L562" s="164"/>
      <c r="M562" s="149"/>
      <c r="N562" s="150"/>
      <c r="O562" s="149"/>
      <c r="P562" s="149"/>
      <c r="Q562" s="149"/>
      <c r="R562" s="149"/>
      <c r="S562" s="149"/>
      <c r="T562" s="149"/>
      <c r="U562" s="149"/>
      <c r="V562" s="149"/>
      <c r="W562" s="151"/>
      <c r="X562" s="149"/>
      <c r="Y562" s="152"/>
      <c r="Z562" s="153"/>
      <c r="AA562" s="149"/>
      <c r="AB562" s="154"/>
      <c r="AC562" s="155"/>
      <c r="AD562" s="155"/>
      <c r="AE562" s="155"/>
      <c r="AF562" s="155"/>
      <c r="AG562" s="149"/>
      <c r="AH562" s="149"/>
      <c r="AI562" s="149"/>
      <c r="AJ562" s="156"/>
      <c r="AK562" s="149"/>
      <c r="AL562" s="149"/>
      <c r="AM562" s="149"/>
      <c r="AN562" s="149"/>
      <c r="AO562" s="149"/>
      <c r="AP562" s="149"/>
      <c r="AQ562" s="157"/>
      <c r="AR562" s="149"/>
      <c r="AS562" s="158"/>
    </row>
    <row r="563" ht="15.75" customHeight="1">
      <c r="A563" s="149"/>
      <c r="B563" s="149"/>
      <c r="C563" s="159"/>
      <c r="D563" s="160"/>
      <c r="E563" s="161"/>
      <c r="F563" s="162"/>
      <c r="G563" s="163"/>
      <c r="H563" s="163"/>
      <c r="I563" s="163"/>
      <c r="J563" s="149"/>
      <c r="K563" s="149"/>
      <c r="L563" s="164"/>
      <c r="M563" s="149"/>
      <c r="N563" s="150"/>
      <c r="O563" s="149"/>
      <c r="P563" s="149"/>
      <c r="Q563" s="149"/>
      <c r="R563" s="149"/>
      <c r="S563" s="149"/>
      <c r="T563" s="149"/>
      <c r="U563" s="149"/>
      <c r="V563" s="149"/>
      <c r="W563" s="151"/>
      <c r="X563" s="149"/>
      <c r="Y563" s="152"/>
      <c r="Z563" s="153"/>
      <c r="AA563" s="149"/>
      <c r="AB563" s="154"/>
      <c r="AC563" s="155"/>
      <c r="AD563" s="155"/>
      <c r="AE563" s="155"/>
      <c r="AF563" s="155"/>
      <c r="AG563" s="149"/>
      <c r="AH563" s="149"/>
      <c r="AI563" s="149"/>
      <c r="AJ563" s="156"/>
      <c r="AK563" s="149"/>
      <c r="AL563" s="149"/>
      <c r="AM563" s="149"/>
      <c r="AN563" s="149"/>
      <c r="AO563" s="149"/>
      <c r="AP563" s="149"/>
      <c r="AQ563" s="157"/>
      <c r="AR563" s="149"/>
      <c r="AS563" s="158"/>
    </row>
    <row r="564" ht="15.75" customHeight="1">
      <c r="A564" s="149"/>
      <c r="B564" s="149"/>
      <c r="C564" s="159"/>
      <c r="D564" s="160"/>
      <c r="E564" s="161"/>
      <c r="F564" s="162"/>
      <c r="G564" s="163"/>
      <c r="H564" s="163"/>
      <c r="I564" s="163"/>
      <c r="J564" s="149"/>
      <c r="K564" s="149"/>
      <c r="L564" s="164"/>
      <c r="M564" s="149"/>
      <c r="N564" s="150"/>
      <c r="O564" s="149"/>
      <c r="P564" s="149"/>
      <c r="Q564" s="149"/>
      <c r="R564" s="149"/>
      <c r="S564" s="149"/>
      <c r="T564" s="149"/>
      <c r="U564" s="149"/>
      <c r="V564" s="149"/>
      <c r="W564" s="151"/>
      <c r="X564" s="149"/>
      <c r="Y564" s="152"/>
      <c r="Z564" s="153"/>
      <c r="AA564" s="149"/>
      <c r="AB564" s="154"/>
      <c r="AC564" s="155"/>
      <c r="AD564" s="155"/>
      <c r="AE564" s="155"/>
      <c r="AF564" s="155"/>
      <c r="AG564" s="149"/>
      <c r="AH564" s="149"/>
      <c r="AI564" s="149"/>
      <c r="AJ564" s="156"/>
      <c r="AK564" s="149"/>
      <c r="AL564" s="149"/>
      <c r="AM564" s="149"/>
      <c r="AN564" s="149"/>
      <c r="AO564" s="149"/>
      <c r="AP564" s="149"/>
      <c r="AQ564" s="157"/>
      <c r="AR564" s="149"/>
      <c r="AS564" s="158"/>
    </row>
    <row r="565" ht="15.75" customHeight="1">
      <c r="A565" s="149"/>
      <c r="B565" s="149"/>
      <c r="C565" s="159"/>
      <c r="D565" s="160"/>
      <c r="E565" s="161"/>
      <c r="F565" s="162"/>
      <c r="G565" s="163"/>
      <c r="H565" s="163"/>
      <c r="I565" s="163"/>
      <c r="J565" s="149"/>
      <c r="K565" s="149"/>
      <c r="L565" s="164"/>
      <c r="M565" s="149"/>
      <c r="N565" s="150"/>
      <c r="O565" s="149"/>
      <c r="P565" s="149"/>
      <c r="Q565" s="149"/>
      <c r="R565" s="149"/>
      <c r="S565" s="149"/>
      <c r="T565" s="149"/>
      <c r="U565" s="149"/>
      <c r="V565" s="149"/>
      <c r="W565" s="151"/>
      <c r="X565" s="149"/>
      <c r="Y565" s="152"/>
      <c r="Z565" s="153"/>
      <c r="AA565" s="149"/>
      <c r="AB565" s="154"/>
      <c r="AC565" s="155"/>
      <c r="AD565" s="155"/>
      <c r="AE565" s="155"/>
      <c r="AF565" s="155"/>
      <c r="AG565" s="149"/>
      <c r="AH565" s="149"/>
      <c r="AI565" s="149"/>
      <c r="AJ565" s="156"/>
      <c r="AK565" s="149"/>
      <c r="AL565" s="149"/>
      <c r="AM565" s="149"/>
      <c r="AN565" s="149"/>
      <c r="AO565" s="149"/>
      <c r="AP565" s="149"/>
      <c r="AQ565" s="157"/>
      <c r="AR565" s="149"/>
      <c r="AS565" s="158"/>
    </row>
    <row r="566" ht="15.75" customHeight="1">
      <c r="A566" s="149"/>
      <c r="B566" s="149"/>
      <c r="C566" s="159"/>
      <c r="D566" s="160"/>
      <c r="E566" s="161"/>
      <c r="F566" s="162"/>
      <c r="G566" s="163"/>
      <c r="H566" s="163"/>
      <c r="I566" s="163"/>
      <c r="J566" s="149"/>
      <c r="K566" s="149"/>
      <c r="L566" s="164"/>
      <c r="M566" s="149"/>
      <c r="N566" s="150"/>
      <c r="O566" s="149"/>
      <c r="P566" s="149"/>
      <c r="Q566" s="149"/>
      <c r="R566" s="149"/>
      <c r="S566" s="149"/>
      <c r="T566" s="149"/>
      <c r="U566" s="149"/>
      <c r="V566" s="149"/>
      <c r="W566" s="151"/>
      <c r="X566" s="149"/>
      <c r="Y566" s="152"/>
      <c r="Z566" s="153"/>
      <c r="AA566" s="149"/>
      <c r="AB566" s="154"/>
      <c r="AC566" s="155"/>
      <c r="AD566" s="155"/>
      <c r="AE566" s="155"/>
      <c r="AF566" s="155"/>
      <c r="AG566" s="149"/>
      <c r="AH566" s="149"/>
      <c r="AI566" s="149"/>
      <c r="AJ566" s="156"/>
      <c r="AK566" s="149"/>
      <c r="AL566" s="149"/>
      <c r="AM566" s="149"/>
      <c r="AN566" s="149"/>
      <c r="AO566" s="149"/>
      <c r="AP566" s="149"/>
      <c r="AQ566" s="157"/>
      <c r="AR566" s="149"/>
      <c r="AS566" s="158"/>
    </row>
    <row r="567" ht="15.75" customHeight="1">
      <c r="A567" s="149"/>
      <c r="B567" s="149"/>
      <c r="C567" s="149"/>
      <c r="D567" s="160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50"/>
      <c r="AA567" s="149"/>
      <c r="AB567" s="154"/>
      <c r="AC567" s="155"/>
      <c r="AD567" s="155"/>
      <c r="AE567" s="155"/>
      <c r="AF567" s="155"/>
      <c r="AG567" s="149"/>
      <c r="AH567" s="149"/>
      <c r="AI567" s="149"/>
      <c r="AJ567" s="156"/>
      <c r="AK567" s="149"/>
      <c r="AL567" s="149"/>
      <c r="AM567" s="149"/>
      <c r="AN567" s="149"/>
      <c r="AO567" s="149"/>
      <c r="AP567" s="149"/>
      <c r="AQ567" s="157"/>
      <c r="AR567" s="149"/>
      <c r="AS567" s="158"/>
    </row>
    <row r="568" ht="15.75" customHeight="1">
      <c r="A568" s="149"/>
      <c r="B568" s="149"/>
      <c r="C568" s="149"/>
      <c r="D568" s="160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50"/>
      <c r="AA568" s="149"/>
      <c r="AB568" s="154"/>
      <c r="AC568" s="155"/>
      <c r="AD568" s="155"/>
      <c r="AE568" s="155"/>
      <c r="AF568" s="155"/>
      <c r="AG568" s="149"/>
      <c r="AH568" s="149"/>
      <c r="AI568" s="149"/>
      <c r="AJ568" s="156"/>
      <c r="AK568" s="149"/>
      <c r="AL568" s="149"/>
      <c r="AM568" s="149"/>
      <c r="AN568" s="149"/>
      <c r="AO568" s="149"/>
      <c r="AP568" s="149"/>
      <c r="AQ568" s="157"/>
      <c r="AR568" s="149"/>
      <c r="AS568" s="158"/>
    </row>
    <row r="569" ht="15.75" customHeight="1">
      <c r="A569" s="149"/>
      <c r="B569" s="149"/>
      <c r="C569" s="149"/>
      <c r="D569" s="160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50"/>
      <c r="AA569" s="149"/>
      <c r="AB569" s="154"/>
      <c r="AC569" s="155"/>
      <c r="AD569" s="155"/>
      <c r="AE569" s="155"/>
      <c r="AF569" s="155"/>
      <c r="AG569" s="149"/>
      <c r="AH569" s="149"/>
      <c r="AI569" s="149"/>
      <c r="AJ569" s="156"/>
      <c r="AK569" s="149"/>
      <c r="AL569" s="149"/>
      <c r="AM569" s="149"/>
      <c r="AN569" s="149"/>
      <c r="AO569" s="149"/>
      <c r="AP569" s="149"/>
      <c r="AQ569" s="157"/>
      <c r="AR569" s="149"/>
      <c r="AS569" s="158"/>
    </row>
    <row r="570" ht="15.75" customHeight="1">
      <c r="A570" s="149"/>
      <c r="B570" s="149"/>
      <c r="C570" s="149"/>
      <c r="D570" s="160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50"/>
      <c r="AA570" s="149"/>
      <c r="AB570" s="154"/>
      <c r="AC570" s="155"/>
      <c r="AD570" s="155"/>
      <c r="AE570" s="155"/>
      <c r="AF570" s="155"/>
      <c r="AG570" s="149"/>
      <c r="AH570" s="149"/>
      <c r="AI570" s="149"/>
      <c r="AJ570" s="156"/>
      <c r="AK570" s="149"/>
      <c r="AL570" s="149"/>
      <c r="AM570" s="149"/>
      <c r="AN570" s="149"/>
      <c r="AO570" s="149"/>
      <c r="AP570" s="149"/>
      <c r="AQ570" s="157"/>
      <c r="AR570" s="149"/>
      <c r="AS570" s="158"/>
    </row>
    <row r="571" ht="15.75" customHeight="1">
      <c r="A571" s="149"/>
      <c r="B571" s="149"/>
      <c r="C571" s="149"/>
      <c r="D571" s="160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50"/>
      <c r="AA571" s="149"/>
      <c r="AB571" s="154"/>
      <c r="AC571" s="155"/>
      <c r="AD571" s="155"/>
      <c r="AE571" s="155"/>
      <c r="AF571" s="155"/>
      <c r="AG571" s="149"/>
      <c r="AH571" s="149"/>
      <c r="AI571" s="149"/>
      <c r="AJ571" s="156"/>
      <c r="AK571" s="149"/>
      <c r="AL571" s="149"/>
      <c r="AM571" s="149"/>
      <c r="AN571" s="149"/>
      <c r="AO571" s="149"/>
      <c r="AP571" s="149"/>
      <c r="AQ571" s="157"/>
      <c r="AR571" s="149"/>
      <c r="AS571" s="158"/>
    </row>
    <row r="572" ht="15.75" customHeight="1">
      <c r="A572" s="149"/>
      <c r="B572" s="149"/>
      <c r="C572" s="149"/>
      <c r="D572" s="160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50"/>
      <c r="AA572" s="149"/>
      <c r="AB572" s="154"/>
      <c r="AC572" s="155"/>
      <c r="AD572" s="155"/>
      <c r="AE572" s="155"/>
      <c r="AF572" s="155"/>
      <c r="AG572" s="149"/>
      <c r="AH572" s="149"/>
      <c r="AI572" s="149"/>
      <c r="AJ572" s="156"/>
      <c r="AK572" s="149"/>
      <c r="AL572" s="149"/>
      <c r="AM572" s="149"/>
      <c r="AN572" s="149"/>
      <c r="AO572" s="149"/>
      <c r="AP572" s="149"/>
      <c r="AQ572" s="157"/>
      <c r="AR572" s="149"/>
      <c r="AS572" s="158"/>
    </row>
    <row r="573" ht="15.75" customHeight="1">
      <c r="A573" s="149"/>
      <c r="B573" s="149"/>
      <c r="C573" s="149"/>
      <c r="D573" s="160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50"/>
      <c r="AA573" s="149"/>
      <c r="AB573" s="154"/>
      <c r="AC573" s="155"/>
      <c r="AD573" s="155"/>
      <c r="AE573" s="155"/>
      <c r="AF573" s="155"/>
      <c r="AG573" s="149"/>
      <c r="AH573" s="149"/>
      <c r="AI573" s="149"/>
      <c r="AJ573" s="156"/>
      <c r="AK573" s="149"/>
      <c r="AL573" s="149"/>
      <c r="AM573" s="149"/>
      <c r="AN573" s="149"/>
      <c r="AO573" s="149"/>
      <c r="AP573" s="149"/>
      <c r="AQ573" s="157"/>
      <c r="AR573" s="149"/>
      <c r="AS573" s="158"/>
    </row>
    <row r="574" ht="15.75" customHeight="1">
      <c r="A574" s="149"/>
      <c r="B574" s="149"/>
      <c r="C574" s="149"/>
      <c r="D574" s="160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50"/>
      <c r="AA574" s="149"/>
      <c r="AB574" s="154"/>
      <c r="AC574" s="155"/>
      <c r="AD574" s="155"/>
      <c r="AE574" s="155"/>
      <c r="AF574" s="155"/>
      <c r="AG574" s="149"/>
      <c r="AH574" s="149"/>
      <c r="AI574" s="149"/>
      <c r="AJ574" s="156"/>
      <c r="AK574" s="149"/>
      <c r="AL574" s="149"/>
      <c r="AM574" s="149"/>
      <c r="AN574" s="149"/>
      <c r="AO574" s="149"/>
      <c r="AP574" s="149"/>
      <c r="AQ574" s="157"/>
      <c r="AR574" s="149"/>
      <c r="AS574" s="158"/>
    </row>
    <row r="575" ht="15.75" customHeight="1">
      <c r="A575" s="149"/>
      <c r="B575" s="149"/>
      <c r="C575" s="149"/>
      <c r="D575" s="160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50"/>
      <c r="AA575" s="149"/>
      <c r="AB575" s="154"/>
      <c r="AC575" s="155"/>
      <c r="AD575" s="155"/>
      <c r="AE575" s="155"/>
      <c r="AF575" s="155"/>
      <c r="AG575" s="149"/>
      <c r="AH575" s="149"/>
      <c r="AI575" s="149"/>
      <c r="AJ575" s="156"/>
      <c r="AK575" s="149"/>
      <c r="AL575" s="149"/>
      <c r="AM575" s="149"/>
      <c r="AN575" s="149"/>
      <c r="AO575" s="149"/>
      <c r="AP575" s="149"/>
      <c r="AQ575" s="157"/>
      <c r="AR575" s="149"/>
      <c r="AS575" s="158"/>
    </row>
    <row r="576" ht="15.75" customHeight="1">
      <c r="A576" s="149"/>
      <c r="B576" s="149"/>
      <c r="C576" s="149"/>
      <c r="D576" s="160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50"/>
      <c r="AA576" s="149"/>
      <c r="AB576" s="154"/>
      <c r="AC576" s="155"/>
      <c r="AD576" s="155"/>
      <c r="AE576" s="155"/>
      <c r="AF576" s="155"/>
      <c r="AG576" s="149"/>
      <c r="AH576" s="149"/>
      <c r="AI576" s="149"/>
      <c r="AJ576" s="156"/>
      <c r="AK576" s="149"/>
      <c r="AL576" s="149"/>
      <c r="AM576" s="149"/>
      <c r="AN576" s="149"/>
      <c r="AO576" s="149"/>
      <c r="AP576" s="149"/>
      <c r="AQ576" s="157"/>
      <c r="AR576" s="149"/>
      <c r="AS576" s="158"/>
    </row>
    <row r="577" ht="15.75" customHeight="1">
      <c r="A577" s="149"/>
      <c r="B577" s="149"/>
      <c r="C577" s="149"/>
      <c r="D577" s="160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50"/>
      <c r="AA577" s="149"/>
      <c r="AB577" s="154"/>
      <c r="AC577" s="155"/>
      <c r="AD577" s="155"/>
      <c r="AE577" s="155"/>
      <c r="AF577" s="155"/>
      <c r="AG577" s="149"/>
      <c r="AH577" s="149"/>
      <c r="AI577" s="149"/>
      <c r="AJ577" s="156"/>
      <c r="AK577" s="149"/>
      <c r="AL577" s="149"/>
      <c r="AM577" s="149"/>
      <c r="AN577" s="149"/>
      <c r="AO577" s="149"/>
      <c r="AP577" s="149"/>
      <c r="AQ577" s="157"/>
      <c r="AR577" s="149"/>
      <c r="AS577" s="158"/>
    </row>
    <row r="578" ht="15.75" customHeight="1">
      <c r="A578" s="149"/>
      <c r="B578" s="149"/>
      <c r="C578" s="149"/>
      <c r="D578" s="160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50"/>
      <c r="AA578" s="149"/>
      <c r="AB578" s="154"/>
      <c r="AC578" s="155"/>
      <c r="AD578" s="155"/>
      <c r="AE578" s="155"/>
      <c r="AF578" s="155"/>
      <c r="AG578" s="149"/>
      <c r="AH578" s="149"/>
      <c r="AI578" s="149"/>
      <c r="AJ578" s="156"/>
      <c r="AK578" s="149"/>
      <c r="AL578" s="149"/>
      <c r="AM578" s="149"/>
      <c r="AN578" s="149"/>
      <c r="AO578" s="149"/>
      <c r="AP578" s="149"/>
      <c r="AQ578" s="157"/>
      <c r="AR578" s="149"/>
      <c r="AS578" s="158"/>
    </row>
    <row r="579" ht="15.75" customHeight="1">
      <c r="A579" s="149"/>
      <c r="B579" s="149"/>
      <c r="C579" s="149"/>
      <c r="D579" s="160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50"/>
      <c r="AA579" s="149"/>
      <c r="AB579" s="154"/>
      <c r="AC579" s="155"/>
      <c r="AD579" s="155"/>
      <c r="AE579" s="155"/>
      <c r="AF579" s="155"/>
      <c r="AG579" s="149"/>
      <c r="AH579" s="149"/>
      <c r="AI579" s="149"/>
      <c r="AJ579" s="156"/>
      <c r="AK579" s="149"/>
      <c r="AL579" s="149"/>
      <c r="AM579" s="149"/>
      <c r="AN579" s="149"/>
      <c r="AO579" s="149"/>
      <c r="AP579" s="149"/>
      <c r="AQ579" s="157"/>
      <c r="AR579" s="149"/>
      <c r="AS579" s="158"/>
    </row>
    <row r="580" ht="15.75" customHeight="1">
      <c r="A580" s="149"/>
      <c r="B580" s="149"/>
      <c r="C580" s="149"/>
      <c r="D580" s="160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50"/>
      <c r="AA580" s="149"/>
      <c r="AB580" s="154"/>
      <c r="AC580" s="155"/>
      <c r="AD580" s="155"/>
      <c r="AE580" s="155"/>
      <c r="AF580" s="155"/>
      <c r="AG580" s="149"/>
      <c r="AH580" s="149"/>
      <c r="AI580" s="149"/>
      <c r="AJ580" s="156"/>
      <c r="AK580" s="149"/>
      <c r="AL580" s="149"/>
      <c r="AM580" s="149"/>
      <c r="AN580" s="149"/>
      <c r="AO580" s="149"/>
      <c r="AP580" s="149"/>
      <c r="AQ580" s="157"/>
      <c r="AR580" s="149"/>
      <c r="AS580" s="158"/>
    </row>
    <row r="581" ht="15.75" customHeight="1">
      <c r="A581" s="149"/>
      <c r="B581" s="149"/>
      <c r="C581" s="149"/>
      <c r="D581" s="160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50"/>
      <c r="AA581" s="149"/>
      <c r="AB581" s="154"/>
      <c r="AC581" s="155"/>
      <c r="AD581" s="155"/>
      <c r="AE581" s="155"/>
      <c r="AF581" s="155"/>
      <c r="AG581" s="149"/>
      <c r="AH581" s="149"/>
      <c r="AI581" s="149"/>
      <c r="AJ581" s="156"/>
      <c r="AK581" s="149"/>
      <c r="AL581" s="149"/>
      <c r="AM581" s="149"/>
      <c r="AN581" s="149"/>
      <c r="AO581" s="149"/>
      <c r="AP581" s="149"/>
      <c r="AQ581" s="157"/>
      <c r="AR581" s="149"/>
      <c r="AS581" s="158"/>
    </row>
    <row r="582" ht="15.75" customHeight="1">
      <c r="A582" s="149"/>
      <c r="B582" s="149"/>
      <c r="C582" s="149"/>
      <c r="D582" s="160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50"/>
      <c r="AA582" s="149"/>
      <c r="AB582" s="154"/>
      <c r="AC582" s="155"/>
      <c r="AD582" s="155"/>
      <c r="AE582" s="155"/>
      <c r="AF582" s="155"/>
      <c r="AG582" s="149"/>
      <c r="AH582" s="149"/>
      <c r="AI582" s="149"/>
      <c r="AJ582" s="156"/>
      <c r="AK582" s="149"/>
      <c r="AL582" s="149"/>
      <c r="AM582" s="149"/>
      <c r="AN582" s="149"/>
      <c r="AO582" s="149"/>
      <c r="AP582" s="149"/>
      <c r="AQ582" s="157"/>
      <c r="AR582" s="149"/>
      <c r="AS582" s="158"/>
    </row>
    <row r="583" ht="15.75" customHeight="1">
      <c r="A583" s="149"/>
      <c r="B583" s="149"/>
      <c r="C583" s="149"/>
      <c r="D583" s="160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50"/>
      <c r="AA583" s="149"/>
      <c r="AB583" s="154"/>
      <c r="AC583" s="155"/>
      <c r="AD583" s="155"/>
      <c r="AE583" s="155"/>
      <c r="AF583" s="155"/>
      <c r="AG583" s="149"/>
      <c r="AH583" s="149"/>
      <c r="AI583" s="149"/>
      <c r="AJ583" s="156"/>
      <c r="AK583" s="149"/>
      <c r="AL583" s="149"/>
      <c r="AM583" s="149"/>
      <c r="AN583" s="149"/>
      <c r="AO583" s="149"/>
      <c r="AP583" s="149"/>
      <c r="AQ583" s="157"/>
      <c r="AR583" s="149"/>
      <c r="AS583" s="158"/>
    </row>
    <row r="584" ht="15.75" customHeight="1">
      <c r="A584" s="149"/>
      <c r="B584" s="149"/>
      <c r="C584" s="149"/>
      <c r="D584" s="160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50"/>
      <c r="AA584" s="149"/>
      <c r="AB584" s="154"/>
      <c r="AC584" s="155"/>
      <c r="AD584" s="155"/>
      <c r="AE584" s="155"/>
      <c r="AF584" s="155"/>
      <c r="AG584" s="149"/>
      <c r="AH584" s="149"/>
      <c r="AI584" s="149"/>
      <c r="AJ584" s="156"/>
      <c r="AK584" s="149"/>
      <c r="AL584" s="149"/>
      <c r="AM584" s="149"/>
      <c r="AN584" s="149"/>
      <c r="AO584" s="149"/>
      <c r="AP584" s="149"/>
      <c r="AQ584" s="157"/>
      <c r="AR584" s="149"/>
      <c r="AS584" s="158"/>
    </row>
    <row r="585" ht="15.75" customHeight="1">
      <c r="A585" s="149"/>
      <c r="B585" s="149"/>
      <c r="C585" s="149"/>
      <c r="D585" s="160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50"/>
      <c r="AA585" s="149"/>
      <c r="AB585" s="154"/>
      <c r="AC585" s="155"/>
      <c r="AD585" s="155"/>
      <c r="AE585" s="155"/>
      <c r="AF585" s="155"/>
      <c r="AG585" s="149"/>
      <c r="AH585" s="149"/>
      <c r="AI585" s="149"/>
      <c r="AJ585" s="156"/>
      <c r="AK585" s="149"/>
      <c r="AL585" s="149"/>
      <c r="AM585" s="149"/>
      <c r="AN585" s="149"/>
      <c r="AO585" s="149"/>
      <c r="AP585" s="149"/>
      <c r="AQ585" s="157"/>
      <c r="AR585" s="149"/>
      <c r="AS585" s="158"/>
    </row>
    <row r="586" ht="15.75" customHeight="1">
      <c r="A586" s="149"/>
      <c r="B586" s="149"/>
      <c r="C586" s="149"/>
      <c r="D586" s="160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50"/>
      <c r="AA586" s="149"/>
      <c r="AB586" s="154"/>
      <c r="AC586" s="155"/>
      <c r="AD586" s="155"/>
      <c r="AE586" s="155"/>
      <c r="AF586" s="155"/>
      <c r="AG586" s="149"/>
      <c r="AH586" s="149"/>
      <c r="AI586" s="149"/>
      <c r="AJ586" s="156"/>
      <c r="AK586" s="149"/>
      <c r="AL586" s="149"/>
      <c r="AM586" s="149"/>
      <c r="AN586" s="149"/>
      <c r="AO586" s="149"/>
      <c r="AP586" s="149"/>
      <c r="AQ586" s="157"/>
      <c r="AR586" s="149"/>
      <c r="AS586" s="158"/>
    </row>
    <row r="587" ht="15.75" customHeight="1">
      <c r="A587" s="149"/>
      <c r="B587" s="149"/>
      <c r="C587" s="149"/>
      <c r="D587" s="160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50"/>
      <c r="AA587" s="149"/>
      <c r="AB587" s="154"/>
      <c r="AC587" s="155"/>
      <c r="AD587" s="155"/>
      <c r="AE587" s="155"/>
      <c r="AF587" s="155"/>
      <c r="AG587" s="149"/>
      <c r="AH587" s="149"/>
      <c r="AI587" s="149"/>
      <c r="AJ587" s="156"/>
      <c r="AK587" s="149"/>
      <c r="AL587" s="149"/>
      <c r="AM587" s="149"/>
      <c r="AN587" s="149"/>
      <c r="AO587" s="149"/>
      <c r="AP587" s="149"/>
      <c r="AQ587" s="157"/>
      <c r="AR587" s="149"/>
      <c r="AS587" s="158"/>
    </row>
    <row r="588" ht="15.75" customHeight="1">
      <c r="A588" s="149"/>
      <c r="B588" s="149"/>
      <c r="C588" s="149"/>
      <c r="D588" s="160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50"/>
      <c r="AA588" s="149"/>
      <c r="AB588" s="154"/>
      <c r="AC588" s="155"/>
      <c r="AD588" s="155"/>
      <c r="AE588" s="155"/>
      <c r="AF588" s="155"/>
      <c r="AG588" s="149"/>
      <c r="AH588" s="149"/>
      <c r="AI588" s="149"/>
      <c r="AJ588" s="156"/>
      <c r="AK588" s="149"/>
      <c r="AL588" s="149"/>
      <c r="AM588" s="149"/>
      <c r="AN588" s="149"/>
      <c r="AO588" s="149"/>
      <c r="AP588" s="149"/>
      <c r="AQ588" s="157"/>
      <c r="AR588" s="149"/>
      <c r="AS588" s="158"/>
    </row>
    <row r="589" ht="15.75" customHeight="1">
      <c r="A589" s="149"/>
      <c r="B589" s="149"/>
      <c r="C589" s="149"/>
      <c r="D589" s="160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50"/>
      <c r="AA589" s="149"/>
      <c r="AB589" s="154"/>
      <c r="AC589" s="155"/>
      <c r="AD589" s="155"/>
      <c r="AE589" s="155"/>
      <c r="AF589" s="155"/>
      <c r="AG589" s="149"/>
      <c r="AH589" s="149"/>
      <c r="AI589" s="149"/>
      <c r="AJ589" s="156"/>
      <c r="AK589" s="149"/>
      <c r="AL589" s="149"/>
      <c r="AM589" s="149"/>
      <c r="AN589" s="149"/>
      <c r="AO589" s="149"/>
      <c r="AP589" s="149"/>
      <c r="AQ589" s="157"/>
      <c r="AR589" s="149"/>
      <c r="AS589" s="158"/>
    </row>
    <row r="590" ht="15.75" customHeight="1">
      <c r="A590" s="149"/>
      <c r="B590" s="149"/>
      <c r="C590" s="149"/>
      <c r="D590" s="160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50"/>
      <c r="AA590" s="149"/>
      <c r="AB590" s="154"/>
      <c r="AC590" s="155"/>
      <c r="AD590" s="155"/>
      <c r="AE590" s="155"/>
      <c r="AF590" s="155"/>
      <c r="AG590" s="149"/>
      <c r="AH590" s="149"/>
      <c r="AI590" s="149"/>
      <c r="AJ590" s="156"/>
      <c r="AK590" s="149"/>
      <c r="AL590" s="149"/>
      <c r="AM590" s="149"/>
      <c r="AN590" s="149"/>
      <c r="AO590" s="149"/>
      <c r="AP590" s="149"/>
      <c r="AQ590" s="157"/>
      <c r="AR590" s="149"/>
      <c r="AS590" s="158"/>
    </row>
    <row r="591" ht="15.75" customHeight="1">
      <c r="A591" s="149"/>
      <c r="B591" s="149"/>
      <c r="C591" s="149"/>
      <c r="D591" s="160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50"/>
      <c r="AA591" s="149"/>
      <c r="AB591" s="154"/>
      <c r="AC591" s="155"/>
      <c r="AD591" s="155"/>
      <c r="AE591" s="155"/>
      <c r="AF591" s="155"/>
      <c r="AG591" s="149"/>
      <c r="AH591" s="149"/>
      <c r="AI591" s="149"/>
      <c r="AJ591" s="156"/>
      <c r="AK591" s="149"/>
      <c r="AL591" s="149"/>
      <c r="AM591" s="149"/>
      <c r="AN591" s="149"/>
      <c r="AO591" s="149"/>
      <c r="AP591" s="149"/>
      <c r="AQ591" s="157"/>
      <c r="AR591" s="149"/>
      <c r="AS591" s="158"/>
    </row>
    <row r="592" ht="15.75" customHeight="1">
      <c r="A592" s="149"/>
      <c r="B592" s="149"/>
      <c r="C592" s="149"/>
      <c r="D592" s="160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50"/>
      <c r="AA592" s="149"/>
      <c r="AB592" s="154"/>
      <c r="AC592" s="155"/>
      <c r="AD592" s="155"/>
      <c r="AE592" s="155"/>
      <c r="AF592" s="155"/>
      <c r="AG592" s="149"/>
      <c r="AH592" s="149"/>
      <c r="AI592" s="149"/>
      <c r="AJ592" s="156"/>
      <c r="AK592" s="149"/>
      <c r="AL592" s="149"/>
      <c r="AM592" s="149"/>
      <c r="AN592" s="149"/>
      <c r="AO592" s="149"/>
      <c r="AP592" s="149"/>
      <c r="AQ592" s="157"/>
      <c r="AR592" s="149"/>
      <c r="AS592" s="158"/>
    </row>
    <row r="593" ht="15.75" customHeight="1">
      <c r="A593" s="149"/>
      <c r="B593" s="149"/>
      <c r="C593" s="149"/>
      <c r="D593" s="160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50"/>
      <c r="AA593" s="149"/>
      <c r="AB593" s="154"/>
      <c r="AC593" s="155"/>
      <c r="AD593" s="155"/>
      <c r="AE593" s="155"/>
      <c r="AF593" s="155"/>
      <c r="AG593" s="149"/>
      <c r="AH593" s="149"/>
      <c r="AI593" s="149"/>
      <c r="AJ593" s="156"/>
      <c r="AK593" s="149"/>
      <c r="AL593" s="149"/>
      <c r="AM593" s="149"/>
      <c r="AN593" s="149"/>
      <c r="AO593" s="149"/>
      <c r="AP593" s="149"/>
      <c r="AQ593" s="157"/>
      <c r="AR593" s="149"/>
      <c r="AS593" s="158"/>
    </row>
    <row r="594" ht="15.75" customHeight="1">
      <c r="A594" s="149"/>
      <c r="B594" s="149"/>
      <c r="C594" s="149"/>
      <c r="D594" s="160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50"/>
      <c r="AA594" s="149"/>
      <c r="AB594" s="154"/>
      <c r="AC594" s="155"/>
      <c r="AD594" s="155"/>
      <c r="AE594" s="155"/>
      <c r="AF594" s="155"/>
      <c r="AG594" s="149"/>
      <c r="AH594" s="149"/>
      <c r="AI594" s="149"/>
      <c r="AJ594" s="156"/>
      <c r="AK594" s="149"/>
      <c r="AL594" s="149"/>
      <c r="AM594" s="149"/>
      <c r="AN594" s="149"/>
      <c r="AO594" s="149"/>
      <c r="AP594" s="149"/>
      <c r="AQ594" s="157"/>
      <c r="AR594" s="149"/>
      <c r="AS594" s="158"/>
    </row>
    <row r="595" ht="15.75" customHeight="1">
      <c r="A595" s="149"/>
      <c r="B595" s="149"/>
      <c r="C595" s="149"/>
      <c r="D595" s="160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50"/>
      <c r="AA595" s="149"/>
      <c r="AB595" s="154"/>
      <c r="AC595" s="155"/>
      <c r="AD595" s="155"/>
      <c r="AE595" s="155"/>
      <c r="AF595" s="155"/>
      <c r="AG595" s="149"/>
      <c r="AH595" s="149"/>
      <c r="AI595" s="149"/>
      <c r="AJ595" s="156"/>
      <c r="AK595" s="149"/>
      <c r="AL595" s="149"/>
      <c r="AM595" s="149"/>
      <c r="AN595" s="149"/>
      <c r="AO595" s="149"/>
      <c r="AP595" s="149"/>
      <c r="AQ595" s="157"/>
      <c r="AR595" s="149"/>
      <c r="AS595" s="158"/>
    </row>
    <row r="596" ht="15.75" customHeight="1">
      <c r="A596" s="149"/>
      <c r="B596" s="149"/>
      <c r="C596" s="149"/>
      <c r="D596" s="160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50"/>
      <c r="AA596" s="149"/>
      <c r="AB596" s="154"/>
      <c r="AC596" s="155"/>
      <c r="AD596" s="155"/>
      <c r="AE596" s="155"/>
      <c r="AF596" s="155"/>
      <c r="AG596" s="149"/>
      <c r="AH596" s="149"/>
      <c r="AI596" s="149"/>
      <c r="AJ596" s="156"/>
      <c r="AK596" s="149"/>
      <c r="AL596" s="149"/>
      <c r="AM596" s="149"/>
      <c r="AN596" s="149"/>
      <c r="AO596" s="149"/>
      <c r="AP596" s="149"/>
      <c r="AQ596" s="157"/>
      <c r="AR596" s="149"/>
      <c r="AS596" s="158"/>
    </row>
    <row r="597" ht="15.75" customHeight="1">
      <c r="A597" s="149"/>
      <c r="B597" s="149"/>
      <c r="C597" s="149"/>
      <c r="D597" s="160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50"/>
      <c r="AA597" s="149"/>
      <c r="AB597" s="154"/>
      <c r="AC597" s="155"/>
      <c r="AD597" s="155"/>
      <c r="AE597" s="155"/>
      <c r="AF597" s="155"/>
      <c r="AG597" s="149"/>
      <c r="AH597" s="149"/>
      <c r="AI597" s="149"/>
      <c r="AJ597" s="156"/>
      <c r="AK597" s="149"/>
      <c r="AL597" s="149"/>
      <c r="AM597" s="149"/>
      <c r="AN597" s="149"/>
      <c r="AO597" s="149"/>
      <c r="AP597" s="149"/>
      <c r="AQ597" s="157"/>
      <c r="AR597" s="149"/>
      <c r="AS597" s="158"/>
    </row>
    <row r="598" ht="15.75" customHeight="1">
      <c r="A598" s="149"/>
      <c r="B598" s="149"/>
      <c r="C598" s="149"/>
      <c r="D598" s="160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50"/>
      <c r="AA598" s="149"/>
      <c r="AB598" s="154"/>
      <c r="AC598" s="155"/>
      <c r="AD598" s="155"/>
      <c r="AE598" s="155"/>
      <c r="AF598" s="155"/>
      <c r="AG598" s="149"/>
      <c r="AH598" s="149"/>
      <c r="AI598" s="149"/>
      <c r="AJ598" s="156"/>
      <c r="AK598" s="149"/>
      <c r="AL598" s="149"/>
      <c r="AM598" s="149"/>
      <c r="AN598" s="149"/>
      <c r="AO598" s="149"/>
      <c r="AP598" s="149"/>
      <c r="AQ598" s="157"/>
      <c r="AR598" s="149"/>
      <c r="AS598" s="158"/>
    </row>
    <row r="599" ht="15.75" customHeight="1">
      <c r="A599" s="149"/>
      <c r="B599" s="149"/>
      <c r="C599" s="149"/>
      <c r="D599" s="160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50"/>
      <c r="AA599" s="149"/>
      <c r="AB599" s="154"/>
      <c r="AC599" s="155"/>
      <c r="AD599" s="155"/>
      <c r="AE599" s="155"/>
      <c r="AF599" s="155"/>
      <c r="AG599" s="149"/>
      <c r="AH599" s="149"/>
      <c r="AI599" s="149"/>
      <c r="AJ599" s="156"/>
      <c r="AK599" s="149"/>
      <c r="AL599" s="149"/>
      <c r="AM599" s="149"/>
      <c r="AN599" s="149"/>
      <c r="AO599" s="149"/>
      <c r="AP599" s="149"/>
      <c r="AQ599" s="157"/>
      <c r="AR599" s="149"/>
      <c r="AS599" s="158"/>
    </row>
    <row r="600" ht="15.75" customHeight="1">
      <c r="A600" s="149"/>
      <c r="B600" s="149"/>
      <c r="C600" s="149"/>
      <c r="D600" s="160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50"/>
      <c r="AA600" s="149"/>
      <c r="AB600" s="154"/>
      <c r="AC600" s="155"/>
      <c r="AD600" s="155"/>
      <c r="AE600" s="155"/>
      <c r="AF600" s="155"/>
      <c r="AG600" s="149"/>
      <c r="AH600" s="149"/>
      <c r="AI600" s="149"/>
      <c r="AJ600" s="156"/>
      <c r="AK600" s="149"/>
      <c r="AL600" s="149"/>
      <c r="AM600" s="149"/>
      <c r="AN600" s="149"/>
      <c r="AO600" s="149"/>
      <c r="AP600" s="149"/>
      <c r="AQ600" s="157"/>
      <c r="AR600" s="149"/>
      <c r="AS600" s="158"/>
    </row>
    <row r="601" ht="15.75" customHeight="1">
      <c r="A601" s="149"/>
      <c r="B601" s="149"/>
      <c r="C601" s="149"/>
      <c r="D601" s="160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50"/>
      <c r="AA601" s="149"/>
      <c r="AB601" s="154"/>
      <c r="AC601" s="155"/>
      <c r="AD601" s="155"/>
      <c r="AE601" s="155"/>
      <c r="AF601" s="155"/>
      <c r="AG601" s="149"/>
      <c r="AH601" s="149"/>
      <c r="AI601" s="149"/>
      <c r="AJ601" s="156"/>
      <c r="AK601" s="149"/>
      <c r="AL601" s="149"/>
      <c r="AM601" s="149"/>
      <c r="AN601" s="149"/>
      <c r="AO601" s="149"/>
      <c r="AP601" s="149"/>
      <c r="AQ601" s="157"/>
      <c r="AR601" s="149"/>
      <c r="AS601" s="158"/>
    </row>
    <row r="602" ht="15.75" customHeight="1">
      <c r="A602" s="149"/>
      <c r="B602" s="149"/>
      <c r="C602" s="149"/>
      <c r="D602" s="160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50"/>
      <c r="AA602" s="149"/>
      <c r="AB602" s="154"/>
      <c r="AC602" s="155"/>
      <c r="AD602" s="155"/>
      <c r="AE602" s="155"/>
      <c r="AF602" s="155"/>
      <c r="AG602" s="149"/>
      <c r="AH602" s="149"/>
      <c r="AI602" s="149"/>
      <c r="AJ602" s="156"/>
      <c r="AK602" s="149"/>
      <c r="AL602" s="149"/>
      <c r="AM602" s="149"/>
      <c r="AN602" s="149"/>
      <c r="AO602" s="149"/>
      <c r="AP602" s="149"/>
      <c r="AQ602" s="157"/>
      <c r="AR602" s="149"/>
      <c r="AS602" s="158"/>
    </row>
    <row r="603" ht="15.75" customHeight="1">
      <c r="A603" s="149"/>
      <c r="B603" s="149"/>
      <c r="C603" s="149"/>
      <c r="D603" s="160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50"/>
      <c r="AA603" s="149"/>
      <c r="AB603" s="154"/>
      <c r="AC603" s="155"/>
      <c r="AD603" s="155"/>
      <c r="AE603" s="155"/>
      <c r="AF603" s="155"/>
      <c r="AG603" s="149"/>
      <c r="AH603" s="149"/>
      <c r="AI603" s="149"/>
      <c r="AJ603" s="156"/>
      <c r="AK603" s="149"/>
      <c r="AL603" s="149"/>
      <c r="AM603" s="149"/>
      <c r="AN603" s="149"/>
      <c r="AO603" s="149"/>
      <c r="AP603" s="149"/>
      <c r="AQ603" s="157"/>
      <c r="AR603" s="149"/>
      <c r="AS603" s="158"/>
    </row>
    <row r="604" ht="15.75" customHeight="1">
      <c r="A604" s="149"/>
      <c r="B604" s="149"/>
      <c r="C604" s="149"/>
      <c r="D604" s="160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50"/>
      <c r="AA604" s="149"/>
      <c r="AB604" s="154"/>
      <c r="AC604" s="155"/>
      <c r="AD604" s="155"/>
      <c r="AE604" s="155"/>
      <c r="AF604" s="155"/>
      <c r="AG604" s="149"/>
      <c r="AH604" s="149"/>
      <c r="AI604" s="149"/>
      <c r="AJ604" s="156"/>
      <c r="AK604" s="149"/>
      <c r="AL604" s="149"/>
      <c r="AM604" s="149"/>
      <c r="AN604" s="149"/>
      <c r="AO604" s="149"/>
      <c r="AP604" s="149"/>
      <c r="AQ604" s="157"/>
      <c r="AR604" s="149"/>
      <c r="AS604" s="158"/>
    </row>
    <row r="605" ht="15.75" customHeight="1">
      <c r="A605" s="149"/>
      <c r="B605" s="149"/>
      <c r="C605" s="149"/>
      <c r="D605" s="160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50"/>
      <c r="AA605" s="149"/>
      <c r="AB605" s="154"/>
      <c r="AC605" s="155"/>
      <c r="AD605" s="155"/>
      <c r="AE605" s="155"/>
      <c r="AF605" s="155"/>
      <c r="AG605" s="149"/>
      <c r="AH605" s="149"/>
      <c r="AI605" s="149"/>
      <c r="AJ605" s="156"/>
      <c r="AK605" s="149"/>
      <c r="AL605" s="149"/>
      <c r="AM605" s="149"/>
      <c r="AN605" s="149"/>
      <c r="AO605" s="149"/>
      <c r="AP605" s="149"/>
      <c r="AQ605" s="157"/>
      <c r="AR605" s="149"/>
      <c r="AS605" s="158"/>
    </row>
    <row r="606" ht="15.75" customHeight="1">
      <c r="A606" s="149"/>
      <c r="B606" s="149"/>
      <c r="C606" s="149"/>
      <c r="D606" s="160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50"/>
      <c r="AA606" s="149"/>
      <c r="AB606" s="154"/>
      <c r="AC606" s="155"/>
      <c r="AD606" s="155"/>
      <c r="AE606" s="155"/>
      <c r="AF606" s="155"/>
      <c r="AG606" s="149"/>
      <c r="AH606" s="149"/>
      <c r="AI606" s="149"/>
      <c r="AJ606" s="156"/>
      <c r="AK606" s="149"/>
      <c r="AL606" s="149"/>
      <c r="AM606" s="149"/>
      <c r="AN606" s="149"/>
      <c r="AO606" s="149"/>
      <c r="AP606" s="149"/>
      <c r="AQ606" s="157"/>
      <c r="AR606" s="149"/>
      <c r="AS606" s="158"/>
    </row>
    <row r="607" ht="15.75" customHeight="1">
      <c r="A607" s="149"/>
      <c r="B607" s="149"/>
      <c r="C607" s="149"/>
      <c r="D607" s="160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50"/>
      <c r="AA607" s="149"/>
      <c r="AB607" s="154"/>
      <c r="AC607" s="155"/>
      <c r="AD607" s="155"/>
      <c r="AE607" s="155"/>
      <c r="AF607" s="155"/>
      <c r="AG607" s="149"/>
      <c r="AH607" s="149"/>
      <c r="AI607" s="149"/>
      <c r="AJ607" s="156"/>
      <c r="AK607" s="149"/>
      <c r="AL607" s="149"/>
      <c r="AM607" s="149"/>
      <c r="AN607" s="149"/>
      <c r="AO607" s="149"/>
      <c r="AP607" s="149"/>
      <c r="AQ607" s="157"/>
      <c r="AR607" s="149"/>
      <c r="AS607" s="158"/>
    </row>
    <row r="608" ht="15.75" customHeight="1">
      <c r="A608" s="149"/>
      <c r="B608" s="149"/>
      <c r="C608" s="149"/>
      <c r="D608" s="160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50"/>
      <c r="AA608" s="149"/>
      <c r="AB608" s="154"/>
      <c r="AC608" s="155"/>
      <c r="AD608" s="155"/>
      <c r="AE608" s="155"/>
      <c r="AF608" s="155"/>
      <c r="AG608" s="149"/>
      <c r="AH608" s="149"/>
      <c r="AI608" s="149"/>
      <c r="AJ608" s="156"/>
      <c r="AK608" s="149"/>
      <c r="AL608" s="149"/>
      <c r="AM608" s="149"/>
      <c r="AN608" s="149"/>
      <c r="AO608" s="149"/>
      <c r="AP608" s="149"/>
      <c r="AQ608" s="157"/>
      <c r="AR608" s="149"/>
      <c r="AS608" s="158"/>
    </row>
    <row r="609" ht="15.75" customHeight="1">
      <c r="A609" s="149"/>
      <c r="B609" s="149"/>
      <c r="C609" s="149"/>
      <c r="D609" s="160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50"/>
      <c r="AA609" s="149"/>
      <c r="AB609" s="154"/>
      <c r="AC609" s="155"/>
      <c r="AD609" s="155"/>
      <c r="AE609" s="155"/>
      <c r="AF609" s="155"/>
      <c r="AG609" s="149"/>
      <c r="AH609" s="149"/>
      <c r="AI609" s="149"/>
      <c r="AJ609" s="156"/>
      <c r="AK609" s="149"/>
      <c r="AL609" s="149"/>
      <c r="AM609" s="149"/>
      <c r="AN609" s="149"/>
      <c r="AO609" s="149"/>
      <c r="AP609" s="149"/>
      <c r="AQ609" s="157"/>
      <c r="AR609" s="149"/>
      <c r="AS609" s="158"/>
    </row>
    <row r="610" ht="15.75" customHeight="1">
      <c r="A610" s="149"/>
      <c r="B610" s="149"/>
      <c r="C610" s="149"/>
      <c r="D610" s="160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50"/>
      <c r="AA610" s="149"/>
      <c r="AB610" s="154"/>
      <c r="AC610" s="155"/>
      <c r="AD610" s="155"/>
      <c r="AE610" s="155"/>
      <c r="AF610" s="155"/>
      <c r="AG610" s="149"/>
      <c r="AH610" s="149"/>
      <c r="AI610" s="149"/>
      <c r="AJ610" s="156"/>
      <c r="AK610" s="149"/>
      <c r="AL610" s="149"/>
      <c r="AM610" s="149"/>
      <c r="AN610" s="149"/>
      <c r="AO610" s="149"/>
      <c r="AP610" s="149"/>
      <c r="AQ610" s="157"/>
      <c r="AR610" s="149"/>
      <c r="AS610" s="158"/>
    </row>
    <row r="611" ht="15.75" customHeight="1">
      <c r="A611" s="149"/>
      <c r="B611" s="149"/>
      <c r="C611" s="149"/>
      <c r="D611" s="160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50"/>
      <c r="AA611" s="149"/>
      <c r="AB611" s="154"/>
      <c r="AC611" s="155"/>
      <c r="AD611" s="155"/>
      <c r="AE611" s="155"/>
      <c r="AF611" s="155"/>
      <c r="AG611" s="149"/>
      <c r="AH611" s="149"/>
      <c r="AI611" s="149"/>
      <c r="AJ611" s="156"/>
      <c r="AK611" s="149"/>
      <c r="AL611" s="149"/>
      <c r="AM611" s="149"/>
      <c r="AN611" s="149"/>
      <c r="AO611" s="149"/>
      <c r="AP611" s="149"/>
      <c r="AQ611" s="157"/>
      <c r="AR611" s="149"/>
      <c r="AS611" s="158"/>
    </row>
    <row r="612" ht="15.75" customHeight="1">
      <c r="A612" s="149"/>
      <c r="B612" s="149"/>
      <c r="C612" s="149"/>
      <c r="D612" s="160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50"/>
      <c r="AA612" s="149"/>
      <c r="AB612" s="154"/>
      <c r="AC612" s="155"/>
      <c r="AD612" s="155"/>
      <c r="AE612" s="155"/>
      <c r="AF612" s="155"/>
      <c r="AG612" s="149"/>
      <c r="AH612" s="149"/>
      <c r="AI612" s="149"/>
      <c r="AJ612" s="156"/>
      <c r="AK612" s="149"/>
      <c r="AL612" s="149"/>
      <c r="AM612" s="149"/>
      <c r="AN612" s="149"/>
      <c r="AO612" s="149"/>
      <c r="AP612" s="149"/>
      <c r="AQ612" s="157"/>
      <c r="AR612" s="149"/>
      <c r="AS612" s="158"/>
    </row>
    <row r="613" ht="15.75" customHeight="1">
      <c r="A613" s="149"/>
      <c r="B613" s="149"/>
      <c r="C613" s="149"/>
      <c r="D613" s="160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50"/>
      <c r="AA613" s="149"/>
      <c r="AB613" s="154"/>
      <c r="AC613" s="155"/>
      <c r="AD613" s="155"/>
      <c r="AE613" s="155"/>
      <c r="AF613" s="155"/>
      <c r="AG613" s="149"/>
      <c r="AH613" s="149"/>
      <c r="AI613" s="149"/>
      <c r="AJ613" s="156"/>
      <c r="AK613" s="149"/>
      <c r="AL613" s="149"/>
      <c r="AM613" s="149"/>
      <c r="AN613" s="149"/>
      <c r="AO613" s="149"/>
      <c r="AP613" s="149"/>
      <c r="AQ613" s="157"/>
      <c r="AR613" s="149"/>
      <c r="AS613" s="158"/>
    </row>
    <row r="614" ht="15.75" customHeight="1">
      <c r="A614" s="149"/>
      <c r="B614" s="149"/>
      <c r="C614" s="149"/>
      <c r="D614" s="160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50"/>
      <c r="AA614" s="149"/>
      <c r="AB614" s="154"/>
      <c r="AC614" s="155"/>
      <c r="AD614" s="155"/>
      <c r="AE614" s="155"/>
      <c r="AF614" s="155"/>
      <c r="AG614" s="149"/>
      <c r="AH614" s="149"/>
      <c r="AI614" s="149"/>
      <c r="AJ614" s="156"/>
      <c r="AK614" s="149"/>
      <c r="AL614" s="149"/>
      <c r="AM614" s="149"/>
      <c r="AN614" s="149"/>
      <c r="AO614" s="149"/>
      <c r="AP614" s="149"/>
      <c r="AQ614" s="157"/>
      <c r="AR614" s="149"/>
      <c r="AS614" s="158"/>
    </row>
    <row r="615" ht="15.75" customHeight="1">
      <c r="A615" s="149"/>
      <c r="B615" s="149"/>
      <c r="C615" s="149"/>
      <c r="D615" s="160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50"/>
      <c r="AA615" s="149"/>
      <c r="AB615" s="154"/>
      <c r="AC615" s="155"/>
      <c r="AD615" s="155"/>
      <c r="AE615" s="155"/>
      <c r="AF615" s="155"/>
      <c r="AG615" s="149"/>
      <c r="AH615" s="149"/>
      <c r="AI615" s="149"/>
      <c r="AJ615" s="156"/>
      <c r="AK615" s="149"/>
      <c r="AL615" s="149"/>
      <c r="AM615" s="149"/>
      <c r="AN615" s="149"/>
      <c r="AO615" s="149"/>
      <c r="AP615" s="149"/>
      <c r="AQ615" s="157"/>
      <c r="AR615" s="149"/>
      <c r="AS615" s="158"/>
    </row>
    <row r="616" ht="15.75" customHeight="1">
      <c r="A616" s="149"/>
      <c r="B616" s="149"/>
      <c r="C616" s="149"/>
      <c r="D616" s="160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50"/>
      <c r="AA616" s="149"/>
      <c r="AB616" s="154"/>
      <c r="AC616" s="155"/>
      <c r="AD616" s="155"/>
      <c r="AE616" s="155"/>
      <c r="AF616" s="155"/>
      <c r="AG616" s="149"/>
      <c r="AH616" s="149"/>
      <c r="AI616" s="149"/>
      <c r="AJ616" s="156"/>
      <c r="AK616" s="149"/>
      <c r="AL616" s="149"/>
      <c r="AM616" s="149"/>
      <c r="AN616" s="149"/>
      <c r="AO616" s="149"/>
      <c r="AP616" s="149"/>
      <c r="AQ616" s="157"/>
      <c r="AR616" s="149"/>
      <c r="AS616" s="158"/>
    </row>
    <row r="617" ht="15.75" customHeight="1">
      <c r="A617" s="149"/>
      <c r="B617" s="149"/>
      <c r="C617" s="149"/>
      <c r="D617" s="160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50"/>
      <c r="AA617" s="149"/>
      <c r="AB617" s="154"/>
      <c r="AC617" s="155"/>
      <c r="AD617" s="155"/>
      <c r="AE617" s="155"/>
      <c r="AF617" s="155"/>
      <c r="AG617" s="149"/>
      <c r="AH617" s="149"/>
      <c r="AI617" s="149"/>
      <c r="AJ617" s="156"/>
      <c r="AK617" s="149"/>
      <c r="AL617" s="149"/>
      <c r="AM617" s="149"/>
      <c r="AN617" s="149"/>
      <c r="AO617" s="149"/>
      <c r="AP617" s="149"/>
      <c r="AQ617" s="157"/>
      <c r="AR617" s="149"/>
      <c r="AS617" s="158"/>
    </row>
    <row r="618" ht="15.75" customHeight="1">
      <c r="A618" s="149"/>
      <c r="B618" s="149"/>
      <c r="C618" s="149"/>
      <c r="D618" s="160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50"/>
      <c r="AA618" s="149"/>
      <c r="AB618" s="154"/>
      <c r="AC618" s="155"/>
      <c r="AD618" s="155"/>
      <c r="AE618" s="155"/>
      <c r="AF618" s="155"/>
      <c r="AG618" s="149"/>
      <c r="AH618" s="149"/>
      <c r="AI618" s="149"/>
      <c r="AJ618" s="156"/>
      <c r="AK618" s="149"/>
      <c r="AL618" s="149"/>
      <c r="AM618" s="149"/>
      <c r="AN618" s="149"/>
      <c r="AO618" s="149"/>
      <c r="AP618" s="149"/>
      <c r="AQ618" s="157"/>
      <c r="AR618" s="149"/>
      <c r="AS618" s="158"/>
    </row>
    <row r="619" ht="15.75" customHeight="1">
      <c r="A619" s="149"/>
      <c r="B619" s="149"/>
      <c r="C619" s="149"/>
      <c r="D619" s="160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50"/>
      <c r="AA619" s="149"/>
      <c r="AB619" s="154"/>
      <c r="AC619" s="155"/>
      <c r="AD619" s="155"/>
      <c r="AE619" s="155"/>
      <c r="AF619" s="155"/>
      <c r="AG619" s="149"/>
      <c r="AH619" s="149"/>
      <c r="AI619" s="149"/>
      <c r="AJ619" s="156"/>
      <c r="AK619" s="149"/>
      <c r="AL619" s="149"/>
      <c r="AM619" s="149"/>
      <c r="AN619" s="149"/>
      <c r="AO619" s="149"/>
      <c r="AP619" s="149"/>
      <c r="AQ619" s="157"/>
      <c r="AR619" s="149"/>
      <c r="AS619" s="158"/>
    </row>
    <row r="620" ht="15.75" customHeight="1">
      <c r="A620" s="149"/>
      <c r="B620" s="149"/>
      <c r="C620" s="149"/>
      <c r="D620" s="160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50"/>
      <c r="AA620" s="149"/>
      <c r="AB620" s="154"/>
      <c r="AC620" s="155"/>
      <c r="AD620" s="155"/>
      <c r="AE620" s="155"/>
      <c r="AF620" s="155"/>
      <c r="AG620" s="149"/>
      <c r="AH620" s="149"/>
      <c r="AI620" s="149"/>
      <c r="AJ620" s="156"/>
      <c r="AK620" s="149"/>
      <c r="AL620" s="149"/>
      <c r="AM620" s="149"/>
      <c r="AN620" s="149"/>
      <c r="AO620" s="149"/>
      <c r="AP620" s="149"/>
      <c r="AQ620" s="157"/>
      <c r="AR620" s="149"/>
      <c r="AS620" s="158"/>
    </row>
    <row r="621" ht="15.75" customHeight="1">
      <c r="A621" s="149"/>
      <c r="B621" s="149"/>
      <c r="C621" s="149"/>
      <c r="D621" s="160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50"/>
      <c r="AA621" s="149"/>
      <c r="AB621" s="154"/>
      <c r="AC621" s="155"/>
      <c r="AD621" s="155"/>
      <c r="AE621" s="155"/>
      <c r="AF621" s="155"/>
      <c r="AG621" s="149"/>
      <c r="AH621" s="149"/>
      <c r="AI621" s="149"/>
      <c r="AJ621" s="156"/>
      <c r="AK621" s="149"/>
      <c r="AL621" s="149"/>
      <c r="AM621" s="149"/>
      <c r="AN621" s="149"/>
      <c r="AO621" s="149"/>
      <c r="AP621" s="149"/>
      <c r="AQ621" s="157"/>
      <c r="AR621" s="149"/>
      <c r="AS621" s="158"/>
    </row>
    <row r="622" ht="15.75" customHeight="1">
      <c r="A622" s="149"/>
      <c r="B622" s="149"/>
      <c r="C622" s="149"/>
      <c r="D622" s="160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50"/>
      <c r="AA622" s="149"/>
      <c r="AB622" s="154"/>
      <c r="AC622" s="155"/>
      <c r="AD622" s="155"/>
      <c r="AE622" s="155"/>
      <c r="AF622" s="155"/>
      <c r="AG622" s="149"/>
      <c r="AH622" s="149"/>
      <c r="AI622" s="149"/>
      <c r="AJ622" s="156"/>
      <c r="AK622" s="149"/>
      <c r="AL622" s="149"/>
      <c r="AM622" s="149"/>
      <c r="AN622" s="149"/>
      <c r="AO622" s="149"/>
      <c r="AP622" s="149"/>
      <c r="AQ622" s="157"/>
      <c r="AR622" s="149"/>
      <c r="AS622" s="158"/>
    </row>
    <row r="623" ht="15.75" customHeight="1">
      <c r="A623" s="149"/>
      <c r="B623" s="149"/>
      <c r="C623" s="149"/>
      <c r="D623" s="160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50"/>
      <c r="AA623" s="149"/>
      <c r="AB623" s="154"/>
      <c r="AC623" s="155"/>
      <c r="AD623" s="155"/>
      <c r="AE623" s="155"/>
      <c r="AF623" s="155"/>
      <c r="AG623" s="149"/>
      <c r="AH623" s="149"/>
      <c r="AI623" s="149"/>
      <c r="AJ623" s="156"/>
      <c r="AK623" s="149"/>
      <c r="AL623" s="149"/>
      <c r="AM623" s="149"/>
      <c r="AN623" s="149"/>
      <c r="AO623" s="149"/>
      <c r="AP623" s="149"/>
      <c r="AQ623" s="157"/>
      <c r="AR623" s="149"/>
      <c r="AS623" s="158"/>
    </row>
    <row r="624" ht="15.75" customHeight="1">
      <c r="A624" s="149"/>
      <c r="B624" s="149"/>
      <c r="C624" s="149"/>
      <c r="D624" s="160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50"/>
      <c r="AA624" s="149"/>
      <c r="AB624" s="154"/>
      <c r="AC624" s="155"/>
      <c r="AD624" s="155"/>
      <c r="AE624" s="155"/>
      <c r="AF624" s="155"/>
      <c r="AG624" s="149"/>
      <c r="AH624" s="149"/>
      <c r="AI624" s="149"/>
      <c r="AJ624" s="156"/>
      <c r="AK624" s="149"/>
      <c r="AL624" s="149"/>
      <c r="AM624" s="149"/>
      <c r="AN624" s="149"/>
      <c r="AO624" s="149"/>
      <c r="AP624" s="149"/>
      <c r="AQ624" s="157"/>
      <c r="AR624" s="149"/>
      <c r="AS624" s="158"/>
    </row>
    <row r="625" ht="15.75" customHeight="1">
      <c r="A625" s="149"/>
      <c r="B625" s="149"/>
      <c r="C625" s="149"/>
      <c r="D625" s="160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50"/>
      <c r="AA625" s="149"/>
      <c r="AB625" s="154"/>
      <c r="AC625" s="155"/>
      <c r="AD625" s="155"/>
      <c r="AE625" s="155"/>
      <c r="AF625" s="155"/>
      <c r="AG625" s="149"/>
      <c r="AH625" s="149"/>
      <c r="AI625" s="149"/>
      <c r="AJ625" s="156"/>
      <c r="AK625" s="149"/>
      <c r="AL625" s="149"/>
      <c r="AM625" s="149"/>
      <c r="AN625" s="149"/>
      <c r="AO625" s="149"/>
      <c r="AP625" s="149"/>
      <c r="AQ625" s="157"/>
      <c r="AR625" s="149"/>
      <c r="AS625" s="158"/>
    </row>
    <row r="626" ht="15.75" customHeight="1">
      <c r="A626" s="149"/>
      <c r="B626" s="149"/>
      <c r="C626" s="149"/>
      <c r="D626" s="160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50"/>
      <c r="AA626" s="149"/>
      <c r="AB626" s="154"/>
      <c r="AC626" s="155"/>
      <c r="AD626" s="155"/>
      <c r="AE626" s="155"/>
      <c r="AF626" s="155"/>
      <c r="AG626" s="149"/>
      <c r="AH626" s="149"/>
      <c r="AI626" s="149"/>
      <c r="AJ626" s="156"/>
      <c r="AK626" s="149"/>
      <c r="AL626" s="149"/>
      <c r="AM626" s="149"/>
      <c r="AN626" s="149"/>
      <c r="AO626" s="149"/>
      <c r="AP626" s="149"/>
      <c r="AQ626" s="157"/>
      <c r="AR626" s="149"/>
      <c r="AS626" s="158"/>
    </row>
    <row r="627" ht="15.75" customHeight="1">
      <c r="A627" s="149"/>
      <c r="B627" s="149"/>
      <c r="C627" s="149"/>
      <c r="D627" s="160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50"/>
      <c r="AA627" s="149"/>
      <c r="AB627" s="154"/>
      <c r="AC627" s="155"/>
      <c r="AD627" s="155"/>
      <c r="AE627" s="155"/>
      <c r="AF627" s="155"/>
      <c r="AG627" s="149"/>
      <c r="AH627" s="149"/>
      <c r="AI627" s="149"/>
      <c r="AJ627" s="156"/>
      <c r="AK627" s="149"/>
      <c r="AL627" s="149"/>
      <c r="AM627" s="149"/>
      <c r="AN627" s="149"/>
      <c r="AO627" s="149"/>
      <c r="AP627" s="149"/>
      <c r="AQ627" s="157"/>
      <c r="AR627" s="149"/>
      <c r="AS627" s="158"/>
    </row>
    <row r="628" ht="15.75" customHeight="1">
      <c r="A628" s="149"/>
      <c r="B628" s="149"/>
      <c r="C628" s="149"/>
      <c r="D628" s="160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50"/>
      <c r="AA628" s="149"/>
      <c r="AB628" s="154"/>
      <c r="AC628" s="155"/>
      <c r="AD628" s="155"/>
      <c r="AE628" s="155"/>
      <c r="AF628" s="155"/>
      <c r="AG628" s="149"/>
      <c r="AH628" s="149"/>
      <c r="AI628" s="149"/>
      <c r="AJ628" s="156"/>
      <c r="AK628" s="149"/>
      <c r="AL628" s="149"/>
      <c r="AM628" s="149"/>
      <c r="AN628" s="149"/>
      <c r="AO628" s="149"/>
      <c r="AP628" s="149"/>
      <c r="AQ628" s="157"/>
      <c r="AR628" s="149"/>
      <c r="AS628" s="158"/>
    </row>
    <row r="629" ht="15.75" customHeight="1">
      <c r="A629" s="149"/>
      <c r="B629" s="149"/>
      <c r="C629" s="149"/>
      <c r="D629" s="160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50"/>
      <c r="AA629" s="149"/>
      <c r="AB629" s="154"/>
      <c r="AC629" s="155"/>
      <c r="AD629" s="155"/>
      <c r="AE629" s="155"/>
      <c r="AF629" s="155"/>
      <c r="AG629" s="149"/>
      <c r="AH629" s="149"/>
      <c r="AI629" s="149"/>
      <c r="AJ629" s="156"/>
      <c r="AK629" s="149"/>
      <c r="AL629" s="149"/>
      <c r="AM629" s="149"/>
      <c r="AN629" s="149"/>
      <c r="AO629" s="149"/>
      <c r="AP629" s="149"/>
      <c r="AQ629" s="157"/>
      <c r="AR629" s="149"/>
      <c r="AS629" s="158"/>
    </row>
    <row r="630" ht="15.75" customHeight="1">
      <c r="A630" s="149"/>
      <c r="B630" s="149"/>
      <c r="C630" s="149"/>
      <c r="D630" s="160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50"/>
      <c r="AA630" s="149"/>
      <c r="AB630" s="154"/>
      <c r="AC630" s="155"/>
      <c r="AD630" s="155"/>
      <c r="AE630" s="155"/>
      <c r="AF630" s="155"/>
      <c r="AG630" s="149"/>
      <c r="AH630" s="149"/>
      <c r="AI630" s="149"/>
      <c r="AJ630" s="156"/>
      <c r="AK630" s="149"/>
      <c r="AL630" s="149"/>
      <c r="AM630" s="149"/>
      <c r="AN630" s="149"/>
      <c r="AO630" s="149"/>
      <c r="AP630" s="149"/>
      <c r="AQ630" s="157"/>
      <c r="AR630" s="149"/>
      <c r="AS630" s="158"/>
    </row>
    <row r="631" ht="15.75" customHeight="1">
      <c r="A631" s="149"/>
      <c r="B631" s="149"/>
      <c r="C631" s="149"/>
      <c r="D631" s="160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50"/>
      <c r="AA631" s="149"/>
      <c r="AB631" s="154"/>
      <c r="AC631" s="155"/>
      <c r="AD631" s="155"/>
      <c r="AE631" s="155"/>
      <c r="AF631" s="155"/>
      <c r="AG631" s="149"/>
      <c r="AH631" s="149"/>
      <c r="AI631" s="149"/>
      <c r="AJ631" s="156"/>
      <c r="AK631" s="149"/>
      <c r="AL631" s="149"/>
      <c r="AM631" s="149"/>
      <c r="AN631" s="149"/>
      <c r="AO631" s="149"/>
      <c r="AP631" s="149"/>
      <c r="AQ631" s="157"/>
      <c r="AR631" s="149"/>
      <c r="AS631" s="158"/>
    </row>
    <row r="632" ht="15.75" customHeight="1">
      <c r="A632" s="149"/>
      <c r="B632" s="149"/>
      <c r="C632" s="149"/>
      <c r="D632" s="160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50"/>
      <c r="AA632" s="149"/>
      <c r="AB632" s="154"/>
      <c r="AC632" s="155"/>
      <c r="AD632" s="155"/>
      <c r="AE632" s="155"/>
      <c r="AF632" s="155"/>
      <c r="AG632" s="149"/>
      <c r="AH632" s="149"/>
      <c r="AI632" s="149"/>
      <c r="AJ632" s="156"/>
      <c r="AK632" s="149"/>
      <c r="AL632" s="149"/>
      <c r="AM632" s="149"/>
      <c r="AN632" s="149"/>
      <c r="AO632" s="149"/>
      <c r="AP632" s="149"/>
      <c r="AQ632" s="157"/>
      <c r="AR632" s="149"/>
      <c r="AS632" s="158"/>
    </row>
    <row r="633" ht="15.75" customHeight="1">
      <c r="A633" s="149"/>
      <c r="B633" s="149"/>
      <c r="C633" s="149"/>
      <c r="D633" s="160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50"/>
      <c r="AA633" s="149"/>
      <c r="AB633" s="154"/>
      <c r="AC633" s="155"/>
      <c r="AD633" s="155"/>
      <c r="AE633" s="155"/>
      <c r="AF633" s="155"/>
      <c r="AG633" s="149"/>
      <c r="AH633" s="149"/>
      <c r="AI633" s="149"/>
      <c r="AJ633" s="156"/>
      <c r="AK633" s="149"/>
      <c r="AL633" s="149"/>
      <c r="AM633" s="149"/>
      <c r="AN633" s="149"/>
      <c r="AO633" s="149"/>
      <c r="AP633" s="149"/>
      <c r="AQ633" s="157"/>
      <c r="AR633" s="149"/>
      <c r="AS633" s="158"/>
    </row>
    <row r="634" ht="15.75" customHeight="1">
      <c r="A634" s="149"/>
      <c r="B634" s="149"/>
      <c r="C634" s="149"/>
      <c r="D634" s="160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50"/>
      <c r="AA634" s="149"/>
      <c r="AB634" s="154"/>
      <c r="AC634" s="155"/>
      <c r="AD634" s="155"/>
      <c r="AE634" s="155"/>
      <c r="AF634" s="155"/>
      <c r="AG634" s="149"/>
      <c r="AH634" s="149"/>
      <c r="AI634" s="149"/>
      <c r="AJ634" s="156"/>
      <c r="AK634" s="149"/>
      <c r="AL634" s="149"/>
      <c r="AM634" s="149"/>
      <c r="AN634" s="149"/>
      <c r="AO634" s="149"/>
      <c r="AP634" s="149"/>
      <c r="AQ634" s="157"/>
      <c r="AR634" s="149"/>
      <c r="AS634" s="158"/>
    </row>
    <row r="635" ht="15.75" customHeight="1">
      <c r="A635" s="149"/>
      <c r="B635" s="149"/>
      <c r="C635" s="149"/>
      <c r="D635" s="160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50"/>
      <c r="AA635" s="149"/>
      <c r="AB635" s="154"/>
      <c r="AC635" s="155"/>
      <c r="AD635" s="155"/>
      <c r="AE635" s="155"/>
      <c r="AF635" s="155"/>
      <c r="AG635" s="149"/>
      <c r="AH635" s="149"/>
      <c r="AI635" s="149"/>
      <c r="AJ635" s="156"/>
      <c r="AK635" s="149"/>
      <c r="AL635" s="149"/>
      <c r="AM635" s="149"/>
      <c r="AN635" s="149"/>
      <c r="AO635" s="149"/>
      <c r="AP635" s="149"/>
      <c r="AQ635" s="157"/>
      <c r="AR635" s="149"/>
      <c r="AS635" s="158"/>
    </row>
    <row r="636" ht="15.75" customHeight="1">
      <c r="A636" s="149"/>
      <c r="B636" s="149"/>
      <c r="C636" s="149"/>
      <c r="D636" s="160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50"/>
      <c r="AA636" s="149"/>
      <c r="AB636" s="154"/>
      <c r="AC636" s="155"/>
      <c r="AD636" s="155"/>
      <c r="AE636" s="155"/>
      <c r="AF636" s="155"/>
      <c r="AG636" s="149"/>
      <c r="AH636" s="149"/>
      <c r="AI636" s="149"/>
      <c r="AJ636" s="156"/>
      <c r="AK636" s="149"/>
      <c r="AL636" s="149"/>
      <c r="AM636" s="149"/>
      <c r="AN636" s="149"/>
      <c r="AO636" s="149"/>
      <c r="AP636" s="149"/>
      <c r="AQ636" s="157"/>
      <c r="AR636" s="149"/>
      <c r="AS636" s="158"/>
    </row>
    <row r="637" ht="15.75" customHeight="1">
      <c r="A637" s="149"/>
      <c r="B637" s="149"/>
      <c r="C637" s="149"/>
      <c r="D637" s="160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50"/>
      <c r="AA637" s="149"/>
      <c r="AB637" s="154"/>
      <c r="AC637" s="155"/>
      <c r="AD637" s="155"/>
      <c r="AE637" s="155"/>
      <c r="AF637" s="155"/>
      <c r="AG637" s="149"/>
      <c r="AH637" s="149"/>
      <c r="AI637" s="149"/>
      <c r="AJ637" s="156"/>
      <c r="AK637" s="149"/>
      <c r="AL637" s="149"/>
      <c r="AM637" s="149"/>
      <c r="AN637" s="149"/>
      <c r="AO637" s="149"/>
      <c r="AP637" s="149"/>
      <c r="AQ637" s="157"/>
      <c r="AR637" s="149"/>
      <c r="AS637" s="158"/>
    </row>
    <row r="638" ht="15.75" customHeight="1">
      <c r="A638" s="149"/>
      <c r="B638" s="149"/>
      <c r="C638" s="149"/>
      <c r="D638" s="160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50"/>
      <c r="AA638" s="149"/>
      <c r="AB638" s="154"/>
      <c r="AC638" s="155"/>
      <c r="AD638" s="155"/>
      <c r="AE638" s="155"/>
      <c r="AF638" s="155"/>
      <c r="AG638" s="149"/>
      <c r="AH638" s="149"/>
      <c r="AI638" s="149"/>
      <c r="AJ638" s="156"/>
      <c r="AK638" s="149"/>
      <c r="AL638" s="149"/>
      <c r="AM638" s="149"/>
      <c r="AN638" s="149"/>
      <c r="AO638" s="149"/>
      <c r="AP638" s="149"/>
      <c r="AQ638" s="157"/>
      <c r="AR638" s="149"/>
      <c r="AS638" s="158"/>
    </row>
    <row r="639" ht="15.75" customHeight="1">
      <c r="A639" s="149"/>
      <c r="B639" s="149"/>
      <c r="C639" s="149"/>
      <c r="D639" s="160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50"/>
      <c r="AA639" s="149"/>
      <c r="AB639" s="154"/>
      <c r="AC639" s="155"/>
      <c r="AD639" s="155"/>
      <c r="AE639" s="155"/>
      <c r="AF639" s="155"/>
      <c r="AG639" s="149"/>
      <c r="AH639" s="149"/>
      <c r="AI639" s="149"/>
      <c r="AJ639" s="156"/>
      <c r="AK639" s="149"/>
      <c r="AL639" s="149"/>
      <c r="AM639" s="149"/>
      <c r="AN639" s="149"/>
      <c r="AO639" s="149"/>
      <c r="AP639" s="149"/>
      <c r="AQ639" s="157"/>
      <c r="AR639" s="149"/>
      <c r="AS639" s="158"/>
    </row>
    <row r="640" ht="15.75" customHeight="1">
      <c r="A640" s="149"/>
      <c r="B640" s="149"/>
      <c r="C640" s="149"/>
      <c r="D640" s="160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50"/>
      <c r="AA640" s="149"/>
      <c r="AB640" s="154"/>
      <c r="AC640" s="155"/>
      <c r="AD640" s="155"/>
      <c r="AE640" s="155"/>
      <c r="AF640" s="155"/>
      <c r="AG640" s="149"/>
      <c r="AH640" s="149"/>
      <c r="AI640" s="149"/>
      <c r="AJ640" s="156"/>
      <c r="AK640" s="149"/>
      <c r="AL640" s="149"/>
      <c r="AM640" s="149"/>
      <c r="AN640" s="149"/>
      <c r="AO640" s="149"/>
      <c r="AP640" s="149"/>
      <c r="AQ640" s="157"/>
      <c r="AR640" s="149"/>
      <c r="AS640" s="158"/>
    </row>
    <row r="641" ht="15.75" customHeight="1">
      <c r="A641" s="149"/>
      <c r="B641" s="149"/>
      <c r="C641" s="149"/>
      <c r="D641" s="160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50"/>
      <c r="AA641" s="149"/>
      <c r="AB641" s="154"/>
      <c r="AC641" s="155"/>
      <c r="AD641" s="155"/>
      <c r="AE641" s="155"/>
      <c r="AF641" s="155"/>
      <c r="AG641" s="149"/>
      <c r="AH641" s="149"/>
      <c r="AI641" s="149"/>
      <c r="AJ641" s="156"/>
      <c r="AK641" s="149"/>
      <c r="AL641" s="149"/>
      <c r="AM641" s="149"/>
      <c r="AN641" s="149"/>
      <c r="AO641" s="149"/>
      <c r="AP641" s="149"/>
      <c r="AQ641" s="157"/>
      <c r="AR641" s="149"/>
      <c r="AS641" s="158"/>
    </row>
    <row r="642" ht="15.75" customHeight="1">
      <c r="A642" s="149"/>
      <c r="B642" s="149"/>
      <c r="C642" s="149"/>
      <c r="D642" s="160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50"/>
      <c r="AA642" s="149"/>
      <c r="AB642" s="154"/>
      <c r="AC642" s="155"/>
      <c r="AD642" s="155"/>
      <c r="AE642" s="155"/>
      <c r="AF642" s="155"/>
      <c r="AG642" s="149"/>
      <c r="AH642" s="149"/>
      <c r="AI642" s="149"/>
      <c r="AJ642" s="156"/>
      <c r="AK642" s="149"/>
      <c r="AL642" s="149"/>
      <c r="AM642" s="149"/>
      <c r="AN642" s="149"/>
      <c r="AO642" s="149"/>
      <c r="AP642" s="149"/>
      <c r="AQ642" s="157"/>
      <c r="AR642" s="149"/>
      <c r="AS642" s="158"/>
    </row>
    <row r="643" ht="15.75" customHeight="1">
      <c r="A643" s="149"/>
      <c r="B643" s="149"/>
      <c r="C643" s="149"/>
      <c r="D643" s="160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50"/>
      <c r="AA643" s="149"/>
      <c r="AB643" s="154"/>
      <c r="AC643" s="155"/>
      <c r="AD643" s="155"/>
      <c r="AE643" s="155"/>
      <c r="AF643" s="155"/>
      <c r="AG643" s="149"/>
      <c r="AH643" s="149"/>
      <c r="AI643" s="149"/>
      <c r="AJ643" s="156"/>
      <c r="AK643" s="149"/>
      <c r="AL643" s="149"/>
      <c r="AM643" s="149"/>
      <c r="AN643" s="149"/>
      <c r="AO643" s="149"/>
      <c r="AP643" s="149"/>
      <c r="AQ643" s="157"/>
      <c r="AR643" s="149"/>
      <c r="AS643" s="158"/>
    </row>
    <row r="644" ht="15.75" customHeight="1">
      <c r="A644" s="149"/>
      <c r="B644" s="149"/>
      <c r="C644" s="149"/>
      <c r="D644" s="160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50"/>
      <c r="AA644" s="149"/>
      <c r="AB644" s="154"/>
      <c r="AC644" s="155"/>
      <c r="AD644" s="155"/>
      <c r="AE644" s="155"/>
      <c r="AF644" s="155"/>
      <c r="AG644" s="149"/>
      <c r="AH644" s="149"/>
      <c r="AI644" s="149"/>
      <c r="AJ644" s="156"/>
      <c r="AK644" s="149"/>
      <c r="AL644" s="149"/>
      <c r="AM644" s="149"/>
      <c r="AN644" s="149"/>
      <c r="AO644" s="149"/>
      <c r="AP644" s="149"/>
      <c r="AQ644" s="157"/>
      <c r="AR644" s="149"/>
      <c r="AS644" s="158"/>
    </row>
    <row r="645" ht="15.75" customHeight="1">
      <c r="A645" s="149"/>
      <c r="B645" s="149"/>
      <c r="C645" s="149"/>
      <c r="D645" s="160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50"/>
      <c r="AA645" s="149"/>
      <c r="AB645" s="154"/>
      <c r="AC645" s="155"/>
      <c r="AD645" s="155"/>
      <c r="AE645" s="155"/>
      <c r="AF645" s="155"/>
      <c r="AG645" s="149"/>
      <c r="AH645" s="149"/>
      <c r="AI645" s="149"/>
      <c r="AJ645" s="156"/>
      <c r="AK645" s="149"/>
      <c r="AL645" s="149"/>
      <c r="AM645" s="149"/>
      <c r="AN645" s="149"/>
      <c r="AO645" s="149"/>
      <c r="AP645" s="149"/>
      <c r="AQ645" s="157"/>
      <c r="AR645" s="149"/>
      <c r="AS645" s="158"/>
    </row>
    <row r="646" ht="15.75" customHeight="1">
      <c r="A646" s="149"/>
      <c r="B646" s="149"/>
      <c r="C646" s="149"/>
      <c r="D646" s="160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50"/>
      <c r="AA646" s="149"/>
      <c r="AB646" s="154"/>
      <c r="AC646" s="155"/>
      <c r="AD646" s="155"/>
      <c r="AE646" s="155"/>
      <c r="AF646" s="155"/>
      <c r="AG646" s="149"/>
      <c r="AH646" s="149"/>
      <c r="AI646" s="149"/>
      <c r="AJ646" s="156"/>
      <c r="AK646" s="149"/>
      <c r="AL646" s="149"/>
      <c r="AM646" s="149"/>
      <c r="AN646" s="149"/>
      <c r="AO646" s="149"/>
      <c r="AP646" s="149"/>
      <c r="AQ646" s="157"/>
      <c r="AR646" s="149"/>
      <c r="AS646" s="158"/>
    </row>
    <row r="647" ht="15.75" customHeight="1">
      <c r="A647" s="149"/>
      <c r="B647" s="149"/>
      <c r="C647" s="149"/>
      <c r="D647" s="160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50"/>
      <c r="AA647" s="149"/>
      <c r="AB647" s="154"/>
      <c r="AC647" s="155"/>
      <c r="AD647" s="155"/>
      <c r="AE647" s="155"/>
      <c r="AF647" s="155"/>
      <c r="AG647" s="149"/>
      <c r="AH647" s="149"/>
      <c r="AI647" s="149"/>
      <c r="AJ647" s="156"/>
      <c r="AK647" s="149"/>
      <c r="AL647" s="149"/>
      <c r="AM647" s="149"/>
      <c r="AN647" s="149"/>
      <c r="AO647" s="149"/>
      <c r="AP647" s="149"/>
      <c r="AQ647" s="157"/>
      <c r="AR647" s="149"/>
      <c r="AS647" s="158"/>
    </row>
    <row r="648" ht="15.75" customHeight="1">
      <c r="A648" s="149"/>
      <c r="B648" s="149"/>
      <c r="C648" s="149"/>
      <c r="D648" s="160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50"/>
      <c r="AA648" s="149"/>
      <c r="AB648" s="154"/>
      <c r="AC648" s="155"/>
      <c r="AD648" s="155"/>
      <c r="AE648" s="155"/>
      <c r="AF648" s="155"/>
      <c r="AG648" s="149"/>
      <c r="AH648" s="149"/>
      <c r="AI648" s="149"/>
      <c r="AJ648" s="156"/>
      <c r="AK648" s="149"/>
      <c r="AL648" s="149"/>
      <c r="AM648" s="149"/>
      <c r="AN648" s="149"/>
      <c r="AO648" s="149"/>
      <c r="AP648" s="149"/>
      <c r="AQ648" s="157"/>
      <c r="AR648" s="149"/>
      <c r="AS648" s="158"/>
    </row>
    <row r="649" ht="15.75" customHeight="1">
      <c r="A649" s="149"/>
      <c r="B649" s="149"/>
      <c r="C649" s="149"/>
      <c r="D649" s="160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50"/>
      <c r="AA649" s="149"/>
      <c r="AB649" s="154"/>
      <c r="AC649" s="155"/>
      <c r="AD649" s="155"/>
      <c r="AE649" s="155"/>
      <c r="AF649" s="155"/>
      <c r="AG649" s="149"/>
      <c r="AH649" s="149"/>
      <c r="AI649" s="149"/>
      <c r="AJ649" s="156"/>
      <c r="AK649" s="149"/>
      <c r="AL649" s="149"/>
      <c r="AM649" s="149"/>
      <c r="AN649" s="149"/>
      <c r="AO649" s="149"/>
      <c r="AP649" s="149"/>
      <c r="AQ649" s="157"/>
      <c r="AR649" s="149"/>
      <c r="AS649" s="158"/>
    </row>
    <row r="650" ht="15.75" customHeight="1">
      <c r="A650" s="149"/>
      <c r="B650" s="149"/>
      <c r="C650" s="149"/>
      <c r="D650" s="160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50"/>
      <c r="AA650" s="149"/>
      <c r="AB650" s="154"/>
      <c r="AC650" s="155"/>
      <c r="AD650" s="155"/>
      <c r="AE650" s="155"/>
      <c r="AF650" s="155"/>
      <c r="AG650" s="149"/>
      <c r="AH650" s="149"/>
      <c r="AI650" s="149"/>
      <c r="AJ650" s="156"/>
      <c r="AK650" s="149"/>
      <c r="AL650" s="149"/>
      <c r="AM650" s="149"/>
      <c r="AN650" s="149"/>
      <c r="AO650" s="149"/>
      <c r="AP650" s="149"/>
      <c r="AQ650" s="157"/>
      <c r="AR650" s="149"/>
      <c r="AS650" s="158"/>
    </row>
    <row r="651" ht="15.75" customHeight="1">
      <c r="A651" s="149"/>
      <c r="B651" s="149"/>
      <c r="C651" s="149"/>
      <c r="D651" s="160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50"/>
      <c r="AA651" s="149"/>
      <c r="AB651" s="154"/>
      <c r="AC651" s="155"/>
      <c r="AD651" s="155"/>
      <c r="AE651" s="155"/>
      <c r="AF651" s="155"/>
      <c r="AG651" s="149"/>
      <c r="AH651" s="149"/>
      <c r="AI651" s="149"/>
      <c r="AJ651" s="156"/>
      <c r="AK651" s="149"/>
      <c r="AL651" s="149"/>
      <c r="AM651" s="149"/>
      <c r="AN651" s="149"/>
      <c r="AO651" s="149"/>
      <c r="AP651" s="149"/>
      <c r="AQ651" s="157"/>
      <c r="AR651" s="149"/>
      <c r="AS651" s="158"/>
    </row>
    <row r="652" ht="15.75" customHeight="1">
      <c r="A652" s="149"/>
      <c r="B652" s="149"/>
      <c r="C652" s="149"/>
      <c r="D652" s="160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50"/>
      <c r="AA652" s="149"/>
      <c r="AB652" s="154"/>
      <c r="AC652" s="155"/>
      <c r="AD652" s="155"/>
      <c r="AE652" s="155"/>
      <c r="AF652" s="155"/>
      <c r="AG652" s="149"/>
      <c r="AH652" s="149"/>
      <c r="AI652" s="149"/>
      <c r="AJ652" s="156"/>
      <c r="AK652" s="149"/>
      <c r="AL652" s="149"/>
      <c r="AM652" s="149"/>
      <c r="AN652" s="149"/>
      <c r="AO652" s="149"/>
      <c r="AP652" s="149"/>
      <c r="AQ652" s="157"/>
      <c r="AR652" s="149"/>
      <c r="AS652" s="158"/>
    </row>
    <row r="653" ht="15.75" customHeight="1">
      <c r="A653" s="149"/>
      <c r="B653" s="149"/>
      <c r="C653" s="149"/>
      <c r="D653" s="160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50"/>
      <c r="AA653" s="149"/>
      <c r="AB653" s="154"/>
      <c r="AC653" s="155"/>
      <c r="AD653" s="155"/>
      <c r="AE653" s="155"/>
      <c r="AF653" s="155"/>
      <c r="AG653" s="149"/>
      <c r="AH653" s="149"/>
      <c r="AI653" s="149"/>
      <c r="AJ653" s="156"/>
      <c r="AK653" s="149"/>
      <c r="AL653" s="149"/>
      <c r="AM653" s="149"/>
      <c r="AN653" s="149"/>
      <c r="AO653" s="149"/>
      <c r="AP653" s="149"/>
      <c r="AQ653" s="157"/>
      <c r="AR653" s="149"/>
      <c r="AS653" s="158"/>
    </row>
    <row r="654" ht="15.75" customHeight="1">
      <c r="A654" s="149"/>
      <c r="B654" s="149"/>
      <c r="C654" s="149"/>
      <c r="D654" s="160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50"/>
      <c r="AA654" s="149"/>
      <c r="AB654" s="154"/>
      <c r="AC654" s="155"/>
      <c r="AD654" s="155"/>
      <c r="AE654" s="155"/>
      <c r="AF654" s="155"/>
      <c r="AG654" s="149"/>
      <c r="AH654" s="149"/>
      <c r="AI654" s="149"/>
      <c r="AJ654" s="156"/>
      <c r="AK654" s="149"/>
      <c r="AL654" s="149"/>
      <c r="AM654" s="149"/>
      <c r="AN654" s="149"/>
      <c r="AO654" s="149"/>
      <c r="AP654" s="149"/>
      <c r="AQ654" s="157"/>
      <c r="AR654" s="149"/>
      <c r="AS654" s="158"/>
    </row>
    <row r="655" ht="15.75" customHeight="1">
      <c r="A655" s="149"/>
      <c r="B655" s="149"/>
      <c r="C655" s="149"/>
      <c r="D655" s="160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50"/>
      <c r="AA655" s="149"/>
      <c r="AB655" s="154"/>
      <c r="AC655" s="155"/>
      <c r="AD655" s="155"/>
      <c r="AE655" s="155"/>
      <c r="AF655" s="155"/>
      <c r="AG655" s="149"/>
      <c r="AH655" s="149"/>
      <c r="AI655" s="149"/>
      <c r="AJ655" s="156"/>
      <c r="AK655" s="149"/>
      <c r="AL655" s="149"/>
      <c r="AM655" s="149"/>
      <c r="AN655" s="149"/>
      <c r="AO655" s="149"/>
      <c r="AP655" s="149"/>
      <c r="AQ655" s="157"/>
      <c r="AR655" s="149"/>
      <c r="AS655" s="158"/>
    </row>
    <row r="656" ht="15.75" customHeight="1">
      <c r="A656" s="149"/>
      <c r="B656" s="149"/>
      <c r="C656" s="149"/>
      <c r="D656" s="160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50"/>
      <c r="AA656" s="149"/>
      <c r="AB656" s="154"/>
      <c r="AC656" s="155"/>
      <c r="AD656" s="155"/>
      <c r="AE656" s="155"/>
      <c r="AF656" s="155"/>
      <c r="AG656" s="149"/>
      <c r="AH656" s="149"/>
      <c r="AI656" s="149"/>
      <c r="AJ656" s="156"/>
      <c r="AK656" s="149"/>
      <c r="AL656" s="149"/>
      <c r="AM656" s="149"/>
      <c r="AN656" s="149"/>
      <c r="AO656" s="149"/>
      <c r="AP656" s="149"/>
      <c r="AQ656" s="157"/>
      <c r="AR656" s="149"/>
      <c r="AS656" s="158"/>
    </row>
    <row r="657" ht="15.75" customHeight="1">
      <c r="A657" s="149"/>
      <c r="B657" s="149"/>
      <c r="C657" s="149"/>
      <c r="D657" s="160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50"/>
      <c r="AA657" s="149"/>
      <c r="AB657" s="154"/>
      <c r="AC657" s="155"/>
      <c r="AD657" s="155"/>
      <c r="AE657" s="155"/>
      <c r="AF657" s="155"/>
      <c r="AG657" s="149"/>
      <c r="AH657" s="149"/>
      <c r="AI657" s="149"/>
      <c r="AJ657" s="156"/>
      <c r="AK657" s="149"/>
      <c r="AL657" s="149"/>
      <c r="AM657" s="149"/>
      <c r="AN657" s="149"/>
      <c r="AO657" s="149"/>
      <c r="AP657" s="149"/>
      <c r="AQ657" s="157"/>
      <c r="AR657" s="149"/>
      <c r="AS657" s="158"/>
    </row>
    <row r="658" ht="15.75" customHeight="1">
      <c r="A658" s="149"/>
      <c r="B658" s="149"/>
      <c r="C658" s="149"/>
      <c r="D658" s="160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50"/>
      <c r="AA658" s="149"/>
      <c r="AB658" s="154"/>
      <c r="AC658" s="155"/>
      <c r="AD658" s="155"/>
      <c r="AE658" s="155"/>
      <c r="AF658" s="155"/>
      <c r="AG658" s="149"/>
      <c r="AH658" s="149"/>
      <c r="AI658" s="149"/>
      <c r="AJ658" s="156"/>
      <c r="AK658" s="149"/>
      <c r="AL658" s="149"/>
      <c r="AM658" s="149"/>
      <c r="AN658" s="149"/>
      <c r="AO658" s="149"/>
      <c r="AP658" s="149"/>
      <c r="AQ658" s="157"/>
      <c r="AR658" s="149"/>
      <c r="AS658" s="158"/>
    </row>
    <row r="659" ht="15.75" customHeight="1">
      <c r="A659" s="149"/>
      <c r="B659" s="149"/>
      <c r="C659" s="149"/>
      <c r="D659" s="160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50"/>
      <c r="AA659" s="149"/>
      <c r="AB659" s="154"/>
      <c r="AC659" s="155"/>
      <c r="AD659" s="155"/>
      <c r="AE659" s="155"/>
      <c r="AF659" s="155"/>
      <c r="AG659" s="149"/>
      <c r="AH659" s="149"/>
      <c r="AI659" s="149"/>
      <c r="AJ659" s="156"/>
      <c r="AK659" s="149"/>
      <c r="AL659" s="149"/>
      <c r="AM659" s="149"/>
      <c r="AN659" s="149"/>
      <c r="AO659" s="149"/>
      <c r="AP659" s="149"/>
      <c r="AQ659" s="157"/>
      <c r="AR659" s="149"/>
      <c r="AS659" s="158"/>
    </row>
    <row r="660" ht="15.75" customHeight="1">
      <c r="A660" s="149"/>
      <c r="B660" s="149"/>
      <c r="C660" s="149"/>
      <c r="D660" s="160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50"/>
      <c r="AA660" s="149"/>
      <c r="AB660" s="154"/>
      <c r="AC660" s="155"/>
      <c r="AD660" s="155"/>
      <c r="AE660" s="155"/>
      <c r="AF660" s="155"/>
      <c r="AG660" s="149"/>
      <c r="AH660" s="149"/>
      <c r="AI660" s="149"/>
      <c r="AJ660" s="156"/>
      <c r="AK660" s="149"/>
      <c r="AL660" s="149"/>
      <c r="AM660" s="149"/>
      <c r="AN660" s="149"/>
      <c r="AO660" s="149"/>
      <c r="AP660" s="149"/>
      <c r="AQ660" s="157"/>
      <c r="AR660" s="149"/>
      <c r="AS660" s="158"/>
    </row>
    <row r="661" ht="15.75" customHeight="1">
      <c r="A661" s="149"/>
      <c r="B661" s="149"/>
      <c r="C661" s="149"/>
      <c r="D661" s="160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50"/>
      <c r="AA661" s="149"/>
      <c r="AB661" s="154"/>
      <c r="AC661" s="155"/>
      <c r="AD661" s="155"/>
      <c r="AE661" s="155"/>
      <c r="AF661" s="155"/>
      <c r="AG661" s="149"/>
      <c r="AH661" s="149"/>
      <c r="AI661" s="149"/>
      <c r="AJ661" s="156"/>
      <c r="AK661" s="149"/>
      <c r="AL661" s="149"/>
      <c r="AM661" s="149"/>
      <c r="AN661" s="149"/>
      <c r="AO661" s="149"/>
      <c r="AP661" s="149"/>
      <c r="AQ661" s="157"/>
      <c r="AR661" s="149"/>
      <c r="AS661" s="158"/>
    </row>
    <row r="662" ht="15.75" customHeight="1">
      <c r="A662" s="149"/>
      <c r="B662" s="149"/>
      <c r="C662" s="149"/>
      <c r="D662" s="160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50"/>
      <c r="AA662" s="149"/>
      <c r="AB662" s="154"/>
      <c r="AC662" s="155"/>
      <c r="AD662" s="155"/>
      <c r="AE662" s="155"/>
      <c r="AF662" s="155"/>
      <c r="AG662" s="149"/>
      <c r="AH662" s="149"/>
      <c r="AI662" s="149"/>
      <c r="AJ662" s="156"/>
      <c r="AK662" s="149"/>
      <c r="AL662" s="149"/>
      <c r="AM662" s="149"/>
      <c r="AN662" s="149"/>
      <c r="AO662" s="149"/>
      <c r="AP662" s="149"/>
      <c r="AQ662" s="157"/>
      <c r="AR662" s="149"/>
      <c r="AS662" s="158"/>
    </row>
    <row r="663" ht="15.75" customHeight="1">
      <c r="A663" s="149"/>
      <c r="B663" s="149"/>
      <c r="C663" s="149"/>
      <c r="D663" s="160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50"/>
      <c r="AA663" s="149"/>
      <c r="AB663" s="154"/>
      <c r="AC663" s="155"/>
      <c r="AD663" s="155"/>
      <c r="AE663" s="155"/>
      <c r="AF663" s="155"/>
      <c r="AG663" s="149"/>
      <c r="AH663" s="149"/>
      <c r="AI663" s="149"/>
      <c r="AJ663" s="156"/>
      <c r="AK663" s="149"/>
      <c r="AL663" s="149"/>
      <c r="AM663" s="149"/>
      <c r="AN663" s="149"/>
      <c r="AO663" s="149"/>
      <c r="AP663" s="149"/>
      <c r="AQ663" s="157"/>
      <c r="AR663" s="149"/>
      <c r="AS663" s="158"/>
    </row>
    <row r="664" ht="15.75" customHeight="1">
      <c r="A664" s="149"/>
      <c r="B664" s="149"/>
      <c r="C664" s="149"/>
      <c r="D664" s="160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50"/>
      <c r="AA664" s="149"/>
      <c r="AB664" s="154"/>
      <c r="AC664" s="155"/>
      <c r="AD664" s="155"/>
      <c r="AE664" s="155"/>
      <c r="AF664" s="155"/>
      <c r="AG664" s="149"/>
      <c r="AH664" s="149"/>
      <c r="AI664" s="149"/>
      <c r="AJ664" s="156"/>
      <c r="AK664" s="149"/>
      <c r="AL664" s="149"/>
      <c r="AM664" s="149"/>
      <c r="AN664" s="149"/>
      <c r="AO664" s="149"/>
      <c r="AP664" s="149"/>
      <c r="AQ664" s="157"/>
      <c r="AR664" s="149"/>
      <c r="AS664" s="158"/>
    </row>
    <row r="665" ht="15.75" customHeight="1">
      <c r="A665" s="149"/>
      <c r="B665" s="149"/>
      <c r="C665" s="149"/>
      <c r="D665" s="160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50"/>
      <c r="AA665" s="149"/>
      <c r="AB665" s="154"/>
      <c r="AC665" s="155"/>
      <c r="AD665" s="155"/>
      <c r="AE665" s="155"/>
      <c r="AF665" s="155"/>
      <c r="AG665" s="149"/>
      <c r="AH665" s="149"/>
      <c r="AI665" s="149"/>
      <c r="AJ665" s="156"/>
      <c r="AK665" s="149"/>
      <c r="AL665" s="149"/>
      <c r="AM665" s="149"/>
      <c r="AN665" s="149"/>
      <c r="AO665" s="149"/>
      <c r="AP665" s="149"/>
      <c r="AQ665" s="157"/>
      <c r="AR665" s="149"/>
      <c r="AS665" s="158"/>
    </row>
    <row r="666" ht="15.75" customHeight="1">
      <c r="A666" s="149"/>
      <c r="B666" s="149"/>
      <c r="C666" s="149"/>
      <c r="D666" s="160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50"/>
      <c r="AA666" s="149"/>
      <c r="AB666" s="154"/>
      <c r="AC666" s="155"/>
      <c r="AD666" s="155"/>
      <c r="AE666" s="155"/>
      <c r="AF666" s="155"/>
      <c r="AG666" s="149"/>
      <c r="AH666" s="149"/>
      <c r="AI666" s="149"/>
      <c r="AJ666" s="156"/>
      <c r="AK666" s="149"/>
      <c r="AL666" s="149"/>
      <c r="AM666" s="149"/>
      <c r="AN666" s="149"/>
      <c r="AO666" s="149"/>
      <c r="AP666" s="149"/>
      <c r="AQ666" s="157"/>
      <c r="AR666" s="149"/>
      <c r="AS666" s="158"/>
    </row>
    <row r="667" ht="15.75" customHeight="1">
      <c r="A667" s="149"/>
      <c r="B667" s="149"/>
      <c r="C667" s="149"/>
      <c r="D667" s="160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50"/>
      <c r="AA667" s="149"/>
      <c r="AB667" s="154"/>
      <c r="AC667" s="155"/>
      <c r="AD667" s="155"/>
      <c r="AE667" s="155"/>
      <c r="AF667" s="155"/>
      <c r="AG667" s="149"/>
      <c r="AH667" s="149"/>
      <c r="AI667" s="149"/>
      <c r="AJ667" s="156"/>
      <c r="AK667" s="149"/>
      <c r="AL667" s="149"/>
      <c r="AM667" s="149"/>
      <c r="AN667" s="149"/>
      <c r="AO667" s="149"/>
      <c r="AP667" s="149"/>
      <c r="AQ667" s="157"/>
      <c r="AR667" s="149"/>
      <c r="AS667" s="158"/>
    </row>
    <row r="668" ht="15.75" customHeight="1">
      <c r="A668" s="149"/>
      <c r="B668" s="149"/>
      <c r="C668" s="149"/>
      <c r="D668" s="160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50"/>
      <c r="AA668" s="149"/>
      <c r="AB668" s="154"/>
      <c r="AC668" s="155"/>
      <c r="AD668" s="155"/>
      <c r="AE668" s="155"/>
      <c r="AF668" s="155"/>
      <c r="AG668" s="149"/>
      <c r="AH668" s="149"/>
      <c r="AI668" s="149"/>
      <c r="AJ668" s="156"/>
      <c r="AK668" s="149"/>
      <c r="AL668" s="149"/>
      <c r="AM668" s="149"/>
      <c r="AN668" s="149"/>
      <c r="AO668" s="149"/>
      <c r="AP668" s="149"/>
      <c r="AQ668" s="157"/>
      <c r="AR668" s="149"/>
      <c r="AS668" s="158"/>
    </row>
    <row r="669" ht="15.75" customHeight="1">
      <c r="A669" s="149"/>
      <c r="B669" s="149"/>
      <c r="C669" s="149"/>
      <c r="D669" s="160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50"/>
      <c r="AA669" s="149"/>
      <c r="AB669" s="154"/>
      <c r="AC669" s="155"/>
      <c r="AD669" s="155"/>
      <c r="AE669" s="155"/>
      <c r="AF669" s="155"/>
      <c r="AG669" s="149"/>
      <c r="AH669" s="149"/>
      <c r="AI669" s="149"/>
      <c r="AJ669" s="156"/>
      <c r="AK669" s="149"/>
      <c r="AL669" s="149"/>
      <c r="AM669" s="149"/>
      <c r="AN669" s="149"/>
      <c r="AO669" s="149"/>
      <c r="AP669" s="149"/>
      <c r="AQ669" s="157"/>
      <c r="AR669" s="149"/>
      <c r="AS669" s="158"/>
    </row>
    <row r="670" ht="15.75" customHeight="1">
      <c r="A670" s="149"/>
      <c r="B670" s="149"/>
      <c r="C670" s="149"/>
      <c r="D670" s="160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50"/>
      <c r="AA670" s="149"/>
      <c r="AB670" s="154"/>
      <c r="AC670" s="155"/>
      <c r="AD670" s="155"/>
      <c r="AE670" s="155"/>
      <c r="AF670" s="155"/>
      <c r="AG670" s="149"/>
      <c r="AH670" s="149"/>
      <c r="AI670" s="149"/>
      <c r="AJ670" s="156"/>
      <c r="AK670" s="149"/>
      <c r="AL670" s="149"/>
      <c r="AM670" s="149"/>
      <c r="AN670" s="149"/>
      <c r="AO670" s="149"/>
      <c r="AP670" s="149"/>
      <c r="AQ670" s="157"/>
      <c r="AR670" s="149"/>
      <c r="AS670" s="158"/>
    </row>
    <row r="671" ht="15.75" customHeight="1">
      <c r="A671" s="149"/>
      <c r="B671" s="149"/>
      <c r="C671" s="149"/>
      <c r="D671" s="160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50"/>
      <c r="AA671" s="149"/>
      <c r="AB671" s="154"/>
      <c r="AC671" s="155"/>
      <c r="AD671" s="155"/>
      <c r="AE671" s="155"/>
      <c r="AF671" s="155"/>
      <c r="AG671" s="149"/>
      <c r="AH671" s="149"/>
      <c r="AI671" s="149"/>
      <c r="AJ671" s="156"/>
      <c r="AK671" s="149"/>
      <c r="AL671" s="149"/>
      <c r="AM671" s="149"/>
      <c r="AN671" s="149"/>
      <c r="AO671" s="149"/>
      <c r="AP671" s="149"/>
      <c r="AQ671" s="157"/>
      <c r="AR671" s="149"/>
      <c r="AS671" s="158"/>
    </row>
    <row r="672" ht="15.75" customHeight="1">
      <c r="A672" s="149"/>
      <c r="B672" s="149"/>
      <c r="C672" s="149"/>
      <c r="D672" s="160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50"/>
      <c r="AA672" s="149"/>
      <c r="AB672" s="154"/>
      <c r="AC672" s="155"/>
      <c r="AD672" s="155"/>
      <c r="AE672" s="155"/>
      <c r="AF672" s="155"/>
      <c r="AG672" s="149"/>
      <c r="AH672" s="149"/>
      <c r="AI672" s="149"/>
      <c r="AJ672" s="156"/>
      <c r="AK672" s="149"/>
      <c r="AL672" s="149"/>
      <c r="AM672" s="149"/>
      <c r="AN672" s="149"/>
      <c r="AO672" s="149"/>
      <c r="AP672" s="149"/>
      <c r="AQ672" s="157"/>
      <c r="AR672" s="149"/>
      <c r="AS672" s="158"/>
    </row>
    <row r="673" ht="15.75" customHeight="1">
      <c r="A673" s="149"/>
      <c r="B673" s="149"/>
      <c r="C673" s="149"/>
      <c r="D673" s="160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50"/>
      <c r="AA673" s="149"/>
      <c r="AB673" s="154"/>
      <c r="AC673" s="155"/>
      <c r="AD673" s="155"/>
      <c r="AE673" s="155"/>
      <c r="AF673" s="155"/>
      <c r="AG673" s="149"/>
      <c r="AH673" s="149"/>
      <c r="AI673" s="149"/>
      <c r="AJ673" s="156"/>
      <c r="AK673" s="149"/>
      <c r="AL673" s="149"/>
      <c r="AM673" s="149"/>
      <c r="AN673" s="149"/>
      <c r="AO673" s="149"/>
      <c r="AP673" s="149"/>
      <c r="AQ673" s="157"/>
      <c r="AR673" s="149"/>
      <c r="AS673" s="158"/>
    </row>
    <row r="674" ht="15.75" customHeight="1">
      <c r="A674" s="149"/>
      <c r="B674" s="149"/>
      <c r="C674" s="149"/>
      <c r="D674" s="160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50"/>
      <c r="AA674" s="149"/>
      <c r="AB674" s="154"/>
      <c r="AC674" s="155"/>
      <c r="AD674" s="155"/>
      <c r="AE674" s="155"/>
      <c r="AF674" s="155"/>
      <c r="AG674" s="149"/>
      <c r="AH674" s="149"/>
      <c r="AI674" s="149"/>
      <c r="AJ674" s="156"/>
      <c r="AK674" s="149"/>
      <c r="AL674" s="149"/>
      <c r="AM674" s="149"/>
      <c r="AN674" s="149"/>
      <c r="AO674" s="149"/>
      <c r="AP674" s="149"/>
      <c r="AQ674" s="157"/>
      <c r="AR674" s="149"/>
      <c r="AS674" s="158"/>
    </row>
    <row r="675" ht="15.75" customHeight="1">
      <c r="A675" s="149"/>
      <c r="B675" s="149"/>
      <c r="C675" s="149"/>
      <c r="D675" s="160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50"/>
      <c r="AA675" s="149"/>
      <c r="AB675" s="154"/>
      <c r="AC675" s="155"/>
      <c r="AD675" s="155"/>
      <c r="AE675" s="155"/>
      <c r="AF675" s="155"/>
      <c r="AG675" s="149"/>
      <c r="AH675" s="149"/>
      <c r="AI675" s="149"/>
      <c r="AJ675" s="156"/>
      <c r="AK675" s="149"/>
      <c r="AL675" s="149"/>
      <c r="AM675" s="149"/>
      <c r="AN675" s="149"/>
      <c r="AO675" s="149"/>
      <c r="AP675" s="149"/>
      <c r="AQ675" s="157"/>
      <c r="AR675" s="149"/>
      <c r="AS675" s="158"/>
    </row>
    <row r="676" ht="15.75" customHeight="1">
      <c r="A676" s="149"/>
      <c r="B676" s="149"/>
      <c r="C676" s="149"/>
      <c r="D676" s="160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50"/>
      <c r="AA676" s="149"/>
      <c r="AB676" s="154"/>
      <c r="AC676" s="155"/>
      <c r="AD676" s="155"/>
      <c r="AE676" s="155"/>
      <c r="AF676" s="155"/>
      <c r="AG676" s="149"/>
      <c r="AH676" s="149"/>
      <c r="AI676" s="149"/>
      <c r="AJ676" s="156"/>
      <c r="AK676" s="149"/>
      <c r="AL676" s="149"/>
      <c r="AM676" s="149"/>
      <c r="AN676" s="149"/>
      <c r="AO676" s="149"/>
      <c r="AP676" s="149"/>
      <c r="AQ676" s="157"/>
      <c r="AR676" s="149"/>
      <c r="AS676" s="158"/>
    </row>
    <row r="677" ht="15.75" customHeight="1">
      <c r="A677" s="149"/>
      <c r="B677" s="149"/>
      <c r="C677" s="149"/>
      <c r="D677" s="160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50"/>
      <c r="AA677" s="149"/>
      <c r="AB677" s="154"/>
      <c r="AC677" s="155"/>
      <c r="AD677" s="155"/>
      <c r="AE677" s="155"/>
      <c r="AF677" s="155"/>
      <c r="AG677" s="149"/>
      <c r="AH677" s="149"/>
      <c r="AI677" s="149"/>
      <c r="AJ677" s="156"/>
      <c r="AK677" s="149"/>
      <c r="AL677" s="149"/>
      <c r="AM677" s="149"/>
      <c r="AN677" s="149"/>
      <c r="AO677" s="149"/>
      <c r="AP677" s="149"/>
      <c r="AQ677" s="157"/>
      <c r="AR677" s="149"/>
      <c r="AS677" s="158"/>
    </row>
    <row r="678" ht="15.75" customHeight="1">
      <c r="A678" s="149"/>
      <c r="B678" s="149"/>
      <c r="C678" s="149"/>
      <c r="D678" s="160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50"/>
      <c r="AA678" s="149"/>
      <c r="AB678" s="154"/>
      <c r="AC678" s="155"/>
      <c r="AD678" s="155"/>
      <c r="AE678" s="155"/>
      <c r="AF678" s="155"/>
      <c r="AG678" s="149"/>
      <c r="AH678" s="149"/>
      <c r="AI678" s="149"/>
      <c r="AJ678" s="156"/>
      <c r="AK678" s="149"/>
      <c r="AL678" s="149"/>
      <c r="AM678" s="149"/>
      <c r="AN678" s="149"/>
      <c r="AO678" s="149"/>
      <c r="AP678" s="149"/>
      <c r="AQ678" s="157"/>
      <c r="AR678" s="149"/>
      <c r="AS678" s="158"/>
    </row>
    <row r="679" ht="15.75" customHeight="1">
      <c r="A679" s="149"/>
      <c r="B679" s="149"/>
      <c r="C679" s="149"/>
      <c r="D679" s="160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50"/>
      <c r="AA679" s="149"/>
      <c r="AB679" s="154"/>
      <c r="AC679" s="155"/>
      <c r="AD679" s="155"/>
      <c r="AE679" s="155"/>
      <c r="AF679" s="155"/>
      <c r="AG679" s="149"/>
      <c r="AH679" s="149"/>
      <c r="AI679" s="149"/>
      <c r="AJ679" s="156"/>
      <c r="AK679" s="149"/>
      <c r="AL679" s="149"/>
      <c r="AM679" s="149"/>
      <c r="AN679" s="149"/>
      <c r="AO679" s="149"/>
      <c r="AP679" s="149"/>
      <c r="AQ679" s="157"/>
      <c r="AR679" s="149"/>
      <c r="AS679" s="158"/>
    </row>
    <row r="680" ht="15.75" customHeight="1">
      <c r="A680" s="149"/>
      <c r="B680" s="149"/>
      <c r="C680" s="149"/>
      <c r="D680" s="160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50"/>
      <c r="AA680" s="149"/>
      <c r="AB680" s="154"/>
      <c r="AC680" s="155"/>
      <c r="AD680" s="155"/>
      <c r="AE680" s="155"/>
      <c r="AF680" s="155"/>
      <c r="AG680" s="149"/>
      <c r="AH680" s="149"/>
      <c r="AI680" s="149"/>
      <c r="AJ680" s="156"/>
      <c r="AK680" s="149"/>
      <c r="AL680" s="149"/>
      <c r="AM680" s="149"/>
      <c r="AN680" s="149"/>
      <c r="AO680" s="149"/>
      <c r="AP680" s="149"/>
      <c r="AQ680" s="157"/>
      <c r="AR680" s="149"/>
      <c r="AS680" s="158"/>
    </row>
    <row r="681" ht="15.75" customHeight="1">
      <c r="A681" s="149"/>
      <c r="B681" s="149"/>
      <c r="C681" s="149"/>
      <c r="D681" s="160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50"/>
      <c r="AA681" s="149"/>
      <c r="AB681" s="154"/>
      <c r="AC681" s="155"/>
      <c r="AD681" s="155"/>
      <c r="AE681" s="155"/>
      <c r="AF681" s="155"/>
      <c r="AG681" s="149"/>
      <c r="AH681" s="149"/>
      <c r="AI681" s="149"/>
      <c r="AJ681" s="156"/>
      <c r="AK681" s="149"/>
      <c r="AL681" s="149"/>
      <c r="AM681" s="149"/>
      <c r="AN681" s="149"/>
      <c r="AO681" s="149"/>
      <c r="AP681" s="149"/>
      <c r="AQ681" s="157"/>
      <c r="AR681" s="149"/>
      <c r="AS681" s="158"/>
    </row>
    <row r="682" ht="15.75" customHeight="1">
      <c r="A682" s="149"/>
      <c r="B682" s="149"/>
      <c r="C682" s="149"/>
      <c r="D682" s="160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50"/>
      <c r="AA682" s="149"/>
      <c r="AB682" s="154"/>
      <c r="AC682" s="155"/>
      <c r="AD682" s="155"/>
      <c r="AE682" s="155"/>
      <c r="AF682" s="155"/>
      <c r="AG682" s="149"/>
      <c r="AH682" s="149"/>
      <c r="AI682" s="149"/>
      <c r="AJ682" s="156"/>
      <c r="AK682" s="149"/>
      <c r="AL682" s="149"/>
      <c r="AM682" s="149"/>
      <c r="AN682" s="149"/>
      <c r="AO682" s="149"/>
      <c r="AP682" s="149"/>
      <c r="AQ682" s="157"/>
      <c r="AR682" s="149"/>
      <c r="AS682" s="158"/>
    </row>
    <row r="683" ht="15.75" customHeight="1">
      <c r="A683" s="149"/>
      <c r="B683" s="149"/>
      <c r="C683" s="149"/>
      <c r="D683" s="160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50"/>
      <c r="AA683" s="149"/>
      <c r="AB683" s="154"/>
      <c r="AC683" s="155"/>
      <c r="AD683" s="155"/>
      <c r="AE683" s="155"/>
      <c r="AF683" s="155"/>
      <c r="AG683" s="149"/>
      <c r="AH683" s="149"/>
      <c r="AI683" s="149"/>
      <c r="AJ683" s="156"/>
      <c r="AK683" s="149"/>
      <c r="AL683" s="149"/>
      <c r="AM683" s="149"/>
      <c r="AN683" s="149"/>
      <c r="AO683" s="149"/>
      <c r="AP683" s="149"/>
      <c r="AQ683" s="157"/>
      <c r="AR683" s="149"/>
      <c r="AS683" s="158"/>
    </row>
    <row r="684" ht="15.75" customHeight="1">
      <c r="A684" s="149"/>
      <c r="B684" s="149"/>
      <c r="C684" s="149"/>
      <c r="D684" s="160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50"/>
      <c r="AA684" s="149"/>
      <c r="AB684" s="154"/>
      <c r="AC684" s="155"/>
      <c r="AD684" s="155"/>
      <c r="AE684" s="155"/>
      <c r="AF684" s="155"/>
      <c r="AG684" s="149"/>
      <c r="AH684" s="149"/>
      <c r="AI684" s="149"/>
      <c r="AJ684" s="156"/>
      <c r="AK684" s="149"/>
      <c r="AL684" s="149"/>
      <c r="AM684" s="149"/>
      <c r="AN684" s="149"/>
      <c r="AO684" s="149"/>
      <c r="AP684" s="149"/>
      <c r="AQ684" s="157"/>
      <c r="AR684" s="149"/>
      <c r="AS684" s="158"/>
    </row>
    <row r="685" ht="15.75" customHeight="1">
      <c r="A685" s="149"/>
      <c r="B685" s="149"/>
      <c r="C685" s="149"/>
      <c r="D685" s="160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50"/>
      <c r="AA685" s="149"/>
      <c r="AB685" s="154"/>
      <c r="AC685" s="155"/>
      <c r="AD685" s="155"/>
      <c r="AE685" s="155"/>
      <c r="AF685" s="155"/>
      <c r="AG685" s="149"/>
      <c r="AH685" s="149"/>
      <c r="AI685" s="149"/>
      <c r="AJ685" s="156"/>
      <c r="AK685" s="149"/>
      <c r="AL685" s="149"/>
      <c r="AM685" s="149"/>
      <c r="AN685" s="149"/>
      <c r="AO685" s="149"/>
      <c r="AP685" s="149"/>
      <c r="AQ685" s="157"/>
      <c r="AR685" s="149"/>
      <c r="AS685" s="158"/>
    </row>
    <row r="686" ht="15.75" customHeight="1">
      <c r="A686" s="149"/>
      <c r="B686" s="149"/>
      <c r="C686" s="149"/>
      <c r="D686" s="160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50"/>
      <c r="AA686" s="149"/>
      <c r="AB686" s="154"/>
      <c r="AC686" s="155"/>
      <c r="AD686" s="155"/>
      <c r="AE686" s="155"/>
      <c r="AF686" s="155"/>
      <c r="AG686" s="149"/>
      <c r="AH686" s="149"/>
      <c r="AI686" s="149"/>
      <c r="AJ686" s="156"/>
      <c r="AK686" s="149"/>
      <c r="AL686" s="149"/>
      <c r="AM686" s="149"/>
      <c r="AN686" s="149"/>
      <c r="AO686" s="149"/>
      <c r="AP686" s="149"/>
      <c r="AQ686" s="157"/>
      <c r="AR686" s="149"/>
      <c r="AS686" s="158"/>
    </row>
    <row r="687" ht="15.75" customHeight="1">
      <c r="A687" s="149"/>
      <c r="B687" s="149"/>
      <c r="C687" s="149"/>
      <c r="D687" s="160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50"/>
      <c r="AA687" s="149"/>
      <c r="AB687" s="154"/>
      <c r="AC687" s="155"/>
      <c r="AD687" s="155"/>
      <c r="AE687" s="155"/>
      <c r="AF687" s="155"/>
      <c r="AG687" s="149"/>
      <c r="AH687" s="149"/>
      <c r="AI687" s="149"/>
      <c r="AJ687" s="156"/>
      <c r="AK687" s="149"/>
      <c r="AL687" s="149"/>
      <c r="AM687" s="149"/>
      <c r="AN687" s="149"/>
      <c r="AO687" s="149"/>
      <c r="AP687" s="149"/>
      <c r="AQ687" s="157"/>
      <c r="AR687" s="149"/>
      <c r="AS687" s="158"/>
    </row>
    <row r="688" ht="15.75" customHeight="1">
      <c r="A688" s="149"/>
      <c r="B688" s="149"/>
      <c r="C688" s="149"/>
      <c r="D688" s="160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50"/>
      <c r="AA688" s="149"/>
      <c r="AB688" s="154"/>
      <c r="AC688" s="155"/>
      <c r="AD688" s="155"/>
      <c r="AE688" s="155"/>
      <c r="AF688" s="155"/>
      <c r="AG688" s="149"/>
      <c r="AH688" s="149"/>
      <c r="AI688" s="149"/>
      <c r="AJ688" s="156"/>
      <c r="AK688" s="149"/>
      <c r="AL688" s="149"/>
      <c r="AM688" s="149"/>
      <c r="AN688" s="149"/>
      <c r="AO688" s="149"/>
      <c r="AP688" s="149"/>
      <c r="AQ688" s="157"/>
      <c r="AR688" s="149"/>
      <c r="AS688" s="158"/>
    </row>
    <row r="689" ht="15.75" customHeight="1">
      <c r="A689" s="149"/>
      <c r="B689" s="149"/>
      <c r="C689" s="149"/>
      <c r="D689" s="160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50"/>
      <c r="AA689" s="149"/>
      <c r="AB689" s="154"/>
      <c r="AC689" s="155"/>
      <c r="AD689" s="155"/>
      <c r="AE689" s="155"/>
      <c r="AF689" s="155"/>
      <c r="AG689" s="149"/>
      <c r="AH689" s="149"/>
      <c r="AI689" s="149"/>
      <c r="AJ689" s="156"/>
      <c r="AK689" s="149"/>
      <c r="AL689" s="149"/>
      <c r="AM689" s="149"/>
      <c r="AN689" s="149"/>
      <c r="AO689" s="149"/>
      <c r="AP689" s="149"/>
      <c r="AQ689" s="157"/>
      <c r="AR689" s="149"/>
      <c r="AS689" s="158"/>
    </row>
    <row r="690" ht="15.75" customHeight="1">
      <c r="A690" s="149"/>
      <c r="B690" s="149"/>
      <c r="C690" s="149"/>
      <c r="D690" s="160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50"/>
      <c r="AA690" s="149"/>
      <c r="AB690" s="154"/>
      <c r="AC690" s="155"/>
      <c r="AD690" s="155"/>
      <c r="AE690" s="155"/>
      <c r="AF690" s="155"/>
      <c r="AG690" s="149"/>
      <c r="AH690" s="149"/>
      <c r="AI690" s="149"/>
      <c r="AJ690" s="156"/>
      <c r="AK690" s="149"/>
      <c r="AL690" s="149"/>
      <c r="AM690" s="149"/>
      <c r="AN690" s="149"/>
      <c r="AO690" s="149"/>
      <c r="AP690" s="149"/>
      <c r="AQ690" s="157"/>
      <c r="AR690" s="149"/>
      <c r="AS690" s="158"/>
    </row>
    <row r="691" ht="15.75" customHeight="1">
      <c r="A691" s="149"/>
      <c r="B691" s="149"/>
      <c r="C691" s="149"/>
      <c r="D691" s="160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50"/>
      <c r="AA691" s="149"/>
      <c r="AB691" s="154"/>
      <c r="AC691" s="155"/>
      <c r="AD691" s="155"/>
      <c r="AE691" s="155"/>
      <c r="AF691" s="155"/>
      <c r="AG691" s="149"/>
      <c r="AH691" s="149"/>
      <c r="AI691" s="149"/>
      <c r="AJ691" s="156"/>
      <c r="AK691" s="149"/>
      <c r="AL691" s="149"/>
      <c r="AM691" s="149"/>
      <c r="AN691" s="149"/>
      <c r="AO691" s="149"/>
      <c r="AP691" s="149"/>
      <c r="AQ691" s="157"/>
      <c r="AR691" s="149"/>
      <c r="AS691" s="158"/>
    </row>
    <row r="692" ht="15.75" customHeight="1">
      <c r="A692" s="149"/>
      <c r="B692" s="149"/>
      <c r="C692" s="149"/>
      <c r="D692" s="160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50"/>
      <c r="AA692" s="149"/>
      <c r="AB692" s="154"/>
      <c r="AC692" s="155"/>
      <c r="AD692" s="155"/>
      <c r="AE692" s="155"/>
      <c r="AF692" s="155"/>
      <c r="AG692" s="149"/>
      <c r="AH692" s="149"/>
      <c r="AI692" s="149"/>
      <c r="AJ692" s="156"/>
      <c r="AK692" s="149"/>
      <c r="AL692" s="149"/>
      <c r="AM692" s="149"/>
      <c r="AN692" s="149"/>
      <c r="AO692" s="149"/>
      <c r="AP692" s="149"/>
      <c r="AQ692" s="157"/>
      <c r="AR692" s="149"/>
      <c r="AS692" s="158"/>
    </row>
    <row r="693" ht="15.75" customHeight="1">
      <c r="A693" s="149"/>
      <c r="B693" s="149"/>
      <c r="C693" s="149"/>
      <c r="D693" s="160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50"/>
      <c r="AA693" s="149"/>
      <c r="AB693" s="154"/>
      <c r="AC693" s="155"/>
      <c r="AD693" s="155"/>
      <c r="AE693" s="155"/>
      <c r="AF693" s="155"/>
      <c r="AG693" s="149"/>
      <c r="AH693" s="149"/>
      <c r="AI693" s="149"/>
      <c r="AJ693" s="156"/>
      <c r="AK693" s="149"/>
      <c r="AL693" s="149"/>
      <c r="AM693" s="149"/>
      <c r="AN693" s="149"/>
      <c r="AO693" s="149"/>
      <c r="AP693" s="149"/>
      <c r="AQ693" s="157"/>
      <c r="AR693" s="149"/>
      <c r="AS693" s="158"/>
    </row>
    <row r="694" ht="15.75" customHeight="1">
      <c r="A694" s="149"/>
      <c r="B694" s="149"/>
      <c r="C694" s="149"/>
      <c r="D694" s="160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50"/>
      <c r="AA694" s="149"/>
      <c r="AB694" s="154"/>
      <c r="AC694" s="155"/>
      <c r="AD694" s="155"/>
      <c r="AE694" s="155"/>
      <c r="AF694" s="155"/>
      <c r="AG694" s="149"/>
      <c r="AH694" s="149"/>
      <c r="AI694" s="149"/>
      <c r="AJ694" s="156"/>
      <c r="AK694" s="149"/>
      <c r="AL694" s="149"/>
      <c r="AM694" s="149"/>
      <c r="AN694" s="149"/>
      <c r="AO694" s="149"/>
      <c r="AP694" s="149"/>
      <c r="AQ694" s="157"/>
      <c r="AR694" s="149"/>
      <c r="AS694" s="158"/>
    </row>
    <row r="695" ht="15.75" customHeight="1">
      <c r="A695" s="149"/>
      <c r="B695" s="149"/>
      <c r="C695" s="149"/>
      <c r="D695" s="160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50"/>
      <c r="AA695" s="149"/>
      <c r="AB695" s="154"/>
      <c r="AC695" s="155"/>
      <c r="AD695" s="155"/>
      <c r="AE695" s="155"/>
      <c r="AF695" s="155"/>
      <c r="AG695" s="149"/>
      <c r="AH695" s="149"/>
      <c r="AI695" s="149"/>
      <c r="AJ695" s="156"/>
      <c r="AK695" s="149"/>
      <c r="AL695" s="149"/>
      <c r="AM695" s="149"/>
      <c r="AN695" s="149"/>
      <c r="AO695" s="149"/>
      <c r="AP695" s="149"/>
      <c r="AQ695" s="157"/>
      <c r="AR695" s="149"/>
      <c r="AS695" s="158"/>
    </row>
    <row r="696" ht="15.75" customHeight="1">
      <c r="A696" s="149"/>
      <c r="B696" s="149"/>
      <c r="C696" s="149"/>
      <c r="D696" s="160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50"/>
      <c r="AA696" s="149"/>
      <c r="AB696" s="154"/>
      <c r="AC696" s="155"/>
      <c r="AD696" s="155"/>
      <c r="AE696" s="155"/>
      <c r="AF696" s="155"/>
      <c r="AG696" s="149"/>
      <c r="AH696" s="149"/>
      <c r="AI696" s="149"/>
      <c r="AJ696" s="156"/>
      <c r="AK696" s="149"/>
      <c r="AL696" s="149"/>
      <c r="AM696" s="149"/>
      <c r="AN696" s="149"/>
      <c r="AO696" s="149"/>
      <c r="AP696" s="149"/>
      <c r="AQ696" s="157"/>
      <c r="AR696" s="149"/>
      <c r="AS696" s="158"/>
    </row>
    <row r="697" ht="15.75" customHeight="1">
      <c r="A697" s="149"/>
      <c r="B697" s="149"/>
      <c r="C697" s="149"/>
      <c r="D697" s="160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50"/>
      <c r="AA697" s="149"/>
      <c r="AB697" s="154"/>
      <c r="AC697" s="155"/>
      <c r="AD697" s="155"/>
      <c r="AE697" s="155"/>
      <c r="AF697" s="155"/>
      <c r="AG697" s="149"/>
      <c r="AH697" s="149"/>
      <c r="AI697" s="149"/>
      <c r="AJ697" s="156"/>
      <c r="AK697" s="149"/>
      <c r="AL697" s="149"/>
      <c r="AM697" s="149"/>
      <c r="AN697" s="149"/>
      <c r="AO697" s="149"/>
      <c r="AP697" s="149"/>
      <c r="AQ697" s="157"/>
      <c r="AR697" s="149"/>
      <c r="AS697" s="158"/>
    </row>
    <row r="698" ht="15.75" customHeight="1">
      <c r="A698" s="149"/>
      <c r="B698" s="149"/>
      <c r="C698" s="149"/>
      <c r="D698" s="160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50"/>
      <c r="AA698" s="149"/>
      <c r="AB698" s="154"/>
      <c r="AC698" s="155"/>
      <c r="AD698" s="155"/>
      <c r="AE698" s="155"/>
      <c r="AF698" s="155"/>
      <c r="AG698" s="149"/>
      <c r="AH698" s="149"/>
      <c r="AI698" s="149"/>
      <c r="AJ698" s="156"/>
      <c r="AK698" s="149"/>
      <c r="AL698" s="149"/>
      <c r="AM698" s="149"/>
      <c r="AN698" s="149"/>
      <c r="AO698" s="149"/>
      <c r="AP698" s="149"/>
      <c r="AQ698" s="157"/>
      <c r="AR698" s="149"/>
      <c r="AS698" s="158"/>
    </row>
    <row r="699" ht="15.75" customHeight="1">
      <c r="A699" s="149"/>
      <c r="B699" s="149"/>
      <c r="C699" s="149"/>
      <c r="D699" s="160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50"/>
      <c r="AA699" s="149"/>
      <c r="AB699" s="154"/>
      <c r="AC699" s="155"/>
      <c r="AD699" s="155"/>
      <c r="AE699" s="155"/>
      <c r="AF699" s="155"/>
      <c r="AG699" s="149"/>
      <c r="AH699" s="149"/>
      <c r="AI699" s="149"/>
      <c r="AJ699" s="156"/>
      <c r="AK699" s="149"/>
      <c r="AL699" s="149"/>
      <c r="AM699" s="149"/>
      <c r="AN699" s="149"/>
      <c r="AO699" s="149"/>
      <c r="AP699" s="149"/>
      <c r="AQ699" s="157"/>
      <c r="AR699" s="149"/>
      <c r="AS699" s="158"/>
    </row>
    <row r="700" ht="15.75" customHeight="1">
      <c r="A700" s="149"/>
      <c r="B700" s="149"/>
      <c r="C700" s="149"/>
      <c r="D700" s="160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50"/>
      <c r="AA700" s="149"/>
      <c r="AB700" s="154"/>
      <c r="AC700" s="155"/>
      <c r="AD700" s="155"/>
      <c r="AE700" s="155"/>
      <c r="AF700" s="155"/>
      <c r="AG700" s="149"/>
      <c r="AH700" s="149"/>
      <c r="AI700" s="149"/>
      <c r="AJ700" s="156"/>
      <c r="AK700" s="149"/>
      <c r="AL700" s="149"/>
      <c r="AM700" s="149"/>
      <c r="AN700" s="149"/>
      <c r="AO700" s="149"/>
      <c r="AP700" s="149"/>
      <c r="AQ700" s="157"/>
      <c r="AR700" s="149"/>
      <c r="AS700" s="158"/>
    </row>
    <row r="701" ht="15.75" customHeight="1">
      <c r="A701" s="149"/>
      <c r="B701" s="149"/>
      <c r="C701" s="149"/>
      <c r="D701" s="160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50"/>
      <c r="AA701" s="149"/>
      <c r="AB701" s="154"/>
      <c r="AC701" s="155"/>
      <c r="AD701" s="155"/>
      <c r="AE701" s="155"/>
      <c r="AF701" s="155"/>
      <c r="AG701" s="149"/>
      <c r="AH701" s="149"/>
      <c r="AI701" s="149"/>
      <c r="AJ701" s="156"/>
      <c r="AK701" s="149"/>
      <c r="AL701" s="149"/>
      <c r="AM701" s="149"/>
      <c r="AN701" s="149"/>
      <c r="AO701" s="149"/>
      <c r="AP701" s="149"/>
      <c r="AQ701" s="157"/>
      <c r="AR701" s="149"/>
      <c r="AS701" s="158"/>
    </row>
    <row r="702" ht="15.75" customHeight="1">
      <c r="A702" s="149"/>
      <c r="B702" s="149"/>
      <c r="C702" s="149"/>
      <c r="D702" s="160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50"/>
      <c r="AA702" s="149"/>
      <c r="AB702" s="154"/>
      <c r="AC702" s="155"/>
      <c r="AD702" s="155"/>
      <c r="AE702" s="155"/>
      <c r="AF702" s="155"/>
      <c r="AG702" s="149"/>
      <c r="AH702" s="149"/>
      <c r="AI702" s="149"/>
      <c r="AJ702" s="156"/>
      <c r="AK702" s="149"/>
      <c r="AL702" s="149"/>
      <c r="AM702" s="149"/>
      <c r="AN702" s="149"/>
      <c r="AO702" s="149"/>
      <c r="AP702" s="149"/>
      <c r="AQ702" s="157"/>
      <c r="AR702" s="149"/>
      <c r="AS702" s="158"/>
    </row>
    <row r="703" ht="15.75" customHeight="1">
      <c r="A703" s="149"/>
      <c r="B703" s="149"/>
      <c r="C703" s="149"/>
      <c r="D703" s="160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50"/>
      <c r="AA703" s="149"/>
      <c r="AB703" s="154"/>
      <c r="AC703" s="155"/>
      <c r="AD703" s="155"/>
      <c r="AE703" s="155"/>
      <c r="AF703" s="155"/>
      <c r="AG703" s="149"/>
      <c r="AH703" s="149"/>
      <c r="AI703" s="149"/>
      <c r="AJ703" s="156"/>
      <c r="AK703" s="149"/>
      <c r="AL703" s="149"/>
      <c r="AM703" s="149"/>
      <c r="AN703" s="149"/>
      <c r="AO703" s="149"/>
      <c r="AP703" s="149"/>
      <c r="AQ703" s="157"/>
      <c r="AR703" s="149"/>
      <c r="AS703" s="158"/>
    </row>
    <row r="704" ht="15.75" customHeight="1">
      <c r="A704" s="149"/>
      <c r="B704" s="149"/>
      <c r="C704" s="149"/>
      <c r="D704" s="160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50"/>
      <c r="AA704" s="149"/>
      <c r="AB704" s="154"/>
      <c r="AC704" s="155"/>
      <c r="AD704" s="155"/>
      <c r="AE704" s="155"/>
      <c r="AF704" s="155"/>
      <c r="AG704" s="149"/>
      <c r="AH704" s="149"/>
      <c r="AI704" s="149"/>
      <c r="AJ704" s="156"/>
      <c r="AK704" s="149"/>
      <c r="AL704" s="149"/>
      <c r="AM704" s="149"/>
      <c r="AN704" s="149"/>
      <c r="AO704" s="149"/>
      <c r="AP704" s="149"/>
      <c r="AQ704" s="157"/>
      <c r="AR704" s="149"/>
      <c r="AS704" s="158"/>
    </row>
    <row r="705" ht="15.75" customHeight="1">
      <c r="A705" s="149"/>
      <c r="B705" s="149"/>
      <c r="C705" s="149"/>
      <c r="D705" s="160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50"/>
      <c r="AA705" s="149"/>
      <c r="AB705" s="154"/>
      <c r="AC705" s="155"/>
      <c r="AD705" s="155"/>
      <c r="AE705" s="155"/>
      <c r="AF705" s="155"/>
      <c r="AG705" s="149"/>
      <c r="AH705" s="149"/>
      <c r="AI705" s="149"/>
      <c r="AJ705" s="156"/>
      <c r="AK705" s="149"/>
      <c r="AL705" s="149"/>
      <c r="AM705" s="149"/>
      <c r="AN705" s="149"/>
      <c r="AO705" s="149"/>
      <c r="AP705" s="149"/>
      <c r="AQ705" s="157"/>
      <c r="AR705" s="149"/>
      <c r="AS705" s="158"/>
    </row>
    <row r="706" ht="15.75" customHeight="1">
      <c r="A706" s="149"/>
      <c r="B706" s="149"/>
      <c r="C706" s="149"/>
      <c r="D706" s="160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50"/>
      <c r="AA706" s="149"/>
      <c r="AB706" s="154"/>
      <c r="AC706" s="155"/>
      <c r="AD706" s="155"/>
      <c r="AE706" s="155"/>
      <c r="AF706" s="155"/>
      <c r="AG706" s="149"/>
      <c r="AH706" s="149"/>
      <c r="AI706" s="149"/>
      <c r="AJ706" s="156"/>
      <c r="AK706" s="149"/>
      <c r="AL706" s="149"/>
      <c r="AM706" s="149"/>
      <c r="AN706" s="149"/>
      <c r="AO706" s="149"/>
      <c r="AP706" s="149"/>
      <c r="AQ706" s="157"/>
      <c r="AR706" s="149"/>
      <c r="AS706" s="158"/>
    </row>
    <row r="707" ht="15.75" customHeight="1">
      <c r="A707" s="149"/>
      <c r="B707" s="149"/>
      <c r="C707" s="149"/>
      <c r="D707" s="160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50"/>
      <c r="AA707" s="149"/>
      <c r="AB707" s="154"/>
      <c r="AC707" s="155"/>
      <c r="AD707" s="155"/>
      <c r="AE707" s="155"/>
      <c r="AF707" s="155"/>
      <c r="AG707" s="149"/>
      <c r="AH707" s="149"/>
      <c r="AI707" s="149"/>
      <c r="AJ707" s="156"/>
      <c r="AK707" s="149"/>
      <c r="AL707" s="149"/>
      <c r="AM707" s="149"/>
      <c r="AN707" s="149"/>
      <c r="AO707" s="149"/>
      <c r="AP707" s="149"/>
      <c r="AQ707" s="157"/>
      <c r="AR707" s="149"/>
      <c r="AS707" s="158"/>
    </row>
    <row r="708" ht="15.75" customHeight="1">
      <c r="A708" s="149"/>
      <c r="B708" s="149"/>
      <c r="C708" s="149"/>
      <c r="D708" s="160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50"/>
      <c r="AA708" s="149"/>
      <c r="AB708" s="154"/>
      <c r="AC708" s="155"/>
      <c r="AD708" s="155"/>
      <c r="AE708" s="155"/>
      <c r="AF708" s="155"/>
      <c r="AG708" s="149"/>
      <c r="AH708" s="149"/>
      <c r="AI708" s="149"/>
      <c r="AJ708" s="156"/>
      <c r="AK708" s="149"/>
      <c r="AL708" s="149"/>
      <c r="AM708" s="149"/>
      <c r="AN708" s="149"/>
      <c r="AO708" s="149"/>
      <c r="AP708" s="149"/>
      <c r="AQ708" s="157"/>
      <c r="AR708" s="149"/>
      <c r="AS708" s="158"/>
    </row>
    <row r="709" ht="15.75" customHeight="1">
      <c r="A709" s="149"/>
      <c r="B709" s="149"/>
      <c r="C709" s="149"/>
      <c r="D709" s="160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50"/>
      <c r="AA709" s="149"/>
      <c r="AB709" s="154"/>
      <c r="AC709" s="155"/>
      <c r="AD709" s="155"/>
      <c r="AE709" s="155"/>
      <c r="AF709" s="155"/>
      <c r="AG709" s="149"/>
      <c r="AH709" s="149"/>
      <c r="AI709" s="149"/>
      <c r="AJ709" s="156"/>
      <c r="AK709" s="149"/>
      <c r="AL709" s="149"/>
      <c r="AM709" s="149"/>
      <c r="AN709" s="149"/>
      <c r="AO709" s="149"/>
      <c r="AP709" s="149"/>
      <c r="AQ709" s="157"/>
      <c r="AR709" s="149"/>
      <c r="AS709" s="158"/>
    </row>
    <row r="710" ht="15.75" customHeight="1">
      <c r="A710" s="149"/>
      <c r="B710" s="149"/>
      <c r="C710" s="149"/>
      <c r="D710" s="160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50"/>
      <c r="AA710" s="149"/>
      <c r="AB710" s="154"/>
      <c r="AC710" s="155"/>
      <c r="AD710" s="155"/>
      <c r="AE710" s="155"/>
      <c r="AF710" s="155"/>
      <c r="AG710" s="149"/>
      <c r="AH710" s="149"/>
      <c r="AI710" s="149"/>
      <c r="AJ710" s="156"/>
      <c r="AK710" s="149"/>
      <c r="AL710" s="149"/>
      <c r="AM710" s="149"/>
      <c r="AN710" s="149"/>
      <c r="AO710" s="149"/>
      <c r="AP710" s="149"/>
      <c r="AQ710" s="157"/>
      <c r="AR710" s="149"/>
      <c r="AS710" s="158"/>
    </row>
    <row r="711" ht="15.75" customHeight="1">
      <c r="A711" s="149"/>
      <c r="B711" s="149"/>
      <c r="C711" s="149"/>
      <c r="D711" s="160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50"/>
      <c r="AA711" s="149"/>
      <c r="AB711" s="154"/>
      <c r="AC711" s="155"/>
      <c r="AD711" s="155"/>
      <c r="AE711" s="155"/>
      <c r="AF711" s="155"/>
      <c r="AG711" s="149"/>
      <c r="AH711" s="149"/>
      <c r="AI711" s="149"/>
      <c r="AJ711" s="156"/>
      <c r="AK711" s="149"/>
      <c r="AL711" s="149"/>
      <c r="AM711" s="149"/>
      <c r="AN711" s="149"/>
      <c r="AO711" s="149"/>
      <c r="AP711" s="149"/>
      <c r="AQ711" s="157"/>
      <c r="AR711" s="149"/>
      <c r="AS711" s="158"/>
    </row>
    <row r="712" ht="15.75" customHeight="1">
      <c r="A712" s="149"/>
      <c r="B712" s="149"/>
      <c r="C712" s="149"/>
      <c r="D712" s="160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50"/>
      <c r="AA712" s="149"/>
      <c r="AB712" s="154"/>
      <c r="AC712" s="155"/>
      <c r="AD712" s="155"/>
      <c r="AE712" s="155"/>
      <c r="AF712" s="155"/>
      <c r="AG712" s="149"/>
      <c r="AH712" s="149"/>
      <c r="AI712" s="149"/>
      <c r="AJ712" s="156"/>
      <c r="AK712" s="149"/>
      <c r="AL712" s="149"/>
      <c r="AM712" s="149"/>
      <c r="AN712" s="149"/>
      <c r="AO712" s="149"/>
      <c r="AP712" s="149"/>
      <c r="AQ712" s="157"/>
      <c r="AR712" s="149"/>
      <c r="AS712" s="158"/>
    </row>
    <row r="713" ht="15.75" customHeight="1">
      <c r="A713" s="149"/>
      <c r="B713" s="149"/>
      <c r="C713" s="149"/>
      <c r="D713" s="160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50"/>
      <c r="AA713" s="149"/>
      <c r="AB713" s="154"/>
      <c r="AC713" s="155"/>
      <c r="AD713" s="155"/>
      <c r="AE713" s="155"/>
      <c r="AF713" s="155"/>
      <c r="AG713" s="149"/>
      <c r="AH713" s="149"/>
      <c r="AI713" s="149"/>
      <c r="AJ713" s="156"/>
      <c r="AK713" s="149"/>
      <c r="AL713" s="149"/>
      <c r="AM713" s="149"/>
      <c r="AN713" s="149"/>
      <c r="AO713" s="149"/>
      <c r="AP713" s="149"/>
      <c r="AQ713" s="157"/>
      <c r="AR713" s="149"/>
      <c r="AS713" s="158"/>
    </row>
    <row r="714" ht="15.75" customHeight="1">
      <c r="A714" s="149"/>
      <c r="B714" s="149"/>
      <c r="C714" s="149"/>
      <c r="D714" s="160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50"/>
      <c r="AA714" s="149"/>
      <c r="AB714" s="154"/>
      <c r="AC714" s="155"/>
      <c r="AD714" s="155"/>
      <c r="AE714" s="155"/>
      <c r="AF714" s="155"/>
      <c r="AG714" s="149"/>
      <c r="AH714" s="149"/>
      <c r="AI714" s="149"/>
      <c r="AJ714" s="156"/>
      <c r="AK714" s="149"/>
      <c r="AL714" s="149"/>
      <c r="AM714" s="149"/>
      <c r="AN714" s="149"/>
      <c r="AO714" s="149"/>
      <c r="AP714" s="149"/>
      <c r="AQ714" s="157"/>
      <c r="AR714" s="149"/>
      <c r="AS714" s="158"/>
    </row>
    <row r="715" ht="15.75" customHeight="1">
      <c r="A715" s="149"/>
      <c r="B715" s="149"/>
      <c r="C715" s="149"/>
      <c r="D715" s="160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50"/>
      <c r="AA715" s="149"/>
      <c r="AB715" s="154"/>
      <c r="AC715" s="155"/>
      <c r="AD715" s="155"/>
      <c r="AE715" s="155"/>
      <c r="AF715" s="155"/>
      <c r="AG715" s="149"/>
      <c r="AH715" s="149"/>
      <c r="AI715" s="149"/>
      <c r="AJ715" s="156"/>
      <c r="AK715" s="149"/>
      <c r="AL715" s="149"/>
      <c r="AM715" s="149"/>
      <c r="AN715" s="149"/>
      <c r="AO715" s="149"/>
      <c r="AP715" s="149"/>
      <c r="AQ715" s="157"/>
      <c r="AR715" s="149"/>
      <c r="AS715" s="158"/>
    </row>
    <row r="716" ht="15.75" customHeight="1">
      <c r="A716" s="149"/>
      <c r="B716" s="149"/>
      <c r="C716" s="149"/>
      <c r="D716" s="160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50"/>
      <c r="AA716" s="149"/>
      <c r="AB716" s="154"/>
      <c r="AC716" s="155"/>
      <c r="AD716" s="155"/>
      <c r="AE716" s="155"/>
      <c r="AF716" s="155"/>
      <c r="AG716" s="149"/>
      <c r="AH716" s="149"/>
      <c r="AI716" s="149"/>
      <c r="AJ716" s="156"/>
      <c r="AK716" s="149"/>
      <c r="AL716" s="149"/>
      <c r="AM716" s="149"/>
      <c r="AN716" s="149"/>
      <c r="AO716" s="149"/>
      <c r="AP716" s="149"/>
      <c r="AQ716" s="157"/>
      <c r="AR716" s="149"/>
      <c r="AS716" s="158"/>
    </row>
    <row r="717" ht="15.75" customHeight="1">
      <c r="A717" s="149"/>
      <c r="B717" s="149"/>
      <c r="C717" s="149"/>
      <c r="D717" s="160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50"/>
      <c r="AA717" s="149"/>
      <c r="AB717" s="154"/>
      <c r="AC717" s="155"/>
      <c r="AD717" s="155"/>
      <c r="AE717" s="155"/>
      <c r="AF717" s="155"/>
      <c r="AG717" s="149"/>
      <c r="AH717" s="149"/>
      <c r="AI717" s="149"/>
      <c r="AJ717" s="156"/>
      <c r="AK717" s="149"/>
      <c r="AL717" s="149"/>
      <c r="AM717" s="149"/>
      <c r="AN717" s="149"/>
      <c r="AO717" s="149"/>
      <c r="AP717" s="149"/>
      <c r="AQ717" s="157"/>
      <c r="AR717" s="149"/>
      <c r="AS717" s="158"/>
    </row>
    <row r="718" ht="15.75" customHeight="1">
      <c r="A718" s="149"/>
      <c r="B718" s="149"/>
      <c r="C718" s="149"/>
      <c r="D718" s="160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50"/>
      <c r="AA718" s="149"/>
      <c r="AB718" s="154"/>
      <c r="AC718" s="155"/>
      <c r="AD718" s="155"/>
      <c r="AE718" s="155"/>
      <c r="AF718" s="155"/>
      <c r="AG718" s="149"/>
      <c r="AH718" s="149"/>
      <c r="AI718" s="149"/>
      <c r="AJ718" s="156"/>
      <c r="AK718" s="149"/>
      <c r="AL718" s="149"/>
      <c r="AM718" s="149"/>
      <c r="AN718" s="149"/>
      <c r="AO718" s="149"/>
      <c r="AP718" s="149"/>
      <c r="AQ718" s="157"/>
      <c r="AR718" s="149"/>
      <c r="AS718" s="158"/>
    </row>
    <row r="719" ht="15.75" customHeight="1">
      <c r="A719" s="149"/>
      <c r="B719" s="149"/>
      <c r="C719" s="149"/>
      <c r="D719" s="160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50"/>
      <c r="AA719" s="149"/>
      <c r="AB719" s="154"/>
      <c r="AC719" s="155"/>
      <c r="AD719" s="155"/>
      <c r="AE719" s="155"/>
      <c r="AF719" s="155"/>
      <c r="AG719" s="149"/>
      <c r="AH719" s="149"/>
      <c r="AI719" s="149"/>
      <c r="AJ719" s="156"/>
      <c r="AK719" s="149"/>
      <c r="AL719" s="149"/>
      <c r="AM719" s="149"/>
      <c r="AN719" s="149"/>
      <c r="AO719" s="149"/>
      <c r="AP719" s="149"/>
      <c r="AQ719" s="157"/>
      <c r="AR719" s="149"/>
      <c r="AS719" s="158"/>
    </row>
    <row r="720" ht="15.75" customHeight="1">
      <c r="A720" s="149"/>
      <c r="B720" s="149"/>
      <c r="C720" s="149"/>
      <c r="D720" s="160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50"/>
      <c r="AA720" s="149"/>
      <c r="AB720" s="154"/>
      <c r="AC720" s="155"/>
      <c r="AD720" s="155"/>
      <c r="AE720" s="155"/>
      <c r="AF720" s="155"/>
      <c r="AG720" s="149"/>
      <c r="AH720" s="149"/>
      <c r="AI720" s="149"/>
      <c r="AJ720" s="156"/>
      <c r="AK720" s="149"/>
      <c r="AL720" s="149"/>
      <c r="AM720" s="149"/>
      <c r="AN720" s="149"/>
      <c r="AO720" s="149"/>
      <c r="AP720" s="149"/>
      <c r="AQ720" s="157"/>
      <c r="AR720" s="149"/>
      <c r="AS720" s="158"/>
    </row>
    <row r="721" ht="15.75" customHeight="1">
      <c r="A721" s="149"/>
      <c r="B721" s="149"/>
      <c r="C721" s="149"/>
      <c r="D721" s="160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50"/>
      <c r="AA721" s="149"/>
      <c r="AB721" s="154"/>
      <c r="AC721" s="155"/>
      <c r="AD721" s="155"/>
      <c r="AE721" s="155"/>
      <c r="AF721" s="155"/>
      <c r="AG721" s="149"/>
      <c r="AH721" s="149"/>
      <c r="AI721" s="149"/>
      <c r="AJ721" s="156"/>
      <c r="AK721" s="149"/>
      <c r="AL721" s="149"/>
      <c r="AM721" s="149"/>
      <c r="AN721" s="149"/>
      <c r="AO721" s="149"/>
      <c r="AP721" s="149"/>
      <c r="AQ721" s="157"/>
      <c r="AR721" s="149"/>
      <c r="AS721" s="158"/>
    </row>
    <row r="722" ht="15.75" customHeight="1">
      <c r="A722" s="149"/>
      <c r="B722" s="149"/>
      <c r="C722" s="149"/>
      <c r="D722" s="160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50"/>
      <c r="AA722" s="149"/>
      <c r="AB722" s="154"/>
      <c r="AC722" s="155"/>
      <c r="AD722" s="155"/>
      <c r="AE722" s="155"/>
      <c r="AF722" s="155"/>
      <c r="AG722" s="149"/>
      <c r="AH722" s="149"/>
      <c r="AI722" s="149"/>
      <c r="AJ722" s="156"/>
      <c r="AK722" s="149"/>
      <c r="AL722" s="149"/>
      <c r="AM722" s="149"/>
      <c r="AN722" s="149"/>
      <c r="AO722" s="149"/>
      <c r="AP722" s="149"/>
      <c r="AQ722" s="157"/>
      <c r="AR722" s="149"/>
      <c r="AS722" s="158"/>
    </row>
    <row r="723" ht="15.75" customHeight="1">
      <c r="A723" s="149"/>
      <c r="B723" s="149"/>
      <c r="C723" s="149"/>
      <c r="D723" s="160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50"/>
      <c r="AA723" s="149"/>
      <c r="AB723" s="154"/>
      <c r="AC723" s="155"/>
      <c r="AD723" s="155"/>
      <c r="AE723" s="155"/>
      <c r="AF723" s="155"/>
      <c r="AG723" s="149"/>
      <c r="AH723" s="149"/>
      <c r="AI723" s="149"/>
      <c r="AJ723" s="156"/>
      <c r="AK723" s="149"/>
      <c r="AL723" s="149"/>
      <c r="AM723" s="149"/>
      <c r="AN723" s="149"/>
      <c r="AO723" s="149"/>
      <c r="AP723" s="149"/>
      <c r="AQ723" s="157"/>
      <c r="AR723" s="149"/>
      <c r="AS723" s="158"/>
    </row>
    <row r="724" ht="15.75" customHeight="1">
      <c r="A724" s="149"/>
      <c r="B724" s="149"/>
      <c r="C724" s="149"/>
      <c r="D724" s="160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50"/>
      <c r="AA724" s="149"/>
      <c r="AB724" s="154"/>
      <c r="AC724" s="155"/>
      <c r="AD724" s="155"/>
      <c r="AE724" s="155"/>
      <c r="AF724" s="155"/>
      <c r="AG724" s="149"/>
      <c r="AH724" s="149"/>
      <c r="AI724" s="149"/>
      <c r="AJ724" s="156"/>
      <c r="AK724" s="149"/>
      <c r="AL724" s="149"/>
      <c r="AM724" s="149"/>
      <c r="AN724" s="149"/>
      <c r="AO724" s="149"/>
      <c r="AP724" s="149"/>
      <c r="AQ724" s="157"/>
      <c r="AR724" s="149"/>
      <c r="AS724" s="158"/>
    </row>
    <row r="725" ht="15.75" customHeight="1">
      <c r="A725" s="149"/>
      <c r="B725" s="149"/>
      <c r="C725" s="149"/>
      <c r="D725" s="160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50"/>
      <c r="AA725" s="149"/>
      <c r="AB725" s="154"/>
      <c r="AC725" s="155"/>
      <c r="AD725" s="155"/>
      <c r="AE725" s="155"/>
      <c r="AF725" s="155"/>
      <c r="AG725" s="149"/>
      <c r="AH725" s="149"/>
      <c r="AI725" s="149"/>
      <c r="AJ725" s="156"/>
      <c r="AK725" s="149"/>
      <c r="AL725" s="149"/>
      <c r="AM725" s="149"/>
      <c r="AN725" s="149"/>
      <c r="AO725" s="149"/>
      <c r="AP725" s="149"/>
      <c r="AQ725" s="157"/>
      <c r="AR725" s="149"/>
      <c r="AS725" s="158"/>
    </row>
    <row r="726" ht="15.75" customHeight="1">
      <c r="A726" s="149"/>
      <c r="B726" s="149"/>
      <c r="C726" s="149"/>
      <c r="D726" s="160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50"/>
      <c r="AA726" s="149"/>
      <c r="AB726" s="154"/>
      <c r="AC726" s="155"/>
      <c r="AD726" s="155"/>
      <c r="AE726" s="155"/>
      <c r="AF726" s="155"/>
      <c r="AG726" s="149"/>
      <c r="AH726" s="149"/>
      <c r="AI726" s="149"/>
      <c r="AJ726" s="156"/>
      <c r="AK726" s="149"/>
      <c r="AL726" s="149"/>
      <c r="AM726" s="149"/>
      <c r="AN726" s="149"/>
      <c r="AO726" s="149"/>
      <c r="AP726" s="149"/>
      <c r="AQ726" s="157"/>
      <c r="AR726" s="149"/>
      <c r="AS726" s="158"/>
    </row>
    <row r="727" ht="15.75" customHeight="1">
      <c r="A727" s="149"/>
      <c r="B727" s="149"/>
      <c r="C727" s="149"/>
      <c r="D727" s="160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50"/>
      <c r="AA727" s="149"/>
      <c r="AB727" s="154"/>
      <c r="AC727" s="155"/>
      <c r="AD727" s="155"/>
      <c r="AE727" s="155"/>
      <c r="AF727" s="155"/>
      <c r="AG727" s="149"/>
      <c r="AH727" s="149"/>
      <c r="AI727" s="149"/>
      <c r="AJ727" s="156"/>
      <c r="AK727" s="149"/>
      <c r="AL727" s="149"/>
      <c r="AM727" s="149"/>
      <c r="AN727" s="149"/>
      <c r="AO727" s="149"/>
      <c r="AP727" s="149"/>
      <c r="AQ727" s="157"/>
      <c r="AR727" s="149"/>
      <c r="AS727" s="158"/>
    </row>
    <row r="728" ht="15.75" customHeight="1">
      <c r="A728" s="149"/>
      <c r="B728" s="149"/>
      <c r="C728" s="149"/>
      <c r="D728" s="160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50"/>
      <c r="AA728" s="149"/>
      <c r="AB728" s="154"/>
      <c r="AC728" s="155"/>
      <c r="AD728" s="155"/>
      <c r="AE728" s="155"/>
      <c r="AF728" s="155"/>
      <c r="AG728" s="149"/>
      <c r="AH728" s="149"/>
      <c r="AI728" s="149"/>
      <c r="AJ728" s="156"/>
      <c r="AK728" s="149"/>
      <c r="AL728" s="149"/>
      <c r="AM728" s="149"/>
      <c r="AN728" s="149"/>
      <c r="AO728" s="149"/>
      <c r="AP728" s="149"/>
      <c r="AQ728" s="157"/>
      <c r="AR728" s="149"/>
      <c r="AS728" s="158"/>
    </row>
    <row r="729" ht="15.75" customHeight="1">
      <c r="A729" s="149"/>
      <c r="B729" s="149"/>
      <c r="C729" s="149"/>
      <c r="D729" s="160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50"/>
      <c r="AA729" s="149"/>
      <c r="AB729" s="154"/>
      <c r="AC729" s="155"/>
      <c r="AD729" s="155"/>
      <c r="AE729" s="155"/>
      <c r="AF729" s="155"/>
      <c r="AG729" s="149"/>
      <c r="AH729" s="149"/>
      <c r="AI729" s="149"/>
      <c r="AJ729" s="156"/>
      <c r="AK729" s="149"/>
      <c r="AL729" s="149"/>
      <c r="AM729" s="149"/>
      <c r="AN729" s="149"/>
      <c r="AO729" s="149"/>
      <c r="AP729" s="149"/>
      <c r="AQ729" s="157"/>
      <c r="AR729" s="149"/>
      <c r="AS729" s="158"/>
    </row>
    <row r="730" ht="15.75" customHeight="1">
      <c r="A730" s="149"/>
      <c r="B730" s="149"/>
      <c r="C730" s="149"/>
      <c r="D730" s="160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50"/>
      <c r="AA730" s="149"/>
      <c r="AB730" s="154"/>
      <c r="AC730" s="155"/>
      <c r="AD730" s="155"/>
      <c r="AE730" s="155"/>
      <c r="AF730" s="155"/>
      <c r="AG730" s="149"/>
      <c r="AH730" s="149"/>
      <c r="AI730" s="149"/>
      <c r="AJ730" s="156"/>
      <c r="AK730" s="149"/>
      <c r="AL730" s="149"/>
      <c r="AM730" s="149"/>
      <c r="AN730" s="149"/>
      <c r="AO730" s="149"/>
      <c r="AP730" s="149"/>
      <c r="AQ730" s="157"/>
      <c r="AR730" s="149"/>
      <c r="AS730" s="158"/>
    </row>
    <row r="731" ht="15.75" customHeight="1">
      <c r="A731" s="149"/>
      <c r="B731" s="149"/>
      <c r="C731" s="149"/>
      <c r="D731" s="160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50"/>
      <c r="AA731" s="149"/>
      <c r="AB731" s="154"/>
      <c r="AC731" s="155"/>
      <c r="AD731" s="155"/>
      <c r="AE731" s="155"/>
      <c r="AF731" s="155"/>
      <c r="AG731" s="149"/>
      <c r="AH731" s="149"/>
      <c r="AI731" s="149"/>
      <c r="AJ731" s="156"/>
      <c r="AK731" s="149"/>
      <c r="AL731" s="149"/>
      <c r="AM731" s="149"/>
      <c r="AN731" s="149"/>
      <c r="AO731" s="149"/>
      <c r="AP731" s="149"/>
      <c r="AQ731" s="157"/>
      <c r="AR731" s="149"/>
      <c r="AS731" s="158"/>
    </row>
    <row r="732" ht="15.75" customHeight="1">
      <c r="A732" s="149"/>
      <c r="B732" s="149"/>
      <c r="C732" s="149"/>
      <c r="D732" s="160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50"/>
      <c r="AA732" s="149"/>
      <c r="AB732" s="154"/>
      <c r="AC732" s="155"/>
      <c r="AD732" s="155"/>
      <c r="AE732" s="155"/>
      <c r="AF732" s="155"/>
      <c r="AG732" s="149"/>
      <c r="AH732" s="149"/>
      <c r="AI732" s="149"/>
      <c r="AJ732" s="156"/>
      <c r="AK732" s="149"/>
      <c r="AL732" s="149"/>
      <c r="AM732" s="149"/>
      <c r="AN732" s="149"/>
      <c r="AO732" s="149"/>
      <c r="AP732" s="149"/>
      <c r="AQ732" s="157"/>
      <c r="AR732" s="149"/>
      <c r="AS732" s="158"/>
    </row>
    <row r="733" ht="15.75" customHeight="1">
      <c r="A733" s="149"/>
      <c r="B733" s="149"/>
      <c r="C733" s="149"/>
      <c r="D733" s="160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50"/>
      <c r="AA733" s="149"/>
      <c r="AB733" s="154"/>
      <c r="AC733" s="155"/>
      <c r="AD733" s="155"/>
      <c r="AE733" s="155"/>
      <c r="AF733" s="155"/>
      <c r="AG733" s="149"/>
      <c r="AH733" s="149"/>
      <c r="AI733" s="149"/>
      <c r="AJ733" s="156"/>
      <c r="AK733" s="149"/>
      <c r="AL733" s="149"/>
      <c r="AM733" s="149"/>
      <c r="AN733" s="149"/>
      <c r="AO733" s="149"/>
      <c r="AP733" s="149"/>
      <c r="AQ733" s="157"/>
      <c r="AR733" s="149"/>
      <c r="AS733" s="158"/>
    </row>
    <row r="734" ht="15.75" customHeight="1">
      <c r="A734" s="149"/>
      <c r="B734" s="149"/>
      <c r="C734" s="149"/>
      <c r="D734" s="160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50"/>
      <c r="AA734" s="149"/>
      <c r="AB734" s="154"/>
      <c r="AC734" s="155"/>
      <c r="AD734" s="155"/>
      <c r="AE734" s="155"/>
      <c r="AF734" s="155"/>
      <c r="AG734" s="149"/>
      <c r="AH734" s="149"/>
      <c r="AI734" s="149"/>
      <c r="AJ734" s="156"/>
      <c r="AK734" s="149"/>
      <c r="AL734" s="149"/>
      <c r="AM734" s="149"/>
      <c r="AN734" s="149"/>
      <c r="AO734" s="149"/>
      <c r="AP734" s="149"/>
      <c r="AQ734" s="157"/>
      <c r="AR734" s="149"/>
      <c r="AS734" s="158"/>
    </row>
    <row r="735" ht="15.75" customHeight="1">
      <c r="A735" s="149"/>
      <c r="B735" s="149"/>
      <c r="C735" s="149"/>
      <c r="D735" s="160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50"/>
      <c r="AA735" s="149"/>
      <c r="AB735" s="154"/>
      <c r="AC735" s="155"/>
      <c r="AD735" s="155"/>
      <c r="AE735" s="155"/>
      <c r="AF735" s="155"/>
      <c r="AG735" s="149"/>
      <c r="AH735" s="149"/>
      <c r="AI735" s="149"/>
      <c r="AJ735" s="156"/>
      <c r="AK735" s="149"/>
      <c r="AL735" s="149"/>
      <c r="AM735" s="149"/>
      <c r="AN735" s="149"/>
      <c r="AO735" s="149"/>
      <c r="AP735" s="149"/>
      <c r="AQ735" s="157"/>
      <c r="AR735" s="149"/>
      <c r="AS735" s="158"/>
    </row>
    <row r="736" ht="15.75" customHeight="1">
      <c r="A736" s="149"/>
      <c r="B736" s="149"/>
      <c r="C736" s="149"/>
      <c r="D736" s="160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50"/>
      <c r="AA736" s="149"/>
      <c r="AB736" s="154"/>
      <c r="AC736" s="155"/>
      <c r="AD736" s="155"/>
      <c r="AE736" s="155"/>
      <c r="AF736" s="155"/>
      <c r="AG736" s="149"/>
      <c r="AH736" s="149"/>
      <c r="AI736" s="149"/>
      <c r="AJ736" s="156"/>
      <c r="AK736" s="149"/>
      <c r="AL736" s="149"/>
      <c r="AM736" s="149"/>
      <c r="AN736" s="149"/>
      <c r="AO736" s="149"/>
      <c r="AP736" s="149"/>
      <c r="AQ736" s="157"/>
      <c r="AR736" s="149"/>
      <c r="AS736" s="158"/>
    </row>
    <row r="737" ht="15.75" customHeight="1">
      <c r="A737" s="149"/>
      <c r="B737" s="149"/>
      <c r="C737" s="149"/>
      <c r="D737" s="160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50"/>
      <c r="AA737" s="149"/>
      <c r="AB737" s="154"/>
      <c r="AC737" s="155"/>
      <c r="AD737" s="155"/>
      <c r="AE737" s="155"/>
      <c r="AF737" s="155"/>
      <c r="AG737" s="149"/>
      <c r="AH737" s="149"/>
      <c r="AI737" s="149"/>
      <c r="AJ737" s="156"/>
      <c r="AK737" s="149"/>
      <c r="AL737" s="149"/>
      <c r="AM737" s="149"/>
      <c r="AN737" s="149"/>
      <c r="AO737" s="149"/>
      <c r="AP737" s="149"/>
      <c r="AQ737" s="157"/>
      <c r="AR737" s="149"/>
      <c r="AS737" s="158"/>
    </row>
    <row r="738" ht="15.75" customHeight="1">
      <c r="A738" s="149"/>
      <c r="B738" s="149"/>
      <c r="C738" s="149"/>
      <c r="D738" s="160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50"/>
      <c r="AA738" s="149"/>
      <c r="AB738" s="154"/>
      <c r="AC738" s="155"/>
      <c r="AD738" s="155"/>
      <c r="AE738" s="155"/>
      <c r="AF738" s="155"/>
      <c r="AG738" s="149"/>
      <c r="AH738" s="149"/>
      <c r="AI738" s="149"/>
      <c r="AJ738" s="156"/>
      <c r="AK738" s="149"/>
      <c r="AL738" s="149"/>
      <c r="AM738" s="149"/>
      <c r="AN738" s="149"/>
      <c r="AO738" s="149"/>
      <c r="AP738" s="149"/>
      <c r="AQ738" s="157"/>
      <c r="AR738" s="149"/>
      <c r="AS738" s="158"/>
    </row>
    <row r="739" ht="15.75" customHeight="1">
      <c r="A739" s="149"/>
      <c r="B739" s="149"/>
      <c r="C739" s="149"/>
      <c r="D739" s="160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50"/>
      <c r="AA739" s="149"/>
      <c r="AB739" s="154"/>
      <c r="AC739" s="155"/>
      <c r="AD739" s="155"/>
      <c r="AE739" s="155"/>
      <c r="AF739" s="155"/>
      <c r="AG739" s="149"/>
      <c r="AH739" s="149"/>
      <c r="AI739" s="149"/>
      <c r="AJ739" s="156"/>
      <c r="AK739" s="149"/>
      <c r="AL739" s="149"/>
      <c r="AM739" s="149"/>
      <c r="AN739" s="149"/>
      <c r="AO739" s="149"/>
      <c r="AP739" s="149"/>
      <c r="AQ739" s="157"/>
      <c r="AR739" s="149"/>
      <c r="AS739" s="158"/>
    </row>
    <row r="740" ht="15.75" customHeight="1">
      <c r="A740" s="149"/>
      <c r="B740" s="149"/>
      <c r="C740" s="149"/>
      <c r="D740" s="160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50"/>
      <c r="AA740" s="149"/>
      <c r="AB740" s="154"/>
      <c r="AC740" s="155"/>
      <c r="AD740" s="155"/>
      <c r="AE740" s="155"/>
      <c r="AF740" s="155"/>
      <c r="AG740" s="149"/>
      <c r="AH740" s="149"/>
      <c r="AI740" s="149"/>
      <c r="AJ740" s="156"/>
      <c r="AK740" s="149"/>
      <c r="AL740" s="149"/>
      <c r="AM740" s="149"/>
      <c r="AN740" s="149"/>
      <c r="AO740" s="149"/>
      <c r="AP740" s="149"/>
      <c r="AQ740" s="157"/>
      <c r="AR740" s="149"/>
      <c r="AS740" s="158"/>
    </row>
    <row r="741" ht="15.75" customHeight="1">
      <c r="A741" s="149"/>
      <c r="B741" s="149"/>
      <c r="C741" s="149"/>
      <c r="D741" s="160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50"/>
      <c r="AA741" s="149"/>
      <c r="AB741" s="154"/>
      <c r="AC741" s="155"/>
      <c r="AD741" s="155"/>
      <c r="AE741" s="155"/>
      <c r="AF741" s="155"/>
      <c r="AG741" s="149"/>
      <c r="AH741" s="149"/>
      <c r="AI741" s="149"/>
      <c r="AJ741" s="156"/>
      <c r="AK741" s="149"/>
      <c r="AL741" s="149"/>
      <c r="AM741" s="149"/>
      <c r="AN741" s="149"/>
      <c r="AO741" s="149"/>
      <c r="AP741" s="149"/>
      <c r="AQ741" s="157"/>
      <c r="AR741" s="149"/>
      <c r="AS741" s="158"/>
    </row>
    <row r="742" ht="15.75" customHeight="1">
      <c r="A742" s="149"/>
      <c r="B742" s="149"/>
      <c r="C742" s="149"/>
      <c r="D742" s="160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50"/>
      <c r="AA742" s="149"/>
      <c r="AB742" s="154"/>
      <c r="AC742" s="155"/>
      <c r="AD742" s="155"/>
      <c r="AE742" s="155"/>
      <c r="AF742" s="155"/>
      <c r="AG742" s="149"/>
      <c r="AH742" s="149"/>
      <c r="AI742" s="149"/>
      <c r="AJ742" s="156"/>
      <c r="AK742" s="149"/>
      <c r="AL742" s="149"/>
      <c r="AM742" s="149"/>
      <c r="AN742" s="149"/>
      <c r="AO742" s="149"/>
      <c r="AP742" s="149"/>
      <c r="AQ742" s="157"/>
      <c r="AR742" s="149"/>
      <c r="AS742" s="158"/>
    </row>
    <row r="743" ht="15.75" customHeight="1">
      <c r="A743" s="149"/>
      <c r="B743" s="149"/>
      <c r="C743" s="149"/>
      <c r="D743" s="160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50"/>
      <c r="AA743" s="149"/>
      <c r="AB743" s="154"/>
      <c r="AC743" s="155"/>
      <c r="AD743" s="155"/>
      <c r="AE743" s="155"/>
      <c r="AF743" s="155"/>
      <c r="AG743" s="149"/>
      <c r="AH743" s="149"/>
      <c r="AI743" s="149"/>
      <c r="AJ743" s="156"/>
      <c r="AK743" s="149"/>
      <c r="AL743" s="149"/>
      <c r="AM743" s="149"/>
      <c r="AN743" s="149"/>
      <c r="AO743" s="149"/>
      <c r="AP743" s="149"/>
      <c r="AQ743" s="157"/>
      <c r="AR743" s="149"/>
      <c r="AS743" s="158"/>
    </row>
    <row r="744" ht="15.75" customHeight="1">
      <c r="A744" s="149"/>
      <c r="B744" s="149"/>
      <c r="C744" s="149"/>
      <c r="D744" s="160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50"/>
      <c r="AA744" s="149"/>
      <c r="AB744" s="154"/>
      <c r="AC744" s="155"/>
      <c r="AD744" s="155"/>
      <c r="AE744" s="155"/>
      <c r="AF744" s="155"/>
      <c r="AG744" s="149"/>
      <c r="AH744" s="149"/>
      <c r="AI744" s="149"/>
      <c r="AJ744" s="156"/>
      <c r="AK744" s="149"/>
      <c r="AL744" s="149"/>
      <c r="AM744" s="149"/>
      <c r="AN744" s="149"/>
      <c r="AO744" s="149"/>
      <c r="AP744" s="149"/>
      <c r="AQ744" s="157"/>
      <c r="AR744" s="149"/>
      <c r="AS744" s="158"/>
    </row>
    <row r="745" ht="15.75" customHeight="1">
      <c r="A745" s="149"/>
      <c r="B745" s="149"/>
      <c r="C745" s="149"/>
      <c r="D745" s="160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50"/>
      <c r="AA745" s="149"/>
      <c r="AB745" s="154"/>
      <c r="AC745" s="155"/>
      <c r="AD745" s="155"/>
      <c r="AE745" s="155"/>
      <c r="AF745" s="155"/>
      <c r="AG745" s="149"/>
      <c r="AH745" s="149"/>
      <c r="AI745" s="149"/>
      <c r="AJ745" s="156"/>
      <c r="AK745" s="149"/>
      <c r="AL745" s="149"/>
      <c r="AM745" s="149"/>
      <c r="AN745" s="149"/>
      <c r="AO745" s="149"/>
      <c r="AP745" s="149"/>
      <c r="AQ745" s="157"/>
      <c r="AR745" s="149"/>
      <c r="AS745" s="158"/>
    </row>
    <row r="746" ht="15.75" customHeight="1">
      <c r="A746" s="149"/>
      <c r="B746" s="149"/>
      <c r="C746" s="149"/>
      <c r="D746" s="160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50"/>
      <c r="AA746" s="149"/>
      <c r="AB746" s="154"/>
      <c r="AC746" s="155"/>
      <c r="AD746" s="155"/>
      <c r="AE746" s="155"/>
      <c r="AF746" s="155"/>
      <c r="AG746" s="149"/>
      <c r="AH746" s="149"/>
      <c r="AI746" s="149"/>
      <c r="AJ746" s="156"/>
      <c r="AK746" s="149"/>
      <c r="AL746" s="149"/>
      <c r="AM746" s="149"/>
      <c r="AN746" s="149"/>
      <c r="AO746" s="149"/>
      <c r="AP746" s="149"/>
      <c r="AQ746" s="157"/>
      <c r="AR746" s="149"/>
      <c r="AS746" s="158"/>
    </row>
    <row r="747" ht="15.75" customHeight="1">
      <c r="A747" s="149"/>
      <c r="B747" s="149"/>
      <c r="C747" s="149"/>
      <c r="D747" s="160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50"/>
      <c r="AA747" s="149"/>
      <c r="AB747" s="154"/>
      <c r="AC747" s="155"/>
      <c r="AD747" s="155"/>
      <c r="AE747" s="155"/>
      <c r="AF747" s="155"/>
      <c r="AG747" s="149"/>
      <c r="AH747" s="149"/>
      <c r="AI747" s="149"/>
      <c r="AJ747" s="156"/>
      <c r="AK747" s="149"/>
      <c r="AL747" s="149"/>
      <c r="AM747" s="149"/>
      <c r="AN747" s="149"/>
      <c r="AO747" s="149"/>
      <c r="AP747" s="149"/>
      <c r="AQ747" s="157"/>
      <c r="AR747" s="149"/>
      <c r="AS747" s="158"/>
    </row>
    <row r="748" ht="15.75" customHeight="1">
      <c r="A748" s="149"/>
      <c r="B748" s="149"/>
      <c r="C748" s="149"/>
      <c r="D748" s="160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50"/>
      <c r="AA748" s="149"/>
      <c r="AB748" s="154"/>
      <c r="AC748" s="155"/>
      <c r="AD748" s="155"/>
      <c r="AE748" s="155"/>
      <c r="AF748" s="155"/>
      <c r="AG748" s="149"/>
      <c r="AH748" s="149"/>
      <c r="AI748" s="149"/>
      <c r="AJ748" s="156"/>
      <c r="AK748" s="149"/>
      <c r="AL748" s="149"/>
      <c r="AM748" s="149"/>
      <c r="AN748" s="149"/>
      <c r="AO748" s="149"/>
      <c r="AP748" s="149"/>
      <c r="AQ748" s="157"/>
      <c r="AR748" s="149"/>
      <c r="AS748" s="158"/>
    </row>
    <row r="749" ht="15.75" customHeight="1">
      <c r="A749" s="149"/>
      <c r="B749" s="149"/>
      <c r="C749" s="149"/>
      <c r="D749" s="160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50"/>
      <c r="AA749" s="149"/>
      <c r="AB749" s="154"/>
      <c r="AC749" s="155"/>
      <c r="AD749" s="155"/>
      <c r="AE749" s="155"/>
      <c r="AF749" s="155"/>
      <c r="AG749" s="149"/>
      <c r="AH749" s="149"/>
      <c r="AI749" s="149"/>
      <c r="AJ749" s="156"/>
      <c r="AK749" s="149"/>
      <c r="AL749" s="149"/>
      <c r="AM749" s="149"/>
      <c r="AN749" s="149"/>
      <c r="AO749" s="149"/>
      <c r="AP749" s="149"/>
      <c r="AQ749" s="157"/>
      <c r="AR749" s="149"/>
      <c r="AS749" s="158"/>
    </row>
    <row r="750" ht="15.75" customHeight="1">
      <c r="A750" s="149"/>
      <c r="B750" s="149"/>
      <c r="C750" s="149"/>
      <c r="D750" s="160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50"/>
      <c r="AA750" s="149"/>
      <c r="AB750" s="154"/>
      <c r="AC750" s="155"/>
      <c r="AD750" s="155"/>
      <c r="AE750" s="155"/>
      <c r="AF750" s="155"/>
      <c r="AG750" s="149"/>
      <c r="AH750" s="149"/>
      <c r="AI750" s="149"/>
      <c r="AJ750" s="156"/>
      <c r="AK750" s="149"/>
      <c r="AL750" s="149"/>
      <c r="AM750" s="149"/>
      <c r="AN750" s="149"/>
      <c r="AO750" s="149"/>
      <c r="AP750" s="149"/>
      <c r="AQ750" s="157"/>
      <c r="AR750" s="149"/>
      <c r="AS750" s="158"/>
    </row>
    <row r="751" ht="15.75" customHeight="1">
      <c r="A751" s="149"/>
      <c r="B751" s="149"/>
      <c r="C751" s="149"/>
      <c r="D751" s="160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50"/>
      <c r="AA751" s="149"/>
      <c r="AB751" s="154"/>
      <c r="AC751" s="155"/>
      <c r="AD751" s="155"/>
      <c r="AE751" s="155"/>
      <c r="AF751" s="155"/>
      <c r="AG751" s="149"/>
      <c r="AH751" s="149"/>
      <c r="AI751" s="149"/>
      <c r="AJ751" s="156"/>
      <c r="AK751" s="149"/>
      <c r="AL751" s="149"/>
      <c r="AM751" s="149"/>
      <c r="AN751" s="149"/>
      <c r="AO751" s="149"/>
      <c r="AP751" s="149"/>
      <c r="AQ751" s="157"/>
      <c r="AR751" s="149"/>
      <c r="AS751" s="158"/>
    </row>
    <row r="752" ht="15.75" customHeight="1">
      <c r="A752" s="149"/>
      <c r="B752" s="149"/>
      <c r="C752" s="149"/>
      <c r="D752" s="160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50"/>
      <c r="AA752" s="149"/>
      <c r="AB752" s="154"/>
      <c r="AC752" s="155"/>
      <c r="AD752" s="155"/>
      <c r="AE752" s="155"/>
      <c r="AF752" s="155"/>
      <c r="AG752" s="149"/>
      <c r="AH752" s="149"/>
      <c r="AI752" s="149"/>
      <c r="AJ752" s="156"/>
      <c r="AK752" s="149"/>
      <c r="AL752" s="149"/>
      <c r="AM752" s="149"/>
      <c r="AN752" s="149"/>
      <c r="AO752" s="149"/>
      <c r="AP752" s="149"/>
      <c r="AQ752" s="157"/>
      <c r="AR752" s="149"/>
      <c r="AS752" s="158"/>
    </row>
    <row r="753" ht="15.75" customHeight="1">
      <c r="A753" s="149"/>
      <c r="B753" s="149"/>
      <c r="C753" s="149"/>
      <c r="D753" s="160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50"/>
      <c r="AA753" s="149"/>
      <c r="AB753" s="154"/>
      <c r="AC753" s="155"/>
      <c r="AD753" s="155"/>
      <c r="AE753" s="155"/>
      <c r="AF753" s="155"/>
      <c r="AG753" s="149"/>
      <c r="AH753" s="149"/>
      <c r="AI753" s="149"/>
      <c r="AJ753" s="156"/>
      <c r="AK753" s="149"/>
      <c r="AL753" s="149"/>
      <c r="AM753" s="149"/>
      <c r="AN753" s="149"/>
      <c r="AO753" s="149"/>
      <c r="AP753" s="149"/>
      <c r="AQ753" s="157"/>
      <c r="AR753" s="149"/>
      <c r="AS753" s="158"/>
    </row>
    <row r="754" ht="15.75" customHeight="1">
      <c r="A754" s="149"/>
      <c r="B754" s="149"/>
      <c r="C754" s="149"/>
      <c r="D754" s="160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50"/>
      <c r="AA754" s="149"/>
      <c r="AB754" s="154"/>
      <c r="AC754" s="155"/>
      <c r="AD754" s="155"/>
      <c r="AE754" s="155"/>
      <c r="AF754" s="155"/>
      <c r="AG754" s="149"/>
      <c r="AH754" s="149"/>
      <c r="AI754" s="149"/>
      <c r="AJ754" s="156"/>
      <c r="AK754" s="149"/>
      <c r="AL754" s="149"/>
      <c r="AM754" s="149"/>
      <c r="AN754" s="149"/>
      <c r="AO754" s="149"/>
      <c r="AP754" s="149"/>
      <c r="AQ754" s="157"/>
      <c r="AR754" s="149"/>
      <c r="AS754" s="158"/>
    </row>
    <row r="755" ht="15.75" customHeight="1">
      <c r="A755" s="149"/>
      <c r="B755" s="149"/>
      <c r="C755" s="149"/>
      <c r="D755" s="160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50"/>
      <c r="AA755" s="149"/>
      <c r="AB755" s="154"/>
      <c r="AC755" s="155"/>
      <c r="AD755" s="155"/>
      <c r="AE755" s="155"/>
      <c r="AF755" s="155"/>
      <c r="AG755" s="149"/>
      <c r="AH755" s="149"/>
      <c r="AI755" s="149"/>
      <c r="AJ755" s="156"/>
      <c r="AK755" s="149"/>
      <c r="AL755" s="149"/>
      <c r="AM755" s="149"/>
      <c r="AN755" s="149"/>
      <c r="AO755" s="149"/>
      <c r="AP755" s="149"/>
      <c r="AQ755" s="157"/>
      <c r="AR755" s="149"/>
      <c r="AS755" s="158"/>
    </row>
    <row r="756" ht="15.75" customHeight="1">
      <c r="A756" s="149"/>
      <c r="B756" s="149"/>
      <c r="C756" s="149"/>
      <c r="D756" s="160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50"/>
      <c r="AA756" s="149"/>
      <c r="AB756" s="154"/>
      <c r="AC756" s="155"/>
      <c r="AD756" s="155"/>
      <c r="AE756" s="155"/>
      <c r="AF756" s="155"/>
      <c r="AG756" s="149"/>
      <c r="AH756" s="149"/>
      <c r="AI756" s="149"/>
      <c r="AJ756" s="156"/>
      <c r="AK756" s="149"/>
      <c r="AL756" s="149"/>
      <c r="AM756" s="149"/>
      <c r="AN756" s="149"/>
      <c r="AO756" s="149"/>
      <c r="AP756" s="149"/>
      <c r="AQ756" s="157"/>
      <c r="AR756" s="149"/>
      <c r="AS756" s="158"/>
    </row>
    <row r="757" ht="15.75" customHeight="1">
      <c r="A757" s="149"/>
      <c r="B757" s="149"/>
      <c r="C757" s="149"/>
      <c r="D757" s="160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50"/>
      <c r="AA757" s="149"/>
      <c r="AB757" s="154"/>
      <c r="AC757" s="155"/>
      <c r="AD757" s="155"/>
      <c r="AE757" s="155"/>
      <c r="AF757" s="155"/>
      <c r="AG757" s="149"/>
      <c r="AH757" s="149"/>
      <c r="AI757" s="149"/>
      <c r="AJ757" s="156"/>
      <c r="AK757" s="149"/>
      <c r="AL757" s="149"/>
      <c r="AM757" s="149"/>
      <c r="AN757" s="149"/>
      <c r="AO757" s="149"/>
      <c r="AP757" s="149"/>
      <c r="AQ757" s="157"/>
      <c r="AR757" s="149"/>
      <c r="AS757" s="158"/>
    </row>
    <row r="758" ht="15.75" customHeight="1">
      <c r="A758" s="149"/>
      <c r="B758" s="149"/>
      <c r="C758" s="149"/>
      <c r="D758" s="160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50"/>
      <c r="AA758" s="149"/>
      <c r="AB758" s="154"/>
      <c r="AC758" s="155"/>
      <c r="AD758" s="155"/>
      <c r="AE758" s="155"/>
      <c r="AF758" s="155"/>
      <c r="AG758" s="149"/>
      <c r="AH758" s="149"/>
      <c r="AI758" s="149"/>
      <c r="AJ758" s="156"/>
      <c r="AK758" s="149"/>
      <c r="AL758" s="149"/>
      <c r="AM758" s="149"/>
      <c r="AN758" s="149"/>
      <c r="AO758" s="149"/>
      <c r="AP758" s="149"/>
      <c r="AQ758" s="157"/>
      <c r="AR758" s="149"/>
      <c r="AS758" s="158"/>
    </row>
    <row r="759" ht="15.75" customHeight="1">
      <c r="A759" s="149"/>
      <c r="B759" s="149"/>
      <c r="C759" s="149"/>
      <c r="D759" s="160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50"/>
      <c r="AA759" s="149"/>
      <c r="AB759" s="154"/>
      <c r="AC759" s="155"/>
      <c r="AD759" s="155"/>
      <c r="AE759" s="155"/>
      <c r="AF759" s="155"/>
      <c r="AG759" s="149"/>
      <c r="AH759" s="149"/>
      <c r="AI759" s="149"/>
      <c r="AJ759" s="156"/>
      <c r="AK759" s="149"/>
      <c r="AL759" s="149"/>
      <c r="AM759" s="149"/>
      <c r="AN759" s="149"/>
      <c r="AO759" s="149"/>
      <c r="AP759" s="149"/>
      <c r="AQ759" s="157"/>
      <c r="AR759" s="149"/>
      <c r="AS759" s="158"/>
    </row>
    <row r="760" ht="15.75" customHeight="1">
      <c r="A760" s="149"/>
      <c r="B760" s="149"/>
      <c r="C760" s="149"/>
      <c r="D760" s="160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50"/>
      <c r="AA760" s="149"/>
      <c r="AB760" s="154"/>
      <c r="AC760" s="155"/>
      <c r="AD760" s="155"/>
      <c r="AE760" s="155"/>
      <c r="AF760" s="155"/>
      <c r="AG760" s="149"/>
      <c r="AH760" s="149"/>
      <c r="AI760" s="149"/>
      <c r="AJ760" s="156"/>
      <c r="AK760" s="149"/>
      <c r="AL760" s="149"/>
      <c r="AM760" s="149"/>
      <c r="AN760" s="149"/>
      <c r="AO760" s="149"/>
      <c r="AP760" s="149"/>
      <c r="AQ760" s="157"/>
      <c r="AR760" s="149"/>
      <c r="AS760" s="158"/>
    </row>
    <row r="761" ht="15.75" customHeight="1">
      <c r="A761" s="149"/>
      <c r="B761" s="149"/>
      <c r="C761" s="149"/>
      <c r="D761" s="160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50"/>
      <c r="AA761" s="149"/>
      <c r="AB761" s="154"/>
      <c r="AC761" s="155"/>
      <c r="AD761" s="155"/>
      <c r="AE761" s="155"/>
      <c r="AF761" s="155"/>
      <c r="AG761" s="149"/>
      <c r="AH761" s="149"/>
      <c r="AI761" s="149"/>
      <c r="AJ761" s="156"/>
      <c r="AK761" s="149"/>
      <c r="AL761" s="149"/>
      <c r="AM761" s="149"/>
      <c r="AN761" s="149"/>
      <c r="AO761" s="149"/>
      <c r="AP761" s="149"/>
      <c r="AQ761" s="157"/>
      <c r="AR761" s="149"/>
      <c r="AS761" s="158"/>
    </row>
    <row r="762" ht="15.75" customHeight="1">
      <c r="A762" s="149"/>
      <c r="B762" s="149"/>
      <c r="C762" s="149"/>
      <c r="D762" s="160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50"/>
      <c r="AA762" s="149"/>
      <c r="AB762" s="154"/>
      <c r="AC762" s="155"/>
      <c r="AD762" s="155"/>
      <c r="AE762" s="155"/>
      <c r="AF762" s="155"/>
      <c r="AG762" s="149"/>
      <c r="AH762" s="149"/>
      <c r="AI762" s="149"/>
      <c r="AJ762" s="156"/>
      <c r="AK762" s="149"/>
      <c r="AL762" s="149"/>
      <c r="AM762" s="149"/>
      <c r="AN762" s="149"/>
      <c r="AO762" s="149"/>
      <c r="AP762" s="149"/>
      <c r="AQ762" s="157"/>
      <c r="AR762" s="149"/>
      <c r="AS762" s="158"/>
    </row>
    <row r="763" ht="15.75" customHeight="1">
      <c r="A763" s="149"/>
      <c r="B763" s="149"/>
      <c r="C763" s="149"/>
      <c r="D763" s="160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50"/>
      <c r="AA763" s="149"/>
      <c r="AB763" s="154"/>
      <c r="AC763" s="155"/>
      <c r="AD763" s="155"/>
      <c r="AE763" s="155"/>
      <c r="AF763" s="155"/>
      <c r="AG763" s="149"/>
      <c r="AH763" s="149"/>
      <c r="AI763" s="149"/>
      <c r="AJ763" s="156"/>
      <c r="AK763" s="149"/>
      <c r="AL763" s="149"/>
      <c r="AM763" s="149"/>
      <c r="AN763" s="149"/>
      <c r="AO763" s="149"/>
      <c r="AP763" s="149"/>
      <c r="AQ763" s="157"/>
      <c r="AR763" s="149"/>
      <c r="AS763" s="158"/>
    </row>
    <row r="764" ht="15.75" customHeight="1">
      <c r="A764" s="149"/>
      <c r="B764" s="149"/>
      <c r="C764" s="149"/>
      <c r="D764" s="160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50"/>
      <c r="AA764" s="149"/>
      <c r="AB764" s="154"/>
      <c r="AC764" s="155"/>
      <c r="AD764" s="155"/>
      <c r="AE764" s="155"/>
      <c r="AF764" s="155"/>
      <c r="AG764" s="149"/>
      <c r="AH764" s="149"/>
      <c r="AI764" s="149"/>
      <c r="AJ764" s="156"/>
      <c r="AK764" s="149"/>
      <c r="AL764" s="149"/>
      <c r="AM764" s="149"/>
      <c r="AN764" s="149"/>
      <c r="AO764" s="149"/>
      <c r="AP764" s="149"/>
      <c r="AQ764" s="157"/>
      <c r="AR764" s="149"/>
      <c r="AS764" s="158"/>
    </row>
    <row r="765" ht="15.75" customHeight="1">
      <c r="A765" s="149"/>
      <c r="B765" s="149"/>
      <c r="C765" s="149"/>
      <c r="D765" s="160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50"/>
      <c r="AA765" s="149"/>
      <c r="AB765" s="154"/>
      <c r="AC765" s="155"/>
      <c r="AD765" s="155"/>
      <c r="AE765" s="155"/>
      <c r="AF765" s="155"/>
      <c r="AG765" s="149"/>
      <c r="AH765" s="149"/>
      <c r="AI765" s="149"/>
      <c r="AJ765" s="156"/>
      <c r="AK765" s="149"/>
      <c r="AL765" s="149"/>
      <c r="AM765" s="149"/>
      <c r="AN765" s="149"/>
      <c r="AO765" s="149"/>
      <c r="AP765" s="149"/>
      <c r="AQ765" s="157"/>
      <c r="AR765" s="149"/>
      <c r="AS765" s="158"/>
    </row>
    <row r="766" ht="15.75" customHeight="1">
      <c r="A766" s="149"/>
      <c r="B766" s="149"/>
      <c r="C766" s="149"/>
      <c r="D766" s="160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50"/>
      <c r="AA766" s="149"/>
      <c r="AB766" s="154"/>
      <c r="AC766" s="155"/>
      <c r="AD766" s="155"/>
      <c r="AE766" s="155"/>
      <c r="AF766" s="155"/>
      <c r="AG766" s="149"/>
      <c r="AH766" s="149"/>
      <c r="AI766" s="149"/>
      <c r="AJ766" s="156"/>
      <c r="AK766" s="149"/>
      <c r="AL766" s="149"/>
      <c r="AM766" s="149"/>
      <c r="AN766" s="149"/>
      <c r="AO766" s="149"/>
      <c r="AP766" s="149"/>
      <c r="AQ766" s="157"/>
      <c r="AR766" s="149"/>
      <c r="AS766" s="158"/>
    </row>
    <row r="767" ht="15.75" customHeight="1">
      <c r="A767" s="149"/>
      <c r="B767" s="149"/>
      <c r="C767" s="149"/>
      <c r="D767" s="160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50"/>
      <c r="AA767" s="149"/>
      <c r="AB767" s="154"/>
      <c r="AC767" s="155"/>
      <c r="AD767" s="155"/>
      <c r="AE767" s="155"/>
      <c r="AF767" s="155"/>
      <c r="AG767" s="149"/>
      <c r="AH767" s="149"/>
      <c r="AI767" s="149"/>
      <c r="AJ767" s="156"/>
      <c r="AK767" s="149"/>
      <c r="AL767" s="149"/>
      <c r="AM767" s="149"/>
      <c r="AN767" s="149"/>
      <c r="AO767" s="149"/>
      <c r="AP767" s="149"/>
      <c r="AQ767" s="157"/>
      <c r="AR767" s="149"/>
      <c r="AS767" s="158"/>
    </row>
    <row r="768" ht="15.75" customHeight="1">
      <c r="A768" s="149"/>
      <c r="B768" s="149"/>
      <c r="C768" s="149"/>
      <c r="D768" s="160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50"/>
      <c r="AA768" s="149"/>
      <c r="AB768" s="154"/>
      <c r="AC768" s="155"/>
      <c r="AD768" s="155"/>
      <c r="AE768" s="155"/>
      <c r="AF768" s="155"/>
      <c r="AG768" s="149"/>
      <c r="AH768" s="149"/>
      <c r="AI768" s="149"/>
      <c r="AJ768" s="156"/>
      <c r="AK768" s="149"/>
      <c r="AL768" s="149"/>
      <c r="AM768" s="149"/>
      <c r="AN768" s="149"/>
      <c r="AO768" s="149"/>
      <c r="AP768" s="149"/>
      <c r="AQ768" s="157"/>
      <c r="AR768" s="149"/>
      <c r="AS768" s="158"/>
    </row>
    <row r="769" ht="15.75" customHeight="1">
      <c r="A769" s="149"/>
      <c r="B769" s="149"/>
      <c r="C769" s="149"/>
      <c r="D769" s="160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50"/>
      <c r="AA769" s="149"/>
      <c r="AB769" s="154"/>
      <c r="AC769" s="155"/>
      <c r="AD769" s="155"/>
      <c r="AE769" s="155"/>
      <c r="AF769" s="155"/>
      <c r="AG769" s="149"/>
      <c r="AH769" s="149"/>
      <c r="AI769" s="149"/>
      <c r="AJ769" s="156"/>
      <c r="AK769" s="149"/>
      <c r="AL769" s="149"/>
      <c r="AM769" s="149"/>
      <c r="AN769" s="149"/>
      <c r="AO769" s="149"/>
      <c r="AP769" s="149"/>
      <c r="AQ769" s="157"/>
      <c r="AR769" s="149"/>
      <c r="AS769" s="158"/>
    </row>
    <row r="770" ht="15.75" customHeight="1">
      <c r="A770" s="149"/>
      <c r="B770" s="149"/>
      <c r="C770" s="149"/>
      <c r="D770" s="160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50"/>
      <c r="AA770" s="149"/>
      <c r="AB770" s="154"/>
      <c r="AC770" s="155"/>
      <c r="AD770" s="155"/>
      <c r="AE770" s="155"/>
      <c r="AF770" s="155"/>
      <c r="AG770" s="149"/>
      <c r="AH770" s="149"/>
      <c r="AI770" s="149"/>
      <c r="AJ770" s="156"/>
      <c r="AK770" s="149"/>
      <c r="AL770" s="149"/>
      <c r="AM770" s="149"/>
      <c r="AN770" s="149"/>
      <c r="AO770" s="149"/>
      <c r="AP770" s="149"/>
      <c r="AQ770" s="157"/>
      <c r="AR770" s="149"/>
      <c r="AS770" s="158"/>
    </row>
    <row r="771" ht="15.75" customHeight="1">
      <c r="A771" s="149"/>
      <c r="B771" s="149"/>
      <c r="C771" s="149"/>
      <c r="D771" s="160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50"/>
      <c r="AA771" s="149"/>
      <c r="AB771" s="154"/>
      <c r="AC771" s="155"/>
      <c r="AD771" s="155"/>
      <c r="AE771" s="155"/>
      <c r="AF771" s="155"/>
      <c r="AG771" s="149"/>
      <c r="AH771" s="149"/>
      <c r="AI771" s="149"/>
      <c r="AJ771" s="156"/>
      <c r="AK771" s="149"/>
      <c r="AL771" s="149"/>
      <c r="AM771" s="149"/>
      <c r="AN771" s="149"/>
      <c r="AO771" s="149"/>
      <c r="AP771" s="149"/>
      <c r="AQ771" s="157"/>
      <c r="AR771" s="149"/>
      <c r="AS771" s="158"/>
    </row>
    <row r="772" ht="15.75" customHeight="1">
      <c r="A772" s="149"/>
      <c r="B772" s="149"/>
      <c r="C772" s="149"/>
      <c r="D772" s="160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50"/>
      <c r="AA772" s="149"/>
      <c r="AB772" s="154"/>
      <c r="AC772" s="155"/>
      <c r="AD772" s="155"/>
      <c r="AE772" s="155"/>
      <c r="AF772" s="155"/>
      <c r="AG772" s="149"/>
      <c r="AH772" s="149"/>
      <c r="AI772" s="149"/>
      <c r="AJ772" s="156"/>
      <c r="AK772" s="149"/>
      <c r="AL772" s="149"/>
      <c r="AM772" s="149"/>
      <c r="AN772" s="149"/>
      <c r="AO772" s="149"/>
      <c r="AP772" s="149"/>
      <c r="AQ772" s="157"/>
      <c r="AR772" s="149"/>
      <c r="AS772" s="158"/>
    </row>
    <row r="773" ht="15.75" customHeight="1">
      <c r="A773" s="149"/>
      <c r="B773" s="149"/>
      <c r="C773" s="149"/>
      <c r="D773" s="160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50"/>
      <c r="AA773" s="149"/>
      <c r="AB773" s="154"/>
      <c r="AC773" s="155"/>
      <c r="AD773" s="155"/>
      <c r="AE773" s="155"/>
      <c r="AF773" s="155"/>
      <c r="AG773" s="149"/>
      <c r="AH773" s="149"/>
      <c r="AI773" s="149"/>
      <c r="AJ773" s="156"/>
      <c r="AK773" s="149"/>
      <c r="AL773" s="149"/>
      <c r="AM773" s="149"/>
      <c r="AN773" s="149"/>
      <c r="AO773" s="149"/>
      <c r="AP773" s="149"/>
      <c r="AQ773" s="157"/>
      <c r="AR773" s="149"/>
      <c r="AS773" s="158"/>
    </row>
    <row r="774" ht="15.75" customHeight="1">
      <c r="A774" s="149"/>
      <c r="B774" s="149"/>
      <c r="C774" s="149"/>
      <c r="D774" s="160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50"/>
      <c r="AA774" s="149"/>
      <c r="AB774" s="154"/>
      <c r="AC774" s="155"/>
      <c r="AD774" s="155"/>
      <c r="AE774" s="155"/>
      <c r="AF774" s="155"/>
      <c r="AG774" s="149"/>
      <c r="AH774" s="149"/>
      <c r="AI774" s="149"/>
      <c r="AJ774" s="156"/>
      <c r="AK774" s="149"/>
      <c r="AL774" s="149"/>
      <c r="AM774" s="149"/>
      <c r="AN774" s="149"/>
      <c r="AO774" s="149"/>
      <c r="AP774" s="149"/>
      <c r="AQ774" s="157"/>
      <c r="AR774" s="149"/>
      <c r="AS774" s="158"/>
    </row>
    <row r="775" ht="15.75" customHeight="1">
      <c r="A775" s="149"/>
      <c r="B775" s="149"/>
      <c r="C775" s="149"/>
      <c r="D775" s="160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50"/>
      <c r="AA775" s="149"/>
      <c r="AB775" s="154"/>
      <c r="AC775" s="155"/>
      <c r="AD775" s="155"/>
      <c r="AE775" s="155"/>
      <c r="AF775" s="155"/>
      <c r="AG775" s="149"/>
      <c r="AH775" s="149"/>
      <c r="AI775" s="149"/>
      <c r="AJ775" s="156"/>
      <c r="AK775" s="149"/>
      <c r="AL775" s="149"/>
      <c r="AM775" s="149"/>
      <c r="AN775" s="149"/>
      <c r="AO775" s="149"/>
      <c r="AP775" s="149"/>
      <c r="AQ775" s="157"/>
      <c r="AR775" s="149"/>
      <c r="AS775" s="158"/>
    </row>
    <row r="776" ht="15.75" customHeight="1">
      <c r="A776" s="149"/>
      <c r="B776" s="149"/>
      <c r="C776" s="149"/>
      <c r="D776" s="160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50"/>
      <c r="AA776" s="149"/>
      <c r="AB776" s="154"/>
      <c r="AC776" s="155"/>
      <c r="AD776" s="155"/>
      <c r="AE776" s="155"/>
      <c r="AF776" s="155"/>
      <c r="AG776" s="149"/>
      <c r="AH776" s="149"/>
      <c r="AI776" s="149"/>
      <c r="AJ776" s="156"/>
      <c r="AK776" s="149"/>
      <c r="AL776" s="149"/>
      <c r="AM776" s="149"/>
      <c r="AN776" s="149"/>
      <c r="AO776" s="149"/>
      <c r="AP776" s="149"/>
      <c r="AQ776" s="157"/>
      <c r="AR776" s="149"/>
      <c r="AS776" s="158"/>
    </row>
    <row r="777" ht="15.75" customHeight="1">
      <c r="A777" s="149"/>
      <c r="B777" s="149"/>
      <c r="C777" s="149"/>
      <c r="D777" s="160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50"/>
      <c r="AA777" s="149"/>
      <c r="AB777" s="154"/>
      <c r="AC777" s="155"/>
      <c r="AD777" s="155"/>
      <c r="AE777" s="155"/>
      <c r="AF777" s="155"/>
      <c r="AG777" s="149"/>
      <c r="AH777" s="149"/>
      <c r="AI777" s="149"/>
      <c r="AJ777" s="156"/>
      <c r="AK777" s="149"/>
      <c r="AL777" s="149"/>
      <c r="AM777" s="149"/>
      <c r="AN777" s="149"/>
      <c r="AO777" s="149"/>
      <c r="AP777" s="149"/>
      <c r="AQ777" s="157"/>
      <c r="AR777" s="149"/>
      <c r="AS777" s="158"/>
    </row>
    <row r="778" ht="15.75" customHeight="1">
      <c r="A778" s="149"/>
      <c r="B778" s="149"/>
      <c r="C778" s="149"/>
      <c r="D778" s="160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50"/>
      <c r="AA778" s="149"/>
      <c r="AB778" s="154"/>
      <c r="AC778" s="155"/>
      <c r="AD778" s="155"/>
      <c r="AE778" s="155"/>
      <c r="AF778" s="155"/>
      <c r="AG778" s="149"/>
      <c r="AH778" s="149"/>
      <c r="AI778" s="149"/>
      <c r="AJ778" s="156"/>
      <c r="AK778" s="149"/>
      <c r="AL778" s="149"/>
      <c r="AM778" s="149"/>
      <c r="AN778" s="149"/>
      <c r="AO778" s="149"/>
      <c r="AP778" s="149"/>
      <c r="AQ778" s="157"/>
      <c r="AR778" s="149"/>
      <c r="AS778" s="158"/>
    </row>
    <row r="779" ht="15.75" customHeight="1">
      <c r="A779" s="149"/>
      <c r="B779" s="149"/>
      <c r="C779" s="149"/>
      <c r="D779" s="160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50"/>
      <c r="AA779" s="149"/>
      <c r="AB779" s="154"/>
      <c r="AC779" s="155"/>
      <c r="AD779" s="155"/>
      <c r="AE779" s="155"/>
      <c r="AF779" s="155"/>
      <c r="AG779" s="149"/>
      <c r="AH779" s="149"/>
      <c r="AI779" s="149"/>
      <c r="AJ779" s="156"/>
      <c r="AK779" s="149"/>
      <c r="AL779" s="149"/>
      <c r="AM779" s="149"/>
      <c r="AN779" s="149"/>
      <c r="AO779" s="149"/>
      <c r="AP779" s="149"/>
      <c r="AQ779" s="157"/>
      <c r="AR779" s="149"/>
      <c r="AS779" s="158"/>
    </row>
    <row r="780" ht="15.75" customHeight="1">
      <c r="A780" s="149"/>
      <c r="B780" s="149"/>
      <c r="C780" s="149"/>
      <c r="D780" s="160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50"/>
      <c r="AA780" s="149"/>
      <c r="AB780" s="154"/>
      <c r="AC780" s="155"/>
      <c r="AD780" s="155"/>
      <c r="AE780" s="155"/>
      <c r="AF780" s="155"/>
      <c r="AG780" s="149"/>
      <c r="AH780" s="149"/>
      <c r="AI780" s="149"/>
      <c r="AJ780" s="156"/>
      <c r="AK780" s="149"/>
      <c r="AL780" s="149"/>
      <c r="AM780" s="149"/>
      <c r="AN780" s="149"/>
      <c r="AO780" s="149"/>
      <c r="AP780" s="149"/>
      <c r="AQ780" s="157"/>
      <c r="AR780" s="149"/>
      <c r="AS780" s="158"/>
    </row>
    <row r="781" ht="15.75" customHeight="1">
      <c r="A781" s="149"/>
      <c r="B781" s="149"/>
      <c r="C781" s="149"/>
      <c r="D781" s="160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50"/>
      <c r="AA781" s="149"/>
      <c r="AB781" s="154"/>
      <c r="AC781" s="155"/>
      <c r="AD781" s="155"/>
      <c r="AE781" s="155"/>
      <c r="AF781" s="155"/>
      <c r="AG781" s="149"/>
      <c r="AH781" s="149"/>
      <c r="AI781" s="149"/>
      <c r="AJ781" s="156"/>
      <c r="AK781" s="149"/>
      <c r="AL781" s="149"/>
      <c r="AM781" s="149"/>
      <c r="AN781" s="149"/>
      <c r="AO781" s="149"/>
      <c r="AP781" s="149"/>
      <c r="AQ781" s="157"/>
      <c r="AR781" s="149"/>
      <c r="AS781" s="158"/>
    </row>
    <row r="782" ht="15.75" customHeight="1">
      <c r="A782" s="149"/>
      <c r="B782" s="149"/>
      <c r="C782" s="149"/>
      <c r="D782" s="160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50"/>
      <c r="AA782" s="149"/>
      <c r="AB782" s="154"/>
      <c r="AC782" s="155"/>
      <c r="AD782" s="155"/>
      <c r="AE782" s="155"/>
      <c r="AF782" s="155"/>
      <c r="AG782" s="149"/>
      <c r="AH782" s="149"/>
      <c r="AI782" s="149"/>
      <c r="AJ782" s="156"/>
      <c r="AK782" s="149"/>
      <c r="AL782" s="149"/>
      <c r="AM782" s="149"/>
      <c r="AN782" s="149"/>
      <c r="AO782" s="149"/>
      <c r="AP782" s="149"/>
      <c r="AQ782" s="157"/>
      <c r="AR782" s="149"/>
      <c r="AS782" s="158"/>
    </row>
    <row r="783" ht="15.75" customHeight="1">
      <c r="A783" s="149"/>
      <c r="B783" s="149"/>
      <c r="C783" s="149"/>
      <c r="D783" s="160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50"/>
      <c r="AA783" s="149"/>
      <c r="AB783" s="154"/>
      <c r="AC783" s="155"/>
      <c r="AD783" s="155"/>
      <c r="AE783" s="155"/>
      <c r="AF783" s="155"/>
      <c r="AG783" s="149"/>
      <c r="AH783" s="149"/>
      <c r="AI783" s="149"/>
      <c r="AJ783" s="156"/>
      <c r="AK783" s="149"/>
      <c r="AL783" s="149"/>
      <c r="AM783" s="149"/>
      <c r="AN783" s="149"/>
      <c r="AO783" s="149"/>
      <c r="AP783" s="149"/>
      <c r="AQ783" s="157"/>
      <c r="AR783" s="149"/>
      <c r="AS783" s="158"/>
    </row>
    <row r="784" ht="15.75" customHeight="1">
      <c r="A784" s="149"/>
      <c r="B784" s="149"/>
      <c r="C784" s="149"/>
      <c r="D784" s="160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50"/>
      <c r="AA784" s="149"/>
      <c r="AB784" s="154"/>
      <c r="AC784" s="155"/>
      <c r="AD784" s="155"/>
      <c r="AE784" s="155"/>
      <c r="AF784" s="155"/>
      <c r="AG784" s="149"/>
      <c r="AH784" s="149"/>
      <c r="AI784" s="149"/>
      <c r="AJ784" s="156"/>
      <c r="AK784" s="149"/>
      <c r="AL784" s="149"/>
      <c r="AM784" s="149"/>
      <c r="AN784" s="149"/>
      <c r="AO784" s="149"/>
      <c r="AP784" s="149"/>
      <c r="AQ784" s="157"/>
      <c r="AR784" s="149"/>
      <c r="AS784" s="158"/>
    </row>
    <row r="785" ht="15.75" customHeight="1">
      <c r="A785" s="149"/>
      <c r="B785" s="149"/>
      <c r="C785" s="149"/>
      <c r="D785" s="160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50"/>
      <c r="AA785" s="149"/>
      <c r="AB785" s="154"/>
      <c r="AC785" s="155"/>
      <c r="AD785" s="155"/>
      <c r="AE785" s="155"/>
      <c r="AF785" s="155"/>
      <c r="AG785" s="149"/>
      <c r="AH785" s="149"/>
      <c r="AI785" s="149"/>
      <c r="AJ785" s="156"/>
      <c r="AK785" s="149"/>
      <c r="AL785" s="149"/>
      <c r="AM785" s="149"/>
      <c r="AN785" s="149"/>
      <c r="AO785" s="149"/>
      <c r="AP785" s="149"/>
      <c r="AQ785" s="157"/>
      <c r="AR785" s="149"/>
      <c r="AS785" s="158"/>
    </row>
    <row r="786" ht="15.75" customHeight="1">
      <c r="A786" s="149"/>
      <c r="B786" s="149"/>
      <c r="C786" s="149"/>
      <c r="D786" s="160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50"/>
      <c r="AA786" s="149"/>
      <c r="AB786" s="154"/>
      <c r="AC786" s="155"/>
      <c r="AD786" s="155"/>
      <c r="AE786" s="155"/>
      <c r="AF786" s="155"/>
      <c r="AG786" s="149"/>
      <c r="AH786" s="149"/>
      <c r="AI786" s="149"/>
      <c r="AJ786" s="156"/>
      <c r="AK786" s="149"/>
      <c r="AL786" s="149"/>
      <c r="AM786" s="149"/>
      <c r="AN786" s="149"/>
      <c r="AO786" s="149"/>
      <c r="AP786" s="149"/>
      <c r="AQ786" s="157"/>
      <c r="AR786" s="149"/>
      <c r="AS786" s="158"/>
    </row>
    <row r="787" ht="15.75" customHeight="1">
      <c r="A787" s="149"/>
      <c r="B787" s="149"/>
      <c r="C787" s="149"/>
      <c r="D787" s="160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50"/>
      <c r="AA787" s="149"/>
      <c r="AB787" s="154"/>
      <c r="AC787" s="155"/>
      <c r="AD787" s="155"/>
      <c r="AE787" s="155"/>
      <c r="AF787" s="155"/>
      <c r="AG787" s="149"/>
      <c r="AH787" s="149"/>
      <c r="AI787" s="149"/>
      <c r="AJ787" s="156"/>
      <c r="AK787" s="149"/>
      <c r="AL787" s="149"/>
      <c r="AM787" s="149"/>
      <c r="AN787" s="149"/>
      <c r="AO787" s="149"/>
      <c r="AP787" s="149"/>
      <c r="AQ787" s="157"/>
      <c r="AR787" s="149"/>
      <c r="AS787" s="158"/>
    </row>
    <row r="788" ht="15.75" customHeight="1">
      <c r="A788" s="149"/>
      <c r="B788" s="149"/>
      <c r="C788" s="149"/>
      <c r="D788" s="160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50"/>
      <c r="AA788" s="149"/>
      <c r="AB788" s="154"/>
      <c r="AC788" s="155"/>
      <c r="AD788" s="155"/>
      <c r="AE788" s="155"/>
      <c r="AF788" s="155"/>
      <c r="AG788" s="149"/>
      <c r="AH788" s="149"/>
      <c r="AI788" s="149"/>
      <c r="AJ788" s="156"/>
      <c r="AK788" s="149"/>
      <c r="AL788" s="149"/>
      <c r="AM788" s="149"/>
      <c r="AN788" s="149"/>
      <c r="AO788" s="149"/>
      <c r="AP788" s="149"/>
      <c r="AQ788" s="157"/>
      <c r="AR788" s="149"/>
      <c r="AS788" s="158"/>
    </row>
    <row r="789" ht="15.75" customHeight="1">
      <c r="A789" s="149"/>
      <c r="B789" s="149"/>
      <c r="C789" s="149"/>
      <c r="D789" s="160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50"/>
      <c r="AA789" s="149"/>
      <c r="AB789" s="154"/>
      <c r="AC789" s="155"/>
      <c r="AD789" s="155"/>
      <c r="AE789" s="155"/>
      <c r="AF789" s="155"/>
      <c r="AG789" s="149"/>
      <c r="AH789" s="149"/>
      <c r="AI789" s="149"/>
      <c r="AJ789" s="156"/>
      <c r="AK789" s="149"/>
      <c r="AL789" s="149"/>
      <c r="AM789" s="149"/>
      <c r="AN789" s="149"/>
      <c r="AO789" s="149"/>
      <c r="AP789" s="149"/>
      <c r="AQ789" s="157"/>
      <c r="AR789" s="149"/>
      <c r="AS789" s="158"/>
    </row>
    <row r="790" ht="15.75" customHeight="1">
      <c r="A790" s="149"/>
      <c r="B790" s="149"/>
      <c r="C790" s="149"/>
      <c r="D790" s="160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50"/>
      <c r="AA790" s="149"/>
      <c r="AB790" s="154"/>
      <c r="AC790" s="155"/>
      <c r="AD790" s="155"/>
      <c r="AE790" s="155"/>
      <c r="AF790" s="155"/>
      <c r="AG790" s="149"/>
      <c r="AH790" s="149"/>
      <c r="AI790" s="149"/>
      <c r="AJ790" s="156"/>
      <c r="AK790" s="149"/>
      <c r="AL790" s="149"/>
      <c r="AM790" s="149"/>
      <c r="AN790" s="149"/>
      <c r="AO790" s="149"/>
      <c r="AP790" s="149"/>
      <c r="AQ790" s="157"/>
      <c r="AR790" s="149"/>
      <c r="AS790" s="158"/>
    </row>
    <row r="791" ht="15.75" customHeight="1">
      <c r="A791" s="149"/>
      <c r="B791" s="149"/>
      <c r="C791" s="149"/>
      <c r="D791" s="160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50"/>
      <c r="AA791" s="149"/>
      <c r="AB791" s="154"/>
      <c r="AC791" s="155"/>
      <c r="AD791" s="155"/>
      <c r="AE791" s="155"/>
      <c r="AF791" s="155"/>
      <c r="AG791" s="149"/>
      <c r="AH791" s="149"/>
      <c r="AI791" s="149"/>
      <c r="AJ791" s="156"/>
      <c r="AK791" s="149"/>
      <c r="AL791" s="149"/>
      <c r="AM791" s="149"/>
      <c r="AN791" s="149"/>
      <c r="AO791" s="149"/>
      <c r="AP791" s="149"/>
      <c r="AQ791" s="157"/>
      <c r="AR791" s="149"/>
      <c r="AS791" s="158"/>
    </row>
    <row r="792" ht="15.75" customHeight="1">
      <c r="A792" s="149"/>
      <c r="B792" s="149"/>
      <c r="C792" s="149"/>
      <c r="D792" s="160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50"/>
      <c r="AA792" s="149"/>
      <c r="AB792" s="154"/>
      <c r="AC792" s="155"/>
      <c r="AD792" s="155"/>
      <c r="AE792" s="155"/>
      <c r="AF792" s="155"/>
      <c r="AG792" s="149"/>
      <c r="AH792" s="149"/>
      <c r="AI792" s="149"/>
      <c r="AJ792" s="156"/>
      <c r="AK792" s="149"/>
      <c r="AL792" s="149"/>
      <c r="AM792" s="149"/>
      <c r="AN792" s="149"/>
      <c r="AO792" s="149"/>
      <c r="AP792" s="149"/>
      <c r="AQ792" s="157"/>
      <c r="AR792" s="149"/>
      <c r="AS792" s="158"/>
    </row>
    <row r="793" ht="15.75" customHeight="1">
      <c r="A793" s="149"/>
      <c r="B793" s="149"/>
      <c r="C793" s="149"/>
      <c r="D793" s="160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50"/>
      <c r="AA793" s="149"/>
      <c r="AB793" s="154"/>
      <c r="AC793" s="155"/>
      <c r="AD793" s="155"/>
      <c r="AE793" s="155"/>
      <c r="AF793" s="155"/>
      <c r="AG793" s="149"/>
      <c r="AH793" s="149"/>
      <c r="AI793" s="149"/>
      <c r="AJ793" s="156"/>
      <c r="AK793" s="149"/>
      <c r="AL793" s="149"/>
      <c r="AM793" s="149"/>
      <c r="AN793" s="149"/>
      <c r="AO793" s="149"/>
      <c r="AP793" s="149"/>
      <c r="AQ793" s="157"/>
      <c r="AR793" s="149"/>
      <c r="AS793" s="158"/>
    </row>
    <row r="794" ht="15.75" customHeight="1">
      <c r="A794" s="149"/>
      <c r="B794" s="149"/>
      <c r="C794" s="149"/>
      <c r="D794" s="160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50"/>
      <c r="AA794" s="149"/>
      <c r="AB794" s="154"/>
      <c r="AC794" s="155"/>
      <c r="AD794" s="155"/>
      <c r="AE794" s="155"/>
      <c r="AF794" s="155"/>
      <c r="AG794" s="149"/>
      <c r="AH794" s="149"/>
      <c r="AI794" s="149"/>
      <c r="AJ794" s="156"/>
      <c r="AK794" s="149"/>
      <c r="AL794" s="149"/>
      <c r="AM794" s="149"/>
      <c r="AN794" s="149"/>
      <c r="AO794" s="149"/>
      <c r="AP794" s="149"/>
      <c r="AQ794" s="157"/>
      <c r="AR794" s="149"/>
      <c r="AS794" s="158"/>
    </row>
    <row r="795" ht="15.75" customHeight="1">
      <c r="A795" s="149"/>
      <c r="B795" s="149"/>
      <c r="C795" s="149"/>
      <c r="D795" s="160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50"/>
      <c r="AA795" s="149"/>
      <c r="AB795" s="154"/>
      <c r="AC795" s="155"/>
      <c r="AD795" s="155"/>
      <c r="AE795" s="155"/>
      <c r="AF795" s="155"/>
      <c r="AG795" s="149"/>
      <c r="AH795" s="149"/>
      <c r="AI795" s="149"/>
      <c r="AJ795" s="156"/>
      <c r="AK795" s="149"/>
      <c r="AL795" s="149"/>
      <c r="AM795" s="149"/>
      <c r="AN795" s="149"/>
      <c r="AO795" s="149"/>
      <c r="AP795" s="149"/>
      <c r="AQ795" s="157"/>
      <c r="AR795" s="149"/>
      <c r="AS795" s="158"/>
    </row>
    <row r="796" ht="15.75" customHeight="1">
      <c r="A796" s="149"/>
      <c r="B796" s="149"/>
      <c r="C796" s="149"/>
      <c r="D796" s="160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50"/>
      <c r="AA796" s="149"/>
      <c r="AB796" s="154"/>
      <c r="AC796" s="155"/>
      <c r="AD796" s="155"/>
      <c r="AE796" s="155"/>
      <c r="AF796" s="155"/>
      <c r="AG796" s="149"/>
      <c r="AH796" s="149"/>
      <c r="AI796" s="149"/>
      <c r="AJ796" s="156"/>
      <c r="AK796" s="149"/>
      <c r="AL796" s="149"/>
      <c r="AM796" s="149"/>
      <c r="AN796" s="149"/>
      <c r="AO796" s="149"/>
      <c r="AP796" s="149"/>
      <c r="AQ796" s="157"/>
      <c r="AR796" s="149"/>
      <c r="AS796" s="158"/>
    </row>
    <row r="797" ht="15.75" customHeight="1">
      <c r="A797" s="149"/>
      <c r="B797" s="149"/>
      <c r="C797" s="149"/>
      <c r="D797" s="160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50"/>
      <c r="AA797" s="149"/>
      <c r="AB797" s="154"/>
      <c r="AC797" s="155"/>
      <c r="AD797" s="155"/>
      <c r="AE797" s="155"/>
      <c r="AF797" s="155"/>
      <c r="AG797" s="149"/>
      <c r="AH797" s="149"/>
      <c r="AI797" s="149"/>
      <c r="AJ797" s="156"/>
      <c r="AK797" s="149"/>
      <c r="AL797" s="149"/>
      <c r="AM797" s="149"/>
      <c r="AN797" s="149"/>
      <c r="AO797" s="149"/>
      <c r="AP797" s="149"/>
      <c r="AQ797" s="157"/>
      <c r="AR797" s="149"/>
      <c r="AS797" s="158"/>
    </row>
    <row r="798" ht="15.75" customHeight="1">
      <c r="A798" s="149"/>
      <c r="B798" s="149"/>
      <c r="C798" s="149"/>
      <c r="D798" s="160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50"/>
      <c r="AA798" s="149"/>
      <c r="AB798" s="154"/>
      <c r="AC798" s="155"/>
      <c r="AD798" s="155"/>
      <c r="AE798" s="155"/>
      <c r="AF798" s="155"/>
      <c r="AG798" s="149"/>
      <c r="AH798" s="149"/>
      <c r="AI798" s="149"/>
      <c r="AJ798" s="156"/>
      <c r="AK798" s="149"/>
      <c r="AL798" s="149"/>
      <c r="AM798" s="149"/>
      <c r="AN798" s="149"/>
      <c r="AO798" s="149"/>
      <c r="AP798" s="149"/>
      <c r="AQ798" s="157"/>
      <c r="AR798" s="149"/>
      <c r="AS798" s="158"/>
    </row>
    <row r="799" ht="15.75" customHeight="1">
      <c r="A799" s="149"/>
      <c r="B799" s="149"/>
      <c r="C799" s="149"/>
      <c r="D799" s="160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50"/>
      <c r="AA799" s="149"/>
      <c r="AB799" s="154"/>
      <c r="AC799" s="155"/>
      <c r="AD799" s="155"/>
      <c r="AE799" s="155"/>
      <c r="AF799" s="155"/>
      <c r="AG799" s="149"/>
      <c r="AH799" s="149"/>
      <c r="AI799" s="149"/>
      <c r="AJ799" s="156"/>
      <c r="AK799" s="149"/>
      <c r="AL799" s="149"/>
      <c r="AM799" s="149"/>
      <c r="AN799" s="149"/>
      <c r="AO799" s="149"/>
      <c r="AP799" s="149"/>
      <c r="AQ799" s="157"/>
      <c r="AR799" s="149"/>
      <c r="AS799" s="158"/>
    </row>
    <row r="800" ht="15.75" customHeight="1">
      <c r="A800" s="149"/>
      <c r="B800" s="149"/>
      <c r="C800" s="149"/>
      <c r="D800" s="160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50"/>
      <c r="AA800" s="149"/>
      <c r="AB800" s="154"/>
      <c r="AC800" s="155"/>
      <c r="AD800" s="155"/>
      <c r="AE800" s="155"/>
      <c r="AF800" s="155"/>
      <c r="AG800" s="149"/>
      <c r="AH800" s="149"/>
      <c r="AI800" s="149"/>
      <c r="AJ800" s="156"/>
      <c r="AK800" s="149"/>
      <c r="AL800" s="149"/>
      <c r="AM800" s="149"/>
      <c r="AN800" s="149"/>
      <c r="AO800" s="149"/>
      <c r="AP800" s="149"/>
      <c r="AQ800" s="157"/>
      <c r="AR800" s="149"/>
      <c r="AS800" s="158"/>
    </row>
    <row r="801" ht="15.75" customHeight="1">
      <c r="A801" s="149"/>
      <c r="B801" s="149"/>
      <c r="C801" s="149"/>
      <c r="D801" s="160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50"/>
      <c r="AA801" s="149"/>
      <c r="AB801" s="154"/>
      <c r="AC801" s="155"/>
      <c r="AD801" s="155"/>
      <c r="AE801" s="155"/>
      <c r="AF801" s="155"/>
      <c r="AG801" s="149"/>
      <c r="AH801" s="149"/>
      <c r="AI801" s="149"/>
      <c r="AJ801" s="156"/>
      <c r="AK801" s="149"/>
      <c r="AL801" s="149"/>
      <c r="AM801" s="149"/>
      <c r="AN801" s="149"/>
      <c r="AO801" s="149"/>
      <c r="AP801" s="149"/>
      <c r="AQ801" s="157"/>
      <c r="AR801" s="149"/>
      <c r="AS801" s="158"/>
    </row>
    <row r="802" ht="15.75" customHeight="1">
      <c r="A802" s="149"/>
      <c r="B802" s="149"/>
      <c r="C802" s="149"/>
      <c r="D802" s="160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50"/>
      <c r="AA802" s="149"/>
      <c r="AB802" s="154"/>
      <c r="AC802" s="155"/>
      <c r="AD802" s="155"/>
      <c r="AE802" s="155"/>
      <c r="AF802" s="155"/>
      <c r="AG802" s="149"/>
      <c r="AH802" s="149"/>
      <c r="AI802" s="149"/>
      <c r="AJ802" s="156"/>
      <c r="AK802" s="149"/>
      <c r="AL802" s="149"/>
      <c r="AM802" s="149"/>
      <c r="AN802" s="149"/>
      <c r="AO802" s="149"/>
      <c r="AP802" s="149"/>
      <c r="AQ802" s="157"/>
      <c r="AR802" s="149"/>
      <c r="AS802" s="158"/>
    </row>
    <row r="803" ht="15.75" customHeight="1">
      <c r="A803" s="149"/>
      <c r="B803" s="149"/>
      <c r="C803" s="149"/>
      <c r="D803" s="160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50"/>
      <c r="AA803" s="149"/>
      <c r="AB803" s="154"/>
      <c r="AC803" s="155"/>
      <c r="AD803" s="155"/>
      <c r="AE803" s="155"/>
      <c r="AF803" s="155"/>
      <c r="AG803" s="149"/>
      <c r="AH803" s="149"/>
      <c r="AI803" s="149"/>
      <c r="AJ803" s="156"/>
      <c r="AK803" s="149"/>
      <c r="AL803" s="149"/>
      <c r="AM803" s="149"/>
      <c r="AN803" s="149"/>
      <c r="AO803" s="149"/>
      <c r="AP803" s="149"/>
      <c r="AQ803" s="157"/>
      <c r="AR803" s="149"/>
      <c r="AS803" s="158"/>
    </row>
    <row r="804" ht="15.75" customHeight="1">
      <c r="A804" s="149"/>
      <c r="B804" s="149"/>
      <c r="C804" s="149"/>
      <c r="D804" s="160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50"/>
      <c r="AA804" s="149"/>
      <c r="AB804" s="154"/>
      <c r="AC804" s="155"/>
      <c r="AD804" s="155"/>
      <c r="AE804" s="155"/>
      <c r="AF804" s="155"/>
      <c r="AG804" s="149"/>
      <c r="AH804" s="149"/>
      <c r="AI804" s="149"/>
      <c r="AJ804" s="156"/>
      <c r="AK804" s="149"/>
      <c r="AL804" s="149"/>
      <c r="AM804" s="149"/>
      <c r="AN804" s="149"/>
      <c r="AO804" s="149"/>
      <c r="AP804" s="149"/>
      <c r="AQ804" s="157"/>
      <c r="AR804" s="149"/>
      <c r="AS804" s="158"/>
    </row>
    <row r="805" ht="15.75" customHeight="1">
      <c r="A805" s="149"/>
      <c r="B805" s="149"/>
      <c r="C805" s="149"/>
      <c r="D805" s="160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50"/>
      <c r="AA805" s="149"/>
      <c r="AB805" s="154"/>
      <c r="AC805" s="155"/>
      <c r="AD805" s="155"/>
      <c r="AE805" s="155"/>
      <c r="AF805" s="155"/>
      <c r="AG805" s="149"/>
      <c r="AH805" s="149"/>
      <c r="AI805" s="149"/>
      <c r="AJ805" s="156"/>
      <c r="AK805" s="149"/>
      <c r="AL805" s="149"/>
      <c r="AM805" s="149"/>
      <c r="AN805" s="149"/>
      <c r="AO805" s="149"/>
      <c r="AP805" s="149"/>
      <c r="AQ805" s="157"/>
      <c r="AR805" s="149"/>
      <c r="AS805" s="158"/>
    </row>
    <row r="806" ht="15.75" customHeight="1">
      <c r="A806" s="149"/>
      <c r="B806" s="149"/>
      <c r="C806" s="149"/>
      <c r="D806" s="160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50"/>
      <c r="AA806" s="149"/>
      <c r="AB806" s="154"/>
      <c r="AC806" s="155"/>
      <c r="AD806" s="155"/>
      <c r="AE806" s="155"/>
      <c r="AF806" s="155"/>
      <c r="AG806" s="149"/>
      <c r="AH806" s="149"/>
      <c r="AI806" s="149"/>
      <c r="AJ806" s="156"/>
      <c r="AK806" s="149"/>
      <c r="AL806" s="149"/>
      <c r="AM806" s="149"/>
      <c r="AN806" s="149"/>
      <c r="AO806" s="149"/>
      <c r="AP806" s="149"/>
      <c r="AQ806" s="157"/>
      <c r="AR806" s="149"/>
      <c r="AS806" s="158"/>
    </row>
    <row r="807" ht="15.75" customHeight="1">
      <c r="A807" s="149"/>
      <c r="B807" s="149"/>
      <c r="C807" s="149"/>
      <c r="D807" s="160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50"/>
      <c r="AA807" s="149"/>
      <c r="AB807" s="154"/>
      <c r="AC807" s="155"/>
      <c r="AD807" s="155"/>
      <c r="AE807" s="155"/>
      <c r="AF807" s="155"/>
      <c r="AG807" s="149"/>
      <c r="AH807" s="149"/>
      <c r="AI807" s="149"/>
      <c r="AJ807" s="156"/>
      <c r="AK807" s="149"/>
      <c r="AL807" s="149"/>
      <c r="AM807" s="149"/>
      <c r="AN807" s="149"/>
      <c r="AO807" s="149"/>
      <c r="AP807" s="149"/>
      <c r="AQ807" s="157"/>
      <c r="AR807" s="149"/>
      <c r="AS807" s="158"/>
    </row>
    <row r="808" ht="15.75" customHeight="1">
      <c r="A808" s="149"/>
      <c r="B808" s="149"/>
      <c r="C808" s="149"/>
      <c r="D808" s="160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50"/>
      <c r="AA808" s="149"/>
      <c r="AB808" s="154"/>
      <c r="AC808" s="155"/>
      <c r="AD808" s="155"/>
      <c r="AE808" s="155"/>
      <c r="AF808" s="155"/>
      <c r="AG808" s="149"/>
      <c r="AH808" s="149"/>
      <c r="AI808" s="149"/>
      <c r="AJ808" s="156"/>
      <c r="AK808" s="149"/>
      <c r="AL808" s="149"/>
      <c r="AM808" s="149"/>
      <c r="AN808" s="149"/>
      <c r="AO808" s="149"/>
      <c r="AP808" s="149"/>
      <c r="AQ808" s="157"/>
      <c r="AR808" s="149"/>
      <c r="AS808" s="158"/>
    </row>
    <row r="809" ht="15.75" customHeight="1">
      <c r="A809" s="149"/>
      <c r="B809" s="149"/>
      <c r="C809" s="149"/>
      <c r="D809" s="160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50"/>
      <c r="AA809" s="149"/>
      <c r="AB809" s="154"/>
      <c r="AC809" s="155"/>
      <c r="AD809" s="155"/>
      <c r="AE809" s="155"/>
      <c r="AF809" s="155"/>
      <c r="AG809" s="149"/>
      <c r="AH809" s="149"/>
      <c r="AI809" s="149"/>
      <c r="AJ809" s="156"/>
      <c r="AK809" s="149"/>
      <c r="AL809" s="149"/>
      <c r="AM809" s="149"/>
      <c r="AN809" s="149"/>
      <c r="AO809" s="149"/>
      <c r="AP809" s="149"/>
      <c r="AQ809" s="157"/>
      <c r="AR809" s="149"/>
      <c r="AS809" s="158"/>
    </row>
    <row r="810" ht="15.75" customHeight="1">
      <c r="A810" s="149"/>
      <c r="B810" s="149"/>
      <c r="C810" s="149"/>
      <c r="D810" s="160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50"/>
      <c r="AA810" s="149"/>
      <c r="AB810" s="154"/>
      <c r="AC810" s="155"/>
      <c r="AD810" s="155"/>
      <c r="AE810" s="155"/>
      <c r="AF810" s="155"/>
      <c r="AG810" s="149"/>
      <c r="AH810" s="149"/>
      <c r="AI810" s="149"/>
      <c r="AJ810" s="156"/>
      <c r="AK810" s="149"/>
      <c r="AL810" s="149"/>
      <c r="AM810" s="149"/>
      <c r="AN810" s="149"/>
      <c r="AO810" s="149"/>
      <c r="AP810" s="149"/>
      <c r="AQ810" s="157"/>
      <c r="AR810" s="149"/>
      <c r="AS810" s="158"/>
    </row>
    <row r="811" ht="15.75" customHeight="1">
      <c r="A811" s="149"/>
      <c r="B811" s="149"/>
      <c r="C811" s="149"/>
      <c r="D811" s="160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50"/>
      <c r="AA811" s="149"/>
      <c r="AB811" s="154"/>
      <c r="AC811" s="155"/>
      <c r="AD811" s="155"/>
      <c r="AE811" s="155"/>
      <c r="AF811" s="155"/>
      <c r="AG811" s="149"/>
      <c r="AH811" s="149"/>
      <c r="AI811" s="149"/>
      <c r="AJ811" s="156"/>
      <c r="AK811" s="149"/>
      <c r="AL811" s="149"/>
      <c r="AM811" s="149"/>
      <c r="AN811" s="149"/>
      <c r="AO811" s="149"/>
      <c r="AP811" s="149"/>
      <c r="AQ811" s="157"/>
      <c r="AR811" s="149"/>
      <c r="AS811" s="158"/>
    </row>
    <row r="812" ht="15.75" customHeight="1">
      <c r="A812" s="149"/>
      <c r="B812" s="149"/>
      <c r="C812" s="149"/>
      <c r="D812" s="160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50"/>
      <c r="AA812" s="149"/>
      <c r="AB812" s="154"/>
      <c r="AC812" s="155"/>
      <c r="AD812" s="155"/>
      <c r="AE812" s="155"/>
      <c r="AF812" s="155"/>
      <c r="AG812" s="149"/>
      <c r="AH812" s="149"/>
      <c r="AI812" s="149"/>
      <c r="AJ812" s="156"/>
      <c r="AK812" s="149"/>
      <c r="AL812" s="149"/>
      <c r="AM812" s="149"/>
      <c r="AN812" s="149"/>
      <c r="AO812" s="149"/>
      <c r="AP812" s="149"/>
      <c r="AQ812" s="157"/>
      <c r="AR812" s="149"/>
      <c r="AS812" s="158"/>
    </row>
    <row r="813" ht="15.75" customHeight="1">
      <c r="A813" s="149"/>
      <c r="B813" s="149"/>
      <c r="C813" s="149"/>
      <c r="D813" s="160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50"/>
      <c r="AA813" s="149"/>
      <c r="AB813" s="154"/>
      <c r="AC813" s="155"/>
      <c r="AD813" s="155"/>
      <c r="AE813" s="155"/>
      <c r="AF813" s="155"/>
      <c r="AG813" s="149"/>
      <c r="AH813" s="149"/>
      <c r="AI813" s="149"/>
      <c r="AJ813" s="156"/>
      <c r="AK813" s="149"/>
      <c r="AL813" s="149"/>
      <c r="AM813" s="149"/>
      <c r="AN813" s="149"/>
      <c r="AO813" s="149"/>
      <c r="AP813" s="149"/>
      <c r="AQ813" s="157"/>
      <c r="AR813" s="149"/>
      <c r="AS813" s="158"/>
    </row>
    <row r="814" ht="15.75" customHeight="1">
      <c r="A814" s="149"/>
      <c r="B814" s="149"/>
      <c r="C814" s="149"/>
      <c r="D814" s="160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50"/>
      <c r="AA814" s="149"/>
      <c r="AB814" s="154"/>
      <c r="AC814" s="155"/>
      <c r="AD814" s="155"/>
      <c r="AE814" s="155"/>
      <c r="AF814" s="155"/>
      <c r="AG814" s="149"/>
      <c r="AH814" s="149"/>
      <c r="AI814" s="149"/>
      <c r="AJ814" s="156"/>
      <c r="AK814" s="149"/>
      <c r="AL814" s="149"/>
      <c r="AM814" s="149"/>
      <c r="AN814" s="149"/>
      <c r="AO814" s="149"/>
      <c r="AP814" s="149"/>
      <c r="AQ814" s="157"/>
      <c r="AR814" s="149"/>
      <c r="AS814" s="158"/>
    </row>
    <row r="815" ht="15.75" customHeight="1">
      <c r="A815" s="149"/>
      <c r="B815" s="149"/>
      <c r="C815" s="149"/>
      <c r="D815" s="160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50"/>
      <c r="AA815" s="149"/>
      <c r="AB815" s="154"/>
      <c r="AC815" s="155"/>
      <c r="AD815" s="155"/>
      <c r="AE815" s="155"/>
      <c r="AF815" s="155"/>
      <c r="AG815" s="149"/>
      <c r="AH815" s="149"/>
      <c r="AI815" s="149"/>
      <c r="AJ815" s="156"/>
      <c r="AK815" s="149"/>
      <c r="AL815" s="149"/>
      <c r="AM815" s="149"/>
      <c r="AN815" s="149"/>
      <c r="AO815" s="149"/>
      <c r="AP815" s="149"/>
      <c r="AQ815" s="157"/>
      <c r="AR815" s="149"/>
      <c r="AS815" s="158"/>
    </row>
    <row r="816" ht="15.75" customHeight="1">
      <c r="A816" s="149"/>
      <c r="B816" s="149"/>
      <c r="C816" s="149"/>
      <c r="D816" s="160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50"/>
      <c r="AA816" s="149"/>
      <c r="AB816" s="154"/>
      <c r="AC816" s="155"/>
      <c r="AD816" s="155"/>
      <c r="AE816" s="155"/>
      <c r="AF816" s="155"/>
      <c r="AG816" s="149"/>
      <c r="AH816" s="149"/>
      <c r="AI816" s="149"/>
      <c r="AJ816" s="156"/>
      <c r="AK816" s="149"/>
      <c r="AL816" s="149"/>
      <c r="AM816" s="149"/>
      <c r="AN816" s="149"/>
      <c r="AO816" s="149"/>
      <c r="AP816" s="149"/>
      <c r="AQ816" s="157"/>
      <c r="AR816" s="149"/>
      <c r="AS816" s="158"/>
    </row>
    <row r="817" ht="15.75" customHeight="1">
      <c r="A817" s="149"/>
      <c r="B817" s="149"/>
      <c r="C817" s="149"/>
      <c r="D817" s="160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50"/>
      <c r="AA817" s="149"/>
      <c r="AB817" s="154"/>
      <c r="AC817" s="155"/>
      <c r="AD817" s="155"/>
      <c r="AE817" s="155"/>
      <c r="AF817" s="155"/>
      <c r="AG817" s="149"/>
      <c r="AH817" s="149"/>
      <c r="AI817" s="149"/>
      <c r="AJ817" s="156"/>
      <c r="AK817" s="149"/>
      <c r="AL817" s="149"/>
      <c r="AM817" s="149"/>
      <c r="AN817" s="149"/>
      <c r="AO817" s="149"/>
      <c r="AP817" s="149"/>
      <c r="AQ817" s="157"/>
      <c r="AR817" s="149"/>
      <c r="AS817" s="158"/>
    </row>
    <row r="818" ht="15.75" customHeight="1">
      <c r="A818" s="149"/>
      <c r="B818" s="149"/>
      <c r="C818" s="149"/>
      <c r="D818" s="160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50"/>
      <c r="AA818" s="149"/>
      <c r="AB818" s="154"/>
      <c r="AC818" s="155"/>
      <c r="AD818" s="155"/>
      <c r="AE818" s="155"/>
      <c r="AF818" s="155"/>
      <c r="AG818" s="149"/>
      <c r="AH818" s="149"/>
      <c r="AI818" s="149"/>
      <c r="AJ818" s="156"/>
      <c r="AK818" s="149"/>
      <c r="AL818" s="149"/>
      <c r="AM818" s="149"/>
      <c r="AN818" s="149"/>
      <c r="AO818" s="149"/>
      <c r="AP818" s="149"/>
      <c r="AQ818" s="157"/>
      <c r="AR818" s="149"/>
      <c r="AS818" s="158"/>
    </row>
    <row r="819" ht="15.75" customHeight="1">
      <c r="A819" s="149"/>
      <c r="B819" s="149"/>
      <c r="C819" s="149"/>
      <c r="D819" s="160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50"/>
      <c r="AA819" s="149"/>
      <c r="AB819" s="154"/>
      <c r="AC819" s="155"/>
      <c r="AD819" s="155"/>
      <c r="AE819" s="155"/>
      <c r="AF819" s="155"/>
      <c r="AG819" s="149"/>
      <c r="AH819" s="149"/>
      <c r="AI819" s="149"/>
      <c r="AJ819" s="156"/>
      <c r="AK819" s="149"/>
      <c r="AL819" s="149"/>
      <c r="AM819" s="149"/>
      <c r="AN819" s="149"/>
      <c r="AO819" s="149"/>
      <c r="AP819" s="149"/>
      <c r="AQ819" s="157"/>
      <c r="AR819" s="149"/>
      <c r="AS819" s="158"/>
    </row>
    <row r="820" ht="15.75" customHeight="1">
      <c r="A820" s="149"/>
      <c r="B820" s="149"/>
      <c r="C820" s="149"/>
      <c r="D820" s="160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50"/>
      <c r="AA820" s="149"/>
      <c r="AB820" s="154"/>
      <c r="AC820" s="155"/>
      <c r="AD820" s="155"/>
      <c r="AE820" s="155"/>
      <c r="AF820" s="155"/>
      <c r="AG820" s="149"/>
      <c r="AH820" s="149"/>
      <c r="AI820" s="149"/>
      <c r="AJ820" s="156"/>
      <c r="AK820" s="149"/>
      <c r="AL820" s="149"/>
      <c r="AM820" s="149"/>
      <c r="AN820" s="149"/>
      <c r="AO820" s="149"/>
      <c r="AP820" s="149"/>
      <c r="AQ820" s="157"/>
      <c r="AR820" s="149"/>
      <c r="AS820" s="158"/>
    </row>
    <row r="821" ht="15.75" customHeight="1">
      <c r="A821" s="149"/>
      <c r="B821" s="149"/>
      <c r="C821" s="149"/>
      <c r="D821" s="160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50"/>
      <c r="AA821" s="149"/>
      <c r="AB821" s="154"/>
      <c r="AC821" s="155"/>
      <c r="AD821" s="155"/>
      <c r="AE821" s="155"/>
      <c r="AF821" s="155"/>
      <c r="AG821" s="149"/>
      <c r="AH821" s="149"/>
      <c r="AI821" s="149"/>
      <c r="AJ821" s="156"/>
      <c r="AK821" s="149"/>
      <c r="AL821" s="149"/>
      <c r="AM821" s="149"/>
      <c r="AN821" s="149"/>
      <c r="AO821" s="149"/>
      <c r="AP821" s="149"/>
      <c r="AQ821" s="157"/>
      <c r="AR821" s="149"/>
      <c r="AS821" s="158"/>
    </row>
    <row r="822" ht="15.75" customHeight="1">
      <c r="A822" s="149"/>
      <c r="B822" s="149"/>
      <c r="C822" s="149"/>
      <c r="D822" s="160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50"/>
      <c r="AA822" s="149"/>
      <c r="AB822" s="154"/>
      <c r="AC822" s="155"/>
      <c r="AD822" s="155"/>
      <c r="AE822" s="155"/>
      <c r="AF822" s="155"/>
      <c r="AG822" s="149"/>
      <c r="AH822" s="149"/>
      <c r="AI822" s="149"/>
      <c r="AJ822" s="156"/>
      <c r="AK822" s="149"/>
      <c r="AL822" s="149"/>
      <c r="AM822" s="149"/>
      <c r="AN822" s="149"/>
      <c r="AO822" s="149"/>
      <c r="AP822" s="149"/>
      <c r="AQ822" s="157"/>
      <c r="AR822" s="149"/>
      <c r="AS822" s="158"/>
    </row>
    <row r="823" ht="15.75" customHeight="1">
      <c r="A823" s="149"/>
      <c r="B823" s="149"/>
      <c r="C823" s="149"/>
      <c r="D823" s="160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50"/>
      <c r="AA823" s="149"/>
      <c r="AB823" s="154"/>
      <c r="AC823" s="155"/>
      <c r="AD823" s="155"/>
      <c r="AE823" s="155"/>
      <c r="AF823" s="155"/>
      <c r="AG823" s="149"/>
      <c r="AH823" s="149"/>
      <c r="AI823" s="149"/>
      <c r="AJ823" s="156"/>
      <c r="AK823" s="149"/>
      <c r="AL823" s="149"/>
      <c r="AM823" s="149"/>
      <c r="AN823" s="149"/>
      <c r="AO823" s="149"/>
      <c r="AP823" s="149"/>
      <c r="AQ823" s="157"/>
      <c r="AR823" s="149"/>
      <c r="AS823" s="158"/>
    </row>
    <row r="824" ht="15.75" customHeight="1">
      <c r="A824" s="149"/>
      <c r="B824" s="149"/>
      <c r="C824" s="149"/>
      <c r="D824" s="160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50"/>
      <c r="AA824" s="149"/>
      <c r="AB824" s="154"/>
      <c r="AC824" s="155"/>
      <c r="AD824" s="155"/>
      <c r="AE824" s="155"/>
      <c r="AF824" s="155"/>
      <c r="AG824" s="149"/>
      <c r="AH824" s="149"/>
      <c r="AI824" s="149"/>
      <c r="AJ824" s="156"/>
      <c r="AK824" s="149"/>
      <c r="AL824" s="149"/>
      <c r="AM824" s="149"/>
      <c r="AN824" s="149"/>
      <c r="AO824" s="149"/>
      <c r="AP824" s="149"/>
      <c r="AQ824" s="157"/>
      <c r="AR824" s="149"/>
      <c r="AS824" s="158"/>
    </row>
    <row r="825" ht="15.75" customHeight="1">
      <c r="A825" s="149"/>
      <c r="B825" s="149"/>
      <c r="C825" s="149"/>
      <c r="D825" s="160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50"/>
      <c r="AA825" s="149"/>
      <c r="AB825" s="154"/>
      <c r="AC825" s="155"/>
      <c r="AD825" s="155"/>
      <c r="AE825" s="155"/>
      <c r="AF825" s="155"/>
      <c r="AG825" s="149"/>
      <c r="AH825" s="149"/>
      <c r="AI825" s="149"/>
      <c r="AJ825" s="156"/>
      <c r="AK825" s="149"/>
      <c r="AL825" s="149"/>
      <c r="AM825" s="149"/>
      <c r="AN825" s="149"/>
      <c r="AO825" s="149"/>
      <c r="AP825" s="149"/>
      <c r="AQ825" s="157"/>
      <c r="AR825" s="149"/>
      <c r="AS825" s="158"/>
    </row>
    <row r="826" ht="15.75" customHeight="1">
      <c r="A826" s="149"/>
      <c r="B826" s="149"/>
      <c r="C826" s="149"/>
      <c r="D826" s="160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50"/>
      <c r="AA826" s="149"/>
      <c r="AB826" s="154"/>
      <c r="AC826" s="155"/>
      <c r="AD826" s="155"/>
      <c r="AE826" s="155"/>
      <c r="AF826" s="155"/>
      <c r="AG826" s="149"/>
      <c r="AH826" s="149"/>
      <c r="AI826" s="149"/>
      <c r="AJ826" s="156"/>
      <c r="AK826" s="149"/>
      <c r="AL826" s="149"/>
      <c r="AM826" s="149"/>
      <c r="AN826" s="149"/>
      <c r="AO826" s="149"/>
      <c r="AP826" s="149"/>
      <c r="AQ826" s="157"/>
      <c r="AR826" s="149"/>
      <c r="AS826" s="158"/>
    </row>
    <row r="827" ht="15.75" customHeight="1">
      <c r="A827" s="149"/>
      <c r="B827" s="149"/>
      <c r="C827" s="149"/>
      <c r="D827" s="160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50"/>
      <c r="AA827" s="149"/>
      <c r="AB827" s="154"/>
      <c r="AC827" s="155"/>
      <c r="AD827" s="155"/>
      <c r="AE827" s="155"/>
      <c r="AF827" s="155"/>
      <c r="AG827" s="149"/>
      <c r="AH827" s="149"/>
      <c r="AI827" s="149"/>
      <c r="AJ827" s="156"/>
      <c r="AK827" s="149"/>
      <c r="AL827" s="149"/>
      <c r="AM827" s="149"/>
      <c r="AN827" s="149"/>
      <c r="AO827" s="149"/>
      <c r="AP827" s="149"/>
      <c r="AQ827" s="157"/>
      <c r="AR827" s="149"/>
      <c r="AS827" s="158"/>
    </row>
    <row r="828" ht="15.75" customHeight="1">
      <c r="A828" s="149"/>
      <c r="B828" s="149"/>
      <c r="C828" s="149"/>
      <c r="D828" s="160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50"/>
      <c r="AA828" s="149"/>
      <c r="AB828" s="154"/>
      <c r="AC828" s="155"/>
      <c r="AD828" s="155"/>
      <c r="AE828" s="155"/>
      <c r="AF828" s="155"/>
      <c r="AG828" s="149"/>
      <c r="AH828" s="149"/>
      <c r="AI828" s="149"/>
      <c r="AJ828" s="156"/>
      <c r="AK828" s="149"/>
      <c r="AL828" s="149"/>
      <c r="AM828" s="149"/>
      <c r="AN828" s="149"/>
      <c r="AO828" s="149"/>
      <c r="AP828" s="149"/>
      <c r="AQ828" s="157"/>
      <c r="AR828" s="149"/>
      <c r="AS828" s="158"/>
    </row>
    <row r="829" ht="15.75" customHeight="1">
      <c r="A829" s="149"/>
      <c r="B829" s="149"/>
      <c r="C829" s="149"/>
      <c r="D829" s="160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50"/>
      <c r="AA829" s="149"/>
      <c r="AB829" s="154"/>
      <c r="AC829" s="155"/>
      <c r="AD829" s="155"/>
      <c r="AE829" s="155"/>
      <c r="AF829" s="155"/>
      <c r="AG829" s="149"/>
      <c r="AH829" s="149"/>
      <c r="AI829" s="149"/>
      <c r="AJ829" s="156"/>
      <c r="AK829" s="149"/>
      <c r="AL829" s="149"/>
      <c r="AM829" s="149"/>
      <c r="AN829" s="149"/>
      <c r="AO829" s="149"/>
      <c r="AP829" s="149"/>
      <c r="AQ829" s="157"/>
      <c r="AR829" s="149"/>
      <c r="AS829" s="158"/>
    </row>
    <row r="830" ht="15.75" customHeight="1">
      <c r="A830" s="149"/>
      <c r="B830" s="149"/>
      <c r="C830" s="149"/>
      <c r="D830" s="160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50"/>
      <c r="AA830" s="149"/>
      <c r="AB830" s="154"/>
      <c r="AC830" s="155"/>
      <c r="AD830" s="155"/>
      <c r="AE830" s="155"/>
      <c r="AF830" s="155"/>
      <c r="AG830" s="149"/>
      <c r="AH830" s="149"/>
      <c r="AI830" s="149"/>
      <c r="AJ830" s="156"/>
      <c r="AK830" s="149"/>
      <c r="AL830" s="149"/>
      <c r="AM830" s="149"/>
      <c r="AN830" s="149"/>
      <c r="AO830" s="149"/>
      <c r="AP830" s="149"/>
      <c r="AQ830" s="157"/>
      <c r="AR830" s="149"/>
      <c r="AS830" s="158"/>
    </row>
    <row r="831" ht="15.75" customHeight="1">
      <c r="A831" s="149"/>
      <c r="B831" s="149"/>
      <c r="C831" s="149"/>
      <c r="D831" s="160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50"/>
      <c r="AA831" s="149"/>
      <c r="AB831" s="154"/>
      <c r="AC831" s="155"/>
      <c r="AD831" s="155"/>
      <c r="AE831" s="155"/>
      <c r="AF831" s="155"/>
      <c r="AG831" s="149"/>
      <c r="AH831" s="149"/>
      <c r="AI831" s="149"/>
      <c r="AJ831" s="156"/>
      <c r="AK831" s="149"/>
      <c r="AL831" s="149"/>
      <c r="AM831" s="149"/>
      <c r="AN831" s="149"/>
      <c r="AO831" s="149"/>
      <c r="AP831" s="149"/>
      <c r="AQ831" s="157"/>
      <c r="AR831" s="149"/>
      <c r="AS831" s="158"/>
    </row>
    <row r="832" ht="15.75" customHeight="1">
      <c r="A832" s="149"/>
      <c r="B832" s="149"/>
      <c r="C832" s="149"/>
      <c r="D832" s="160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50"/>
      <c r="AA832" s="149"/>
      <c r="AB832" s="154"/>
      <c r="AC832" s="155"/>
      <c r="AD832" s="155"/>
      <c r="AE832" s="155"/>
      <c r="AF832" s="155"/>
      <c r="AG832" s="149"/>
      <c r="AH832" s="149"/>
      <c r="AI832" s="149"/>
      <c r="AJ832" s="156"/>
      <c r="AK832" s="149"/>
      <c r="AL832" s="149"/>
      <c r="AM832" s="149"/>
      <c r="AN832" s="149"/>
      <c r="AO832" s="149"/>
      <c r="AP832" s="149"/>
      <c r="AQ832" s="157"/>
      <c r="AR832" s="149"/>
      <c r="AS832" s="158"/>
    </row>
    <row r="833" ht="15.75" customHeight="1">
      <c r="A833" s="149"/>
      <c r="B833" s="149"/>
      <c r="C833" s="149"/>
      <c r="D833" s="160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50"/>
      <c r="AA833" s="149"/>
      <c r="AB833" s="154"/>
      <c r="AC833" s="155"/>
      <c r="AD833" s="155"/>
      <c r="AE833" s="155"/>
      <c r="AF833" s="155"/>
      <c r="AG833" s="149"/>
      <c r="AH833" s="149"/>
      <c r="AI833" s="149"/>
      <c r="AJ833" s="156"/>
      <c r="AK833" s="149"/>
      <c r="AL833" s="149"/>
      <c r="AM833" s="149"/>
      <c r="AN833" s="149"/>
      <c r="AO833" s="149"/>
      <c r="AP833" s="149"/>
      <c r="AQ833" s="157"/>
      <c r="AR833" s="149"/>
      <c r="AS833" s="158"/>
    </row>
    <row r="834" ht="15.75" customHeight="1">
      <c r="A834" s="149"/>
      <c r="B834" s="149"/>
      <c r="C834" s="149"/>
      <c r="D834" s="160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50"/>
      <c r="AA834" s="149"/>
      <c r="AB834" s="154"/>
      <c r="AC834" s="155"/>
      <c r="AD834" s="155"/>
      <c r="AE834" s="155"/>
      <c r="AF834" s="155"/>
      <c r="AG834" s="149"/>
      <c r="AH834" s="149"/>
      <c r="AI834" s="149"/>
      <c r="AJ834" s="156"/>
      <c r="AK834" s="149"/>
      <c r="AL834" s="149"/>
      <c r="AM834" s="149"/>
      <c r="AN834" s="149"/>
      <c r="AO834" s="149"/>
      <c r="AP834" s="149"/>
      <c r="AQ834" s="157"/>
      <c r="AR834" s="149"/>
      <c r="AS834" s="158"/>
    </row>
    <row r="835" ht="15.75" customHeight="1">
      <c r="A835" s="149"/>
      <c r="B835" s="149"/>
      <c r="C835" s="149"/>
      <c r="D835" s="160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50"/>
      <c r="AA835" s="149"/>
      <c r="AB835" s="154"/>
      <c r="AC835" s="155"/>
      <c r="AD835" s="155"/>
      <c r="AE835" s="155"/>
      <c r="AF835" s="155"/>
      <c r="AG835" s="149"/>
      <c r="AH835" s="149"/>
      <c r="AI835" s="149"/>
      <c r="AJ835" s="156"/>
      <c r="AK835" s="149"/>
      <c r="AL835" s="149"/>
      <c r="AM835" s="149"/>
      <c r="AN835" s="149"/>
      <c r="AO835" s="149"/>
      <c r="AP835" s="149"/>
      <c r="AQ835" s="157"/>
      <c r="AR835" s="149"/>
      <c r="AS835" s="158"/>
    </row>
    <row r="836" ht="15.75" customHeight="1">
      <c r="A836" s="149"/>
      <c r="B836" s="149"/>
      <c r="C836" s="149"/>
      <c r="D836" s="160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50"/>
      <c r="AA836" s="149"/>
      <c r="AB836" s="154"/>
      <c r="AC836" s="155"/>
      <c r="AD836" s="155"/>
      <c r="AE836" s="155"/>
      <c r="AF836" s="155"/>
      <c r="AG836" s="149"/>
      <c r="AH836" s="149"/>
      <c r="AI836" s="149"/>
      <c r="AJ836" s="156"/>
      <c r="AK836" s="149"/>
      <c r="AL836" s="149"/>
      <c r="AM836" s="149"/>
      <c r="AN836" s="149"/>
      <c r="AO836" s="149"/>
      <c r="AP836" s="149"/>
      <c r="AQ836" s="157"/>
      <c r="AR836" s="149"/>
      <c r="AS836" s="158"/>
    </row>
    <row r="837" ht="15.75" customHeight="1">
      <c r="A837" s="149"/>
      <c r="B837" s="149"/>
      <c r="C837" s="149"/>
      <c r="D837" s="160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50"/>
      <c r="AA837" s="149"/>
      <c r="AB837" s="154"/>
      <c r="AC837" s="155"/>
      <c r="AD837" s="155"/>
      <c r="AE837" s="155"/>
      <c r="AF837" s="155"/>
      <c r="AG837" s="149"/>
      <c r="AH837" s="149"/>
      <c r="AI837" s="149"/>
      <c r="AJ837" s="156"/>
      <c r="AK837" s="149"/>
      <c r="AL837" s="149"/>
      <c r="AM837" s="149"/>
      <c r="AN837" s="149"/>
      <c r="AO837" s="149"/>
      <c r="AP837" s="149"/>
      <c r="AQ837" s="157"/>
      <c r="AR837" s="149"/>
      <c r="AS837" s="158"/>
    </row>
    <row r="838" ht="15.75" customHeight="1">
      <c r="A838" s="149"/>
      <c r="B838" s="149"/>
      <c r="C838" s="149"/>
      <c r="D838" s="160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50"/>
      <c r="AA838" s="149"/>
      <c r="AB838" s="154"/>
      <c r="AC838" s="155"/>
      <c r="AD838" s="155"/>
      <c r="AE838" s="155"/>
      <c r="AF838" s="155"/>
      <c r="AG838" s="149"/>
      <c r="AH838" s="149"/>
      <c r="AI838" s="149"/>
      <c r="AJ838" s="156"/>
      <c r="AK838" s="149"/>
      <c r="AL838" s="149"/>
      <c r="AM838" s="149"/>
      <c r="AN838" s="149"/>
      <c r="AO838" s="149"/>
      <c r="AP838" s="149"/>
      <c r="AQ838" s="157"/>
      <c r="AR838" s="149"/>
      <c r="AS838" s="158"/>
    </row>
    <row r="839" ht="15.75" customHeight="1">
      <c r="A839" s="149"/>
      <c r="B839" s="149"/>
      <c r="C839" s="149"/>
      <c r="D839" s="160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50"/>
      <c r="AA839" s="149"/>
      <c r="AB839" s="154"/>
      <c r="AC839" s="155"/>
      <c r="AD839" s="155"/>
      <c r="AE839" s="155"/>
      <c r="AF839" s="155"/>
      <c r="AG839" s="149"/>
      <c r="AH839" s="149"/>
      <c r="AI839" s="149"/>
      <c r="AJ839" s="156"/>
      <c r="AK839" s="149"/>
      <c r="AL839" s="149"/>
      <c r="AM839" s="149"/>
      <c r="AN839" s="149"/>
      <c r="AO839" s="149"/>
      <c r="AP839" s="149"/>
      <c r="AQ839" s="157"/>
      <c r="AR839" s="149"/>
      <c r="AS839" s="158"/>
    </row>
    <row r="840" ht="15.75" customHeight="1">
      <c r="A840" s="149"/>
      <c r="B840" s="149"/>
      <c r="C840" s="149"/>
      <c r="D840" s="160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50"/>
      <c r="AA840" s="149"/>
      <c r="AB840" s="154"/>
      <c r="AC840" s="155"/>
      <c r="AD840" s="155"/>
      <c r="AE840" s="155"/>
      <c r="AF840" s="155"/>
      <c r="AG840" s="149"/>
      <c r="AH840" s="149"/>
      <c r="AI840" s="149"/>
      <c r="AJ840" s="156"/>
      <c r="AK840" s="149"/>
      <c r="AL840" s="149"/>
      <c r="AM840" s="149"/>
      <c r="AN840" s="149"/>
      <c r="AO840" s="149"/>
      <c r="AP840" s="149"/>
      <c r="AQ840" s="157"/>
      <c r="AR840" s="149"/>
      <c r="AS840" s="158"/>
    </row>
    <row r="841" ht="15.75" customHeight="1">
      <c r="A841" s="149"/>
      <c r="B841" s="149"/>
      <c r="C841" s="149"/>
      <c r="D841" s="160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50"/>
      <c r="AA841" s="149"/>
      <c r="AB841" s="154"/>
      <c r="AC841" s="155"/>
      <c r="AD841" s="155"/>
      <c r="AE841" s="155"/>
      <c r="AF841" s="155"/>
      <c r="AG841" s="149"/>
      <c r="AH841" s="149"/>
      <c r="AI841" s="149"/>
      <c r="AJ841" s="156"/>
      <c r="AK841" s="149"/>
      <c r="AL841" s="149"/>
      <c r="AM841" s="149"/>
      <c r="AN841" s="149"/>
      <c r="AO841" s="149"/>
      <c r="AP841" s="149"/>
      <c r="AQ841" s="157"/>
      <c r="AR841" s="149"/>
      <c r="AS841" s="158"/>
    </row>
    <row r="842" ht="15.75" customHeight="1">
      <c r="A842" s="149"/>
      <c r="B842" s="149"/>
      <c r="C842" s="149"/>
      <c r="D842" s="160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50"/>
      <c r="AA842" s="149"/>
      <c r="AB842" s="154"/>
      <c r="AC842" s="155"/>
      <c r="AD842" s="155"/>
      <c r="AE842" s="155"/>
      <c r="AF842" s="155"/>
      <c r="AG842" s="149"/>
      <c r="AH842" s="149"/>
      <c r="AI842" s="149"/>
      <c r="AJ842" s="156"/>
      <c r="AK842" s="149"/>
      <c r="AL842" s="149"/>
      <c r="AM842" s="149"/>
      <c r="AN842" s="149"/>
      <c r="AO842" s="149"/>
      <c r="AP842" s="149"/>
      <c r="AQ842" s="157"/>
      <c r="AR842" s="149"/>
      <c r="AS842" s="158"/>
    </row>
    <row r="843" ht="15.75" customHeight="1">
      <c r="A843" s="149"/>
      <c r="B843" s="149"/>
      <c r="C843" s="149"/>
      <c r="D843" s="160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50"/>
      <c r="AA843" s="149"/>
      <c r="AB843" s="154"/>
      <c r="AC843" s="155"/>
      <c r="AD843" s="155"/>
      <c r="AE843" s="155"/>
      <c r="AF843" s="155"/>
      <c r="AG843" s="149"/>
      <c r="AH843" s="149"/>
      <c r="AI843" s="149"/>
      <c r="AJ843" s="156"/>
      <c r="AK843" s="149"/>
      <c r="AL843" s="149"/>
      <c r="AM843" s="149"/>
      <c r="AN843" s="149"/>
      <c r="AO843" s="149"/>
      <c r="AP843" s="149"/>
      <c r="AQ843" s="157"/>
      <c r="AR843" s="149"/>
      <c r="AS843" s="158"/>
    </row>
    <row r="844" ht="15.75" customHeight="1">
      <c r="A844" s="149"/>
      <c r="B844" s="149"/>
      <c r="C844" s="149"/>
      <c r="D844" s="160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50"/>
      <c r="AA844" s="149"/>
      <c r="AB844" s="154"/>
      <c r="AC844" s="155"/>
      <c r="AD844" s="155"/>
      <c r="AE844" s="155"/>
      <c r="AF844" s="155"/>
      <c r="AG844" s="149"/>
      <c r="AH844" s="149"/>
      <c r="AI844" s="149"/>
      <c r="AJ844" s="156"/>
      <c r="AK844" s="149"/>
      <c r="AL844" s="149"/>
      <c r="AM844" s="149"/>
      <c r="AN844" s="149"/>
      <c r="AO844" s="149"/>
      <c r="AP844" s="149"/>
      <c r="AQ844" s="157"/>
      <c r="AR844" s="149"/>
      <c r="AS844" s="158"/>
    </row>
    <row r="845" ht="15.75" customHeight="1">
      <c r="A845" s="149"/>
      <c r="B845" s="149"/>
      <c r="C845" s="149"/>
      <c r="D845" s="160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50"/>
      <c r="AA845" s="149"/>
      <c r="AB845" s="154"/>
      <c r="AC845" s="155"/>
      <c r="AD845" s="155"/>
      <c r="AE845" s="155"/>
      <c r="AF845" s="155"/>
      <c r="AG845" s="149"/>
      <c r="AH845" s="149"/>
      <c r="AI845" s="149"/>
      <c r="AJ845" s="156"/>
      <c r="AK845" s="149"/>
      <c r="AL845" s="149"/>
      <c r="AM845" s="149"/>
      <c r="AN845" s="149"/>
      <c r="AO845" s="149"/>
      <c r="AP845" s="149"/>
      <c r="AQ845" s="157"/>
      <c r="AR845" s="149"/>
      <c r="AS845" s="158"/>
    </row>
    <row r="846" ht="15.75" customHeight="1">
      <c r="A846" s="149"/>
      <c r="B846" s="149"/>
      <c r="C846" s="149"/>
      <c r="D846" s="160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50"/>
      <c r="AA846" s="149"/>
      <c r="AB846" s="154"/>
      <c r="AC846" s="155"/>
      <c r="AD846" s="155"/>
      <c r="AE846" s="155"/>
      <c r="AF846" s="155"/>
      <c r="AG846" s="149"/>
      <c r="AH846" s="149"/>
      <c r="AI846" s="149"/>
      <c r="AJ846" s="156"/>
      <c r="AK846" s="149"/>
      <c r="AL846" s="149"/>
      <c r="AM846" s="149"/>
      <c r="AN846" s="149"/>
      <c r="AO846" s="149"/>
      <c r="AP846" s="149"/>
      <c r="AQ846" s="157"/>
      <c r="AR846" s="149"/>
      <c r="AS846" s="158"/>
    </row>
    <row r="847" ht="15.75" customHeight="1">
      <c r="A847" s="149"/>
      <c r="B847" s="149"/>
      <c r="C847" s="149"/>
      <c r="D847" s="160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50"/>
      <c r="AA847" s="149"/>
      <c r="AB847" s="154"/>
      <c r="AC847" s="155"/>
      <c r="AD847" s="155"/>
      <c r="AE847" s="155"/>
      <c r="AF847" s="155"/>
      <c r="AG847" s="149"/>
      <c r="AH847" s="149"/>
      <c r="AI847" s="149"/>
      <c r="AJ847" s="156"/>
      <c r="AK847" s="149"/>
      <c r="AL847" s="149"/>
      <c r="AM847" s="149"/>
      <c r="AN847" s="149"/>
      <c r="AO847" s="149"/>
      <c r="AP847" s="149"/>
      <c r="AQ847" s="157"/>
      <c r="AR847" s="149"/>
      <c r="AS847" s="158"/>
    </row>
    <row r="848" ht="15.75" customHeight="1">
      <c r="A848" s="149"/>
      <c r="B848" s="149"/>
      <c r="C848" s="149"/>
      <c r="D848" s="160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50"/>
      <c r="AA848" s="149"/>
      <c r="AB848" s="154"/>
      <c r="AC848" s="155"/>
      <c r="AD848" s="155"/>
      <c r="AE848" s="155"/>
      <c r="AF848" s="155"/>
      <c r="AG848" s="149"/>
      <c r="AH848" s="149"/>
      <c r="AI848" s="149"/>
      <c r="AJ848" s="156"/>
      <c r="AK848" s="149"/>
      <c r="AL848" s="149"/>
      <c r="AM848" s="149"/>
      <c r="AN848" s="149"/>
      <c r="AO848" s="149"/>
      <c r="AP848" s="149"/>
      <c r="AQ848" s="157"/>
      <c r="AR848" s="149"/>
      <c r="AS848" s="158"/>
    </row>
    <row r="849" ht="15.75" customHeight="1">
      <c r="A849" s="149"/>
      <c r="B849" s="149"/>
      <c r="C849" s="149"/>
      <c r="D849" s="160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50"/>
      <c r="AA849" s="149"/>
      <c r="AB849" s="154"/>
      <c r="AC849" s="155"/>
      <c r="AD849" s="155"/>
      <c r="AE849" s="155"/>
      <c r="AF849" s="155"/>
      <c r="AG849" s="149"/>
      <c r="AH849" s="149"/>
      <c r="AI849" s="149"/>
      <c r="AJ849" s="156"/>
      <c r="AK849" s="149"/>
      <c r="AL849" s="149"/>
      <c r="AM849" s="149"/>
      <c r="AN849" s="149"/>
      <c r="AO849" s="149"/>
      <c r="AP849" s="149"/>
      <c r="AQ849" s="157"/>
      <c r="AR849" s="149"/>
      <c r="AS849" s="158"/>
    </row>
    <row r="850" ht="15.75" customHeight="1">
      <c r="A850" s="149"/>
      <c r="B850" s="149"/>
      <c r="C850" s="149"/>
      <c r="D850" s="160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50"/>
      <c r="AA850" s="149"/>
      <c r="AB850" s="154"/>
      <c r="AC850" s="155"/>
      <c r="AD850" s="155"/>
      <c r="AE850" s="155"/>
      <c r="AF850" s="155"/>
      <c r="AG850" s="149"/>
      <c r="AH850" s="149"/>
      <c r="AI850" s="149"/>
      <c r="AJ850" s="156"/>
      <c r="AK850" s="149"/>
      <c r="AL850" s="149"/>
      <c r="AM850" s="149"/>
      <c r="AN850" s="149"/>
      <c r="AO850" s="149"/>
      <c r="AP850" s="149"/>
      <c r="AQ850" s="157"/>
      <c r="AR850" s="149"/>
      <c r="AS850" s="158"/>
    </row>
    <row r="851" ht="15.75" customHeight="1">
      <c r="A851" s="149"/>
      <c r="B851" s="149"/>
      <c r="C851" s="149"/>
      <c r="D851" s="160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50"/>
      <c r="AA851" s="149"/>
      <c r="AB851" s="154"/>
      <c r="AC851" s="155"/>
      <c r="AD851" s="155"/>
      <c r="AE851" s="155"/>
      <c r="AF851" s="155"/>
      <c r="AG851" s="149"/>
      <c r="AH851" s="149"/>
      <c r="AI851" s="149"/>
      <c r="AJ851" s="156"/>
      <c r="AK851" s="149"/>
      <c r="AL851" s="149"/>
      <c r="AM851" s="149"/>
      <c r="AN851" s="149"/>
      <c r="AO851" s="149"/>
      <c r="AP851" s="149"/>
      <c r="AQ851" s="157"/>
      <c r="AR851" s="149"/>
      <c r="AS851" s="158"/>
    </row>
    <row r="852" ht="15.75" customHeight="1">
      <c r="A852" s="149"/>
      <c r="B852" s="149"/>
      <c r="C852" s="149"/>
      <c r="D852" s="160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50"/>
      <c r="AA852" s="149"/>
      <c r="AB852" s="154"/>
      <c r="AC852" s="155"/>
      <c r="AD852" s="155"/>
      <c r="AE852" s="155"/>
      <c r="AF852" s="155"/>
      <c r="AG852" s="149"/>
      <c r="AH852" s="149"/>
      <c r="AI852" s="149"/>
      <c r="AJ852" s="156"/>
      <c r="AK852" s="149"/>
      <c r="AL852" s="149"/>
      <c r="AM852" s="149"/>
      <c r="AN852" s="149"/>
      <c r="AO852" s="149"/>
      <c r="AP852" s="149"/>
      <c r="AQ852" s="157"/>
      <c r="AR852" s="149"/>
      <c r="AS852" s="158"/>
    </row>
    <row r="853" ht="15.75" customHeight="1">
      <c r="A853" s="149"/>
      <c r="B853" s="149"/>
      <c r="C853" s="149"/>
      <c r="D853" s="160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50"/>
      <c r="AA853" s="149"/>
      <c r="AB853" s="154"/>
      <c r="AC853" s="155"/>
      <c r="AD853" s="155"/>
      <c r="AE853" s="155"/>
      <c r="AF853" s="155"/>
      <c r="AG853" s="149"/>
      <c r="AH853" s="149"/>
      <c r="AI853" s="149"/>
      <c r="AJ853" s="156"/>
      <c r="AK853" s="149"/>
      <c r="AL853" s="149"/>
      <c r="AM853" s="149"/>
      <c r="AN853" s="149"/>
      <c r="AO853" s="149"/>
      <c r="AP853" s="149"/>
      <c r="AQ853" s="157"/>
      <c r="AR853" s="149"/>
      <c r="AS853" s="158"/>
    </row>
    <row r="854" ht="15.75" customHeight="1">
      <c r="A854" s="149"/>
      <c r="B854" s="149"/>
      <c r="C854" s="149"/>
      <c r="D854" s="160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50"/>
      <c r="AA854" s="149"/>
      <c r="AB854" s="154"/>
      <c r="AC854" s="155"/>
      <c r="AD854" s="155"/>
      <c r="AE854" s="155"/>
      <c r="AF854" s="155"/>
      <c r="AG854" s="149"/>
      <c r="AH854" s="149"/>
      <c r="AI854" s="149"/>
      <c r="AJ854" s="156"/>
      <c r="AK854" s="149"/>
      <c r="AL854" s="149"/>
      <c r="AM854" s="149"/>
      <c r="AN854" s="149"/>
      <c r="AO854" s="149"/>
      <c r="AP854" s="149"/>
      <c r="AQ854" s="157"/>
      <c r="AR854" s="149"/>
      <c r="AS854" s="158"/>
    </row>
    <row r="855" ht="15.75" customHeight="1">
      <c r="A855" s="149"/>
      <c r="B855" s="149"/>
      <c r="C855" s="149"/>
      <c r="D855" s="160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50"/>
      <c r="AA855" s="149"/>
      <c r="AB855" s="154"/>
      <c r="AC855" s="155"/>
      <c r="AD855" s="155"/>
      <c r="AE855" s="155"/>
      <c r="AF855" s="155"/>
      <c r="AG855" s="149"/>
      <c r="AH855" s="149"/>
      <c r="AI855" s="149"/>
      <c r="AJ855" s="156"/>
      <c r="AK855" s="149"/>
      <c r="AL855" s="149"/>
      <c r="AM855" s="149"/>
      <c r="AN855" s="149"/>
      <c r="AO855" s="149"/>
      <c r="AP855" s="149"/>
      <c r="AQ855" s="157"/>
      <c r="AR855" s="149"/>
      <c r="AS855" s="158"/>
    </row>
    <row r="856" ht="15.75" customHeight="1">
      <c r="A856" s="149"/>
      <c r="B856" s="149"/>
      <c r="C856" s="149"/>
      <c r="D856" s="160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50"/>
      <c r="AA856" s="149"/>
      <c r="AB856" s="154"/>
      <c r="AC856" s="155"/>
      <c r="AD856" s="155"/>
      <c r="AE856" s="155"/>
      <c r="AF856" s="155"/>
      <c r="AG856" s="149"/>
      <c r="AH856" s="149"/>
      <c r="AI856" s="149"/>
      <c r="AJ856" s="156"/>
      <c r="AK856" s="149"/>
      <c r="AL856" s="149"/>
      <c r="AM856" s="149"/>
      <c r="AN856" s="149"/>
      <c r="AO856" s="149"/>
      <c r="AP856" s="149"/>
      <c r="AQ856" s="157"/>
      <c r="AR856" s="149"/>
      <c r="AS856" s="158"/>
    </row>
    <row r="857" ht="15.75" customHeight="1">
      <c r="A857" s="149"/>
      <c r="B857" s="149"/>
      <c r="C857" s="149"/>
      <c r="D857" s="160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50"/>
      <c r="AA857" s="149"/>
      <c r="AB857" s="154"/>
      <c r="AC857" s="155"/>
      <c r="AD857" s="155"/>
      <c r="AE857" s="155"/>
      <c r="AF857" s="155"/>
      <c r="AG857" s="149"/>
      <c r="AH857" s="149"/>
      <c r="AI857" s="149"/>
      <c r="AJ857" s="156"/>
      <c r="AK857" s="149"/>
      <c r="AL857" s="149"/>
      <c r="AM857" s="149"/>
      <c r="AN857" s="149"/>
      <c r="AO857" s="149"/>
      <c r="AP857" s="149"/>
      <c r="AQ857" s="157"/>
      <c r="AR857" s="149"/>
      <c r="AS857" s="158"/>
    </row>
    <row r="858" ht="15.75" customHeight="1">
      <c r="A858" s="149"/>
      <c r="B858" s="149"/>
      <c r="C858" s="149"/>
      <c r="D858" s="160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50"/>
      <c r="AA858" s="149"/>
      <c r="AB858" s="154"/>
      <c r="AC858" s="155"/>
      <c r="AD858" s="155"/>
      <c r="AE858" s="155"/>
      <c r="AF858" s="155"/>
      <c r="AG858" s="149"/>
      <c r="AH858" s="149"/>
      <c r="AI858" s="149"/>
      <c r="AJ858" s="156"/>
      <c r="AK858" s="149"/>
      <c r="AL858" s="149"/>
      <c r="AM858" s="149"/>
      <c r="AN858" s="149"/>
      <c r="AO858" s="149"/>
      <c r="AP858" s="149"/>
      <c r="AQ858" s="157"/>
      <c r="AR858" s="149"/>
      <c r="AS858" s="158"/>
    </row>
    <row r="859" ht="15.75" customHeight="1">
      <c r="A859" s="149"/>
      <c r="B859" s="149"/>
      <c r="C859" s="149"/>
      <c r="D859" s="160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50"/>
      <c r="AA859" s="149"/>
      <c r="AB859" s="154"/>
      <c r="AC859" s="155"/>
      <c r="AD859" s="155"/>
      <c r="AE859" s="155"/>
      <c r="AF859" s="155"/>
      <c r="AG859" s="149"/>
      <c r="AH859" s="149"/>
      <c r="AI859" s="149"/>
      <c r="AJ859" s="156"/>
      <c r="AK859" s="149"/>
      <c r="AL859" s="149"/>
      <c r="AM859" s="149"/>
      <c r="AN859" s="149"/>
      <c r="AO859" s="149"/>
      <c r="AP859" s="149"/>
      <c r="AQ859" s="157"/>
      <c r="AR859" s="149"/>
      <c r="AS859" s="158"/>
    </row>
    <row r="860" ht="15.75" customHeight="1">
      <c r="A860" s="149"/>
      <c r="B860" s="149"/>
      <c r="C860" s="149"/>
      <c r="D860" s="160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50"/>
      <c r="AA860" s="149"/>
      <c r="AB860" s="154"/>
      <c r="AC860" s="155"/>
      <c r="AD860" s="155"/>
      <c r="AE860" s="155"/>
      <c r="AF860" s="155"/>
      <c r="AG860" s="149"/>
      <c r="AH860" s="149"/>
      <c r="AI860" s="149"/>
      <c r="AJ860" s="156"/>
      <c r="AK860" s="149"/>
      <c r="AL860" s="149"/>
      <c r="AM860" s="149"/>
      <c r="AN860" s="149"/>
      <c r="AO860" s="149"/>
      <c r="AP860" s="149"/>
      <c r="AQ860" s="157"/>
      <c r="AR860" s="149"/>
      <c r="AS860" s="158"/>
    </row>
    <row r="861" ht="15.75" customHeight="1">
      <c r="A861" s="149"/>
      <c r="B861" s="149"/>
      <c r="C861" s="149"/>
      <c r="D861" s="160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50"/>
      <c r="AA861" s="149"/>
      <c r="AB861" s="154"/>
      <c r="AC861" s="155"/>
      <c r="AD861" s="155"/>
      <c r="AE861" s="155"/>
      <c r="AF861" s="155"/>
      <c r="AG861" s="149"/>
      <c r="AH861" s="149"/>
      <c r="AI861" s="149"/>
      <c r="AJ861" s="156"/>
      <c r="AK861" s="149"/>
      <c r="AL861" s="149"/>
      <c r="AM861" s="149"/>
      <c r="AN861" s="149"/>
      <c r="AO861" s="149"/>
      <c r="AP861" s="149"/>
      <c r="AQ861" s="157"/>
      <c r="AR861" s="149"/>
      <c r="AS861" s="158"/>
    </row>
    <row r="862" ht="15.75" customHeight="1">
      <c r="A862" s="149"/>
      <c r="B862" s="149"/>
      <c r="C862" s="149"/>
      <c r="D862" s="160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50"/>
      <c r="AA862" s="149"/>
      <c r="AB862" s="154"/>
      <c r="AC862" s="155"/>
      <c r="AD862" s="155"/>
      <c r="AE862" s="155"/>
      <c r="AF862" s="155"/>
      <c r="AG862" s="149"/>
      <c r="AH862" s="149"/>
      <c r="AI862" s="149"/>
      <c r="AJ862" s="156"/>
      <c r="AK862" s="149"/>
      <c r="AL862" s="149"/>
      <c r="AM862" s="149"/>
      <c r="AN862" s="149"/>
      <c r="AO862" s="149"/>
      <c r="AP862" s="149"/>
      <c r="AQ862" s="157"/>
      <c r="AR862" s="149"/>
      <c r="AS862" s="158"/>
    </row>
    <row r="863" ht="15.75" customHeight="1">
      <c r="A863" s="149"/>
      <c r="B863" s="149"/>
      <c r="C863" s="149"/>
      <c r="D863" s="160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50"/>
      <c r="AA863" s="149"/>
      <c r="AB863" s="154"/>
      <c r="AC863" s="155"/>
      <c r="AD863" s="155"/>
      <c r="AE863" s="155"/>
      <c r="AF863" s="155"/>
      <c r="AG863" s="149"/>
      <c r="AH863" s="149"/>
      <c r="AI863" s="149"/>
      <c r="AJ863" s="156"/>
      <c r="AK863" s="149"/>
      <c r="AL863" s="149"/>
      <c r="AM863" s="149"/>
      <c r="AN863" s="149"/>
      <c r="AO863" s="149"/>
      <c r="AP863" s="149"/>
      <c r="AQ863" s="157"/>
      <c r="AR863" s="149"/>
      <c r="AS863" s="158"/>
    </row>
    <row r="864" ht="15.75" customHeight="1">
      <c r="A864" s="149"/>
      <c r="B864" s="149"/>
      <c r="C864" s="149"/>
      <c r="D864" s="160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50"/>
      <c r="AA864" s="149"/>
      <c r="AB864" s="154"/>
      <c r="AC864" s="155"/>
      <c r="AD864" s="155"/>
      <c r="AE864" s="155"/>
      <c r="AF864" s="155"/>
      <c r="AG864" s="149"/>
      <c r="AH864" s="149"/>
      <c r="AI864" s="149"/>
      <c r="AJ864" s="156"/>
      <c r="AK864" s="149"/>
      <c r="AL864" s="149"/>
      <c r="AM864" s="149"/>
      <c r="AN864" s="149"/>
      <c r="AO864" s="149"/>
      <c r="AP864" s="149"/>
      <c r="AQ864" s="157"/>
      <c r="AR864" s="149"/>
      <c r="AS864" s="158"/>
    </row>
    <row r="865" ht="15.75" customHeight="1">
      <c r="A865" s="149"/>
      <c r="B865" s="149"/>
      <c r="C865" s="149"/>
      <c r="D865" s="160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50"/>
      <c r="AA865" s="149"/>
      <c r="AB865" s="154"/>
      <c r="AC865" s="155"/>
      <c r="AD865" s="155"/>
      <c r="AE865" s="155"/>
      <c r="AF865" s="155"/>
      <c r="AG865" s="149"/>
      <c r="AH865" s="149"/>
      <c r="AI865" s="149"/>
      <c r="AJ865" s="156"/>
      <c r="AK865" s="149"/>
      <c r="AL865" s="149"/>
      <c r="AM865" s="149"/>
      <c r="AN865" s="149"/>
      <c r="AO865" s="149"/>
      <c r="AP865" s="149"/>
      <c r="AQ865" s="157"/>
      <c r="AR865" s="149"/>
      <c r="AS865" s="158"/>
    </row>
    <row r="866" ht="15.75" customHeight="1">
      <c r="A866" s="149"/>
      <c r="B866" s="149"/>
      <c r="C866" s="149"/>
      <c r="D866" s="160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50"/>
      <c r="AA866" s="149"/>
      <c r="AB866" s="154"/>
      <c r="AC866" s="155"/>
      <c r="AD866" s="155"/>
      <c r="AE866" s="155"/>
      <c r="AF866" s="155"/>
      <c r="AG866" s="149"/>
      <c r="AH866" s="149"/>
      <c r="AI866" s="149"/>
      <c r="AJ866" s="156"/>
      <c r="AK866" s="149"/>
      <c r="AL866" s="149"/>
      <c r="AM866" s="149"/>
      <c r="AN866" s="149"/>
      <c r="AO866" s="149"/>
      <c r="AP866" s="149"/>
      <c r="AQ866" s="157"/>
      <c r="AR866" s="149"/>
      <c r="AS866" s="158"/>
    </row>
    <row r="867" ht="15.75" customHeight="1">
      <c r="A867" s="149"/>
      <c r="B867" s="149"/>
      <c r="C867" s="149"/>
      <c r="D867" s="160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50"/>
      <c r="AA867" s="149"/>
      <c r="AB867" s="154"/>
      <c r="AC867" s="155"/>
      <c r="AD867" s="155"/>
      <c r="AE867" s="155"/>
      <c r="AF867" s="155"/>
      <c r="AG867" s="149"/>
      <c r="AH867" s="149"/>
      <c r="AI867" s="149"/>
      <c r="AJ867" s="156"/>
      <c r="AK867" s="149"/>
      <c r="AL867" s="149"/>
      <c r="AM867" s="149"/>
      <c r="AN867" s="149"/>
      <c r="AO867" s="149"/>
      <c r="AP867" s="149"/>
      <c r="AQ867" s="157"/>
      <c r="AR867" s="149"/>
      <c r="AS867" s="158"/>
    </row>
    <row r="868" ht="15.75" customHeight="1">
      <c r="A868" s="149"/>
      <c r="B868" s="149"/>
      <c r="C868" s="149"/>
      <c r="D868" s="160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50"/>
      <c r="AA868" s="149"/>
      <c r="AB868" s="154"/>
      <c r="AC868" s="155"/>
      <c r="AD868" s="155"/>
      <c r="AE868" s="155"/>
      <c r="AF868" s="155"/>
      <c r="AG868" s="149"/>
      <c r="AH868" s="149"/>
      <c r="AI868" s="149"/>
      <c r="AJ868" s="156"/>
      <c r="AK868" s="149"/>
      <c r="AL868" s="149"/>
      <c r="AM868" s="149"/>
      <c r="AN868" s="149"/>
      <c r="AO868" s="149"/>
      <c r="AP868" s="149"/>
      <c r="AQ868" s="157"/>
      <c r="AR868" s="149"/>
      <c r="AS868" s="158"/>
    </row>
    <row r="869" ht="15.75" customHeight="1">
      <c r="A869" s="149"/>
      <c r="B869" s="149"/>
      <c r="C869" s="149"/>
      <c r="D869" s="160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50"/>
      <c r="AA869" s="149"/>
      <c r="AB869" s="154"/>
      <c r="AC869" s="155"/>
      <c r="AD869" s="155"/>
      <c r="AE869" s="155"/>
      <c r="AF869" s="155"/>
      <c r="AG869" s="149"/>
      <c r="AH869" s="149"/>
      <c r="AI869" s="149"/>
      <c r="AJ869" s="156"/>
      <c r="AK869" s="149"/>
      <c r="AL869" s="149"/>
      <c r="AM869" s="149"/>
      <c r="AN869" s="149"/>
      <c r="AO869" s="149"/>
      <c r="AP869" s="149"/>
      <c r="AQ869" s="157"/>
      <c r="AR869" s="149"/>
      <c r="AS869" s="158"/>
    </row>
    <row r="870" ht="15.75" customHeight="1">
      <c r="A870" s="149"/>
      <c r="B870" s="149"/>
      <c r="C870" s="149"/>
      <c r="D870" s="160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50"/>
      <c r="AA870" s="149"/>
      <c r="AB870" s="154"/>
      <c r="AC870" s="155"/>
      <c r="AD870" s="155"/>
      <c r="AE870" s="155"/>
      <c r="AF870" s="155"/>
      <c r="AG870" s="149"/>
      <c r="AH870" s="149"/>
      <c r="AI870" s="149"/>
      <c r="AJ870" s="156"/>
      <c r="AK870" s="149"/>
      <c r="AL870" s="149"/>
      <c r="AM870" s="149"/>
      <c r="AN870" s="149"/>
      <c r="AO870" s="149"/>
      <c r="AP870" s="149"/>
      <c r="AQ870" s="157"/>
      <c r="AR870" s="149"/>
      <c r="AS870" s="158"/>
    </row>
    <row r="871" ht="15.75" customHeight="1">
      <c r="A871" s="149"/>
      <c r="B871" s="149"/>
      <c r="C871" s="149"/>
      <c r="D871" s="160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50"/>
      <c r="AA871" s="149"/>
      <c r="AB871" s="154"/>
      <c r="AC871" s="155"/>
      <c r="AD871" s="155"/>
      <c r="AE871" s="155"/>
      <c r="AF871" s="155"/>
      <c r="AG871" s="149"/>
      <c r="AH871" s="149"/>
      <c r="AI871" s="149"/>
      <c r="AJ871" s="156"/>
      <c r="AK871" s="149"/>
      <c r="AL871" s="149"/>
      <c r="AM871" s="149"/>
      <c r="AN871" s="149"/>
      <c r="AO871" s="149"/>
      <c r="AP871" s="149"/>
      <c r="AQ871" s="157"/>
      <c r="AR871" s="149"/>
      <c r="AS871" s="158"/>
    </row>
    <row r="872" ht="15.75" customHeight="1">
      <c r="A872" s="149"/>
      <c r="B872" s="149"/>
      <c r="C872" s="149"/>
      <c r="D872" s="160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50"/>
      <c r="AA872" s="149"/>
      <c r="AB872" s="154"/>
      <c r="AC872" s="155"/>
      <c r="AD872" s="155"/>
      <c r="AE872" s="155"/>
      <c r="AF872" s="155"/>
      <c r="AG872" s="149"/>
      <c r="AH872" s="149"/>
      <c r="AI872" s="149"/>
      <c r="AJ872" s="156"/>
      <c r="AK872" s="149"/>
      <c r="AL872" s="149"/>
      <c r="AM872" s="149"/>
      <c r="AN872" s="149"/>
      <c r="AO872" s="149"/>
      <c r="AP872" s="149"/>
      <c r="AQ872" s="157"/>
      <c r="AR872" s="149"/>
      <c r="AS872" s="158"/>
    </row>
    <row r="873" ht="15.75" customHeight="1">
      <c r="A873" s="149"/>
      <c r="B873" s="149"/>
      <c r="C873" s="149"/>
      <c r="D873" s="160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50"/>
      <c r="AA873" s="149"/>
      <c r="AB873" s="154"/>
      <c r="AC873" s="155"/>
      <c r="AD873" s="155"/>
      <c r="AE873" s="155"/>
      <c r="AF873" s="155"/>
      <c r="AG873" s="149"/>
      <c r="AH873" s="149"/>
      <c r="AI873" s="149"/>
      <c r="AJ873" s="156"/>
      <c r="AK873" s="149"/>
      <c r="AL873" s="149"/>
      <c r="AM873" s="149"/>
      <c r="AN873" s="149"/>
      <c r="AO873" s="149"/>
      <c r="AP873" s="149"/>
      <c r="AQ873" s="157"/>
      <c r="AR873" s="149"/>
      <c r="AS873" s="158"/>
    </row>
    <row r="874" ht="15.75" customHeight="1">
      <c r="A874" s="149"/>
      <c r="B874" s="149"/>
      <c r="C874" s="149"/>
      <c r="D874" s="160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50"/>
      <c r="AA874" s="149"/>
      <c r="AB874" s="154"/>
      <c r="AC874" s="155"/>
      <c r="AD874" s="155"/>
      <c r="AE874" s="155"/>
      <c r="AF874" s="155"/>
      <c r="AG874" s="149"/>
      <c r="AH874" s="149"/>
      <c r="AI874" s="149"/>
      <c r="AJ874" s="156"/>
      <c r="AK874" s="149"/>
      <c r="AL874" s="149"/>
      <c r="AM874" s="149"/>
      <c r="AN874" s="149"/>
      <c r="AO874" s="149"/>
      <c r="AP874" s="149"/>
      <c r="AQ874" s="157"/>
      <c r="AR874" s="149"/>
      <c r="AS874" s="158"/>
    </row>
    <row r="875" ht="15.75" customHeight="1">
      <c r="A875" s="149"/>
      <c r="B875" s="149"/>
      <c r="C875" s="149"/>
      <c r="D875" s="160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50"/>
      <c r="AA875" s="149"/>
      <c r="AB875" s="154"/>
      <c r="AC875" s="155"/>
      <c r="AD875" s="155"/>
      <c r="AE875" s="155"/>
      <c r="AF875" s="155"/>
      <c r="AG875" s="149"/>
      <c r="AH875" s="149"/>
      <c r="AI875" s="149"/>
      <c r="AJ875" s="156"/>
      <c r="AK875" s="149"/>
      <c r="AL875" s="149"/>
      <c r="AM875" s="149"/>
      <c r="AN875" s="149"/>
      <c r="AO875" s="149"/>
      <c r="AP875" s="149"/>
      <c r="AQ875" s="157"/>
      <c r="AR875" s="149"/>
      <c r="AS875" s="158"/>
    </row>
    <row r="876" ht="15.75" customHeight="1">
      <c r="A876" s="149"/>
      <c r="B876" s="149"/>
      <c r="C876" s="149"/>
      <c r="D876" s="160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50"/>
      <c r="AA876" s="149"/>
      <c r="AB876" s="154"/>
      <c r="AC876" s="155"/>
      <c r="AD876" s="155"/>
      <c r="AE876" s="155"/>
      <c r="AF876" s="155"/>
      <c r="AG876" s="149"/>
      <c r="AH876" s="149"/>
      <c r="AI876" s="149"/>
      <c r="AJ876" s="156"/>
      <c r="AK876" s="149"/>
      <c r="AL876" s="149"/>
      <c r="AM876" s="149"/>
      <c r="AN876" s="149"/>
      <c r="AO876" s="149"/>
      <c r="AP876" s="149"/>
      <c r="AQ876" s="157"/>
      <c r="AR876" s="149"/>
      <c r="AS876" s="158"/>
    </row>
    <row r="877" ht="15.75" customHeight="1">
      <c r="A877" s="149"/>
      <c r="B877" s="149"/>
      <c r="C877" s="149"/>
      <c r="D877" s="160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50"/>
      <c r="AA877" s="149"/>
      <c r="AB877" s="154"/>
      <c r="AC877" s="155"/>
      <c r="AD877" s="155"/>
      <c r="AE877" s="155"/>
      <c r="AF877" s="155"/>
      <c r="AG877" s="149"/>
      <c r="AH877" s="149"/>
      <c r="AI877" s="149"/>
      <c r="AJ877" s="156"/>
      <c r="AK877" s="149"/>
      <c r="AL877" s="149"/>
      <c r="AM877" s="149"/>
      <c r="AN877" s="149"/>
      <c r="AO877" s="149"/>
      <c r="AP877" s="149"/>
      <c r="AQ877" s="157"/>
      <c r="AR877" s="149"/>
      <c r="AS877" s="158"/>
    </row>
    <row r="878" ht="15.75" customHeight="1">
      <c r="A878" s="149"/>
      <c r="B878" s="149"/>
      <c r="C878" s="149"/>
      <c r="D878" s="160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50"/>
      <c r="AA878" s="149"/>
      <c r="AB878" s="154"/>
      <c r="AC878" s="155"/>
      <c r="AD878" s="155"/>
      <c r="AE878" s="155"/>
      <c r="AF878" s="155"/>
      <c r="AG878" s="149"/>
      <c r="AH878" s="149"/>
      <c r="AI878" s="149"/>
      <c r="AJ878" s="156"/>
      <c r="AK878" s="149"/>
      <c r="AL878" s="149"/>
      <c r="AM878" s="149"/>
      <c r="AN878" s="149"/>
      <c r="AO878" s="149"/>
      <c r="AP878" s="149"/>
      <c r="AQ878" s="157"/>
      <c r="AR878" s="149"/>
      <c r="AS878" s="158"/>
    </row>
    <row r="879" ht="15.75" customHeight="1">
      <c r="A879" s="149"/>
      <c r="B879" s="149"/>
      <c r="C879" s="149"/>
      <c r="D879" s="160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50"/>
      <c r="AA879" s="149"/>
      <c r="AB879" s="154"/>
      <c r="AC879" s="155"/>
      <c r="AD879" s="155"/>
      <c r="AE879" s="155"/>
      <c r="AF879" s="155"/>
      <c r="AG879" s="149"/>
      <c r="AH879" s="149"/>
      <c r="AI879" s="149"/>
      <c r="AJ879" s="156"/>
      <c r="AK879" s="149"/>
      <c r="AL879" s="149"/>
      <c r="AM879" s="149"/>
      <c r="AN879" s="149"/>
      <c r="AO879" s="149"/>
      <c r="AP879" s="149"/>
      <c r="AQ879" s="157"/>
      <c r="AR879" s="149"/>
      <c r="AS879" s="158"/>
    </row>
    <row r="880" ht="15.75" customHeight="1">
      <c r="A880" s="149"/>
      <c r="B880" s="149"/>
      <c r="C880" s="149"/>
      <c r="D880" s="160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50"/>
      <c r="AA880" s="149"/>
      <c r="AB880" s="154"/>
      <c r="AC880" s="155"/>
      <c r="AD880" s="155"/>
      <c r="AE880" s="155"/>
      <c r="AF880" s="155"/>
      <c r="AG880" s="149"/>
      <c r="AH880" s="149"/>
      <c r="AI880" s="149"/>
      <c r="AJ880" s="156"/>
      <c r="AK880" s="149"/>
      <c r="AL880" s="149"/>
      <c r="AM880" s="149"/>
      <c r="AN880" s="149"/>
      <c r="AO880" s="149"/>
      <c r="AP880" s="149"/>
      <c r="AQ880" s="157"/>
      <c r="AR880" s="149"/>
      <c r="AS880" s="158"/>
    </row>
    <row r="881" ht="15.75" customHeight="1">
      <c r="A881" s="149"/>
      <c r="B881" s="149"/>
      <c r="C881" s="149"/>
      <c r="D881" s="160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50"/>
      <c r="AA881" s="149"/>
      <c r="AB881" s="154"/>
      <c r="AC881" s="155"/>
      <c r="AD881" s="155"/>
      <c r="AE881" s="155"/>
      <c r="AF881" s="155"/>
      <c r="AG881" s="149"/>
      <c r="AH881" s="149"/>
      <c r="AI881" s="149"/>
      <c r="AJ881" s="156"/>
      <c r="AK881" s="149"/>
      <c r="AL881" s="149"/>
      <c r="AM881" s="149"/>
      <c r="AN881" s="149"/>
      <c r="AO881" s="149"/>
      <c r="AP881" s="149"/>
      <c r="AQ881" s="157"/>
      <c r="AR881" s="149"/>
      <c r="AS881" s="158"/>
    </row>
    <row r="882" ht="15.75" customHeight="1">
      <c r="A882" s="149"/>
      <c r="B882" s="149"/>
      <c r="C882" s="149"/>
      <c r="D882" s="160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50"/>
      <c r="AA882" s="149"/>
      <c r="AB882" s="154"/>
      <c r="AC882" s="155"/>
      <c r="AD882" s="155"/>
      <c r="AE882" s="155"/>
      <c r="AF882" s="155"/>
      <c r="AG882" s="149"/>
      <c r="AH882" s="149"/>
      <c r="AI882" s="149"/>
      <c r="AJ882" s="156"/>
      <c r="AK882" s="149"/>
      <c r="AL882" s="149"/>
      <c r="AM882" s="149"/>
      <c r="AN882" s="149"/>
      <c r="AO882" s="149"/>
      <c r="AP882" s="149"/>
      <c r="AQ882" s="157"/>
      <c r="AR882" s="149"/>
      <c r="AS882" s="158"/>
    </row>
    <row r="883" ht="15.75" customHeight="1">
      <c r="A883" s="149"/>
      <c r="B883" s="149"/>
      <c r="C883" s="149"/>
      <c r="D883" s="160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50"/>
      <c r="AA883" s="149"/>
      <c r="AB883" s="154"/>
      <c r="AC883" s="155"/>
      <c r="AD883" s="155"/>
      <c r="AE883" s="155"/>
      <c r="AF883" s="155"/>
      <c r="AG883" s="149"/>
      <c r="AH883" s="149"/>
      <c r="AI883" s="149"/>
      <c r="AJ883" s="156"/>
      <c r="AK883" s="149"/>
      <c r="AL883" s="149"/>
      <c r="AM883" s="149"/>
      <c r="AN883" s="149"/>
      <c r="AO883" s="149"/>
      <c r="AP883" s="149"/>
      <c r="AQ883" s="157"/>
      <c r="AR883" s="149"/>
      <c r="AS883" s="158"/>
    </row>
    <row r="884" ht="15.75" customHeight="1">
      <c r="A884" s="149"/>
      <c r="B884" s="149"/>
      <c r="C884" s="149"/>
      <c r="D884" s="160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50"/>
      <c r="AA884" s="149"/>
      <c r="AB884" s="154"/>
      <c r="AC884" s="155"/>
      <c r="AD884" s="155"/>
      <c r="AE884" s="155"/>
      <c r="AF884" s="155"/>
      <c r="AG884" s="149"/>
      <c r="AH884" s="149"/>
      <c r="AI884" s="149"/>
      <c r="AJ884" s="156"/>
      <c r="AK884" s="149"/>
      <c r="AL884" s="149"/>
      <c r="AM884" s="149"/>
      <c r="AN884" s="149"/>
      <c r="AO884" s="149"/>
      <c r="AP884" s="149"/>
      <c r="AQ884" s="157"/>
      <c r="AR884" s="149"/>
      <c r="AS884" s="158"/>
    </row>
    <row r="885" ht="15.75" customHeight="1">
      <c r="A885" s="149"/>
      <c r="B885" s="149"/>
      <c r="C885" s="149"/>
      <c r="D885" s="160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50"/>
      <c r="AA885" s="149"/>
      <c r="AB885" s="154"/>
      <c r="AC885" s="155"/>
      <c r="AD885" s="155"/>
      <c r="AE885" s="155"/>
      <c r="AF885" s="155"/>
      <c r="AG885" s="149"/>
      <c r="AH885" s="149"/>
      <c r="AI885" s="149"/>
      <c r="AJ885" s="156"/>
      <c r="AK885" s="149"/>
      <c r="AL885" s="149"/>
      <c r="AM885" s="149"/>
      <c r="AN885" s="149"/>
      <c r="AO885" s="149"/>
      <c r="AP885" s="149"/>
      <c r="AQ885" s="157"/>
      <c r="AR885" s="149"/>
      <c r="AS885" s="158"/>
    </row>
    <row r="886" ht="15.75" customHeight="1">
      <c r="A886" s="149"/>
      <c r="B886" s="149"/>
      <c r="C886" s="149"/>
      <c r="D886" s="160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50"/>
      <c r="AA886" s="149"/>
      <c r="AB886" s="154"/>
      <c r="AC886" s="155"/>
      <c r="AD886" s="155"/>
      <c r="AE886" s="155"/>
      <c r="AF886" s="155"/>
      <c r="AG886" s="149"/>
      <c r="AH886" s="149"/>
      <c r="AI886" s="149"/>
      <c r="AJ886" s="156"/>
      <c r="AK886" s="149"/>
      <c r="AL886" s="149"/>
      <c r="AM886" s="149"/>
      <c r="AN886" s="149"/>
      <c r="AO886" s="149"/>
      <c r="AP886" s="149"/>
      <c r="AQ886" s="157"/>
      <c r="AR886" s="149"/>
      <c r="AS886" s="158"/>
    </row>
    <row r="887" ht="15.75" customHeight="1">
      <c r="A887" s="149"/>
      <c r="B887" s="149"/>
      <c r="C887" s="149"/>
      <c r="D887" s="160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50"/>
      <c r="AA887" s="149"/>
      <c r="AB887" s="154"/>
      <c r="AC887" s="155"/>
      <c r="AD887" s="155"/>
      <c r="AE887" s="155"/>
      <c r="AF887" s="155"/>
      <c r="AG887" s="149"/>
      <c r="AH887" s="149"/>
      <c r="AI887" s="149"/>
      <c r="AJ887" s="156"/>
      <c r="AK887" s="149"/>
      <c r="AL887" s="149"/>
      <c r="AM887" s="149"/>
      <c r="AN887" s="149"/>
      <c r="AO887" s="149"/>
      <c r="AP887" s="149"/>
      <c r="AQ887" s="157"/>
      <c r="AR887" s="149"/>
      <c r="AS887" s="158"/>
    </row>
    <row r="888" ht="15.75" customHeight="1">
      <c r="A888" s="149"/>
      <c r="B888" s="149"/>
      <c r="C888" s="149"/>
      <c r="D888" s="160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50"/>
      <c r="AA888" s="149"/>
      <c r="AB888" s="154"/>
      <c r="AC888" s="155"/>
      <c r="AD888" s="155"/>
      <c r="AE888" s="155"/>
      <c r="AF888" s="155"/>
      <c r="AG888" s="149"/>
      <c r="AH888" s="149"/>
      <c r="AI888" s="149"/>
      <c r="AJ888" s="156"/>
      <c r="AK888" s="149"/>
      <c r="AL888" s="149"/>
      <c r="AM888" s="149"/>
      <c r="AN888" s="149"/>
      <c r="AO888" s="149"/>
      <c r="AP888" s="149"/>
      <c r="AQ888" s="157"/>
      <c r="AR888" s="149"/>
      <c r="AS888" s="158"/>
    </row>
    <row r="889" ht="15.75" customHeight="1">
      <c r="A889" s="149"/>
      <c r="B889" s="149"/>
      <c r="C889" s="149"/>
      <c r="D889" s="160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50"/>
      <c r="AA889" s="149"/>
      <c r="AB889" s="154"/>
      <c r="AC889" s="155"/>
      <c r="AD889" s="155"/>
      <c r="AE889" s="155"/>
      <c r="AF889" s="155"/>
      <c r="AG889" s="149"/>
      <c r="AH889" s="149"/>
      <c r="AI889" s="149"/>
      <c r="AJ889" s="156"/>
      <c r="AK889" s="149"/>
      <c r="AL889" s="149"/>
      <c r="AM889" s="149"/>
      <c r="AN889" s="149"/>
      <c r="AO889" s="149"/>
      <c r="AP889" s="149"/>
      <c r="AQ889" s="157"/>
      <c r="AR889" s="149"/>
      <c r="AS889" s="158"/>
    </row>
    <row r="890" ht="15.75" customHeight="1">
      <c r="A890" s="149"/>
      <c r="B890" s="149"/>
      <c r="C890" s="149"/>
      <c r="D890" s="160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50"/>
      <c r="AA890" s="149"/>
      <c r="AB890" s="154"/>
      <c r="AC890" s="155"/>
      <c r="AD890" s="155"/>
      <c r="AE890" s="155"/>
      <c r="AF890" s="155"/>
      <c r="AG890" s="149"/>
      <c r="AH890" s="149"/>
      <c r="AI890" s="149"/>
      <c r="AJ890" s="156"/>
      <c r="AK890" s="149"/>
      <c r="AL890" s="149"/>
      <c r="AM890" s="149"/>
      <c r="AN890" s="149"/>
      <c r="AO890" s="149"/>
      <c r="AP890" s="149"/>
      <c r="AQ890" s="157"/>
      <c r="AR890" s="149"/>
      <c r="AS890" s="158"/>
    </row>
    <row r="891" ht="15.75" customHeight="1">
      <c r="A891" s="149"/>
      <c r="B891" s="149"/>
      <c r="C891" s="149"/>
      <c r="D891" s="160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50"/>
      <c r="AA891" s="149"/>
      <c r="AB891" s="154"/>
      <c r="AC891" s="155"/>
      <c r="AD891" s="155"/>
      <c r="AE891" s="155"/>
      <c r="AF891" s="155"/>
      <c r="AG891" s="149"/>
      <c r="AH891" s="149"/>
      <c r="AI891" s="149"/>
      <c r="AJ891" s="156"/>
      <c r="AK891" s="149"/>
      <c r="AL891" s="149"/>
      <c r="AM891" s="149"/>
      <c r="AN891" s="149"/>
      <c r="AO891" s="149"/>
      <c r="AP891" s="149"/>
      <c r="AQ891" s="157"/>
      <c r="AR891" s="149"/>
      <c r="AS891" s="158"/>
    </row>
    <row r="892" ht="15.75" customHeight="1">
      <c r="A892" s="149"/>
      <c r="B892" s="149"/>
      <c r="C892" s="149"/>
      <c r="D892" s="160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50"/>
      <c r="AA892" s="149"/>
      <c r="AB892" s="154"/>
      <c r="AC892" s="155"/>
      <c r="AD892" s="155"/>
      <c r="AE892" s="155"/>
      <c r="AF892" s="155"/>
      <c r="AG892" s="149"/>
      <c r="AH892" s="149"/>
      <c r="AI892" s="149"/>
      <c r="AJ892" s="156"/>
      <c r="AK892" s="149"/>
      <c r="AL892" s="149"/>
      <c r="AM892" s="149"/>
      <c r="AN892" s="149"/>
      <c r="AO892" s="149"/>
      <c r="AP892" s="149"/>
      <c r="AQ892" s="157"/>
      <c r="AR892" s="149"/>
      <c r="AS892" s="158"/>
    </row>
    <row r="893" ht="15.75" customHeight="1">
      <c r="A893" s="149"/>
      <c r="B893" s="149"/>
      <c r="C893" s="149"/>
      <c r="D893" s="160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50"/>
      <c r="AA893" s="149"/>
      <c r="AB893" s="154"/>
      <c r="AC893" s="155"/>
      <c r="AD893" s="155"/>
      <c r="AE893" s="155"/>
      <c r="AF893" s="155"/>
      <c r="AG893" s="149"/>
      <c r="AH893" s="149"/>
      <c r="AI893" s="149"/>
      <c r="AJ893" s="156"/>
      <c r="AK893" s="149"/>
      <c r="AL893" s="149"/>
      <c r="AM893" s="149"/>
      <c r="AN893" s="149"/>
      <c r="AO893" s="149"/>
      <c r="AP893" s="149"/>
      <c r="AQ893" s="157"/>
      <c r="AR893" s="149"/>
      <c r="AS893" s="158"/>
    </row>
    <row r="894" ht="15.75" customHeight="1">
      <c r="A894" s="149"/>
      <c r="B894" s="149"/>
      <c r="C894" s="149"/>
      <c r="D894" s="160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50"/>
      <c r="AA894" s="149"/>
      <c r="AB894" s="154"/>
      <c r="AC894" s="155"/>
      <c r="AD894" s="155"/>
      <c r="AE894" s="155"/>
      <c r="AF894" s="155"/>
      <c r="AG894" s="149"/>
      <c r="AH894" s="149"/>
      <c r="AI894" s="149"/>
      <c r="AJ894" s="156"/>
      <c r="AK894" s="149"/>
      <c r="AL894" s="149"/>
      <c r="AM894" s="149"/>
      <c r="AN894" s="149"/>
      <c r="AO894" s="149"/>
      <c r="AP894" s="149"/>
      <c r="AQ894" s="157"/>
      <c r="AR894" s="149"/>
      <c r="AS894" s="158"/>
    </row>
    <row r="895" ht="15.75" customHeight="1">
      <c r="A895" s="149"/>
      <c r="B895" s="149"/>
      <c r="C895" s="149"/>
      <c r="D895" s="160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50"/>
      <c r="AA895" s="149"/>
      <c r="AB895" s="154"/>
      <c r="AC895" s="155"/>
      <c r="AD895" s="155"/>
      <c r="AE895" s="155"/>
      <c r="AF895" s="155"/>
      <c r="AG895" s="149"/>
      <c r="AH895" s="149"/>
      <c r="AI895" s="149"/>
      <c r="AJ895" s="156"/>
      <c r="AK895" s="149"/>
      <c r="AL895" s="149"/>
      <c r="AM895" s="149"/>
      <c r="AN895" s="149"/>
      <c r="AO895" s="149"/>
      <c r="AP895" s="149"/>
      <c r="AQ895" s="157"/>
      <c r="AR895" s="149"/>
      <c r="AS895" s="158"/>
    </row>
    <row r="896" ht="15.75" customHeight="1">
      <c r="A896" s="149"/>
      <c r="B896" s="149"/>
      <c r="C896" s="149"/>
      <c r="D896" s="160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50"/>
      <c r="AA896" s="149"/>
      <c r="AB896" s="154"/>
      <c r="AC896" s="155"/>
      <c r="AD896" s="155"/>
      <c r="AE896" s="155"/>
      <c r="AF896" s="155"/>
      <c r="AG896" s="149"/>
      <c r="AH896" s="149"/>
      <c r="AI896" s="149"/>
      <c r="AJ896" s="156"/>
      <c r="AK896" s="149"/>
      <c r="AL896" s="149"/>
      <c r="AM896" s="149"/>
      <c r="AN896" s="149"/>
      <c r="AO896" s="149"/>
      <c r="AP896" s="149"/>
      <c r="AQ896" s="157"/>
      <c r="AR896" s="149"/>
      <c r="AS896" s="158"/>
    </row>
    <row r="897" ht="15.75" customHeight="1">
      <c r="A897" s="149"/>
      <c r="B897" s="149"/>
      <c r="C897" s="149"/>
      <c r="D897" s="160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50"/>
      <c r="AA897" s="149"/>
      <c r="AB897" s="154"/>
      <c r="AC897" s="155"/>
      <c r="AD897" s="155"/>
      <c r="AE897" s="155"/>
      <c r="AF897" s="155"/>
      <c r="AG897" s="149"/>
      <c r="AH897" s="149"/>
      <c r="AI897" s="149"/>
      <c r="AJ897" s="156"/>
      <c r="AK897" s="149"/>
      <c r="AL897" s="149"/>
      <c r="AM897" s="149"/>
      <c r="AN897" s="149"/>
      <c r="AO897" s="149"/>
      <c r="AP897" s="149"/>
      <c r="AQ897" s="157"/>
      <c r="AR897" s="149"/>
      <c r="AS897" s="158"/>
    </row>
    <row r="898" ht="15.75" customHeight="1">
      <c r="A898" s="149"/>
      <c r="B898" s="149"/>
      <c r="C898" s="149"/>
      <c r="D898" s="160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50"/>
      <c r="AA898" s="149"/>
      <c r="AB898" s="154"/>
      <c r="AC898" s="155"/>
      <c r="AD898" s="155"/>
      <c r="AE898" s="155"/>
      <c r="AF898" s="155"/>
      <c r="AG898" s="149"/>
      <c r="AH898" s="149"/>
      <c r="AI898" s="149"/>
      <c r="AJ898" s="156"/>
      <c r="AK898" s="149"/>
      <c r="AL898" s="149"/>
      <c r="AM898" s="149"/>
      <c r="AN898" s="149"/>
      <c r="AO898" s="149"/>
      <c r="AP898" s="149"/>
      <c r="AQ898" s="157"/>
      <c r="AR898" s="149"/>
      <c r="AS898" s="158"/>
    </row>
    <row r="899" ht="15.75" customHeight="1">
      <c r="A899" s="149"/>
      <c r="B899" s="149"/>
      <c r="C899" s="149"/>
      <c r="D899" s="160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50"/>
      <c r="AA899" s="149"/>
      <c r="AB899" s="154"/>
      <c r="AC899" s="155"/>
      <c r="AD899" s="155"/>
      <c r="AE899" s="155"/>
      <c r="AF899" s="155"/>
      <c r="AG899" s="149"/>
      <c r="AH899" s="149"/>
      <c r="AI899" s="149"/>
      <c r="AJ899" s="156"/>
      <c r="AK899" s="149"/>
      <c r="AL899" s="149"/>
      <c r="AM899" s="149"/>
      <c r="AN899" s="149"/>
      <c r="AO899" s="149"/>
      <c r="AP899" s="149"/>
      <c r="AQ899" s="157"/>
      <c r="AR899" s="149"/>
      <c r="AS899" s="158"/>
    </row>
    <row r="900" ht="15.75" customHeight="1">
      <c r="A900" s="149"/>
      <c r="B900" s="149"/>
      <c r="C900" s="149"/>
      <c r="D900" s="160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50"/>
      <c r="AA900" s="149"/>
      <c r="AB900" s="154"/>
      <c r="AC900" s="155"/>
      <c r="AD900" s="155"/>
      <c r="AE900" s="155"/>
      <c r="AF900" s="155"/>
      <c r="AG900" s="149"/>
      <c r="AH900" s="149"/>
      <c r="AI900" s="149"/>
      <c r="AJ900" s="156"/>
      <c r="AK900" s="149"/>
      <c r="AL900" s="149"/>
      <c r="AM900" s="149"/>
      <c r="AN900" s="149"/>
      <c r="AO900" s="149"/>
      <c r="AP900" s="149"/>
      <c r="AQ900" s="157"/>
      <c r="AR900" s="149"/>
      <c r="AS900" s="158"/>
    </row>
    <row r="901" ht="15.75" customHeight="1">
      <c r="A901" s="149"/>
      <c r="B901" s="149"/>
      <c r="C901" s="149"/>
      <c r="D901" s="160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50"/>
      <c r="AA901" s="149"/>
      <c r="AB901" s="154"/>
      <c r="AC901" s="155"/>
      <c r="AD901" s="155"/>
      <c r="AE901" s="155"/>
      <c r="AF901" s="155"/>
      <c r="AG901" s="149"/>
      <c r="AH901" s="149"/>
      <c r="AI901" s="149"/>
      <c r="AJ901" s="156"/>
      <c r="AK901" s="149"/>
      <c r="AL901" s="149"/>
      <c r="AM901" s="149"/>
      <c r="AN901" s="149"/>
      <c r="AO901" s="149"/>
      <c r="AP901" s="149"/>
      <c r="AQ901" s="157"/>
      <c r="AR901" s="149"/>
      <c r="AS901" s="158"/>
    </row>
    <row r="902" ht="15.75" customHeight="1">
      <c r="A902" s="149"/>
      <c r="B902" s="149"/>
      <c r="C902" s="149"/>
      <c r="D902" s="160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50"/>
      <c r="AA902" s="149"/>
      <c r="AB902" s="154"/>
      <c r="AC902" s="155"/>
      <c r="AD902" s="155"/>
      <c r="AE902" s="155"/>
      <c r="AF902" s="155"/>
      <c r="AG902" s="149"/>
      <c r="AH902" s="149"/>
      <c r="AI902" s="149"/>
      <c r="AJ902" s="156"/>
      <c r="AK902" s="149"/>
      <c r="AL902" s="149"/>
      <c r="AM902" s="149"/>
      <c r="AN902" s="149"/>
      <c r="AO902" s="149"/>
      <c r="AP902" s="149"/>
      <c r="AQ902" s="157"/>
      <c r="AR902" s="149"/>
      <c r="AS902" s="158"/>
    </row>
    <row r="903" ht="15.75" customHeight="1">
      <c r="A903" s="149"/>
      <c r="B903" s="149"/>
      <c r="C903" s="149"/>
      <c r="D903" s="160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50"/>
      <c r="AA903" s="149"/>
      <c r="AB903" s="154"/>
      <c r="AC903" s="155"/>
      <c r="AD903" s="155"/>
      <c r="AE903" s="155"/>
      <c r="AF903" s="155"/>
      <c r="AG903" s="149"/>
      <c r="AH903" s="149"/>
      <c r="AI903" s="149"/>
      <c r="AJ903" s="156"/>
      <c r="AK903" s="149"/>
      <c r="AL903" s="149"/>
      <c r="AM903" s="149"/>
      <c r="AN903" s="149"/>
      <c r="AO903" s="149"/>
      <c r="AP903" s="149"/>
      <c r="AQ903" s="157"/>
      <c r="AR903" s="149"/>
      <c r="AS903" s="158"/>
    </row>
    <row r="904" ht="15.75" customHeight="1">
      <c r="A904" s="149"/>
      <c r="B904" s="149"/>
      <c r="C904" s="149"/>
      <c r="D904" s="160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50"/>
      <c r="AA904" s="149"/>
      <c r="AB904" s="154"/>
      <c r="AC904" s="155"/>
      <c r="AD904" s="155"/>
      <c r="AE904" s="155"/>
      <c r="AF904" s="155"/>
      <c r="AG904" s="149"/>
      <c r="AH904" s="149"/>
      <c r="AI904" s="149"/>
      <c r="AJ904" s="156"/>
      <c r="AK904" s="149"/>
      <c r="AL904" s="149"/>
      <c r="AM904" s="149"/>
      <c r="AN904" s="149"/>
      <c r="AO904" s="149"/>
      <c r="AP904" s="149"/>
      <c r="AQ904" s="157"/>
      <c r="AR904" s="149"/>
      <c r="AS904" s="158"/>
    </row>
    <row r="905" ht="15.75" customHeight="1">
      <c r="A905" s="149"/>
      <c r="B905" s="149"/>
      <c r="C905" s="149"/>
      <c r="D905" s="160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50"/>
      <c r="AA905" s="149"/>
      <c r="AB905" s="154"/>
      <c r="AC905" s="155"/>
      <c r="AD905" s="155"/>
      <c r="AE905" s="155"/>
      <c r="AF905" s="155"/>
      <c r="AG905" s="149"/>
      <c r="AH905" s="149"/>
      <c r="AI905" s="149"/>
      <c r="AJ905" s="156"/>
      <c r="AK905" s="149"/>
      <c r="AL905" s="149"/>
      <c r="AM905" s="149"/>
      <c r="AN905" s="149"/>
      <c r="AO905" s="149"/>
      <c r="AP905" s="149"/>
      <c r="AQ905" s="157"/>
      <c r="AR905" s="149"/>
      <c r="AS905" s="158"/>
    </row>
    <row r="906" ht="15.75" customHeight="1">
      <c r="A906" s="149"/>
      <c r="B906" s="149"/>
      <c r="C906" s="149"/>
      <c r="D906" s="160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50"/>
      <c r="AA906" s="149"/>
      <c r="AB906" s="154"/>
      <c r="AC906" s="155"/>
      <c r="AD906" s="155"/>
      <c r="AE906" s="155"/>
      <c r="AF906" s="155"/>
      <c r="AG906" s="149"/>
      <c r="AH906" s="149"/>
      <c r="AI906" s="149"/>
      <c r="AJ906" s="156"/>
      <c r="AK906" s="149"/>
      <c r="AL906" s="149"/>
      <c r="AM906" s="149"/>
      <c r="AN906" s="149"/>
      <c r="AO906" s="149"/>
      <c r="AP906" s="149"/>
      <c r="AQ906" s="157"/>
      <c r="AR906" s="149"/>
      <c r="AS906" s="158"/>
    </row>
    <row r="907" ht="15.75" customHeight="1">
      <c r="A907" s="149"/>
      <c r="B907" s="149"/>
      <c r="C907" s="149"/>
      <c r="D907" s="160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50"/>
      <c r="AA907" s="149"/>
      <c r="AB907" s="154"/>
      <c r="AC907" s="155"/>
      <c r="AD907" s="155"/>
      <c r="AE907" s="155"/>
      <c r="AF907" s="155"/>
      <c r="AG907" s="149"/>
      <c r="AH907" s="149"/>
      <c r="AI907" s="149"/>
      <c r="AJ907" s="156"/>
      <c r="AK907" s="149"/>
      <c r="AL907" s="149"/>
      <c r="AM907" s="149"/>
      <c r="AN907" s="149"/>
      <c r="AO907" s="149"/>
      <c r="AP907" s="149"/>
      <c r="AQ907" s="157"/>
      <c r="AR907" s="149"/>
      <c r="AS907" s="158"/>
    </row>
    <row r="908" ht="15.75" customHeight="1">
      <c r="A908" s="149"/>
      <c r="B908" s="149"/>
      <c r="C908" s="149"/>
      <c r="D908" s="160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50"/>
      <c r="AA908" s="149"/>
      <c r="AB908" s="154"/>
      <c r="AC908" s="155"/>
      <c r="AD908" s="155"/>
      <c r="AE908" s="155"/>
      <c r="AF908" s="155"/>
      <c r="AG908" s="149"/>
      <c r="AH908" s="149"/>
      <c r="AI908" s="149"/>
      <c r="AJ908" s="156"/>
      <c r="AK908" s="149"/>
      <c r="AL908" s="149"/>
      <c r="AM908" s="149"/>
      <c r="AN908" s="149"/>
      <c r="AO908" s="149"/>
      <c r="AP908" s="149"/>
      <c r="AQ908" s="157"/>
      <c r="AR908" s="149"/>
      <c r="AS908" s="158"/>
    </row>
    <row r="909" ht="15.75" customHeight="1">
      <c r="A909" s="149"/>
      <c r="B909" s="149"/>
      <c r="C909" s="149"/>
      <c r="D909" s="160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50"/>
      <c r="AA909" s="149"/>
      <c r="AB909" s="154"/>
      <c r="AC909" s="155"/>
      <c r="AD909" s="155"/>
      <c r="AE909" s="155"/>
      <c r="AF909" s="155"/>
      <c r="AG909" s="149"/>
      <c r="AH909" s="149"/>
      <c r="AI909" s="149"/>
      <c r="AJ909" s="156"/>
      <c r="AK909" s="149"/>
      <c r="AL909" s="149"/>
      <c r="AM909" s="149"/>
      <c r="AN909" s="149"/>
      <c r="AO909" s="149"/>
      <c r="AP909" s="149"/>
      <c r="AQ909" s="157"/>
      <c r="AR909" s="149"/>
      <c r="AS909" s="158"/>
    </row>
    <row r="910" ht="15.75" customHeight="1">
      <c r="A910" s="149"/>
      <c r="B910" s="149"/>
      <c r="C910" s="149"/>
      <c r="D910" s="160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50"/>
      <c r="AA910" s="149"/>
      <c r="AB910" s="154"/>
      <c r="AC910" s="155"/>
      <c r="AD910" s="155"/>
      <c r="AE910" s="155"/>
      <c r="AF910" s="155"/>
      <c r="AG910" s="149"/>
      <c r="AH910" s="149"/>
      <c r="AI910" s="149"/>
      <c r="AJ910" s="156"/>
      <c r="AK910" s="149"/>
      <c r="AL910" s="149"/>
      <c r="AM910" s="149"/>
      <c r="AN910" s="149"/>
      <c r="AO910" s="149"/>
      <c r="AP910" s="149"/>
      <c r="AQ910" s="157"/>
      <c r="AR910" s="149"/>
      <c r="AS910" s="158"/>
    </row>
    <row r="911" ht="15.75" customHeight="1">
      <c r="A911" s="149"/>
      <c r="B911" s="149"/>
      <c r="C911" s="149"/>
      <c r="D911" s="160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50"/>
      <c r="AA911" s="149"/>
      <c r="AB911" s="154"/>
      <c r="AC911" s="155"/>
      <c r="AD911" s="155"/>
      <c r="AE911" s="155"/>
      <c r="AF911" s="155"/>
      <c r="AG911" s="149"/>
      <c r="AH911" s="149"/>
      <c r="AI911" s="149"/>
      <c r="AJ911" s="156"/>
      <c r="AK911" s="149"/>
      <c r="AL911" s="149"/>
      <c r="AM911" s="149"/>
      <c r="AN911" s="149"/>
      <c r="AO911" s="149"/>
      <c r="AP911" s="149"/>
      <c r="AQ911" s="157"/>
      <c r="AR911" s="149"/>
      <c r="AS911" s="158"/>
    </row>
    <row r="912" ht="15.75" customHeight="1">
      <c r="A912" s="149"/>
      <c r="B912" s="149"/>
      <c r="C912" s="149"/>
      <c r="D912" s="160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50"/>
      <c r="AA912" s="149"/>
      <c r="AB912" s="154"/>
      <c r="AC912" s="155"/>
      <c r="AD912" s="155"/>
      <c r="AE912" s="155"/>
      <c r="AF912" s="155"/>
      <c r="AG912" s="149"/>
      <c r="AH912" s="149"/>
      <c r="AI912" s="149"/>
      <c r="AJ912" s="156"/>
      <c r="AK912" s="149"/>
      <c r="AL912" s="149"/>
      <c r="AM912" s="149"/>
      <c r="AN912" s="149"/>
      <c r="AO912" s="149"/>
      <c r="AP912" s="149"/>
      <c r="AQ912" s="157"/>
      <c r="AR912" s="149"/>
      <c r="AS912" s="158"/>
    </row>
    <row r="913" ht="15.75" customHeight="1">
      <c r="A913" s="149"/>
      <c r="B913" s="149"/>
      <c r="C913" s="149"/>
      <c r="D913" s="160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50"/>
      <c r="AA913" s="149"/>
      <c r="AB913" s="154"/>
      <c r="AC913" s="155"/>
      <c r="AD913" s="155"/>
      <c r="AE913" s="155"/>
      <c r="AF913" s="155"/>
      <c r="AG913" s="149"/>
      <c r="AH913" s="149"/>
      <c r="AI913" s="149"/>
      <c r="AJ913" s="156"/>
      <c r="AK913" s="149"/>
      <c r="AL913" s="149"/>
      <c r="AM913" s="149"/>
      <c r="AN913" s="149"/>
      <c r="AO913" s="149"/>
      <c r="AP913" s="149"/>
      <c r="AQ913" s="157"/>
      <c r="AR913" s="149"/>
      <c r="AS913" s="158"/>
    </row>
    <row r="914" ht="15.75" customHeight="1">
      <c r="A914" s="149"/>
      <c r="B914" s="149"/>
      <c r="C914" s="149"/>
      <c r="D914" s="160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50"/>
      <c r="AA914" s="149"/>
      <c r="AB914" s="154"/>
      <c r="AC914" s="155"/>
      <c r="AD914" s="155"/>
      <c r="AE914" s="155"/>
      <c r="AF914" s="155"/>
      <c r="AG914" s="149"/>
      <c r="AH914" s="149"/>
      <c r="AI914" s="149"/>
      <c r="AJ914" s="156"/>
      <c r="AK914" s="149"/>
      <c r="AL914" s="149"/>
      <c r="AM914" s="149"/>
      <c r="AN914" s="149"/>
      <c r="AO914" s="149"/>
      <c r="AP914" s="149"/>
      <c r="AQ914" s="157"/>
      <c r="AR914" s="149"/>
      <c r="AS914" s="158"/>
    </row>
    <row r="915" ht="15.75" customHeight="1">
      <c r="A915" s="149"/>
      <c r="B915" s="149"/>
      <c r="C915" s="149"/>
      <c r="D915" s="160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50"/>
      <c r="AA915" s="149"/>
      <c r="AB915" s="154"/>
      <c r="AC915" s="155"/>
      <c r="AD915" s="155"/>
      <c r="AE915" s="155"/>
      <c r="AF915" s="155"/>
      <c r="AG915" s="149"/>
      <c r="AH915" s="149"/>
      <c r="AI915" s="149"/>
      <c r="AJ915" s="156"/>
      <c r="AK915" s="149"/>
      <c r="AL915" s="149"/>
      <c r="AM915" s="149"/>
      <c r="AN915" s="149"/>
      <c r="AO915" s="149"/>
      <c r="AP915" s="149"/>
      <c r="AQ915" s="157"/>
      <c r="AR915" s="149"/>
      <c r="AS915" s="158"/>
    </row>
    <row r="916" ht="15.75" customHeight="1">
      <c r="A916" s="149"/>
      <c r="B916" s="149"/>
      <c r="C916" s="149"/>
      <c r="D916" s="160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50"/>
      <c r="AA916" s="149"/>
      <c r="AB916" s="154"/>
      <c r="AC916" s="155"/>
      <c r="AD916" s="155"/>
      <c r="AE916" s="155"/>
      <c r="AF916" s="155"/>
      <c r="AG916" s="149"/>
      <c r="AH916" s="149"/>
      <c r="AI916" s="149"/>
      <c r="AJ916" s="156"/>
      <c r="AK916" s="149"/>
      <c r="AL916" s="149"/>
      <c r="AM916" s="149"/>
      <c r="AN916" s="149"/>
      <c r="AO916" s="149"/>
      <c r="AP916" s="149"/>
      <c r="AQ916" s="157"/>
      <c r="AR916" s="149"/>
      <c r="AS916" s="158"/>
    </row>
    <row r="917" ht="15.75" customHeight="1">
      <c r="A917" s="149"/>
      <c r="B917" s="149"/>
      <c r="C917" s="149"/>
      <c r="D917" s="160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50"/>
      <c r="AA917" s="149"/>
      <c r="AB917" s="154"/>
      <c r="AC917" s="155"/>
      <c r="AD917" s="155"/>
      <c r="AE917" s="155"/>
      <c r="AF917" s="155"/>
      <c r="AG917" s="149"/>
      <c r="AH917" s="149"/>
      <c r="AI917" s="149"/>
      <c r="AJ917" s="156"/>
      <c r="AK917" s="149"/>
      <c r="AL917" s="149"/>
      <c r="AM917" s="149"/>
      <c r="AN917" s="149"/>
      <c r="AO917" s="149"/>
      <c r="AP917" s="149"/>
      <c r="AQ917" s="157"/>
      <c r="AR917" s="149"/>
      <c r="AS917" s="158"/>
    </row>
    <row r="918" ht="15.75" customHeight="1">
      <c r="A918" s="149"/>
      <c r="B918" s="149"/>
      <c r="C918" s="149"/>
      <c r="D918" s="160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50"/>
      <c r="AA918" s="149"/>
      <c r="AB918" s="154"/>
      <c r="AC918" s="155"/>
      <c r="AD918" s="155"/>
      <c r="AE918" s="155"/>
      <c r="AF918" s="155"/>
      <c r="AG918" s="149"/>
      <c r="AH918" s="149"/>
      <c r="AI918" s="149"/>
      <c r="AJ918" s="156"/>
      <c r="AK918" s="149"/>
      <c r="AL918" s="149"/>
      <c r="AM918" s="149"/>
      <c r="AN918" s="149"/>
      <c r="AO918" s="149"/>
      <c r="AP918" s="149"/>
      <c r="AQ918" s="157"/>
      <c r="AR918" s="149"/>
      <c r="AS918" s="158"/>
    </row>
    <row r="919" ht="15.75" customHeight="1">
      <c r="A919" s="149"/>
      <c r="B919" s="149"/>
      <c r="C919" s="149"/>
      <c r="D919" s="160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50"/>
      <c r="AA919" s="149"/>
      <c r="AB919" s="154"/>
      <c r="AC919" s="155"/>
      <c r="AD919" s="155"/>
      <c r="AE919" s="155"/>
      <c r="AF919" s="155"/>
      <c r="AG919" s="149"/>
      <c r="AH919" s="149"/>
      <c r="AI919" s="149"/>
      <c r="AJ919" s="156"/>
      <c r="AK919" s="149"/>
      <c r="AL919" s="149"/>
      <c r="AM919" s="149"/>
      <c r="AN919" s="149"/>
      <c r="AO919" s="149"/>
      <c r="AP919" s="149"/>
      <c r="AQ919" s="157"/>
      <c r="AR919" s="149"/>
      <c r="AS919" s="158"/>
    </row>
    <row r="920" ht="15.75" customHeight="1">
      <c r="A920" s="149"/>
      <c r="B920" s="149"/>
      <c r="C920" s="149"/>
      <c r="D920" s="160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50"/>
      <c r="AA920" s="149"/>
      <c r="AB920" s="154"/>
      <c r="AC920" s="155"/>
      <c r="AD920" s="155"/>
      <c r="AE920" s="155"/>
      <c r="AF920" s="155"/>
      <c r="AG920" s="149"/>
      <c r="AH920" s="149"/>
      <c r="AI920" s="149"/>
      <c r="AJ920" s="156"/>
      <c r="AK920" s="149"/>
      <c r="AL920" s="149"/>
      <c r="AM920" s="149"/>
      <c r="AN920" s="149"/>
      <c r="AO920" s="149"/>
      <c r="AP920" s="149"/>
      <c r="AQ920" s="157"/>
      <c r="AR920" s="149"/>
      <c r="AS920" s="158"/>
    </row>
    <row r="921" ht="15.75" customHeight="1">
      <c r="A921" s="149"/>
      <c r="B921" s="149"/>
      <c r="C921" s="149"/>
      <c r="D921" s="160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50"/>
      <c r="AA921" s="149"/>
      <c r="AB921" s="154"/>
      <c r="AC921" s="155"/>
      <c r="AD921" s="155"/>
      <c r="AE921" s="155"/>
      <c r="AF921" s="155"/>
      <c r="AG921" s="149"/>
      <c r="AH921" s="149"/>
      <c r="AI921" s="149"/>
      <c r="AJ921" s="156"/>
      <c r="AK921" s="149"/>
      <c r="AL921" s="149"/>
      <c r="AM921" s="149"/>
      <c r="AN921" s="149"/>
      <c r="AO921" s="149"/>
      <c r="AP921" s="149"/>
      <c r="AQ921" s="157"/>
      <c r="AR921" s="149"/>
      <c r="AS921" s="158"/>
    </row>
    <row r="922" ht="15.75" customHeight="1">
      <c r="A922" s="149"/>
      <c r="B922" s="149"/>
      <c r="C922" s="149"/>
      <c r="D922" s="160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50"/>
      <c r="AA922" s="149"/>
      <c r="AB922" s="154"/>
      <c r="AC922" s="155"/>
      <c r="AD922" s="155"/>
      <c r="AE922" s="155"/>
      <c r="AF922" s="155"/>
      <c r="AG922" s="149"/>
      <c r="AH922" s="149"/>
      <c r="AI922" s="149"/>
      <c r="AJ922" s="156"/>
      <c r="AK922" s="149"/>
      <c r="AL922" s="149"/>
      <c r="AM922" s="149"/>
      <c r="AN922" s="149"/>
      <c r="AO922" s="149"/>
      <c r="AP922" s="149"/>
      <c r="AQ922" s="157"/>
      <c r="AR922" s="149"/>
      <c r="AS922" s="158"/>
    </row>
    <row r="923" ht="15.75" customHeight="1">
      <c r="A923" s="149"/>
      <c r="B923" s="149"/>
      <c r="C923" s="149"/>
      <c r="D923" s="160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50"/>
      <c r="AA923" s="149"/>
      <c r="AB923" s="154"/>
      <c r="AC923" s="155"/>
      <c r="AD923" s="155"/>
      <c r="AE923" s="155"/>
      <c r="AF923" s="155"/>
      <c r="AG923" s="149"/>
      <c r="AH923" s="149"/>
      <c r="AI923" s="149"/>
      <c r="AJ923" s="156"/>
      <c r="AK923" s="149"/>
      <c r="AL923" s="149"/>
      <c r="AM923" s="149"/>
      <c r="AN923" s="149"/>
      <c r="AO923" s="149"/>
      <c r="AP923" s="149"/>
      <c r="AQ923" s="157"/>
      <c r="AR923" s="149"/>
      <c r="AS923" s="158"/>
    </row>
    <row r="924" ht="15.75" customHeight="1">
      <c r="A924" s="149"/>
      <c r="B924" s="149"/>
      <c r="C924" s="149"/>
      <c r="D924" s="160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50"/>
      <c r="AA924" s="149"/>
      <c r="AB924" s="154"/>
      <c r="AC924" s="155"/>
      <c r="AD924" s="155"/>
      <c r="AE924" s="155"/>
      <c r="AF924" s="155"/>
      <c r="AG924" s="149"/>
      <c r="AH924" s="149"/>
      <c r="AI924" s="149"/>
      <c r="AJ924" s="156"/>
      <c r="AK924" s="149"/>
      <c r="AL924" s="149"/>
      <c r="AM924" s="149"/>
      <c r="AN924" s="149"/>
      <c r="AO924" s="149"/>
      <c r="AP924" s="149"/>
      <c r="AQ924" s="157"/>
      <c r="AR924" s="149"/>
      <c r="AS924" s="158"/>
    </row>
    <row r="925" ht="15.75" customHeight="1">
      <c r="A925" s="149"/>
      <c r="B925" s="149"/>
      <c r="C925" s="149"/>
      <c r="D925" s="160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50"/>
      <c r="AA925" s="149"/>
      <c r="AB925" s="154"/>
      <c r="AC925" s="155"/>
      <c r="AD925" s="155"/>
      <c r="AE925" s="155"/>
      <c r="AF925" s="155"/>
      <c r="AG925" s="149"/>
      <c r="AH925" s="149"/>
      <c r="AI925" s="149"/>
      <c r="AJ925" s="156"/>
      <c r="AK925" s="149"/>
      <c r="AL925" s="149"/>
      <c r="AM925" s="149"/>
      <c r="AN925" s="149"/>
      <c r="AO925" s="149"/>
      <c r="AP925" s="149"/>
      <c r="AQ925" s="157"/>
      <c r="AR925" s="149"/>
      <c r="AS925" s="158"/>
    </row>
    <row r="926" ht="15.75" customHeight="1">
      <c r="A926" s="149"/>
      <c r="B926" s="149"/>
      <c r="C926" s="149"/>
      <c r="D926" s="160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50"/>
      <c r="AA926" s="149"/>
      <c r="AB926" s="154"/>
      <c r="AC926" s="155"/>
      <c r="AD926" s="155"/>
      <c r="AE926" s="155"/>
      <c r="AF926" s="155"/>
      <c r="AG926" s="149"/>
      <c r="AH926" s="149"/>
      <c r="AI926" s="149"/>
      <c r="AJ926" s="156"/>
      <c r="AK926" s="149"/>
      <c r="AL926" s="149"/>
      <c r="AM926" s="149"/>
      <c r="AN926" s="149"/>
      <c r="AO926" s="149"/>
      <c r="AP926" s="149"/>
      <c r="AQ926" s="157"/>
      <c r="AR926" s="149"/>
      <c r="AS926" s="158"/>
    </row>
    <row r="927" ht="15.75" customHeight="1">
      <c r="A927" s="149"/>
      <c r="B927" s="149"/>
      <c r="C927" s="149"/>
      <c r="D927" s="160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50"/>
      <c r="AA927" s="149"/>
      <c r="AB927" s="154"/>
      <c r="AC927" s="155"/>
      <c r="AD927" s="155"/>
      <c r="AE927" s="155"/>
      <c r="AF927" s="155"/>
      <c r="AG927" s="149"/>
      <c r="AH927" s="149"/>
      <c r="AI927" s="149"/>
      <c r="AJ927" s="156"/>
      <c r="AK927" s="149"/>
      <c r="AL927" s="149"/>
      <c r="AM927" s="149"/>
      <c r="AN927" s="149"/>
      <c r="AO927" s="149"/>
      <c r="AP927" s="149"/>
      <c r="AQ927" s="157"/>
      <c r="AR927" s="149"/>
      <c r="AS927" s="158"/>
    </row>
    <row r="928" ht="15.75" customHeight="1">
      <c r="A928" s="149"/>
      <c r="B928" s="149"/>
      <c r="C928" s="149"/>
      <c r="D928" s="160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50"/>
      <c r="AA928" s="149"/>
      <c r="AB928" s="154"/>
      <c r="AC928" s="155"/>
      <c r="AD928" s="155"/>
      <c r="AE928" s="155"/>
      <c r="AF928" s="155"/>
      <c r="AG928" s="149"/>
      <c r="AH928" s="149"/>
      <c r="AI928" s="149"/>
      <c r="AJ928" s="156"/>
      <c r="AK928" s="149"/>
      <c r="AL928" s="149"/>
      <c r="AM928" s="149"/>
      <c r="AN928" s="149"/>
      <c r="AO928" s="149"/>
      <c r="AP928" s="149"/>
      <c r="AQ928" s="157"/>
      <c r="AR928" s="149"/>
      <c r="AS928" s="158"/>
    </row>
    <row r="929" ht="15.75" customHeight="1">
      <c r="A929" s="149"/>
      <c r="B929" s="149"/>
      <c r="C929" s="149"/>
      <c r="D929" s="160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50"/>
      <c r="AA929" s="149"/>
      <c r="AB929" s="154"/>
      <c r="AC929" s="155"/>
      <c r="AD929" s="155"/>
      <c r="AE929" s="155"/>
      <c r="AF929" s="155"/>
      <c r="AG929" s="149"/>
      <c r="AH929" s="149"/>
      <c r="AI929" s="149"/>
      <c r="AJ929" s="156"/>
      <c r="AK929" s="149"/>
      <c r="AL929" s="149"/>
      <c r="AM929" s="149"/>
      <c r="AN929" s="149"/>
      <c r="AO929" s="149"/>
      <c r="AP929" s="149"/>
      <c r="AQ929" s="157"/>
      <c r="AR929" s="149"/>
      <c r="AS929" s="158"/>
    </row>
    <row r="930" ht="15.75" customHeight="1">
      <c r="A930" s="149"/>
      <c r="B930" s="149"/>
      <c r="C930" s="149"/>
      <c r="D930" s="160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50"/>
      <c r="AA930" s="149"/>
      <c r="AB930" s="154"/>
      <c r="AC930" s="155"/>
      <c r="AD930" s="155"/>
      <c r="AE930" s="155"/>
      <c r="AF930" s="155"/>
      <c r="AG930" s="149"/>
      <c r="AH930" s="149"/>
      <c r="AI930" s="149"/>
      <c r="AJ930" s="156"/>
      <c r="AK930" s="149"/>
      <c r="AL930" s="149"/>
      <c r="AM930" s="149"/>
      <c r="AN930" s="149"/>
      <c r="AO930" s="149"/>
      <c r="AP930" s="149"/>
      <c r="AQ930" s="157"/>
      <c r="AR930" s="149"/>
      <c r="AS930" s="158"/>
    </row>
    <row r="931" ht="15.75" customHeight="1">
      <c r="A931" s="149"/>
      <c r="B931" s="149"/>
      <c r="C931" s="149"/>
      <c r="D931" s="160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50"/>
      <c r="AA931" s="149"/>
      <c r="AB931" s="154"/>
      <c r="AC931" s="155"/>
      <c r="AD931" s="155"/>
      <c r="AE931" s="155"/>
      <c r="AF931" s="155"/>
      <c r="AG931" s="149"/>
      <c r="AH931" s="149"/>
      <c r="AI931" s="149"/>
      <c r="AJ931" s="156"/>
      <c r="AK931" s="149"/>
      <c r="AL931" s="149"/>
      <c r="AM931" s="149"/>
      <c r="AN931" s="149"/>
      <c r="AO931" s="149"/>
      <c r="AP931" s="149"/>
      <c r="AQ931" s="157"/>
      <c r="AR931" s="149"/>
      <c r="AS931" s="158"/>
    </row>
    <row r="932" ht="15.75" customHeight="1">
      <c r="A932" s="149"/>
      <c r="B932" s="149"/>
      <c r="C932" s="149"/>
      <c r="D932" s="160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50"/>
      <c r="AA932" s="149"/>
      <c r="AB932" s="154"/>
      <c r="AC932" s="155"/>
      <c r="AD932" s="155"/>
      <c r="AE932" s="155"/>
      <c r="AF932" s="155"/>
      <c r="AG932" s="149"/>
      <c r="AH932" s="149"/>
      <c r="AI932" s="149"/>
      <c r="AJ932" s="156"/>
      <c r="AK932" s="149"/>
      <c r="AL932" s="149"/>
      <c r="AM932" s="149"/>
      <c r="AN932" s="149"/>
      <c r="AO932" s="149"/>
      <c r="AP932" s="149"/>
      <c r="AQ932" s="157"/>
      <c r="AR932" s="149"/>
      <c r="AS932" s="158"/>
    </row>
    <row r="933" ht="15.75" customHeight="1">
      <c r="A933" s="149"/>
      <c r="B933" s="149"/>
      <c r="C933" s="149"/>
      <c r="D933" s="160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50"/>
      <c r="AA933" s="149"/>
      <c r="AB933" s="154"/>
      <c r="AC933" s="155"/>
      <c r="AD933" s="155"/>
      <c r="AE933" s="155"/>
      <c r="AF933" s="155"/>
      <c r="AG933" s="149"/>
      <c r="AH933" s="149"/>
      <c r="AI933" s="149"/>
      <c r="AJ933" s="156"/>
      <c r="AK933" s="149"/>
      <c r="AL933" s="149"/>
      <c r="AM933" s="149"/>
      <c r="AN933" s="149"/>
      <c r="AO933" s="149"/>
      <c r="AP933" s="149"/>
      <c r="AQ933" s="157"/>
      <c r="AR933" s="149"/>
      <c r="AS933" s="158"/>
    </row>
    <row r="934" ht="15.75" customHeight="1">
      <c r="A934" s="149"/>
      <c r="B934" s="149"/>
      <c r="C934" s="149"/>
      <c r="D934" s="160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50"/>
      <c r="AA934" s="149"/>
      <c r="AB934" s="154"/>
      <c r="AC934" s="155"/>
      <c r="AD934" s="155"/>
      <c r="AE934" s="155"/>
      <c r="AF934" s="155"/>
      <c r="AG934" s="149"/>
      <c r="AH934" s="149"/>
      <c r="AI934" s="149"/>
      <c r="AJ934" s="156"/>
      <c r="AK934" s="149"/>
      <c r="AL934" s="149"/>
      <c r="AM934" s="149"/>
      <c r="AN934" s="149"/>
      <c r="AO934" s="149"/>
      <c r="AP934" s="149"/>
      <c r="AQ934" s="157"/>
      <c r="AR934" s="149"/>
      <c r="AS934" s="158"/>
    </row>
    <row r="935" ht="15.75" customHeight="1">
      <c r="A935" s="149"/>
      <c r="B935" s="149"/>
      <c r="C935" s="149"/>
      <c r="D935" s="160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50"/>
      <c r="AA935" s="149"/>
      <c r="AB935" s="154"/>
      <c r="AC935" s="155"/>
      <c r="AD935" s="155"/>
      <c r="AE935" s="155"/>
      <c r="AF935" s="155"/>
      <c r="AG935" s="149"/>
      <c r="AH935" s="149"/>
      <c r="AI935" s="149"/>
      <c r="AJ935" s="156"/>
      <c r="AK935" s="149"/>
      <c r="AL935" s="149"/>
      <c r="AM935" s="149"/>
      <c r="AN935" s="149"/>
      <c r="AO935" s="149"/>
      <c r="AP935" s="149"/>
      <c r="AQ935" s="157"/>
      <c r="AR935" s="149"/>
      <c r="AS935" s="158"/>
    </row>
    <row r="936" ht="15.75" customHeight="1">
      <c r="A936" s="149"/>
      <c r="B936" s="149"/>
      <c r="C936" s="149"/>
      <c r="D936" s="160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50"/>
      <c r="AA936" s="149"/>
      <c r="AB936" s="154"/>
      <c r="AC936" s="155"/>
      <c r="AD936" s="155"/>
      <c r="AE936" s="155"/>
      <c r="AF936" s="155"/>
      <c r="AG936" s="149"/>
      <c r="AH936" s="149"/>
      <c r="AI936" s="149"/>
      <c r="AJ936" s="156"/>
      <c r="AK936" s="149"/>
      <c r="AL936" s="149"/>
      <c r="AM936" s="149"/>
      <c r="AN936" s="149"/>
      <c r="AO936" s="149"/>
      <c r="AP936" s="149"/>
      <c r="AQ936" s="157"/>
      <c r="AR936" s="149"/>
      <c r="AS936" s="158"/>
    </row>
    <row r="937" ht="15.75" customHeight="1">
      <c r="A937" s="149"/>
      <c r="B937" s="149"/>
      <c r="C937" s="149"/>
      <c r="D937" s="160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50"/>
      <c r="AA937" s="149"/>
      <c r="AB937" s="154"/>
      <c r="AC937" s="155"/>
      <c r="AD937" s="155"/>
      <c r="AE937" s="155"/>
      <c r="AF937" s="155"/>
      <c r="AG937" s="149"/>
      <c r="AH937" s="149"/>
      <c r="AI937" s="149"/>
      <c r="AJ937" s="156"/>
      <c r="AK937" s="149"/>
      <c r="AL937" s="149"/>
      <c r="AM937" s="149"/>
      <c r="AN937" s="149"/>
      <c r="AO937" s="149"/>
      <c r="AP937" s="149"/>
      <c r="AQ937" s="157"/>
      <c r="AR937" s="149"/>
      <c r="AS937" s="158"/>
    </row>
    <row r="938" ht="15.75" customHeight="1">
      <c r="A938" s="149"/>
      <c r="B938" s="149"/>
      <c r="C938" s="149"/>
      <c r="D938" s="160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50"/>
      <c r="AA938" s="149"/>
      <c r="AB938" s="154"/>
      <c r="AC938" s="155"/>
      <c r="AD938" s="155"/>
      <c r="AE938" s="155"/>
      <c r="AF938" s="155"/>
      <c r="AG938" s="149"/>
      <c r="AH938" s="149"/>
      <c r="AI938" s="149"/>
      <c r="AJ938" s="156"/>
      <c r="AK938" s="149"/>
      <c r="AL938" s="149"/>
      <c r="AM938" s="149"/>
      <c r="AN938" s="149"/>
      <c r="AO938" s="149"/>
      <c r="AP938" s="149"/>
      <c r="AQ938" s="157"/>
      <c r="AR938" s="149"/>
      <c r="AS938" s="158"/>
    </row>
    <row r="939" ht="15.75" customHeight="1">
      <c r="A939" s="149"/>
      <c r="B939" s="149"/>
      <c r="C939" s="149"/>
      <c r="D939" s="160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50"/>
      <c r="AA939" s="149"/>
      <c r="AB939" s="154"/>
      <c r="AC939" s="155"/>
      <c r="AD939" s="155"/>
      <c r="AE939" s="155"/>
      <c r="AF939" s="155"/>
      <c r="AG939" s="149"/>
      <c r="AH939" s="149"/>
      <c r="AI939" s="149"/>
      <c r="AJ939" s="156"/>
      <c r="AK939" s="149"/>
      <c r="AL939" s="149"/>
      <c r="AM939" s="149"/>
      <c r="AN939" s="149"/>
      <c r="AO939" s="149"/>
      <c r="AP939" s="149"/>
      <c r="AQ939" s="157"/>
      <c r="AR939" s="149"/>
      <c r="AS939" s="158"/>
    </row>
    <row r="940" ht="15.75" customHeight="1">
      <c r="A940" s="149"/>
      <c r="B940" s="149"/>
      <c r="C940" s="149"/>
      <c r="D940" s="160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50"/>
      <c r="AA940" s="149"/>
      <c r="AB940" s="154"/>
      <c r="AC940" s="155"/>
      <c r="AD940" s="155"/>
      <c r="AE940" s="155"/>
      <c r="AF940" s="155"/>
      <c r="AG940" s="149"/>
      <c r="AH940" s="149"/>
      <c r="AI940" s="149"/>
      <c r="AJ940" s="156"/>
      <c r="AK940" s="149"/>
      <c r="AL940" s="149"/>
      <c r="AM940" s="149"/>
      <c r="AN940" s="149"/>
      <c r="AO940" s="149"/>
      <c r="AP940" s="149"/>
      <c r="AQ940" s="157"/>
      <c r="AR940" s="149"/>
      <c r="AS940" s="158"/>
    </row>
    <row r="941" ht="15.75" customHeight="1">
      <c r="A941" s="149"/>
      <c r="B941" s="149"/>
      <c r="C941" s="149"/>
      <c r="D941" s="160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50"/>
      <c r="AA941" s="149"/>
      <c r="AB941" s="154"/>
      <c r="AC941" s="155"/>
      <c r="AD941" s="155"/>
      <c r="AE941" s="155"/>
      <c r="AF941" s="155"/>
      <c r="AG941" s="149"/>
      <c r="AH941" s="149"/>
      <c r="AI941" s="149"/>
      <c r="AJ941" s="156"/>
      <c r="AK941" s="149"/>
      <c r="AL941" s="149"/>
      <c r="AM941" s="149"/>
      <c r="AN941" s="149"/>
      <c r="AO941" s="149"/>
      <c r="AP941" s="149"/>
      <c r="AQ941" s="157"/>
      <c r="AR941" s="149"/>
      <c r="AS941" s="158"/>
    </row>
    <row r="942" ht="15.75" customHeight="1">
      <c r="A942" s="149"/>
      <c r="B942" s="149"/>
      <c r="C942" s="149"/>
      <c r="D942" s="160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50"/>
      <c r="AA942" s="149"/>
      <c r="AB942" s="154"/>
      <c r="AC942" s="155"/>
      <c r="AD942" s="155"/>
      <c r="AE942" s="155"/>
      <c r="AF942" s="155"/>
      <c r="AG942" s="149"/>
      <c r="AH942" s="149"/>
      <c r="AI942" s="149"/>
      <c r="AJ942" s="156"/>
      <c r="AK942" s="149"/>
      <c r="AL942" s="149"/>
      <c r="AM942" s="149"/>
      <c r="AN942" s="149"/>
      <c r="AO942" s="149"/>
      <c r="AP942" s="149"/>
      <c r="AQ942" s="157"/>
      <c r="AR942" s="149"/>
      <c r="AS942" s="158"/>
    </row>
    <row r="943" ht="15.75" customHeight="1">
      <c r="A943" s="149"/>
      <c r="B943" s="149"/>
      <c r="C943" s="149"/>
      <c r="D943" s="160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50"/>
      <c r="AA943" s="149"/>
      <c r="AB943" s="154"/>
      <c r="AC943" s="155"/>
      <c r="AD943" s="155"/>
      <c r="AE943" s="155"/>
      <c r="AF943" s="155"/>
      <c r="AG943" s="149"/>
      <c r="AH943" s="149"/>
      <c r="AI943" s="149"/>
      <c r="AJ943" s="156"/>
      <c r="AK943" s="149"/>
      <c r="AL943" s="149"/>
      <c r="AM943" s="149"/>
      <c r="AN943" s="149"/>
      <c r="AO943" s="149"/>
      <c r="AP943" s="149"/>
      <c r="AQ943" s="157"/>
      <c r="AR943" s="149"/>
      <c r="AS943" s="158"/>
    </row>
    <row r="944" ht="15.75" customHeight="1">
      <c r="A944" s="149"/>
      <c r="B944" s="149"/>
      <c r="C944" s="149"/>
      <c r="D944" s="160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50"/>
      <c r="AA944" s="149"/>
      <c r="AB944" s="154"/>
      <c r="AC944" s="155"/>
      <c r="AD944" s="155"/>
      <c r="AE944" s="155"/>
      <c r="AF944" s="155"/>
      <c r="AG944" s="149"/>
      <c r="AH944" s="149"/>
      <c r="AI944" s="149"/>
      <c r="AJ944" s="156"/>
      <c r="AK944" s="149"/>
      <c r="AL944" s="149"/>
      <c r="AM944" s="149"/>
      <c r="AN944" s="149"/>
      <c r="AO944" s="149"/>
      <c r="AP944" s="149"/>
      <c r="AQ944" s="157"/>
      <c r="AR944" s="149"/>
      <c r="AS944" s="158"/>
    </row>
    <row r="945" ht="15.75" customHeight="1">
      <c r="A945" s="149"/>
      <c r="B945" s="149"/>
      <c r="C945" s="149"/>
      <c r="D945" s="160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50"/>
      <c r="AA945" s="149"/>
      <c r="AB945" s="154"/>
      <c r="AC945" s="155"/>
      <c r="AD945" s="155"/>
      <c r="AE945" s="155"/>
      <c r="AF945" s="155"/>
      <c r="AG945" s="149"/>
      <c r="AH945" s="149"/>
      <c r="AI945" s="149"/>
      <c r="AJ945" s="156"/>
      <c r="AK945" s="149"/>
      <c r="AL945" s="149"/>
      <c r="AM945" s="149"/>
      <c r="AN945" s="149"/>
      <c r="AO945" s="149"/>
      <c r="AP945" s="149"/>
      <c r="AQ945" s="157"/>
      <c r="AR945" s="149"/>
      <c r="AS945" s="158"/>
    </row>
    <row r="946" ht="15.75" customHeight="1">
      <c r="A946" s="149"/>
      <c r="B946" s="149"/>
      <c r="C946" s="149"/>
      <c r="D946" s="160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50"/>
      <c r="AA946" s="149"/>
      <c r="AB946" s="154"/>
      <c r="AC946" s="155"/>
      <c r="AD946" s="155"/>
      <c r="AE946" s="155"/>
      <c r="AF946" s="155"/>
      <c r="AG946" s="149"/>
      <c r="AH946" s="149"/>
      <c r="AI946" s="149"/>
      <c r="AJ946" s="156"/>
      <c r="AK946" s="149"/>
      <c r="AL946" s="149"/>
      <c r="AM946" s="149"/>
      <c r="AN946" s="149"/>
      <c r="AO946" s="149"/>
      <c r="AP946" s="149"/>
      <c r="AQ946" s="157"/>
      <c r="AR946" s="149"/>
      <c r="AS946" s="158"/>
    </row>
    <row r="947" ht="15.75" customHeight="1">
      <c r="A947" s="149"/>
      <c r="B947" s="149"/>
      <c r="C947" s="149"/>
      <c r="D947" s="160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50"/>
      <c r="AA947" s="149"/>
      <c r="AB947" s="154"/>
      <c r="AC947" s="155"/>
      <c r="AD947" s="155"/>
      <c r="AE947" s="155"/>
      <c r="AF947" s="155"/>
      <c r="AG947" s="149"/>
      <c r="AH947" s="149"/>
      <c r="AI947" s="149"/>
      <c r="AJ947" s="156"/>
      <c r="AK947" s="149"/>
      <c r="AL947" s="149"/>
      <c r="AM947" s="149"/>
      <c r="AN947" s="149"/>
      <c r="AO947" s="149"/>
      <c r="AP947" s="149"/>
      <c r="AQ947" s="157"/>
      <c r="AR947" s="149"/>
      <c r="AS947" s="158"/>
    </row>
    <row r="948" ht="15.75" customHeight="1">
      <c r="A948" s="149"/>
      <c r="B948" s="149"/>
      <c r="C948" s="149"/>
      <c r="D948" s="160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50"/>
      <c r="AA948" s="149"/>
      <c r="AB948" s="154"/>
      <c r="AC948" s="155"/>
      <c r="AD948" s="155"/>
      <c r="AE948" s="155"/>
      <c r="AF948" s="155"/>
      <c r="AG948" s="149"/>
      <c r="AH948" s="149"/>
      <c r="AI948" s="149"/>
      <c r="AJ948" s="156"/>
      <c r="AK948" s="149"/>
      <c r="AL948" s="149"/>
      <c r="AM948" s="149"/>
      <c r="AN948" s="149"/>
      <c r="AO948" s="149"/>
      <c r="AP948" s="149"/>
      <c r="AQ948" s="157"/>
      <c r="AR948" s="149"/>
      <c r="AS948" s="158"/>
    </row>
    <row r="949" ht="15.75" customHeight="1">
      <c r="A949" s="149"/>
      <c r="B949" s="149"/>
      <c r="C949" s="149"/>
      <c r="D949" s="160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50"/>
      <c r="AA949" s="149"/>
      <c r="AB949" s="154"/>
      <c r="AC949" s="155"/>
      <c r="AD949" s="155"/>
      <c r="AE949" s="155"/>
      <c r="AF949" s="155"/>
      <c r="AG949" s="149"/>
      <c r="AH949" s="149"/>
      <c r="AI949" s="149"/>
      <c r="AJ949" s="156"/>
      <c r="AK949" s="149"/>
      <c r="AL949" s="149"/>
      <c r="AM949" s="149"/>
      <c r="AN949" s="149"/>
      <c r="AO949" s="149"/>
      <c r="AP949" s="149"/>
      <c r="AQ949" s="157"/>
      <c r="AR949" s="149"/>
      <c r="AS949" s="158"/>
    </row>
    <row r="950" ht="15.75" customHeight="1">
      <c r="A950" s="149"/>
      <c r="B950" s="149"/>
      <c r="C950" s="149"/>
      <c r="D950" s="160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50"/>
      <c r="AA950" s="149"/>
      <c r="AB950" s="154"/>
      <c r="AC950" s="155"/>
      <c r="AD950" s="155"/>
      <c r="AE950" s="155"/>
      <c r="AF950" s="155"/>
      <c r="AG950" s="149"/>
      <c r="AH950" s="149"/>
      <c r="AI950" s="149"/>
      <c r="AJ950" s="156"/>
      <c r="AK950" s="149"/>
      <c r="AL950" s="149"/>
      <c r="AM950" s="149"/>
      <c r="AN950" s="149"/>
      <c r="AO950" s="149"/>
      <c r="AP950" s="149"/>
      <c r="AQ950" s="157"/>
      <c r="AR950" s="149"/>
      <c r="AS950" s="158"/>
    </row>
    <row r="951" ht="15.75" customHeight="1">
      <c r="A951" s="149"/>
      <c r="B951" s="149"/>
      <c r="C951" s="149"/>
      <c r="D951" s="160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50"/>
      <c r="AA951" s="149"/>
      <c r="AB951" s="154"/>
      <c r="AC951" s="155"/>
      <c r="AD951" s="155"/>
      <c r="AE951" s="155"/>
      <c r="AF951" s="155"/>
      <c r="AG951" s="149"/>
      <c r="AH951" s="149"/>
      <c r="AI951" s="149"/>
      <c r="AJ951" s="156"/>
      <c r="AK951" s="149"/>
      <c r="AL951" s="149"/>
      <c r="AM951" s="149"/>
      <c r="AN951" s="149"/>
      <c r="AO951" s="149"/>
      <c r="AP951" s="149"/>
      <c r="AQ951" s="157"/>
      <c r="AR951" s="149"/>
      <c r="AS951" s="158"/>
    </row>
    <row r="952" ht="15.75" customHeight="1">
      <c r="A952" s="149"/>
      <c r="B952" s="149"/>
      <c r="C952" s="149"/>
      <c r="D952" s="160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50"/>
      <c r="AA952" s="149"/>
      <c r="AB952" s="154"/>
      <c r="AC952" s="155"/>
      <c r="AD952" s="155"/>
      <c r="AE952" s="155"/>
      <c r="AF952" s="155"/>
      <c r="AG952" s="149"/>
      <c r="AH952" s="149"/>
      <c r="AI952" s="149"/>
      <c r="AJ952" s="156"/>
      <c r="AK952" s="149"/>
      <c r="AL952" s="149"/>
      <c r="AM952" s="149"/>
      <c r="AN952" s="149"/>
      <c r="AO952" s="149"/>
      <c r="AP952" s="149"/>
      <c r="AQ952" s="157"/>
      <c r="AR952" s="149"/>
      <c r="AS952" s="158"/>
    </row>
    <row r="953" ht="15.75" customHeight="1">
      <c r="A953" s="149"/>
      <c r="B953" s="149"/>
      <c r="C953" s="149"/>
      <c r="D953" s="160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50"/>
      <c r="AA953" s="149"/>
      <c r="AB953" s="154"/>
      <c r="AC953" s="155"/>
      <c r="AD953" s="155"/>
      <c r="AE953" s="155"/>
      <c r="AF953" s="155"/>
      <c r="AG953" s="149"/>
      <c r="AH953" s="149"/>
      <c r="AI953" s="149"/>
      <c r="AJ953" s="156"/>
      <c r="AK953" s="149"/>
      <c r="AL953" s="149"/>
      <c r="AM953" s="149"/>
      <c r="AN953" s="149"/>
      <c r="AO953" s="149"/>
      <c r="AP953" s="149"/>
      <c r="AQ953" s="157"/>
      <c r="AR953" s="149"/>
      <c r="AS953" s="158"/>
    </row>
    <row r="954" ht="15.75" customHeight="1">
      <c r="A954" s="149"/>
      <c r="B954" s="149"/>
      <c r="C954" s="149"/>
      <c r="D954" s="160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50"/>
      <c r="AA954" s="149"/>
      <c r="AB954" s="154"/>
      <c r="AC954" s="155"/>
      <c r="AD954" s="155"/>
      <c r="AE954" s="155"/>
      <c r="AF954" s="155"/>
      <c r="AG954" s="149"/>
      <c r="AH954" s="149"/>
      <c r="AI954" s="149"/>
      <c r="AJ954" s="156"/>
      <c r="AK954" s="149"/>
      <c r="AL954" s="149"/>
      <c r="AM954" s="149"/>
      <c r="AN954" s="149"/>
      <c r="AO954" s="149"/>
      <c r="AP954" s="149"/>
      <c r="AQ954" s="157"/>
      <c r="AR954" s="149"/>
      <c r="AS954" s="158"/>
    </row>
    <row r="955" ht="15.75" customHeight="1">
      <c r="A955" s="149"/>
      <c r="B955" s="149"/>
      <c r="C955" s="149"/>
      <c r="D955" s="160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50"/>
      <c r="AA955" s="149"/>
      <c r="AB955" s="154"/>
      <c r="AC955" s="155"/>
      <c r="AD955" s="155"/>
      <c r="AE955" s="155"/>
      <c r="AF955" s="155"/>
      <c r="AG955" s="149"/>
      <c r="AH955" s="149"/>
      <c r="AI955" s="149"/>
      <c r="AJ955" s="156"/>
      <c r="AK955" s="149"/>
      <c r="AL955" s="149"/>
      <c r="AM955" s="149"/>
      <c r="AN955" s="149"/>
      <c r="AO955" s="149"/>
      <c r="AP955" s="149"/>
      <c r="AQ955" s="157"/>
      <c r="AR955" s="149"/>
      <c r="AS955" s="158"/>
    </row>
    <row r="956" ht="15.75" customHeight="1">
      <c r="A956" s="149"/>
      <c r="B956" s="149"/>
      <c r="C956" s="149"/>
      <c r="D956" s="160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50"/>
      <c r="AA956" s="149"/>
      <c r="AB956" s="154"/>
      <c r="AC956" s="155"/>
      <c r="AD956" s="155"/>
      <c r="AE956" s="155"/>
      <c r="AF956" s="155"/>
      <c r="AG956" s="149"/>
      <c r="AH956" s="149"/>
      <c r="AI956" s="149"/>
      <c r="AJ956" s="156"/>
      <c r="AK956" s="149"/>
      <c r="AL956" s="149"/>
      <c r="AM956" s="149"/>
      <c r="AN956" s="149"/>
      <c r="AO956" s="149"/>
      <c r="AP956" s="149"/>
      <c r="AQ956" s="157"/>
      <c r="AR956" s="149"/>
      <c r="AS956" s="158"/>
    </row>
    <row r="957" ht="15.75" customHeight="1">
      <c r="A957" s="149"/>
      <c r="B957" s="149"/>
      <c r="C957" s="149"/>
      <c r="D957" s="160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50"/>
      <c r="AA957" s="149"/>
      <c r="AB957" s="154"/>
      <c r="AC957" s="155"/>
      <c r="AD957" s="155"/>
      <c r="AE957" s="155"/>
      <c r="AF957" s="155"/>
      <c r="AG957" s="149"/>
      <c r="AH957" s="149"/>
      <c r="AI957" s="149"/>
      <c r="AJ957" s="156"/>
      <c r="AK957" s="149"/>
      <c r="AL957" s="149"/>
      <c r="AM957" s="149"/>
      <c r="AN957" s="149"/>
      <c r="AO957" s="149"/>
      <c r="AP957" s="149"/>
      <c r="AQ957" s="157"/>
      <c r="AR957" s="149"/>
      <c r="AS957" s="158"/>
    </row>
    <row r="958" ht="15.75" customHeight="1">
      <c r="A958" s="149"/>
      <c r="B958" s="149"/>
      <c r="C958" s="149"/>
      <c r="D958" s="160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50"/>
      <c r="AA958" s="149"/>
      <c r="AB958" s="154"/>
      <c r="AC958" s="155"/>
      <c r="AD958" s="155"/>
      <c r="AE958" s="155"/>
      <c r="AF958" s="155"/>
      <c r="AG958" s="149"/>
      <c r="AH958" s="149"/>
      <c r="AI958" s="149"/>
      <c r="AJ958" s="156"/>
      <c r="AK958" s="149"/>
      <c r="AL958" s="149"/>
      <c r="AM958" s="149"/>
      <c r="AN958" s="149"/>
      <c r="AO958" s="149"/>
      <c r="AP958" s="149"/>
      <c r="AQ958" s="157"/>
      <c r="AR958" s="149"/>
      <c r="AS958" s="158"/>
    </row>
    <row r="959" ht="15.75" customHeight="1">
      <c r="A959" s="149"/>
      <c r="B959" s="149"/>
      <c r="C959" s="149"/>
      <c r="D959" s="160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50"/>
      <c r="AA959" s="149"/>
      <c r="AB959" s="154"/>
      <c r="AC959" s="155"/>
      <c r="AD959" s="155"/>
      <c r="AE959" s="155"/>
      <c r="AF959" s="155"/>
      <c r="AG959" s="149"/>
      <c r="AH959" s="149"/>
      <c r="AI959" s="149"/>
      <c r="AJ959" s="156"/>
      <c r="AK959" s="149"/>
      <c r="AL959" s="149"/>
      <c r="AM959" s="149"/>
      <c r="AN959" s="149"/>
      <c r="AO959" s="149"/>
      <c r="AP959" s="149"/>
      <c r="AQ959" s="157"/>
      <c r="AR959" s="149"/>
      <c r="AS959" s="158"/>
    </row>
    <row r="960" ht="15.75" customHeight="1">
      <c r="A960" s="149"/>
      <c r="B960" s="149"/>
      <c r="C960" s="149"/>
      <c r="D960" s="160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50"/>
      <c r="AA960" s="149"/>
      <c r="AB960" s="154"/>
      <c r="AC960" s="155"/>
      <c r="AD960" s="155"/>
      <c r="AE960" s="155"/>
      <c r="AF960" s="155"/>
      <c r="AG960" s="149"/>
      <c r="AH960" s="149"/>
      <c r="AI960" s="149"/>
      <c r="AJ960" s="156"/>
      <c r="AK960" s="149"/>
      <c r="AL960" s="149"/>
      <c r="AM960" s="149"/>
      <c r="AN960" s="149"/>
      <c r="AO960" s="149"/>
      <c r="AP960" s="149"/>
      <c r="AQ960" s="157"/>
      <c r="AR960" s="149"/>
      <c r="AS960" s="158"/>
    </row>
    <row r="961" ht="15.75" customHeight="1">
      <c r="A961" s="149"/>
      <c r="B961" s="149"/>
      <c r="C961" s="149"/>
      <c r="D961" s="160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50"/>
      <c r="AA961" s="149"/>
      <c r="AB961" s="154"/>
      <c r="AC961" s="155"/>
      <c r="AD961" s="155"/>
      <c r="AE961" s="155"/>
      <c r="AF961" s="155"/>
      <c r="AG961" s="149"/>
      <c r="AH961" s="149"/>
      <c r="AI961" s="149"/>
      <c r="AJ961" s="156"/>
      <c r="AK961" s="149"/>
      <c r="AL961" s="149"/>
      <c r="AM961" s="149"/>
      <c r="AN961" s="149"/>
      <c r="AO961" s="149"/>
      <c r="AP961" s="149"/>
      <c r="AQ961" s="157"/>
      <c r="AR961" s="149"/>
      <c r="AS961" s="158"/>
    </row>
    <row r="962" ht="15.75" customHeight="1">
      <c r="A962" s="149"/>
      <c r="B962" s="149"/>
      <c r="C962" s="149"/>
      <c r="D962" s="160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50"/>
      <c r="AA962" s="149"/>
      <c r="AB962" s="154"/>
      <c r="AC962" s="155"/>
      <c r="AD962" s="155"/>
      <c r="AE962" s="155"/>
      <c r="AF962" s="155"/>
      <c r="AG962" s="149"/>
      <c r="AH962" s="149"/>
      <c r="AI962" s="149"/>
      <c r="AJ962" s="156"/>
      <c r="AK962" s="149"/>
      <c r="AL962" s="149"/>
      <c r="AM962" s="149"/>
      <c r="AN962" s="149"/>
      <c r="AO962" s="149"/>
      <c r="AP962" s="149"/>
      <c r="AQ962" s="157"/>
      <c r="AR962" s="149"/>
      <c r="AS962" s="158"/>
    </row>
    <row r="963" ht="15.75" customHeight="1">
      <c r="A963" s="149"/>
      <c r="B963" s="149"/>
      <c r="C963" s="149"/>
      <c r="D963" s="160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50"/>
      <c r="AA963" s="149"/>
      <c r="AB963" s="154"/>
      <c r="AC963" s="155"/>
      <c r="AD963" s="155"/>
      <c r="AE963" s="155"/>
      <c r="AF963" s="155"/>
      <c r="AG963" s="149"/>
      <c r="AH963" s="149"/>
      <c r="AI963" s="149"/>
      <c r="AJ963" s="156"/>
      <c r="AK963" s="149"/>
      <c r="AL963" s="149"/>
      <c r="AM963" s="149"/>
      <c r="AN963" s="149"/>
      <c r="AO963" s="149"/>
      <c r="AP963" s="149"/>
      <c r="AQ963" s="157"/>
      <c r="AR963" s="149"/>
      <c r="AS963" s="158"/>
    </row>
    <row r="964" ht="15.75" customHeight="1">
      <c r="A964" s="149"/>
      <c r="B964" s="149"/>
      <c r="C964" s="149"/>
      <c r="D964" s="160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50"/>
      <c r="AA964" s="149"/>
      <c r="AB964" s="154"/>
      <c r="AC964" s="155"/>
      <c r="AD964" s="155"/>
      <c r="AE964" s="155"/>
      <c r="AF964" s="155"/>
      <c r="AG964" s="149"/>
      <c r="AH964" s="149"/>
      <c r="AI964" s="149"/>
      <c r="AJ964" s="156"/>
      <c r="AK964" s="149"/>
      <c r="AL964" s="149"/>
      <c r="AM964" s="149"/>
      <c r="AN964" s="149"/>
      <c r="AO964" s="149"/>
      <c r="AP964" s="149"/>
      <c r="AQ964" s="157"/>
      <c r="AR964" s="149"/>
      <c r="AS964" s="158"/>
    </row>
    <row r="965" ht="15.75" customHeight="1">
      <c r="A965" s="149"/>
      <c r="B965" s="149"/>
      <c r="C965" s="149"/>
      <c r="D965" s="160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50"/>
      <c r="AA965" s="149"/>
      <c r="AB965" s="154"/>
      <c r="AC965" s="155"/>
      <c r="AD965" s="155"/>
      <c r="AE965" s="155"/>
      <c r="AF965" s="155"/>
      <c r="AG965" s="149"/>
      <c r="AH965" s="149"/>
      <c r="AI965" s="149"/>
      <c r="AJ965" s="156"/>
      <c r="AK965" s="149"/>
      <c r="AL965" s="149"/>
      <c r="AM965" s="149"/>
      <c r="AN965" s="149"/>
      <c r="AO965" s="149"/>
      <c r="AP965" s="149"/>
      <c r="AQ965" s="157"/>
      <c r="AR965" s="149"/>
      <c r="AS965" s="158"/>
    </row>
    <row r="966" ht="15.75" customHeight="1">
      <c r="A966" s="149"/>
      <c r="B966" s="149"/>
      <c r="C966" s="149"/>
      <c r="D966" s="160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50"/>
      <c r="AA966" s="149"/>
      <c r="AB966" s="154"/>
      <c r="AC966" s="155"/>
      <c r="AD966" s="155"/>
      <c r="AE966" s="155"/>
      <c r="AF966" s="155"/>
      <c r="AG966" s="149"/>
      <c r="AH966" s="149"/>
      <c r="AI966" s="149"/>
      <c r="AJ966" s="156"/>
      <c r="AK966" s="149"/>
      <c r="AL966" s="149"/>
      <c r="AM966" s="149"/>
      <c r="AN966" s="149"/>
      <c r="AO966" s="149"/>
      <c r="AP966" s="149"/>
      <c r="AQ966" s="157"/>
      <c r="AR966" s="149"/>
      <c r="AS966" s="158"/>
    </row>
    <row r="967" ht="15.75" customHeight="1">
      <c r="A967" s="149"/>
      <c r="B967" s="149"/>
      <c r="C967" s="149"/>
      <c r="D967" s="160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50"/>
      <c r="AA967" s="149"/>
      <c r="AB967" s="154"/>
      <c r="AC967" s="155"/>
      <c r="AD967" s="155"/>
      <c r="AE967" s="155"/>
      <c r="AF967" s="155"/>
      <c r="AG967" s="149"/>
      <c r="AH967" s="149"/>
      <c r="AI967" s="149"/>
      <c r="AJ967" s="156"/>
      <c r="AK967" s="149"/>
      <c r="AL967" s="149"/>
      <c r="AM967" s="149"/>
      <c r="AN967" s="149"/>
      <c r="AO967" s="149"/>
      <c r="AP967" s="149"/>
      <c r="AQ967" s="157"/>
      <c r="AR967" s="149"/>
      <c r="AS967" s="158"/>
    </row>
    <row r="968" ht="15.75" customHeight="1">
      <c r="A968" s="149"/>
      <c r="B968" s="149"/>
      <c r="C968" s="149"/>
      <c r="D968" s="160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50"/>
      <c r="AA968" s="149"/>
      <c r="AB968" s="154"/>
      <c r="AC968" s="155"/>
      <c r="AD968" s="155"/>
      <c r="AE968" s="155"/>
      <c r="AF968" s="155"/>
      <c r="AG968" s="149"/>
      <c r="AH968" s="149"/>
      <c r="AI968" s="149"/>
      <c r="AJ968" s="156"/>
      <c r="AK968" s="149"/>
      <c r="AL968" s="149"/>
      <c r="AM968" s="149"/>
      <c r="AN968" s="149"/>
      <c r="AO968" s="149"/>
      <c r="AP968" s="149"/>
      <c r="AQ968" s="157"/>
      <c r="AR968" s="149"/>
      <c r="AS968" s="158"/>
    </row>
    <row r="969" ht="15.75" customHeight="1">
      <c r="A969" s="149"/>
      <c r="B969" s="149"/>
      <c r="C969" s="149"/>
      <c r="D969" s="160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50"/>
      <c r="AA969" s="149"/>
      <c r="AB969" s="154"/>
      <c r="AC969" s="155"/>
      <c r="AD969" s="155"/>
      <c r="AE969" s="155"/>
      <c r="AF969" s="155"/>
      <c r="AG969" s="149"/>
      <c r="AH969" s="149"/>
      <c r="AI969" s="149"/>
      <c r="AJ969" s="156"/>
      <c r="AK969" s="149"/>
      <c r="AL969" s="149"/>
      <c r="AM969" s="149"/>
      <c r="AN969" s="149"/>
      <c r="AO969" s="149"/>
      <c r="AP969" s="149"/>
      <c r="AQ969" s="157"/>
      <c r="AR969" s="149"/>
      <c r="AS969" s="158"/>
    </row>
    <row r="970" ht="15.75" customHeight="1">
      <c r="A970" s="149"/>
      <c r="B970" s="149"/>
      <c r="C970" s="149"/>
      <c r="D970" s="160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50"/>
      <c r="AA970" s="149"/>
      <c r="AB970" s="154"/>
      <c r="AC970" s="155"/>
      <c r="AD970" s="155"/>
      <c r="AE970" s="155"/>
      <c r="AF970" s="155"/>
      <c r="AG970" s="149"/>
      <c r="AH970" s="149"/>
      <c r="AI970" s="149"/>
      <c r="AJ970" s="156"/>
      <c r="AK970" s="149"/>
      <c r="AL970" s="149"/>
      <c r="AM970" s="149"/>
      <c r="AN970" s="149"/>
      <c r="AO970" s="149"/>
      <c r="AP970" s="149"/>
      <c r="AQ970" s="157"/>
      <c r="AR970" s="149"/>
      <c r="AS970" s="158"/>
    </row>
    <row r="971" ht="15.75" customHeight="1">
      <c r="A971" s="149"/>
      <c r="B971" s="149"/>
      <c r="C971" s="149"/>
      <c r="D971" s="160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50"/>
      <c r="AA971" s="149"/>
      <c r="AB971" s="154"/>
      <c r="AC971" s="155"/>
      <c r="AD971" s="155"/>
      <c r="AE971" s="155"/>
      <c r="AF971" s="155"/>
      <c r="AG971" s="149"/>
      <c r="AH971" s="149"/>
      <c r="AI971" s="149"/>
      <c r="AJ971" s="156"/>
      <c r="AK971" s="149"/>
      <c r="AL971" s="149"/>
      <c r="AM971" s="149"/>
      <c r="AN971" s="149"/>
      <c r="AO971" s="149"/>
      <c r="AP971" s="149"/>
      <c r="AQ971" s="157"/>
      <c r="AR971" s="149"/>
      <c r="AS971" s="158"/>
    </row>
    <row r="972" ht="15.75" customHeight="1">
      <c r="A972" s="149"/>
      <c r="B972" s="149"/>
      <c r="C972" s="149"/>
      <c r="D972" s="160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50"/>
      <c r="AA972" s="149"/>
      <c r="AB972" s="154"/>
      <c r="AC972" s="155"/>
      <c r="AD972" s="155"/>
      <c r="AE972" s="155"/>
      <c r="AF972" s="155"/>
      <c r="AG972" s="149"/>
      <c r="AH972" s="149"/>
      <c r="AI972" s="149"/>
      <c r="AJ972" s="156"/>
      <c r="AK972" s="149"/>
      <c r="AL972" s="149"/>
      <c r="AM972" s="149"/>
      <c r="AN972" s="149"/>
      <c r="AO972" s="149"/>
      <c r="AP972" s="149"/>
      <c r="AQ972" s="157"/>
      <c r="AR972" s="149"/>
      <c r="AS972" s="158"/>
    </row>
    <row r="973" ht="15.75" customHeight="1">
      <c r="A973" s="149"/>
      <c r="B973" s="149"/>
      <c r="C973" s="149"/>
      <c r="D973" s="160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50"/>
      <c r="AA973" s="149"/>
      <c r="AB973" s="154"/>
      <c r="AC973" s="155"/>
      <c r="AD973" s="155"/>
      <c r="AE973" s="155"/>
      <c r="AF973" s="155"/>
      <c r="AG973" s="149"/>
      <c r="AH973" s="149"/>
      <c r="AI973" s="149"/>
      <c r="AJ973" s="156"/>
      <c r="AK973" s="149"/>
      <c r="AL973" s="149"/>
      <c r="AM973" s="149"/>
      <c r="AN973" s="149"/>
      <c r="AO973" s="149"/>
      <c r="AP973" s="149"/>
      <c r="AQ973" s="157"/>
      <c r="AR973" s="149"/>
      <c r="AS973" s="158"/>
    </row>
    <row r="974" ht="15.75" customHeight="1">
      <c r="A974" s="149"/>
      <c r="B974" s="149"/>
      <c r="C974" s="149"/>
      <c r="D974" s="160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50"/>
      <c r="AA974" s="149"/>
      <c r="AB974" s="154"/>
      <c r="AC974" s="155"/>
      <c r="AD974" s="155"/>
      <c r="AE974" s="155"/>
      <c r="AF974" s="155"/>
      <c r="AG974" s="149"/>
      <c r="AH974" s="149"/>
      <c r="AI974" s="149"/>
      <c r="AJ974" s="156"/>
      <c r="AK974" s="149"/>
      <c r="AL974" s="149"/>
      <c r="AM974" s="149"/>
      <c r="AN974" s="149"/>
      <c r="AO974" s="149"/>
      <c r="AP974" s="149"/>
      <c r="AQ974" s="157"/>
      <c r="AR974" s="149"/>
      <c r="AS974" s="158"/>
    </row>
    <row r="975" ht="15.75" customHeight="1">
      <c r="A975" s="149"/>
      <c r="B975" s="149"/>
      <c r="C975" s="149"/>
      <c r="D975" s="160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50"/>
      <c r="AA975" s="149"/>
      <c r="AB975" s="154"/>
      <c r="AC975" s="155"/>
      <c r="AD975" s="155"/>
      <c r="AE975" s="155"/>
      <c r="AF975" s="155"/>
      <c r="AG975" s="149"/>
      <c r="AH975" s="149"/>
      <c r="AI975" s="149"/>
      <c r="AJ975" s="156"/>
      <c r="AK975" s="149"/>
      <c r="AL975" s="149"/>
      <c r="AM975" s="149"/>
      <c r="AN975" s="149"/>
      <c r="AO975" s="149"/>
      <c r="AP975" s="149"/>
      <c r="AQ975" s="157"/>
      <c r="AR975" s="149"/>
      <c r="AS975" s="158"/>
    </row>
    <row r="976" ht="15.75" customHeight="1">
      <c r="A976" s="149"/>
      <c r="B976" s="149"/>
      <c r="C976" s="149"/>
      <c r="D976" s="160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50"/>
      <c r="AA976" s="149"/>
      <c r="AB976" s="154"/>
      <c r="AC976" s="155"/>
      <c r="AD976" s="155"/>
      <c r="AE976" s="155"/>
      <c r="AF976" s="155"/>
      <c r="AG976" s="149"/>
      <c r="AH976" s="149"/>
      <c r="AI976" s="149"/>
      <c r="AJ976" s="156"/>
      <c r="AK976" s="149"/>
      <c r="AL976" s="149"/>
      <c r="AM976" s="149"/>
      <c r="AN976" s="149"/>
      <c r="AO976" s="149"/>
      <c r="AP976" s="149"/>
      <c r="AQ976" s="157"/>
      <c r="AR976" s="149"/>
      <c r="AS976" s="158"/>
    </row>
    <row r="977" ht="15.75" customHeight="1">
      <c r="A977" s="149"/>
      <c r="B977" s="149"/>
      <c r="C977" s="149"/>
      <c r="D977" s="160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50"/>
      <c r="AA977" s="149"/>
      <c r="AB977" s="154"/>
      <c r="AC977" s="155"/>
      <c r="AD977" s="155"/>
      <c r="AE977" s="155"/>
      <c r="AF977" s="155"/>
      <c r="AG977" s="149"/>
      <c r="AH977" s="149"/>
      <c r="AI977" s="149"/>
      <c r="AJ977" s="156"/>
      <c r="AK977" s="149"/>
      <c r="AL977" s="149"/>
      <c r="AM977" s="149"/>
      <c r="AN977" s="149"/>
      <c r="AO977" s="149"/>
      <c r="AP977" s="149"/>
      <c r="AQ977" s="157"/>
      <c r="AR977" s="149"/>
      <c r="AS977" s="158"/>
    </row>
    <row r="978" ht="15.75" customHeight="1">
      <c r="A978" s="149"/>
      <c r="B978" s="149"/>
      <c r="C978" s="149"/>
      <c r="D978" s="160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50"/>
      <c r="AA978" s="149"/>
      <c r="AB978" s="154"/>
      <c r="AC978" s="155"/>
      <c r="AD978" s="155"/>
      <c r="AE978" s="155"/>
      <c r="AF978" s="155"/>
      <c r="AG978" s="149"/>
      <c r="AH978" s="149"/>
      <c r="AI978" s="149"/>
      <c r="AJ978" s="156"/>
      <c r="AK978" s="149"/>
      <c r="AL978" s="149"/>
      <c r="AM978" s="149"/>
      <c r="AN978" s="149"/>
      <c r="AO978" s="149"/>
      <c r="AP978" s="149"/>
      <c r="AQ978" s="157"/>
      <c r="AR978" s="149"/>
      <c r="AS978" s="158"/>
    </row>
    <row r="979" ht="15.75" customHeight="1">
      <c r="A979" s="149"/>
      <c r="B979" s="149"/>
      <c r="C979" s="149"/>
      <c r="D979" s="160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50"/>
      <c r="AA979" s="149"/>
      <c r="AB979" s="154"/>
      <c r="AC979" s="155"/>
      <c r="AD979" s="155"/>
      <c r="AE979" s="155"/>
      <c r="AF979" s="155"/>
      <c r="AG979" s="149"/>
      <c r="AH979" s="149"/>
      <c r="AI979" s="149"/>
      <c r="AJ979" s="156"/>
      <c r="AK979" s="149"/>
      <c r="AL979" s="149"/>
      <c r="AM979" s="149"/>
      <c r="AN979" s="149"/>
      <c r="AO979" s="149"/>
      <c r="AP979" s="149"/>
      <c r="AQ979" s="157"/>
      <c r="AR979" s="149"/>
      <c r="AS979" s="158"/>
    </row>
    <row r="980" ht="15.75" customHeight="1">
      <c r="A980" s="149"/>
      <c r="B980" s="149"/>
      <c r="C980" s="149"/>
      <c r="D980" s="160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50"/>
      <c r="AA980" s="149"/>
      <c r="AB980" s="154"/>
      <c r="AC980" s="155"/>
      <c r="AD980" s="155"/>
      <c r="AE980" s="155"/>
      <c r="AF980" s="155"/>
      <c r="AG980" s="149"/>
      <c r="AH980" s="149"/>
      <c r="AI980" s="149"/>
      <c r="AJ980" s="156"/>
      <c r="AK980" s="149"/>
      <c r="AL980" s="149"/>
      <c r="AM980" s="149"/>
      <c r="AN980" s="149"/>
      <c r="AO980" s="149"/>
      <c r="AP980" s="149"/>
      <c r="AQ980" s="157"/>
      <c r="AR980" s="149"/>
      <c r="AS980" s="158"/>
    </row>
    <row r="981" ht="15.75" customHeight="1">
      <c r="A981" s="149"/>
      <c r="B981" s="149"/>
      <c r="C981" s="149"/>
      <c r="D981" s="160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50"/>
      <c r="AA981" s="149"/>
      <c r="AB981" s="154"/>
      <c r="AC981" s="155"/>
      <c r="AD981" s="155"/>
      <c r="AE981" s="155"/>
      <c r="AF981" s="155"/>
      <c r="AG981" s="149"/>
      <c r="AH981" s="149"/>
      <c r="AI981" s="149"/>
      <c r="AJ981" s="156"/>
      <c r="AK981" s="149"/>
      <c r="AL981" s="149"/>
      <c r="AM981" s="149"/>
      <c r="AN981" s="149"/>
      <c r="AO981" s="149"/>
      <c r="AP981" s="149"/>
      <c r="AQ981" s="157"/>
      <c r="AR981" s="149"/>
      <c r="AS981" s="158"/>
    </row>
    <row r="982" ht="15.75" customHeight="1">
      <c r="A982" s="149"/>
      <c r="B982" s="149"/>
      <c r="C982" s="149"/>
      <c r="D982" s="160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50"/>
      <c r="AA982" s="149"/>
      <c r="AB982" s="154"/>
      <c r="AC982" s="155"/>
      <c r="AD982" s="155"/>
      <c r="AE982" s="155"/>
      <c r="AF982" s="155"/>
      <c r="AG982" s="149"/>
      <c r="AH982" s="149"/>
      <c r="AI982" s="149"/>
      <c r="AJ982" s="156"/>
      <c r="AK982" s="149"/>
      <c r="AL982" s="149"/>
      <c r="AM982" s="149"/>
      <c r="AN982" s="149"/>
      <c r="AO982" s="149"/>
      <c r="AP982" s="149"/>
      <c r="AQ982" s="157"/>
      <c r="AR982" s="149"/>
      <c r="AS982" s="158"/>
    </row>
    <row r="983" ht="15.75" customHeight="1">
      <c r="A983" s="149"/>
      <c r="B983" s="149"/>
      <c r="C983" s="149"/>
      <c r="D983" s="160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50"/>
      <c r="AA983" s="149"/>
      <c r="AB983" s="154"/>
      <c r="AC983" s="155"/>
      <c r="AD983" s="155"/>
      <c r="AE983" s="155"/>
      <c r="AF983" s="155"/>
      <c r="AG983" s="149"/>
      <c r="AH983" s="149"/>
      <c r="AI983" s="149"/>
      <c r="AJ983" s="156"/>
      <c r="AK983" s="149"/>
      <c r="AL983" s="149"/>
      <c r="AM983" s="149"/>
      <c r="AN983" s="149"/>
      <c r="AO983" s="149"/>
      <c r="AP983" s="149"/>
      <c r="AQ983" s="157"/>
      <c r="AR983" s="149"/>
      <c r="AS983" s="158"/>
    </row>
    <row r="984" ht="15.75" customHeight="1">
      <c r="A984" s="149"/>
      <c r="B984" s="149"/>
      <c r="C984" s="149"/>
      <c r="D984" s="160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50"/>
      <c r="AA984" s="149"/>
      <c r="AB984" s="154"/>
      <c r="AC984" s="155"/>
      <c r="AD984" s="155"/>
      <c r="AE984" s="155"/>
      <c r="AF984" s="155"/>
      <c r="AG984" s="149"/>
      <c r="AH984" s="149"/>
      <c r="AI984" s="149"/>
      <c r="AJ984" s="156"/>
      <c r="AK984" s="149"/>
      <c r="AL984" s="149"/>
      <c r="AM984" s="149"/>
      <c r="AN984" s="149"/>
      <c r="AO984" s="149"/>
      <c r="AP984" s="149"/>
      <c r="AQ984" s="157"/>
      <c r="AR984" s="149"/>
      <c r="AS984" s="158"/>
    </row>
    <row r="985" ht="15.75" customHeight="1">
      <c r="A985" s="149"/>
      <c r="B985" s="149"/>
      <c r="C985" s="149"/>
      <c r="D985" s="160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50"/>
      <c r="AA985" s="149"/>
      <c r="AB985" s="154"/>
      <c r="AC985" s="155"/>
      <c r="AD985" s="155"/>
      <c r="AE985" s="155"/>
      <c r="AF985" s="155"/>
      <c r="AG985" s="149"/>
      <c r="AH985" s="149"/>
      <c r="AI985" s="149"/>
      <c r="AJ985" s="156"/>
      <c r="AK985" s="149"/>
      <c r="AL985" s="149"/>
      <c r="AM985" s="149"/>
      <c r="AN985" s="149"/>
      <c r="AO985" s="149"/>
      <c r="AP985" s="149"/>
      <c r="AQ985" s="157"/>
      <c r="AR985" s="149"/>
      <c r="AS985" s="158"/>
    </row>
    <row r="986" ht="15.75" customHeight="1">
      <c r="A986" s="149"/>
      <c r="B986" s="149"/>
      <c r="C986" s="149"/>
      <c r="D986" s="160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50"/>
      <c r="AA986" s="149"/>
      <c r="AB986" s="154"/>
      <c r="AC986" s="155"/>
      <c r="AD986" s="155"/>
      <c r="AE986" s="155"/>
      <c r="AF986" s="155"/>
      <c r="AG986" s="149"/>
      <c r="AH986" s="149"/>
      <c r="AI986" s="149"/>
      <c r="AJ986" s="156"/>
      <c r="AK986" s="149"/>
      <c r="AL986" s="149"/>
      <c r="AM986" s="149"/>
      <c r="AN986" s="149"/>
      <c r="AO986" s="149"/>
      <c r="AP986" s="149"/>
      <c r="AQ986" s="157"/>
      <c r="AR986" s="149"/>
      <c r="AS986" s="158"/>
    </row>
    <row r="987" ht="15.75" customHeight="1">
      <c r="A987" s="149"/>
      <c r="B987" s="149"/>
      <c r="C987" s="149"/>
      <c r="D987" s="160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50"/>
      <c r="AA987" s="149"/>
      <c r="AB987" s="154"/>
      <c r="AC987" s="155"/>
      <c r="AD987" s="155"/>
      <c r="AE987" s="155"/>
      <c r="AF987" s="155"/>
      <c r="AG987" s="149"/>
      <c r="AH987" s="149"/>
      <c r="AI987" s="149"/>
      <c r="AJ987" s="156"/>
      <c r="AK987" s="149"/>
      <c r="AL987" s="149"/>
      <c r="AM987" s="149"/>
      <c r="AN987" s="149"/>
      <c r="AO987" s="149"/>
      <c r="AP987" s="149"/>
      <c r="AQ987" s="157"/>
      <c r="AR987" s="149"/>
      <c r="AS987" s="158"/>
    </row>
    <row r="988" ht="15.75" customHeight="1">
      <c r="A988" s="149"/>
      <c r="B988" s="149"/>
      <c r="C988" s="149"/>
      <c r="D988" s="160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50"/>
      <c r="AA988" s="149"/>
      <c r="AB988" s="154"/>
      <c r="AC988" s="155"/>
      <c r="AD988" s="155"/>
      <c r="AE988" s="155"/>
      <c r="AF988" s="155"/>
      <c r="AG988" s="149"/>
      <c r="AH988" s="149"/>
      <c r="AI988" s="149"/>
      <c r="AJ988" s="156"/>
      <c r="AK988" s="149"/>
      <c r="AL988" s="149"/>
      <c r="AM988" s="149"/>
      <c r="AN988" s="149"/>
      <c r="AO988" s="149"/>
      <c r="AP988" s="149"/>
      <c r="AQ988" s="157"/>
      <c r="AR988" s="149"/>
      <c r="AS988" s="158"/>
    </row>
    <row r="989" ht="15.75" customHeight="1">
      <c r="A989" s="149"/>
      <c r="B989" s="149"/>
      <c r="C989" s="149"/>
      <c r="D989" s="160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50"/>
      <c r="AA989" s="149"/>
      <c r="AB989" s="154"/>
      <c r="AC989" s="155"/>
      <c r="AD989" s="155"/>
      <c r="AE989" s="155"/>
      <c r="AF989" s="155"/>
      <c r="AG989" s="149"/>
      <c r="AH989" s="149"/>
      <c r="AI989" s="149"/>
      <c r="AJ989" s="156"/>
      <c r="AK989" s="149"/>
      <c r="AL989" s="149"/>
      <c r="AM989" s="149"/>
      <c r="AN989" s="149"/>
      <c r="AO989" s="149"/>
      <c r="AP989" s="149"/>
      <c r="AQ989" s="157"/>
      <c r="AR989" s="149"/>
      <c r="AS989" s="158"/>
    </row>
    <row r="990" ht="15.75" customHeight="1">
      <c r="A990" s="149"/>
      <c r="B990" s="149"/>
      <c r="C990" s="149"/>
      <c r="D990" s="160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50"/>
      <c r="AA990" s="149"/>
      <c r="AB990" s="154"/>
      <c r="AC990" s="155"/>
      <c r="AD990" s="155"/>
      <c r="AE990" s="155"/>
      <c r="AF990" s="155"/>
      <c r="AG990" s="149"/>
      <c r="AH990" s="149"/>
      <c r="AI990" s="149"/>
      <c r="AJ990" s="156"/>
      <c r="AK990" s="149"/>
      <c r="AL990" s="149"/>
      <c r="AM990" s="149"/>
      <c r="AN990" s="149"/>
      <c r="AO990" s="149"/>
      <c r="AP990" s="149"/>
      <c r="AQ990" s="157"/>
      <c r="AR990" s="149"/>
      <c r="AS990" s="158"/>
    </row>
    <row r="991" ht="15.75" customHeight="1">
      <c r="A991" s="149"/>
      <c r="B991" s="149"/>
      <c r="C991" s="149"/>
      <c r="D991" s="160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50"/>
      <c r="AA991" s="149"/>
      <c r="AB991" s="154"/>
      <c r="AC991" s="155"/>
      <c r="AD991" s="155"/>
      <c r="AE991" s="155"/>
      <c r="AF991" s="155"/>
      <c r="AG991" s="149"/>
      <c r="AH991" s="149"/>
      <c r="AI991" s="149"/>
      <c r="AJ991" s="156"/>
      <c r="AK991" s="149"/>
      <c r="AL991" s="149"/>
      <c r="AM991" s="149"/>
      <c r="AN991" s="149"/>
      <c r="AO991" s="149"/>
      <c r="AP991" s="149"/>
      <c r="AQ991" s="157"/>
      <c r="AR991" s="149"/>
      <c r="AS991" s="158"/>
    </row>
    <row r="992" ht="15.75" customHeight="1">
      <c r="A992" s="149"/>
      <c r="B992" s="149"/>
      <c r="C992" s="149"/>
      <c r="D992" s="160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50"/>
      <c r="AA992" s="149"/>
      <c r="AB992" s="154"/>
      <c r="AC992" s="155"/>
      <c r="AD992" s="155"/>
      <c r="AE992" s="155"/>
      <c r="AF992" s="155"/>
      <c r="AG992" s="149"/>
      <c r="AH992" s="149"/>
      <c r="AI992" s="149"/>
      <c r="AJ992" s="156"/>
      <c r="AK992" s="149"/>
      <c r="AL992" s="149"/>
      <c r="AM992" s="149"/>
      <c r="AN992" s="149"/>
      <c r="AO992" s="149"/>
      <c r="AP992" s="149"/>
      <c r="AQ992" s="157"/>
      <c r="AR992" s="149"/>
      <c r="AS992" s="158"/>
    </row>
    <row r="993" ht="15.75" customHeight="1">
      <c r="A993" s="149"/>
      <c r="B993" s="149"/>
      <c r="C993" s="149"/>
      <c r="D993" s="160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50"/>
      <c r="AA993" s="149"/>
      <c r="AB993" s="154"/>
      <c r="AC993" s="155"/>
      <c r="AD993" s="155"/>
      <c r="AE993" s="155"/>
      <c r="AF993" s="155"/>
      <c r="AG993" s="149"/>
      <c r="AH993" s="149"/>
      <c r="AI993" s="149"/>
      <c r="AJ993" s="156"/>
      <c r="AK993" s="149"/>
      <c r="AL993" s="149"/>
      <c r="AM993" s="149"/>
      <c r="AN993" s="149"/>
      <c r="AO993" s="149"/>
      <c r="AP993" s="149"/>
      <c r="AQ993" s="157"/>
      <c r="AR993" s="149"/>
      <c r="AS993" s="158"/>
    </row>
    <row r="994" ht="15.75" customHeight="1">
      <c r="A994" s="149"/>
      <c r="B994" s="149"/>
      <c r="C994" s="149"/>
      <c r="D994" s="160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50"/>
      <c r="AA994" s="149"/>
      <c r="AB994" s="154"/>
      <c r="AC994" s="155"/>
      <c r="AD994" s="155"/>
      <c r="AE994" s="155"/>
      <c r="AF994" s="155"/>
      <c r="AG994" s="149"/>
      <c r="AH994" s="149"/>
      <c r="AI994" s="149"/>
      <c r="AJ994" s="156"/>
      <c r="AK994" s="149"/>
      <c r="AL994" s="149"/>
      <c r="AM994" s="149"/>
      <c r="AN994" s="149"/>
      <c r="AO994" s="149"/>
      <c r="AP994" s="149"/>
      <c r="AQ994" s="157"/>
      <c r="AR994" s="149"/>
      <c r="AS994" s="158"/>
    </row>
    <row r="995" ht="15.75" customHeight="1">
      <c r="A995" s="149"/>
      <c r="B995" s="149"/>
      <c r="C995" s="149"/>
      <c r="D995" s="160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50"/>
      <c r="AA995" s="149"/>
      <c r="AB995" s="154"/>
      <c r="AC995" s="155"/>
      <c r="AD995" s="155"/>
      <c r="AE995" s="155"/>
      <c r="AF995" s="155"/>
      <c r="AG995" s="149"/>
      <c r="AH995" s="149"/>
      <c r="AI995" s="149"/>
      <c r="AJ995" s="156"/>
      <c r="AK995" s="149"/>
      <c r="AL995" s="149"/>
      <c r="AM995" s="149"/>
      <c r="AN995" s="149"/>
      <c r="AO995" s="149"/>
      <c r="AP995" s="149"/>
      <c r="AQ995" s="157"/>
      <c r="AR995" s="149"/>
      <c r="AS995" s="158"/>
    </row>
    <row r="996" ht="15.75" customHeight="1">
      <c r="A996" s="149"/>
      <c r="B996" s="149"/>
      <c r="C996" s="149"/>
      <c r="D996" s="160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50"/>
      <c r="AA996" s="149"/>
      <c r="AB996" s="154"/>
      <c r="AC996" s="155"/>
      <c r="AD996" s="155"/>
      <c r="AE996" s="155"/>
      <c r="AF996" s="155"/>
      <c r="AG996" s="149"/>
      <c r="AH996" s="149"/>
      <c r="AI996" s="149"/>
      <c r="AJ996" s="156"/>
      <c r="AK996" s="149"/>
      <c r="AL996" s="149"/>
      <c r="AM996" s="149"/>
      <c r="AN996" s="149"/>
      <c r="AO996" s="149"/>
      <c r="AP996" s="149"/>
      <c r="AQ996" s="157"/>
      <c r="AR996" s="149"/>
      <c r="AS996" s="158"/>
    </row>
    <row r="997" ht="15.75" customHeight="1">
      <c r="A997" s="149"/>
      <c r="B997" s="149"/>
      <c r="C997" s="149"/>
      <c r="D997" s="160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50"/>
      <c r="AA997" s="149"/>
      <c r="AB997" s="154"/>
      <c r="AC997" s="155"/>
      <c r="AD997" s="155"/>
      <c r="AE997" s="155"/>
      <c r="AF997" s="155"/>
      <c r="AG997" s="149"/>
      <c r="AH997" s="149"/>
      <c r="AI997" s="149"/>
      <c r="AJ997" s="156"/>
      <c r="AK997" s="149"/>
      <c r="AL997" s="149"/>
      <c r="AM997" s="149"/>
      <c r="AN997" s="149"/>
      <c r="AO997" s="149"/>
      <c r="AP997" s="149"/>
      <c r="AQ997" s="157"/>
      <c r="AR997" s="149"/>
      <c r="AS997" s="158"/>
    </row>
    <row r="998" ht="15.75" customHeight="1">
      <c r="A998" s="149"/>
      <c r="B998" s="149"/>
      <c r="C998" s="149"/>
      <c r="D998" s="160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50"/>
      <c r="AA998" s="149"/>
      <c r="AB998" s="154"/>
      <c r="AC998" s="155"/>
      <c r="AD998" s="155"/>
      <c r="AE998" s="155"/>
      <c r="AF998" s="155"/>
      <c r="AG998" s="149"/>
      <c r="AH998" s="149"/>
      <c r="AI998" s="149"/>
      <c r="AJ998" s="156"/>
      <c r="AK998" s="149"/>
      <c r="AL998" s="149"/>
      <c r="AM998" s="149"/>
      <c r="AN998" s="149"/>
      <c r="AO998" s="149"/>
      <c r="AP998" s="149"/>
      <c r="AQ998" s="157"/>
      <c r="AR998" s="149"/>
      <c r="AS998" s="158"/>
    </row>
    <row r="999" ht="15.75" customHeight="1">
      <c r="A999" s="149"/>
      <c r="B999" s="149"/>
      <c r="C999" s="149"/>
      <c r="D999" s="160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50"/>
      <c r="AA999" s="149"/>
      <c r="AB999" s="154"/>
      <c r="AC999" s="155"/>
      <c r="AD999" s="155"/>
      <c r="AE999" s="155"/>
      <c r="AF999" s="155"/>
      <c r="AG999" s="149"/>
      <c r="AH999" s="149"/>
      <c r="AI999" s="149"/>
      <c r="AJ999" s="156"/>
      <c r="AK999" s="149"/>
      <c r="AL999" s="149"/>
      <c r="AM999" s="149"/>
      <c r="AN999" s="149"/>
      <c r="AO999" s="149"/>
      <c r="AP999" s="149"/>
      <c r="AQ999" s="157"/>
      <c r="AR999" s="149"/>
      <c r="AS999" s="158"/>
    </row>
  </sheetData>
  <mergeCells count="3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M1:AM2"/>
    <mergeCell ref="AN1:AN2"/>
    <mergeCell ref="AO1:AO2"/>
    <mergeCell ref="AP1:AP2"/>
    <mergeCell ref="AQ1:AQ2"/>
    <mergeCell ref="AR1:AR2"/>
    <mergeCell ref="AS1:AS2"/>
    <mergeCell ref="AF1:AF2"/>
    <mergeCell ref="AG1:AG2"/>
    <mergeCell ref="AH1:AH2"/>
    <mergeCell ref="AI1:AI2"/>
    <mergeCell ref="AJ1:AJ2"/>
    <mergeCell ref="AK1:AK2"/>
    <mergeCell ref="AL1:AL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14"/>
    <col customWidth="1" min="2" max="2" width="26.71"/>
    <col customWidth="1" min="3" max="3" width="21.71"/>
    <col customWidth="1" min="4" max="4" width="67.0"/>
    <col customWidth="1" min="5" max="5" width="10.71"/>
    <col customWidth="1" min="6" max="6" width="16.71"/>
    <col customWidth="1" min="7" max="7" width="11.14"/>
    <col customWidth="1" min="8" max="13" width="13.0"/>
    <col customWidth="1" min="14" max="14" width="29.14"/>
    <col customWidth="1" min="15" max="15" width="13.57"/>
    <col customWidth="1" min="16" max="16" width="15.14"/>
    <col customWidth="1" min="17" max="17" width="43.0"/>
    <col customWidth="1" min="18" max="26" width="9.86"/>
  </cols>
  <sheetData>
    <row r="1" ht="15.0" customHeight="1">
      <c r="A1" s="165" t="s">
        <v>0</v>
      </c>
      <c r="B1" s="165" t="s">
        <v>1</v>
      </c>
      <c r="C1" s="166" t="s">
        <v>2</v>
      </c>
      <c r="D1" s="167" t="s">
        <v>140</v>
      </c>
      <c r="E1" s="168" t="s">
        <v>4</v>
      </c>
      <c r="F1" s="169" t="s">
        <v>141</v>
      </c>
      <c r="G1" s="170" t="s">
        <v>6</v>
      </c>
      <c r="H1" s="171" t="s">
        <v>142</v>
      </c>
      <c r="I1" s="172"/>
      <c r="J1" s="173" t="s">
        <v>143</v>
      </c>
      <c r="K1" s="172"/>
      <c r="L1" s="174" t="s">
        <v>144</v>
      </c>
      <c r="M1" s="172"/>
      <c r="N1" s="175" t="s">
        <v>10</v>
      </c>
      <c r="O1" s="176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</row>
    <row r="2" ht="24.75" customHeight="1">
      <c r="A2" s="178"/>
      <c r="B2" s="178"/>
      <c r="C2" s="179"/>
      <c r="D2" s="179"/>
      <c r="E2" s="179"/>
      <c r="F2" s="179"/>
      <c r="G2" s="36"/>
      <c r="H2" s="180" t="s">
        <v>145</v>
      </c>
      <c r="I2" s="181" t="s">
        <v>146</v>
      </c>
      <c r="J2" s="182" t="s">
        <v>147</v>
      </c>
      <c r="K2" s="183" t="s">
        <v>148</v>
      </c>
      <c r="L2" s="184" t="s">
        <v>149</v>
      </c>
      <c r="M2" s="185" t="s">
        <v>150</v>
      </c>
      <c r="N2" s="186"/>
      <c r="O2" s="176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</row>
    <row r="3">
      <c r="A3" s="187" t="s">
        <v>38</v>
      </c>
      <c r="B3" s="188" t="s">
        <v>151</v>
      </c>
      <c r="C3" s="189" t="s">
        <v>152</v>
      </c>
      <c r="D3" s="190" t="s">
        <v>153</v>
      </c>
      <c r="E3" s="191">
        <v>45.0</v>
      </c>
      <c r="F3" s="192">
        <f t="shared" ref="F3:F7" si="1">E3*60</f>
        <v>2700</v>
      </c>
      <c r="G3" s="193">
        <v>44682.0</v>
      </c>
      <c r="H3" s="194">
        <f t="shared" ref="H3:H383" si="2">F3*2</f>
        <v>5400</v>
      </c>
      <c r="I3" s="195">
        <f t="shared" ref="I3:I7" si="3">F3*0.3+F3</f>
        <v>3510</v>
      </c>
      <c r="J3" s="196">
        <f t="shared" ref="J3:J7" si="4">F3*0.3+F3</f>
        <v>3510</v>
      </c>
      <c r="K3" s="197">
        <f t="shared" ref="K3:K7" si="5">F3*0.2+F3</f>
        <v>3240</v>
      </c>
      <c r="L3" s="196">
        <f t="shared" ref="L3:L7" si="6">F3*0.15+F3</f>
        <v>3105</v>
      </c>
      <c r="M3" s="197">
        <f t="shared" ref="M3:M7" si="7">F3*0.1+F3</f>
        <v>2970</v>
      </c>
      <c r="N3" s="198"/>
      <c r="O3" s="199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</row>
    <row r="4">
      <c r="A4" s="187" t="s">
        <v>38</v>
      </c>
      <c r="B4" s="188" t="s">
        <v>154</v>
      </c>
      <c r="C4" s="189" t="s">
        <v>155</v>
      </c>
      <c r="D4" s="190" t="s">
        <v>156</v>
      </c>
      <c r="E4" s="191">
        <v>54.0</v>
      </c>
      <c r="F4" s="192">
        <f t="shared" si="1"/>
        <v>3240</v>
      </c>
      <c r="G4" s="193">
        <v>44682.0</v>
      </c>
      <c r="H4" s="194">
        <f t="shared" si="2"/>
        <v>6480</v>
      </c>
      <c r="I4" s="195">
        <f t="shared" si="3"/>
        <v>4212</v>
      </c>
      <c r="J4" s="196">
        <f t="shared" si="4"/>
        <v>4212</v>
      </c>
      <c r="K4" s="197">
        <f t="shared" si="5"/>
        <v>3888</v>
      </c>
      <c r="L4" s="196">
        <f t="shared" si="6"/>
        <v>3726</v>
      </c>
      <c r="M4" s="197">
        <f t="shared" si="7"/>
        <v>3564</v>
      </c>
      <c r="N4" s="198"/>
      <c r="O4" s="199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</row>
    <row r="5">
      <c r="A5" s="187" t="s">
        <v>38</v>
      </c>
      <c r="B5" s="188" t="s">
        <v>157</v>
      </c>
      <c r="C5" s="189" t="s">
        <v>158</v>
      </c>
      <c r="D5" s="190" t="s">
        <v>159</v>
      </c>
      <c r="E5" s="191">
        <v>69.5</v>
      </c>
      <c r="F5" s="192">
        <f t="shared" si="1"/>
        <v>4170</v>
      </c>
      <c r="G5" s="193">
        <v>44682.0</v>
      </c>
      <c r="H5" s="194">
        <f t="shared" si="2"/>
        <v>8340</v>
      </c>
      <c r="I5" s="195">
        <f t="shared" si="3"/>
        <v>5421</v>
      </c>
      <c r="J5" s="196">
        <f t="shared" si="4"/>
        <v>5421</v>
      </c>
      <c r="K5" s="197">
        <f t="shared" si="5"/>
        <v>5004</v>
      </c>
      <c r="L5" s="196">
        <f t="shared" si="6"/>
        <v>4795.5</v>
      </c>
      <c r="M5" s="197">
        <f t="shared" si="7"/>
        <v>4587</v>
      </c>
      <c r="N5" s="198"/>
      <c r="O5" s="199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</row>
    <row r="6">
      <c r="A6" s="187" t="s">
        <v>38</v>
      </c>
      <c r="B6" s="188" t="s">
        <v>160</v>
      </c>
      <c r="C6" s="189" t="s">
        <v>161</v>
      </c>
      <c r="D6" s="190" t="s">
        <v>162</v>
      </c>
      <c r="E6" s="191">
        <v>94.5</v>
      </c>
      <c r="F6" s="192">
        <f t="shared" si="1"/>
        <v>5670</v>
      </c>
      <c r="G6" s="193">
        <v>44682.0</v>
      </c>
      <c r="H6" s="194">
        <f t="shared" si="2"/>
        <v>11340</v>
      </c>
      <c r="I6" s="195">
        <f t="shared" si="3"/>
        <v>7371</v>
      </c>
      <c r="J6" s="196">
        <f t="shared" si="4"/>
        <v>7371</v>
      </c>
      <c r="K6" s="197">
        <f t="shared" si="5"/>
        <v>6804</v>
      </c>
      <c r="L6" s="196">
        <f t="shared" si="6"/>
        <v>6520.5</v>
      </c>
      <c r="M6" s="197">
        <f t="shared" si="7"/>
        <v>6237</v>
      </c>
      <c r="N6" s="198"/>
      <c r="O6" s="199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</row>
    <row r="7">
      <c r="A7" s="187" t="s">
        <v>38</v>
      </c>
      <c r="B7" s="188" t="s">
        <v>163</v>
      </c>
      <c r="C7" s="189" t="s">
        <v>164</v>
      </c>
      <c r="D7" s="190" t="s">
        <v>165</v>
      </c>
      <c r="E7" s="191">
        <v>48.0</v>
      </c>
      <c r="F7" s="192">
        <f t="shared" si="1"/>
        <v>2880</v>
      </c>
      <c r="G7" s="193">
        <v>44682.0</v>
      </c>
      <c r="H7" s="194">
        <f t="shared" si="2"/>
        <v>5760</v>
      </c>
      <c r="I7" s="195">
        <f t="shared" si="3"/>
        <v>3744</v>
      </c>
      <c r="J7" s="196">
        <f t="shared" si="4"/>
        <v>3744</v>
      </c>
      <c r="K7" s="197">
        <f t="shared" si="5"/>
        <v>3456</v>
      </c>
      <c r="L7" s="196">
        <f t="shared" si="6"/>
        <v>3312</v>
      </c>
      <c r="M7" s="197">
        <f t="shared" si="7"/>
        <v>3168</v>
      </c>
      <c r="N7" s="198"/>
      <c r="O7" s="199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</row>
    <row r="8">
      <c r="A8" s="187" t="s">
        <v>38</v>
      </c>
      <c r="B8" s="188" t="s">
        <v>166</v>
      </c>
      <c r="C8" s="189" t="s">
        <v>167</v>
      </c>
      <c r="D8" s="190" t="s">
        <v>168</v>
      </c>
      <c r="E8" s="191" t="s">
        <v>169</v>
      </c>
      <c r="F8" s="201" t="s">
        <v>169</v>
      </c>
      <c r="G8" s="193">
        <v>44682.0</v>
      </c>
      <c r="H8" s="194" t="str">
        <f t="shared" si="2"/>
        <v>#VALUE!</v>
      </c>
      <c r="I8" s="202"/>
      <c r="J8" s="203"/>
      <c r="K8" s="204"/>
      <c r="L8" s="203"/>
      <c r="M8" s="204"/>
      <c r="N8" s="198"/>
      <c r="O8" s="199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</row>
    <row r="9">
      <c r="A9" s="187" t="s">
        <v>38</v>
      </c>
      <c r="B9" s="188" t="s">
        <v>170</v>
      </c>
      <c r="C9" s="189" t="s">
        <v>171</v>
      </c>
      <c r="D9" s="190" t="s">
        <v>172</v>
      </c>
      <c r="E9" s="191">
        <v>3.5</v>
      </c>
      <c r="F9" s="192">
        <f t="shared" ref="F9:F37" si="8">E9*60</f>
        <v>210</v>
      </c>
      <c r="G9" s="193">
        <v>44682.0</v>
      </c>
      <c r="H9" s="194">
        <f t="shared" si="2"/>
        <v>420</v>
      </c>
      <c r="I9" s="195">
        <f t="shared" ref="I9:I37" si="9">F9*0.3+F9</f>
        <v>273</v>
      </c>
      <c r="J9" s="196">
        <f t="shared" ref="J9:J37" si="10">F9*0.3+F9</f>
        <v>273</v>
      </c>
      <c r="K9" s="197">
        <f t="shared" ref="K9:K37" si="11">F9*0.2+F9</f>
        <v>252</v>
      </c>
      <c r="L9" s="196">
        <f t="shared" ref="L9:L37" si="12">F9*0.15+F9</f>
        <v>241.5</v>
      </c>
      <c r="M9" s="197">
        <f t="shared" ref="M9:M37" si="13">F9*0.1+F9</f>
        <v>231</v>
      </c>
      <c r="N9" s="198"/>
      <c r="O9" s="199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</row>
    <row r="10">
      <c r="A10" s="187" t="s">
        <v>38</v>
      </c>
      <c r="B10" s="188" t="s">
        <v>173</v>
      </c>
      <c r="C10" s="189" t="s">
        <v>174</v>
      </c>
      <c r="D10" s="190" t="s">
        <v>175</v>
      </c>
      <c r="E10" s="191">
        <v>1.5</v>
      </c>
      <c r="F10" s="192">
        <f t="shared" si="8"/>
        <v>90</v>
      </c>
      <c r="G10" s="193">
        <v>44682.0</v>
      </c>
      <c r="H10" s="194">
        <f t="shared" si="2"/>
        <v>180</v>
      </c>
      <c r="I10" s="195">
        <f t="shared" si="9"/>
        <v>117</v>
      </c>
      <c r="J10" s="196">
        <f t="shared" si="10"/>
        <v>117</v>
      </c>
      <c r="K10" s="197">
        <f t="shared" si="11"/>
        <v>108</v>
      </c>
      <c r="L10" s="196">
        <f t="shared" si="12"/>
        <v>103.5</v>
      </c>
      <c r="M10" s="197">
        <f t="shared" si="13"/>
        <v>99</v>
      </c>
      <c r="N10" s="198"/>
      <c r="O10" s="199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</row>
    <row r="11">
      <c r="A11" s="187" t="s">
        <v>38</v>
      </c>
      <c r="B11" s="188" t="s">
        <v>176</v>
      </c>
      <c r="C11" s="189" t="s">
        <v>177</v>
      </c>
      <c r="D11" s="190" t="s">
        <v>178</v>
      </c>
      <c r="E11" s="205">
        <v>39.5</v>
      </c>
      <c r="F11" s="192">
        <f t="shared" si="8"/>
        <v>2370</v>
      </c>
      <c r="G11" s="193">
        <v>44682.0</v>
      </c>
      <c r="H11" s="194">
        <f t="shared" si="2"/>
        <v>4740</v>
      </c>
      <c r="I11" s="195">
        <f t="shared" si="9"/>
        <v>3081</v>
      </c>
      <c r="J11" s="196">
        <f t="shared" si="10"/>
        <v>3081</v>
      </c>
      <c r="K11" s="197">
        <f t="shared" si="11"/>
        <v>2844</v>
      </c>
      <c r="L11" s="196">
        <f t="shared" si="12"/>
        <v>2725.5</v>
      </c>
      <c r="M11" s="197">
        <f t="shared" si="13"/>
        <v>2607</v>
      </c>
      <c r="N11" s="198"/>
      <c r="O11" s="199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</row>
    <row r="12">
      <c r="A12" s="187" t="s">
        <v>38</v>
      </c>
      <c r="B12" s="188" t="s">
        <v>176</v>
      </c>
      <c r="C12" s="189" t="s">
        <v>179</v>
      </c>
      <c r="D12" s="190" t="s">
        <v>180</v>
      </c>
      <c r="E12" s="205">
        <v>46.0</v>
      </c>
      <c r="F12" s="192">
        <f t="shared" si="8"/>
        <v>2760</v>
      </c>
      <c r="G12" s="193">
        <v>44682.0</v>
      </c>
      <c r="H12" s="194">
        <f t="shared" si="2"/>
        <v>5520</v>
      </c>
      <c r="I12" s="195">
        <f t="shared" si="9"/>
        <v>3588</v>
      </c>
      <c r="J12" s="196">
        <f t="shared" si="10"/>
        <v>3588</v>
      </c>
      <c r="K12" s="197">
        <f t="shared" si="11"/>
        <v>3312</v>
      </c>
      <c r="L12" s="196">
        <f t="shared" si="12"/>
        <v>3174</v>
      </c>
      <c r="M12" s="197">
        <f t="shared" si="13"/>
        <v>3036</v>
      </c>
      <c r="N12" s="198"/>
      <c r="O12" s="199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</row>
    <row r="13">
      <c r="A13" s="187" t="s">
        <v>38</v>
      </c>
      <c r="B13" s="188" t="s">
        <v>176</v>
      </c>
      <c r="C13" s="206" t="s">
        <v>181</v>
      </c>
      <c r="D13" s="207" t="s">
        <v>182</v>
      </c>
      <c r="E13" s="191">
        <v>46.0</v>
      </c>
      <c r="F13" s="192">
        <f t="shared" si="8"/>
        <v>2760</v>
      </c>
      <c r="G13" s="193">
        <v>44682.0</v>
      </c>
      <c r="H13" s="194">
        <f t="shared" si="2"/>
        <v>5520</v>
      </c>
      <c r="I13" s="195">
        <f t="shared" si="9"/>
        <v>3588</v>
      </c>
      <c r="J13" s="196">
        <f t="shared" si="10"/>
        <v>3588</v>
      </c>
      <c r="K13" s="197">
        <f t="shared" si="11"/>
        <v>3312</v>
      </c>
      <c r="L13" s="196">
        <f t="shared" si="12"/>
        <v>3174</v>
      </c>
      <c r="M13" s="197">
        <f t="shared" si="13"/>
        <v>3036</v>
      </c>
      <c r="N13" s="198"/>
      <c r="O13" s="199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</row>
    <row r="14">
      <c r="A14" s="187" t="s">
        <v>38</v>
      </c>
      <c r="B14" s="188" t="s">
        <v>176</v>
      </c>
      <c r="C14" s="206" t="s">
        <v>183</v>
      </c>
      <c r="D14" s="207" t="s">
        <v>184</v>
      </c>
      <c r="E14" s="191">
        <v>66.5</v>
      </c>
      <c r="F14" s="192">
        <f t="shared" si="8"/>
        <v>3990</v>
      </c>
      <c r="G14" s="193">
        <v>44682.0</v>
      </c>
      <c r="H14" s="194">
        <f t="shared" si="2"/>
        <v>7980</v>
      </c>
      <c r="I14" s="195">
        <f t="shared" si="9"/>
        <v>5187</v>
      </c>
      <c r="J14" s="196">
        <f t="shared" si="10"/>
        <v>5187</v>
      </c>
      <c r="K14" s="197">
        <f t="shared" si="11"/>
        <v>4788</v>
      </c>
      <c r="L14" s="196">
        <f t="shared" si="12"/>
        <v>4588.5</v>
      </c>
      <c r="M14" s="197">
        <f t="shared" si="13"/>
        <v>4389</v>
      </c>
      <c r="N14" s="198"/>
      <c r="O14" s="199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>
      <c r="A15" s="187" t="s">
        <v>38</v>
      </c>
      <c r="B15" s="188" t="s">
        <v>176</v>
      </c>
      <c r="C15" s="206" t="s">
        <v>185</v>
      </c>
      <c r="D15" s="207" t="s">
        <v>186</v>
      </c>
      <c r="E15" s="191">
        <v>83.0</v>
      </c>
      <c r="F15" s="192">
        <f t="shared" si="8"/>
        <v>4980</v>
      </c>
      <c r="G15" s="193">
        <v>44682.0</v>
      </c>
      <c r="H15" s="194">
        <f t="shared" si="2"/>
        <v>9960</v>
      </c>
      <c r="I15" s="195">
        <f t="shared" si="9"/>
        <v>6474</v>
      </c>
      <c r="J15" s="196">
        <f t="shared" si="10"/>
        <v>6474</v>
      </c>
      <c r="K15" s="197">
        <f t="shared" si="11"/>
        <v>5976</v>
      </c>
      <c r="L15" s="196">
        <f t="shared" si="12"/>
        <v>5727</v>
      </c>
      <c r="M15" s="197">
        <f t="shared" si="13"/>
        <v>5478</v>
      </c>
      <c r="N15" s="198"/>
      <c r="O15" s="199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</row>
    <row r="16">
      <c r="A16" s="187" t="s">
        <v>38</v>
      </c>
      <c r="B16" s="188" t="s">
        <v>176</v>
      </c>
      <c r="C16" s="206" t="s">
        <v>187</v>
      </c>
      <c r="D16" s="207" t="s">
        <v>188</v>
      </c>
      <c r="E16" s="191">
        <v>87.0</v>
      </c>
      <c r="F16" s="192">
        <f t="shared" si="8"/>
        <v>5220</v>
      </c>
      <c r="G16" s="193">
        <v>44682.0</v>
      </c>
      <c r="H16" s="194">
        <f t="shared" si="2"/>
        <v>10440</v>
      </c>
      <c r="I16" s="195">
        <f t="shared" si="9"/>
        <v>6786</v>
      </c>
      <c r="J16" s="196">
        <f t="shared" si="10"/>
        <v>6786</v>
      </c>
      <c r="K16" s="197">
        <f t="shared" si="11"/>
        <v>6264</v>
      </c>
      <c r="L16" s="196">
        <f t="shared" si="12"/>
        <v>6003</v>
      </c>
      <c r="M16" s="197">
        <f t="shared" si="13"/>
        <v>5742</v>
      </c>
      <c r="N16" s="198"/>
      <c r="O16" s="199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</row>
    <row r="17">
      <c r="A17" s="187" t="s">
        <v>38</v>
      </c>
      <c r="B17" s="188" t="s">
        <v>176</v>
      </c>
      <c r="C17" s="206" t="s">
        <v>189</v>
      </c>
      <c r="D17" s="207" t="s">
        <v>190</v>
      </c>
      <c r="E17" s="191">
        <v>120.5</v>
      </c>
      <c r="F17" s="192">
        <f t="shared" si="8"/>
        <v>7230</v>
      </c>
      <c r="G17" s="193">
        <v>44682.0</v>
      </c>
      <c r="H17" s="194">
        <f t="shared" si="2"/>
        <v>14460</v>
      </c>
      <c r="I17" s="195">
        <f t="shared" si="9"/>
        <v>9399</v>
      </c>
      <c r="J17" s="196">
        <f t="shared" si="10"/>
        <v>9399</v>
      </c>
      <c r="K17" s="197">
        <f t="shared" si="11"/>
        <v>8676</v>
      </c>
      <c r="L17" s="196">
        <f t="shared" si="12"/>
        <v>8314.5</v>
      </c>
      <c r="M17" s="197">
        <f t="shared" si="13"/>
        <v>7953</v>
      </c>
      <c r="N17" s="198"/>
      <c r="O17" s="199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</row>
    <row r="18">
      <c r="A18" s="187" t="s">
        <v>38</v>
      </c>
      <c r="B18" s="188" t="s">
        <v>176</v>
      </c>
      <c r="C18" s="206" t="s">
        <v>191</v>
      </c>
      <c r="D18" s="207" t="s">
        <v>192</v>
      </c>
      <c r="E18" s="191">
        <v>110.5</v>
      </c>
      <c r="F18" s="192">
        <f t="shared" si="8"/>
        <v>6630</v>
      </c>
      <c r="G18" s="193">
        <v>44682.0</v>
      </c>
      <c r="H18" s="194">
        <f t="shared" si="2"/>
        <v>13260</v>
      </c>
      <c r="I18" s="195">
        <f t="shared" si="9"/>
        <v>8619</v>
      </c>
      <c r="J18" s="196">
        <f t="shared" si="10"/>
        <v>8619</v>
      </c>
      <c r="K18" s="197">
        <f t="shared" si="11"/>
        <v>7956</v>
      </c>
      <c r="L18" s="196">
        <f t="shared" si="12"/>
        <v>7624.5</v>
      </c>
      <c r="M18" s="197">
        <f t="shared" si="13"/>
        <v>7293</v>
      </c>
      <c r="N18" s="198"/>
      <c r="O18" s="199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</row>
    <row r="19">
      <c r="A19" s="187" t="s">
        <v>38</v>
      </c>
      <c r="B19" s="188" t="s">
        <v>176</v>
      </c>
      <c r="C19" s="206" t="s">
        <v>193</v>
      </c>
      <c r="D19" s="207" t="s">
        <v>194</v>
      </c>
      <c r="E19" s="191">
        <v>161.0</v>
      </c>
      <c r="F19" s="192">
        <f t="shared" si="8"/>
        <v>9660</v>
      </c>
      <c r="G19" s="193">
        <v>44682.0</v>
      </c>
      <c r="H19" s="194">
        <f t="shared" si="2"/>
        <v>19320</v>
      </c>
      <c r="I19" s="195">
        <f t="shared" si="9"/>
        <v>12558</v>
      </c>
      <c r="J19" s="196">
        <f t="shared" si="10"/>
        <v>12558</v>
      </c>
      <c r="K19" s="197">
        <f t="shared" si="11"/>
        <v>11592</v>
      </c>
      <c r="L19" s="196">
        <f t="shared" si="12"/>
        <v>11109</v>
      </c>
      <c r="M19" s="197">
        <f t="shared" si="13"/>
        <v>10626</v>
      </c>
      <c r="N19" s="198"/>
      <c r="O19" s="199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</row>
    <row r="20">
      <c r="A20" s="187" t="s">
        <v>38</v>
      </c>
      <c r="B20" s="188" t="s">
        <v>176</v>
      </c>
      <c r="C20" s="206" t="s">
        <v>195</v>
      </c>
      <c r="D20" s="207" t="s">
        <v>196</v>
      </c>
      <c r="E20" s="191">
        <v>177.0</v>
      </c>
      <c r="F20" s="192">
        <f t="shared" si="8"/>
        <v>10620</v>
      </c>
      <c r="G20" s="193">
        <v>44682.0</v>
      </c>
      <c r="H20" s="194">
        <f t="shared" si="2"/>
        <v>21240</v>
      </c>
      <c r="I20" s="195">
        <f t="shared" si="9"/>
        <v>13806</v>
      </c>
      <c r="J20" s="196">
        <f t="shared" si="10"/>
        <v>13806</v>
      </c>
      <c r="K20" s="197">
        <f t="shared" si="11"/>
        <v>12744</v>
      </c>
      <c r="L20" s="196">
        <f t="shared" si="12"/>
        <v>12213</v>
      </c>
      <c r="M20" s="197">
        <f t="shared" si="13"/>
        <v>11682</v>
      </c>
      <c r="N20" s="198"/>
      <c r="O20" s="199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</row>
    <row r="21" ht="15.75" customHeight="1">
      <c r="A21" s="187" t="s">
        <v>38</v>
      </c>
      <c r="B21" s="188" t="s">
        <v>176</v>
      </c>
      <c r="C21" s="206" t="s">
        <v>197</v>
      </c>
      <c r="D21" s="207" t="s">
        <v>198</v>
      </c>
      <c r="E21" s="191">
        <v>19.0</v>
      </c>
      <c r="F21" s="192">
        <f t="shared" si="8"/>
        <v>1140</v>
      </c>
      <c r="G21" s="193">
        <v>44682.0</v>
      </c>
      <c r="H21" s="194">
        <f t="shared" si="2"/>
        <v>2280</v>
      </c>
      <c r="I21" s="195">
        <f t="shared" si="9"/>
        <v>1482</v>
      </c>
      <c r="J21" s="196">
        <f t="shared" si="10"/>
        <v>1482</v>
      </c>
      <c r="K21" s="197">
        <f t="shared" si="11"/>
        <v>1368</v>
      </c>
      <c r="L21" s="196">
        <f t="shared" si="12"/>
        <v>1311</v>
      </c>
      <c r="M21" s="197">
        <f t="shared" si="13"/>
        <v>1254</v>
      </c>
      <c r="N21" s="198"/>
      <c r="O21" s="199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ht="15.75" customHeight="1">
      <c r="A22" s="187" t="s">
        <v>38</v>
      </c>
      <c r="B22" s="188" t="s">
        <v>176</v>
      </c>
      <c r="C22" s="206" t="s">
        <v>199</v>
      </c>
      <c r="D22" s="207" t="s">
        <v>200</v>
      </c>
      <c r="E22" s="191">
        <v>19.0</v>
      </c>
      <c r="F22" s="192">
        <f t="shared" si="8"/>
        <v>1140</v>
      </c>
      <c r="G22" s="193">
        <v>44682.0</v>
      </c>
      <c r="H22" s="194">
        <f t="shared" si="2"/>
        <v>2280</v>
      </c>
      <c r="I22" s="195">
        <f t="shared" si="9"/>
        <v>1482</v>
      </c>
      <c r="J22" s="196">
        <f t="shared" si="10"/>
        <v>1482</v>
      </c>
      <c r="K22" s="197">
        <f t="shared" si="11"/>
        <v>1368</v>
      </c>
      <c r="L22" s="196">
        <f t="shared" si="12"/>
        <v>1311</v>
      </c>
      <c r="M22" s="197">
        <f t="shared" si="13"/>
        <v>1254</v>
      </c>
      <c r="N22" s="198"/>
      <c r="O22" s="199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</row>
    <row r="23" ht="15.75" customHeight="1">
      <c r="A23" s="187" t="s">
        <v>38</v>
      </c>
      <c r="B23" s="188" t="s">
        <v>201</v>
      </c>
      <c r="C23" s="189" t="s">
        <v>202</v>
      </c>
      <c r="D23" s="190" t="s">
        <v>203</v>
      </c>
      <c r="E23" s="191">
        <v>72.0</v>
      </c>
      <c r="F23" s="192">
        <f t="shared" si="8"/>
        <v>4320</v>
      </c>
      <c r="G23" s="193">
        <v>44682.0</v>
      </c>
      <c r="H23" s="194">
        <f t="shared" si="2"/>
        <v>8640</v>
      </c>
      <c r="I23" s="195">
        <f t="shared" si="9"/>
        <v>5616</v>
      </c>
      <c r="J23" s="196">
        <f t="shared" si="10"/>
        <v>5616</v>
      </c>
      <c r="K23" s="197">
        <f t="shared" si="11"/>
        <v>5184</v>
      </c>
      <c r="L23" s="196">
        <f t="shared" si="12"/>
        <v>4968</v>
      </c>
      <c r="M23" s="197">
        <f t="shared" si="13"/>
        <v>4752</v>
      </c>
      <c r="N23" s="198"/>
      <c r="O23" s="199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</row>
    <row r="24" ht="15.75" customHeight="1">
      <c r="A24" s="187" t="s">
        <v>38</v>
      </c>
      <c r="B24" s="188" t="s">
        <v>201</v>
      </c>
      <c r="C24" s="189" t="s">
        <v>204</v>
      </c>
      <c r="D24" s="190" t="s">
        <v>203</v>
      </c>
      <c r="E24" s="191">
        <v>32.5</v>
      </c>
      <c r="F24" s="192">
        <f t="shared" si="8"/>
        <v>1950</v>
      </c>
      <c r="G24" s="193">
        <v>44682.0</v>
      </c>
      <c r="H24" s="194">
        <f t="shared" si="2"/>
        <v>3900</v>
      </c>
      <c r="I24" s="195">
        <f t="shared" si="9"/>
        <v>2535</v>
      </c>
      <c r="J24" s="196">
        <f t="shared" si="10"/>
        <v>2535</v>
      </c>
      <c r="K24" s="197">
        <f t="shared" si="11"/>
        <v>2340</v>
      </c>
      <c r="L24" s="196">
        <f t="shared" si="12"/>
        <v>2242.5</v>
      </c>
      <c r="M24" s="197">
        <f t="shared" si="13"/>
        <v>2145</v>
      </c>
      <c r="N24" s="198"/>
      <c r="O24" s="199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</row>
    <row r="25" ht="15.75" customHeight="1">
      <c r="A25" s="187" t="s">
        <v>38</v>
      </c>
      <c r="B25" s="188" t="s">
        <v>201</v>
      </c>
      <c r="C25" s="189" t="s">
        <v>205</v>
      </c>
      <c r="D25" s="190" t="s">
        <v>206</v>
      </c>
      <c r="E25" s="191">
        <v>54.0</v>
      </c>
      <c r="F25" s="192">
        <f t="shared" si="8"/>
        <v>3240</v>
      </c>
      <c r="G25" s="193">
        <v>44682.0</v>
      </c>
      <c r="H25" s="194">
        <f t="shared" si="2"/>
        <v>6480</v>
      </c>
      <c r="I25" s="195">
        <f t="shared" si="9"/>
        <v>4212</v>
      </c>
      <c r="J25" s="196">
        <f t="shared" si="10"/>
        <v>4212</v>
      </c>
      <c r="K25" s="197">
        <f t="shared" si="11"/>
        <v>3888</v>
      </c>
      <c r="L25" s="196">
        <f t="shared" si="12"/>
        <v>3726</v>
      </c>
      <c r="M25" s="197">
        <f t="shared" si="13"/>
        <v>3564</v>
      </c>
      <c r="N25" s="198"/>
      <c r="O25" s="199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</row>
    <row r="26" ht="15.75" customHeight="1">
      <c r="A26" s="187" t="s">
        <v>38</v>
      </c>
      <c r="B26" s="188" t="s">
        <v>201</v>
      </c>
      <c r="C26" s="189" t="s">
        <v>207</v>
      </c>
      <c r="D26" s="190" t="s">
        <v>208</v>
      </c>
      <c r="E26" s="191">
        <v>91.0</v>
      </c>
      <c r="F26" s="192">
        <f t="shared" si="8"/>
        <v>5460</v>
      </c>
      <c r="G26" s="193">
        <v>44682.0</v>
      </c>
      <c r="H26" s="194">
        <f t="shared" si="2"/>
        <v>10920</v>
      </c>
      <c r="I26" s="195">
        <f t="shared" si="9"/>
        <v>7098</v>
      </c>
      <c r="J26" s="196">
        <f t="shared" si="10"/>
        <v>7098</v>
      </c>
      <c r="K26" s="197">
        <f t="shared" si="11"/>
        <v>6552</v>
      </c>
      <c r="L26" s="196">
        <f t="shared" si="12"/>
        <v>6279</v>
      </c>
      <c r="M26" s="197">
        <f t="shared" si="13"/>
        <v>6006</v>
      </c>
      <c r="N26" s="198"/>
      <c r="O26" s="199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</row>
    <row r="27" ht="15.75" customHeight="1">
      <c r="A27" s="187" t="s">
        <v>38</v>
      </c>
      <c r="B27" s="188" t="s">
        <v>201</v>
      </c>
      <c r="C27" s="189" t="s">
        <v>209</v>
      </c>
      <c r="D27" s="190" t="s">
        <v>210</v>
      </c>
      <c r="E27" s="191">
        <v>151.5</v>
      </c>
      <c r="F27" s="192">
        <f t="shared" si="8"/>
        <v>9090</v>
      </c>
      <c r="G27" s="193">
        <v>44682.0</v>
      </c>
      <c r="H27" s="194">
        <f t="shared" si="2"/>
        <v>18180</v>
      </c>
      <c r="I27" s="195">
        <f t="shared" si="9"/>
        <v>11817</v>
      </c>
      <c r="J27" s="196">
        <f t="shared" si="10"/>
        <v>11817</v>
      </c>
      <c r="K27" s="197">
        <f t="shared" si="11"/>
        <v>10908</v>
      </c>
      <c r="L27" s="196">
        <f t="shared" si="12"/>
        <v>10453.5</v>
      </c>
      <c r="M27" s="197">
        <f t="shared" si="13"/>
        <v>9999</v>
      </c>
      <c r="N27" s="198"/>
      <c r="O27" s="199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</row>
    <row r="28" ht="15.75" customHeight="1">
      <c r="A28" s="187" t="s">
        <v>38</v>
      </c>
      <c r="B28" s="188" t="s">
        <v>201</v>
      </c>
      <c r="C28" s="189" t="s">
        <v>211</v>
      </c>
      <c r="D28" s="190" t="s">
        <v>212</v>
      </c>
      <c r="E28" s="191">
        <v>105.0</v>
      </c>
      <c r="F28" s="192">
        <f t="shared" si="8"/>
        <v>6300</v>
      </c>
      <c r="G28" s="193">
        <v>44682.0</v>
      </c>
      <c r="H28" s="194">
        <f t="shared" si="2"/>
        <v>12600</v>
      </c>
      <c r="I28" s="195">
        <f t="shared" si="9"/>
        <v>8190</v>
      </c>
      <c r="J28" s="196">
        <f t="shared" si="10"/>
        <v>8190</v>
      </c>
      <c r="K28" s="197">
        <f t="shared" si="11"/>
        <v>7560</v>
      </c>
      <c r="L28" s="196">
        <f t="shared" si="12"/>
        <v>7245</v>
      </c>
      <c r="M28" s="197">
        <f t="shared" si="13"/>
        <v>6930</v>
      </c>
      <c r="N28" s="198"/>
      <c r="O28" s="199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</row>
    <row r="29" ht="15.75" customHeight="1">
      <c r="A29" s="187" t="s">
        <v>38</v>
      </c>
      <c r="B29" s="188" t="s">
        <v>201</v>
      </c>
      <c r="C29" s="206" t="s">
        <v>213</v>
      </c>
      <c r="D29" s="207" t="s">
        <v>214</v>
      </c>
      <c r="E29" s="191">
        <v>208.0</v>
      </c>
      <c r="F29" s="192">
        <f t="shared" si="8"/>
        <v>12480</v>
      </c>
      <c r="G29" s="193">
        <v>44682.0</v>
      </c>
      <c r="H29" s="194">
        <f t="shared" si="2"/>
        <v>24960</v>
      </c>
      <c r="I29" s="195">
        <f t="shared" si="9"/>
        <v>16224</v>
      </c>
      <c r="J29" s="196">
        <f t="shared" si="10"/>
        <v>16224</v>
      </c>
      <c r="K29" s="197">
        <f t="shared" si="11"/>
        <v>14976</v>
      </c>
      <c r="L29" s="196">
        <f t="shared" si="12"/>
        <v>14352</v>
      </c>
      <c r="M29" s="197">
        <f t="shared" si="13"/>
        <v>13728</v>
      </c>
      <c r="N29" s="198"/>
      <c r="O29" s="199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 ht="15.75" customHeight="1">
      <c r="A30" s="187" t="s">
        <v>38</v>
      </c>
      <c r="B30" s="188" t="s">
        <v>201</v>
      </c>
      <c r="C30" s="206" t="s">
        <v>215</v>
      </c>
      <c r="D30" s="207" t="s">
        <v>216</v>
      </c>
      <c r="E30" s="191">
        <v>35.0</v>
      </c>
      <c r="F30" s="192">
        <f t="shared" si="8"/>
        <v>2100</v>
      </c>
      <c r="G30" s="193">
        <v>44682.0</v>
      </c>
      <c r="H30" s="194">
        <f t="shared" si="2"/>
        <v>4200</v>
      </c>
      <c r="I30" s="195">
        <f t="shared" si="9"/>
        <v>2730</v>
      </c>
      <c r="J30" s="196">
        <f t="shared" si="10"/>
        <v>2730</v>
      </c>
      <c r="K30" s="197">
        <f t="shared" si="11"/>
        <v>2520</v>
      </c>
      <c r="L30" s="196">
        <f t="shared" si="12"/>
        <v>2415</v>
      </c>
      <c r="M30" s="197">
        <f t="shared" si="13"/>
        <v>2310</v>
      </c>
      <c r="N30" s="198"/>
      <c r="O30" s="199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 ht="15.75" customHeight="1">
      <c r="A31" s="187" t="s">
        <v>38</v>
      </c>
      <c r="B31" s="188" t="s">
        <v>217</v>
      </c>
      <c r="C31" s="189" t="s">
        <v>218</v>
      </c>
      <c r="D31" s="190" t="s">
        <v>219</v>
      </c>
      <c r="E31" s="191">
        <v>42.0</v>
      </c>
      <c r="F31" s="192">
        <f t="shared" si="8"/>
        <v>2520</v>
      </c>
      <c r="G31" s="193">
        <v>44682.0</v>
      </c>
      <c r="H31" s="194">
        <f t="shared" si="2"/>
        <v>5040</v>
      </c>
      <c r="I31" s="195">
        <f t="shared" si="9"/>
        <v>3276</v>
      </c>
      <c r="J31" s="196">
        <f t="shared" si="10"/>
        <v>3276</v>
      </c>
      <c r="K31" s="197">
        <f t="shared" si="11"/>
        <v>3024</v>
      </c>
      <c r="L31" s="196">
        <f t="shared" si="12"/>
        <v>2898</v>
      </c>
      <c r="M31" s="197">
        <f t="shared" si="13"/>
        <v>2772</v>
      </c>
      <c r="N31" s="198"/>
      <c r="O31" s="199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</row>
    <row r="32" ht="15.75" customHeight="1">
      <c r="A32" s="187" t="s">
        <v>38</v>
      </c>
      <c r="B32" s="188" t="s">
        <v>217</v>
      </c>
      <c r="C32" s="206" t="s">
        <v>220</v>
      </c>
      <c r="D32" s="207" t="s">
        <v>221</v>
      </c>
      <c r="E32" s="191">
        <v>79.0</v>
      </c>
      <c r="F32" s="192">
        <f t="shared" si="8"/>
        <v>4740</v>
      </c>
      <c r="G32" s="193">
        <v>44682.0</v>
      </c>
      <c r="H32" s="194">
        <f t="shared" si="2"/>
        <v>9480</v>
      </c>
      <c r="I32" s="195">
        <f t="shared" si="9"/>
        <v>6162</v>
      </c>
      <c r="J32" s="196">
        <f t="shared" si="10"/>
        <v>6162</v>
      </c>
      <c r="K32" s="197">
        <f t="shared" si="11"/>
        <v>5688</v>
      </c>
      <c r="L32" s="196">
        <f t="shared" si="12"/>
        <v>5451</v>
      </c>
      <c r="M32" s="197">
        <f t="shared" si="13"/>
        <v>5214</v>
      </c>
      <c r="N32" s="198"/>
      <c r="O32" s="199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</row>
    <row r="33" ht="15.75" customHeight="1">
      <c r="A33" s="187" t="s">
        <v>38</v>
      </c>
      <c r="B33" s="188" t="s">
        <v>217</v>
      </c>
      <c r="C33" s="206" t="s">
        <v>222</v>
      </c>
      <c r="D33" s="207" t="s">
        <v>223</v>
      </c>
      <c r="E33" s="191">
        <v>63.5</v>
      </c>
      <c r="F33" s="192">
        <f t="shared" si="8"/>
        <v>3810</v>
      </c>
      <c r="G33" s="193">
        <v>44682.0</v>
      </c>
      <c r="H33" s="194">
        <f t="shared" si="2"/>
        <v>7620</v>
      </c>
      <c r="I33" s="195">
        <f t="shared" si="9"/>
        <v>4953</v>
      </c>
      <c r="J33" s="196">
        <f t="shared" si="10"/>
        <v>4953</v>
      </c>
      <c r="K33" s="197">
        <f t="shared" si="11"/>
        <v>4572</v>
      </c>
      <c r="L33" s="196">
        <f t="shared" si="12"/>
        <v>4381.5</v>
      </c>
      <c r="M33" s="197">
        <f t="shared" si="13"/>
        <v>4191</v>
      </c>
      <c r="N33" s="198"/>
      <c r="O33" s="199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</row>
    <row r="34" ht="15.75" customHeight="1">
      <c r="A34" s="187" t="s">
        <v>38</v>
      </c>
      <c r="B34" s="188" t="s">
        <v>217</v>
      </c>
      <c r="C34" s="206" t="s">
        <v>224</v>
      </c>
      <c r="D34" s="207" t="s">
        <v>225</v>
      </c>
      <c r="E34" s="191">
        <v>88.0</v>
      </c>
      <c r="F34" s="192">
        <f t="shared" si="8"/>
        <v>5280</v>
      </c>
      <c r="G34" s="193">
        <v>44682.0</v>
      </c>
      <c r="H34" s="194">
        <f t="shared" si="2"/>
        <v>10560</v>
      </c>
      <c r="I34" s="195">
        <f t="shared" si="9"/>
        <v>6864</v>
      </c>
      <c r="J34" s="196">
        <f t="shared" si="10"/>
        <v>6864</v>
      </c>
      <c r="K34" s="197">
        <f t="shared" si="11"/>
        <v>6336</v>
      </c>
      <c r="L34" s="196">
        <f t="shared" si="12"/>
        <v>6072</v>
      </c>
      <c r="M34" s="197">
        <f t="shared" si="13"/>
        <v>5808</v>
      </c>
      <c r="N34" s="198"/>
      <c r="O34" s="199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</row>
    <row r="35" ht="15.75" customHeight="1">
      <c r="A35" s="187" t="s">
        <v>38</v>
      </c>
      <c r="B35" s="188" t="s">
        <v>217</v>
      </c>
      <c r="C35" s="206" t="s">
        <v>226</v>
      </c>
      <c r="D35" s="207" t="s">
        <v>227</v>
      </c>
      <c r="E35" s="191">
        <v>78.0</v>
      </c>
      <c r="F35" s="192">
        <f t="shared" si="8"/>
        <v>4680</v>
      </c>
      <c r="G35" s="193">
        <v>44682.0</v>
      </c>
      <c r="H35" s="194">
        <f t="shared" si="2"/>
        <v>9360</v>
      </c>
      <c r="I35" s="195">
        <f t="shared" si="9"/>
        <v>6084</v>
      </c>
      <c r="J35" s="196">
        <f t="shared" si="10"/>
        <v>6084</v>
      </c>
      <c r="K35" s="197">
        <f t="shared" si="11"/>
        <v>5616</v>
      </c>
      <c r="L35" s="196">
        <f t="shared" si="12"/>
        <v>5382</v>
      </c>
      <c r="M35" s="197">
        <f t="shared" si="13"/>
        <v>5148</v>
      </c>
      <c r="N35" s="198"/>
      <c r="O35" s="199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</row>
    <row r="36" ht="15.75" customHeight="1">
      <c r="A36" s="187" t="s">
        <v>38</v>
      </c>
      <c r="B36" s="188" t="s">
        <v>217</v>
      </c>
      <c r="C36" s="206" t="s">
        <v>228</v>
      </c>
      <c r="D36" s="207" t="s">
        <v>229</v>
      </c>
      <c r="E36" s="191">
        <v>77.0</v>
      </c>
      <c r="F36" s="192">
        <f t="shared" si="8"/>
        <v>4620</v>
      </c>
      <c r="G36" s="193">
        <v>44682.0</v>
      </c>
      <c r="H36" s="194">
        <f t="shared" si="2"/>
        <v>9240</v>
      </c>
      <c r="I36" s="195">
        <f t="shared" si="9"/>
        <v>6006</v>
      </c>
      <c r="J36" s="196">
        <f t="shared" si="10"/>
        <v>6006</v>
      </c>
      <c r="K36" s="197">
        <f t="shared" si="11"/>
        <v>5544</v>
      </c>
      <c r="L36" s="196">
        <f t="shared" si="12"/>
        <v>5313</v>
      </c>
      <c r="M36" s="197">
        <f t="shared" si="13"/>
        <v>5082</v>
      </c>
      <c r="N36" s="198"/>
      <c r="O36" s="199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ht="15.75" customHeight="1">
      <c r="A37" s="187" t="s">
        <v>38</v>
      </c>
      <c r="B37" s="188" t="s">
        <v>230</v>
      </c>
      <c r="C37" s="189" t="s">
        <v>231</v>
      </c>
      <c r="D37" s="190" t="s">
        <v>232</v>
      </c>
      <c r="E37" s="191">
        <v>60.5</v>
      </c>
      <c r="F37" s="192">
        <f t="shared" si="8"/>
        <v>3630</v>
      </c>
      <c r="G37" s="193">
        <v>44682.0</v>
      </c>
      <c r="H37" s="194">
        <f t="shared" si="2"/>
        <v>7260</v>
      </c>
      <c r="I37" s="195">
        <f t="shared" si="9"/>
        <v>4719</v>
      </c>
      <c r="J37" s="196">
        <f t="shared" si="10"/>
        <v>4719</v>
      </c>
      <c r="K37" s="197">
        <f t="shared" si="11"/>
        <v>4356</v>
      </c>
      <c r="L37" s="196">
        <f t="shared" si="12"/>
        <v>4174.5</v>
      </c>
      <c r="M37" s="197">
        <f t="shared" si="13"/>
        <v>3993</v>
      </c>
      <c r="N37" s="198"/>
      <c r="O37" s="199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 ht="15.75" customHeight="1">
      <c r="A38" s="187" t="s">
        <v>38</v>
      </c>
      <c r="B38" s="188" t="s">
        <v>230</v>
      </c>
      <c r="C38" s="206" t="s">
        <v>233</v>
      </c>
      <c r="D38" s="207" t="s">
        <v>234</v>
      </c>
      <c r="E38" s="191" t="s">
        <v>169</v>
      </c>
      <c r="F38" s="201" t="s">
        <v>169</v>
      </c>
      <c r="G38" s="193">
        <v>44682.0</v>
      </c>
      <c r="H38" s="194" t="str">
        <f t="shared" si="2"/>
        <v>#VALUE!</v>
      </c>
      <c r="I38" s="202"/>
      <c r="J38" s="203"/>
      <c r="K38" s="204"/>
      <c r="L38" s="203"/>
      <c r="M38" s="204"/>
      <c r="N38" s="198"/>
      <c r="O38" s="199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</row>
    <row r="39" ht="15.75" customHeight="1">
      <c r="A39" s="187" t="s">
        <v>38</v>
      </c>
      <c r="B39" s="188" t="s">
        <v>230</v>
      </c>
      <c r="C39" s="206" t="s">
        <v>235</v>
      </c>
      <c r="D39" s="207" t="s">
        <v>236</v>
      </c>
      <c r="E39" s="191">
        <v>45.5</v>
      </c>
      <c r="F39" s="192">
        <f t="shared" ref="F39:F45" si="14">E39*60</f>
        <v>2730</v>
      </c>
      <c r="G39" s="193">
        <v>44682.0</v>
      </c>
      <c r="H39" s="194">
        <f t="shared" si="2"/>
        <v>5460</v>
      </c>
      <c r="I39" s="195">
        <f t="shared" ref="I39:I45" si="15">F39*0.3+F39</f>
        <v>3549</v>
      </c>
      <c r="J39" s="196">
        <f t="shared" ref="J39:J45" si="16">F39*0.3+F39</f>
        <v>3549</v>
      </c>
      <c r="K39" s="197">
        <f t="shared" ref="K39:K45" si="17">F39*0.2+F39</f>
        <v>3276</v>
      </c>
      <c r="L39" s="196">
        <f t="shared" ref="L39:L45" si="18">F39*0.15+F39</f>
        <v>3139.5</v>
      </c>
      <c r="M39" s="197">
        <f t="shared" ref="M39:M45" si="19">F39*0.1+F39</f>
        <v>3003</v>
      </c>
      <c r="N39" s="198"/>
      <c r="O39" s="199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ht="15.75" customHeight="1">
      <c r="A40" s="187" t="s">
        <v>38</v>
      </c>
      <c r="B40" s="188" t="s">
        <v>230</v>
      </c>
      <c r="C40" s="206" t="s">
        <v>237</v>
      </c>
      <c r="D40" s="207" t="s">
        <v>238</v>
      </c>
      <c r="E40" s="191">
        <v>17.0</v>
      </c>
      <c r="F40" s="192">
        <f t="shared" si="14"/>
        <v>1020</v>
      </c>
      <c r="G40" s="193">
        <v>44682.0</v>
      </c>
      <c r="H40" s="194">
        <f t="shared" si="2"/>
        <v>2040</v>
      </c>
      <c r="I40" s="195">
        <f t="shared" si="15"/>
        <v>1326</v>
      </c>
      <c r="J40" s="196">
        <f t="shared" si="16"/>
        <v>1326</v>
      </c>
      <c r="K40" s="197">
        <f t="shared" si="17"/>
        <v>1224</v>
      </c>
      <c r="L40" s="196">
        <f t="shared" si="18"/>
        <v>1173</v>
      </c>
      <c r="M40" s="197">
        <f t="shared" si="19"/>
        <v>1122</v>
      </c>
      <c r="N40" s="198"/>
      <c r="O40" s="199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</row>
    <row r="41" ht="15.75" customHeight="1">
      <c r="A41" s="187" t="s">
        <v>38</v>
      </c>
      <c r="B41" s="188" t="s">
        <v>239</v>
      </c>
      <c r="C41" s="189" t="s">
        <v>240</v>
      </c>
      <c r="D41" s="190" t="s">
        <v>241</v>
      </c>
      <c r="E41" s="191">
        <v>177.5</v>
      </c>
      <c r="F41" s="192">
        <f t="shared" si="14"/>
        <v>10650</v>
      </c>
      <c r="G41" s="193">
        <v>44682.0</v>
      </c>
      <c r="H41" s="194">
        <f t="shared" si="2"/>
        <v>21300</v>
      </c>
      <c r="I41" s="195">
        <f t="shared" si="15"/>
        <v>13845</v>
      </c>
      <c r="J41" s="196">
        <f t="shared" si="16"/>
        <v>13845</v>
      </c>
      <c r="K41" s="197">
        <f t="shared" si="17"/>
        <v>12780</v>
      </c>
      <c r="L41" s="196">
        <f t="shared" si="18"/>
        <v>12247.5</v>
      </c>
      <c r="M41" s="197">
        <f t="shared" si="19"/>
        <v>11715</v>
      </c>
      <c r="N41" s="198"/>
      <c r="O41" s="199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ht="15.75" customHeight="1">
      <c r="A42" s="187" t="s">
        <v>38</v>
      </c>
      <c r="B42" s="188" t="s">
        <v>239</v>
      </c>
      <c r="C42" s="189" t="s">
        <v>242</v>
      </c>
      <c r="D42" s="190" t="s">
        <v>243</v>
      </c>
      <c r="E42" s="191">
        <v>17.0</v>
      </c>
      <c r="F42" s="192">
        <f t="shared" si="14"/>
        <v>1020</v>
      </c>
      <c r="G42" s="193">
        <v>44682.0</v>
      </c>
      <c r="H42" s="194">
        <f t="shared" si="2"/>
        <v>2040</v>
      </c>
      <c r="I42" s="195">
        <f t="shared" si="15"/>
        <v>1326</v>
      </c>
      <c r="J42" s="196">
        <f t="shared" si="16"/>
        <v>1326</v>
      </c>
      <c r="K42" s="197">
        <f t="shared" si="17"/>
        <v>1224</v>
      </c>
      <c r="L42" s="196">
        <f t="shared" si="18"/>
        <v>1173</v>
      </c>
      <c r="M42" s="197">
        <f t="shared" si="19"/>
        <v>1122</v>
      </c>
      <c r="N42" s="198"/>
      <c r="O42" s="199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</row>
    <row r="43" ht="15.75" customHeight="1">
      <c r="A43" s="187" t="s">
        <v>38</v>
      </c>
      <c r="B43" s="188" t="s">
        <v>239</v>
      </c>
      <c r="C43" s="189" t="s">
        <v>244</v>
      </c>
      <c r="D43" s="190" t="s">
        <v>245</v>
      </c>
      <c r="E43" s="191">
        <v>92.0</v>
      </c>
      <c r="F43" s="192">
        <f t="shared" si="14"/>
        <v>5520</v>
      </c>
      <c r="G43" s="193">
        <v>44682.0</v>
      </c>
      <c r="H43" s="194">
        <f t="shared" si="2"/>
        <v>11040</v>
      </c>
      <c r="I43" s="195">
        <f t="shared" si="15"/>
        <v>7176</v>
      </c>
      <c r="J43" s="196">
        <f t="shared" si="16"/>
        <v>7176</v>
      </c>
      <c r="K43" s="197">
        <f t="shared" si="17"/>
        <v>6624</v>
      </c>
      <c r="L43" s="196">
        <f t="shared" si="18"/>
        <v>6348</v>
      </c>
      <c r="M43" s="197">
        <f t="shared" si="19"/>
        <v>6072</v>
      </c>
      <c r="N43" s="198"/>
      <c r="O43" s="199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ht="15.75" customHeight="1">
      <c r="A44" s="187" t="s">
        <v>38</v>
      </c>
      <c r="B44" s="188" t="s">
        <v>239</v>
      </c>
      <c r="C44" s="189" t="s">
        <v>246</v>
      </c>
      <c r="D44" s="190" t="s">
        <v>247</v>
      </c>
      <c r="E44" s="191">
        <v>23.0</v>
      </c>
      <c r="F44" s="192">
        <f t="shared" si="14"/>
        <v>1380</v>
      </c>
      <c r="G44" s="193">
        <v>44682.0</v>
      </c>
      <c r="H44" s="194">
        <f t="shared" si="2"/>
        <v>2760</v>
      </c>
      <c r="I44" s="195">
        <f t="shared" si="15"/>
        <v>1794</v>
      </c>
      <c r="J44" s="196">
        <f t="shared" si="16"/>
        <v>1794</v>
      </c>
      <c r="K44" s="197">
        <f t="shared" si="17"/>
        <v>1656</v>
      </c>
      <c r="L44" s="196">
        <f t="shared" si="18"/>
        <v>1587</v>
      </c>
      <c r="M44" s="197">
        <f t="shared" si="19"/>
        <v>1518</v>
      </c>
      <c r="N44" s="198"/>
      <c r="O44" s="199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ht="15.75" customHeight="1">
      <c r="A45" s="187" t="s">
        <v>38</v>
      </c>
      <c r="B45" s="188" t="s">
        <v>248</v>
      </c>
      <c r="C45" s="189" t="s">
        <v>249</v>
      </c>
      <c r="D45" s="190" t="s">
        <v>250</v>
      </c>
      <c r="E45" s="191">
        <v>94.0</v>
      </c>
      <c r="F45" s="192">
        <f t="shared" si="14"/>
        <v>5640</v>
      </c>
      <c r="G45" s="193">
        <v>44682.0</v>
      </c>
      <c r="H45" s="194">
        <f t="shared" si="2"/>
        <v>11280</v>
      </c>
      <c r="I45" s="195">
        <f t="shared" si="15"/>
        <v>7332</v>
      </c>
      <c r="J45" s="196">
        <f t="shared" si="16"/>
        <v>7332</v>
      </c>
      <c r="K45" s="197">
        <f t="shared" si="17"/>
        <v>6768</v>
      </c>
      <c r="L45" s="196">
        <f t="shared" si="18"/>
        <v>6486</v>
      </c>
      <c r="M45" s="197">
        <f t="shared" si="19"/>
        <v>6204</v>
      </c>
      <c r="N45" s="198"/>
      <c r="O45" s="199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 ht="15.75" customHeight="1">
      <c r="A46" s="187" t="s">
        <v>38</v>
      </c>
      <c r="B46" s="188" t="s">
        <v>248</v>
      </c>
      <c r="C46" s="189" t="s">
        <v>167</v>
      </c>
      <c r="D46" s="190" t="s">
        <v>168</v>
      </c>
      <c r="E46" s="191" t="s">
        <v>169</v>
      </c>
      <c r="F46" s="201" t="s">
        <v>169</v>
      </c>
      <c r="G46" s="193">
        <v>44682.0</v>
      </c>
      <c r="H46" s="194" t="str">
        <f t="shared" si="2"/>
        <v>#VALUE!</v>
      </c>
      <c r="I46" s="202"/>
      <c r="J46" s="203"/>
      <c r="K46" s="204"/>
      <c r="L46" s="203"/>
      <c r="M46" s="204"/>
      <c r="N46" s="198"/>
      <c r="O46" s="199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ht="15.75" customHeight="1">
      <c r="A47" s="187" t="s">
        <v>38</v>
      </c>
      <c r="B47" s="188" t="s">
        <v>248</v>
      </c>
      <c r="C47" s="189" t="s">
        <v>171</v>
      </c>
      <c r="D47" s="190" t="s">
        <v>172</v>
      </c>
      <c r="E47" s="191">
        <v>4.0</v>
      </c>
      <c r="F47" s="192">
        <f t="shared" ref="F47:F66" si="20">E47*60</f>
        <v>240</v>
      </c>
      <c r="G47" s="193">
        <v>44682.0</v>
      </c>
      <c r="H47" s="194">
        <f t="shared" si="2"/>
        <v>480</v>
      </c>
      <c r="I47" s="195">
        <f t="shared" ref="I47:I77" si="21">F47*0.3+F47</f>
        <v>312</v>
      </c>
      <c r="J47" s="196">
        <f t="shared" ref="J47:J77" si="22">F47*0.3+F47</f>
        <v>312</v>
      </c>
      <c r="K47" s="197">
        <f t="shared" ref="K47:K77" si="23">F47*0.2+F47</f>
        <v>288</v>
      </c>
      <c r="L47" s="196">
        <f t="shared" ref="L47:L77" si="24">F47*0.15+F47</f>
        <v>276</v>
      </c>
      <c r="M47" s="197">
        <f t="shared" ref="M47:M77" si="25">F47*0.1+F47</f>
        <v>264</v>
      </c>
      <c r="N47" s="198"/>
      <c r="O47" s="199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</row>
    <row r="48" ht="15.75" customHeight="1">
      <c r="A48" s="187" t="s">
        <v>38</v>
      </c>
      <c r="B48" s="188" t="s">
        <v>248</v>
      </c>
      <c r="C48" s="189" t="s">
        <v>174</v>
      </c>
      <c r="D48" s="190" t="s">
        <v>175</v>
      </c>
      <c r="E48" s="191">
        <v>2.0</v>
      </c>
      <c r="F48" s="192">
        <f t="shared" si="20"/>
        <v>120</v>
      </c>
      <c r="G48" s="193">
        <v>44682.0</v>
      </c>
      <c r="H48" s="194">
        <f t="shared" si="2"/>
        <v>240</v>
      </c>
      <c r="I48" s="195">
        <f t="shared" si="21"/>
        <v>156</v>
      </c>
      <c r="J48" s="196">
        <f t="shared" si="22"/>
        <v>156</v>
      </c>
      <c r="K48" s="197">
        <f t="shared" si="23"/>
        <v>144</v>
      </c>
      <c r="L48" s="196">
        <f t="shared" si="24"/>
        <v>138</v>
      </c>
      <c r="M48" s="197">
        <f t="shared" si="25"/>
        <v>132</v>
      </c>
      <c r="N48" s="198"/>
      <c r="O48" s="199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ht="15.75" customHeight="1">
      <c r="A49" s="187" t="s">
        <v>38</v>
      </c>
      <c r="B49" s="188" t="s">
        <v>251</v>
      </c>
      <c r="C49" s="189" t="s">
        <v>252</v>
      </c>
      <c r="D49" s="190" t="s">
        <v>253</v>
      </c>
      <c r="E49" s="191">
        <v>44.0</v>
      </c>
      <c r="F49" s="192">
        <f t="shared" si="20"/>
        <v>2640</v>
      </c>
      <c r="G49" s="193">
        <v>44682.0</v>
      </c>
      <c r="H49" s="194">
        <f t="shared" si="2"/>
        <v>5280</v>
      </c>
      <c r="I49" s="195">
        <f t="shared" si="21"/>
        <v>3432</v>
      </c>
      <c r="J49" s="196">
        <f t="shared" si="22"/>
        <v>3432</v>
      </c>
      <c r="K49" s="197">
        <f t="shared" si="23"/>
        <v>3168</v>
      </c>
      <c r="L49" s="196">
        <f t="shared" si="24"/>
        <v>3036</v>
      </c>
      <c r="M49" s="197">
        <f t="shared" si="25"/>
        <v>2904</v>
      </c>
      <c r="N49" s="198"/>
      <c r="O49" s="199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ht="15.75" customHeight="1">
      <c r="A50" s="187" t="s">
        <v>38</v>
      </c>
      <c r="B50" s="188" t="s">
        <v>251</v>
      </c>
      <c r="C50" s="189" t="s">
        <v>254</v>
      </c>
      <c r="D50" s="190" t="s">
        <v>255</v>
      </c>
      <c r="E50" s="191">
        <v>73.5</v>
      </c>
      <c r="F50" s="192">
        <f t="shared" si="20"/>
        <v>4410</v>
      </c>
      <c r="G50" s="193">
        <v>44682.0</v>
      </c>
      <c r="H50" s="194">
        <f t="shared" si="2"/>
        <v>8820</v>
      </c>
      <c r="I50" s="195">
        <f t="shared" si="21"/>
        <v>5733</v>
      </c>
      <c r="J50" s="196">
        <f t="shared" si="22"/>
        <v>5733</v>
      </c>
      <c r="K50" s="197">
        <f t="shared" si="23"/>
        <v>5292</v>
      </c>
      <c r="L50" s="196">
        <f t="shared" si="24"/>
        <v>5071.5</v>
      </c>
      <c r="M50" s="197">
        <f t="shared" si="25"/>
        <v>4851</v>
      </c>
      <c r="N50" s="198"/>
      <c r="O50" s="199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</row>
    <row r="51" ht="15.75" customHeight="1">
      <c r="A51" s="187" t="s">
        <v>38</v>
      </c>
      <c r="B51" s="188" t="s">
        <v>251</v>
      </c>
      <c r="C51" s="189" t="s">
        <v>256</v>
      </c>
      <c r="D51" s="190" t="s">
        <v>257</v>
      </c>
      <c r="E51" s="191">
        <v>106.5</v>
      </c>
      <c r="F51" s="192">
        <f t="shared" si="20"/>
        <v>6390</v>
      </c>
      <c r="G51" s="193">
        <v>44682.0</v>
      </c>
      <c r="H51" s="194">
        <f t="shared" si="2"/>
        <v>12780</v>
      </c>
      <c r="I51" s="195">
        <f t="shared" si="21"/>
        <v>8307</v>
      </c>
      <c r="J51" s="196">
        <f t="shared" si="22"/>
        <v>8307</v>
      </c>
      <c r="K51" s="197">
        <f t="shared" si="23"/>
        <v>7668</v>
      </c>
      <c r="L51" s="196">
        <f t="shared" si="24"/>
        <v>7348.5</v>
      </c>
      <c r="M51" s="197">
        <f t="shared" si="25"/>
        <v>7029</v>
      </c>
      <c r="N51" s="198"/>
      <c r="O51" s="199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ht="15.75" customHeight="1">
      <c r="A52" s="187" t="s">
        <v>38</v>
      </c>
      <c r="B52" s="188" t="s">
        <v>251</v>
      </c>
      <c r="C52" s="189" t="s">
        <v>258</v>
      </c>
      <c r="D52" s="190" t="s">
        <v>259</v>
      </c>
      <c r="E52" s="191">
        <v>90.5</v>
      </c>
      <c r="F52" s="192">
        <f t="shared" si="20"/>
        <v>5430</v>
      </c>
      <c r="G52" s="193">
        <v>44682.0</v>
      </c>
      <c r="H52" s="194">
        <f t="shared" si="2"/>
        <v>10860</v>
      </c>
      <c r="I52" s="195">
        <f t="shared" si="21"/>
        <v>7059</v>
      </c>
      <c r="J52" s="196">
        <f t="shared" si="22"/>
        <v>7059</v>
      </c>
      <c r="K52" s="197">
        <f t="shared" si="23"/>
        <v>6516</v>
      </c>
      <c r="L52" s="196">
        <f t="shared" si="24"/>
        <v>6244.5</v>
      </c>
      <c r="M52" s="197">
        <f t="shared" si="25"/>
        <v>5973</v>
      </c>
      <c r="N52" s="198"/>
      <c r="O52" s="199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</row>
    <row r="53" ht="15.75" customHeight="1">
      <c r="A53" s="187" t="s">
        <v>38</v>
      </c>
      <c r="B53" s="188" t="s">
        <v>251</v>
      </c>
      <c r="C53" s="189" t="s">
        <v>260</v>
      </c>
      <c r="D53" s="190" t="s">
        <v>261</v>
      </c>
      <c r="E53" s="191">
        <v>144.5</v>
      </c>
      <c r="F53" s="192">
        <f t="shared" si="20"/>
        <v>8670</v>
      </c>
      <c r="G53" s="193">
        <v>44682.0</v>
      </c>
      <c r="H53" s="194">
        <f t="shared" si="2"/>
        <v>17340</v>
      </c>
      <c r="I53" s="195">
        <f t="shared" si="21"/>
        <v>11271</v>
      </c>
      <c r="J53" s="196">
        <f t="shared" si="22"/>
        <v>11271</v>
      </c>
      <c r="K53" s="197">
        <f t="shared" si="23"/>
        <v>10404</v>
      </c>
      <c r="L53" s="196">
        <f t="shared" si="24"/>
        <v>9970.5</v>
      </c>
      <c r="M53" s="197">
        <f t="shared" si="25"/>
        <v>9537</v>
      </c>
      <c r="N53" s="198"/>
      <c r="O53" s="199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ht="15.75" customHeight="1">
      <c r="A54" s="187" t="s">
        <v>38</v>
      </c>
      <c r="B54" s="188" t="s">
        <v>262</v>
      </c>
      <c r="C54" s="189" t="s">
        <v>263</v>
      </c>
      <c r="D54" s="190" t="s">
        <v>261</v>
      </c>
      <c r="E54" s="191">
        <v>49.0</v>
      </c>
      <c r="F54" s="192">
        <f t="shared" si="20"/>
        <v>2940</v>
      </c>
      <c r="G54" s="193">
        <v>44682.0</v>
      </c>
      <c r="H54" s="194">
        <f t="shared" si="2"/>
        <v>5880</v>
      </c>
      <c r="I54" s="195">
        <f t="shared" si="21"/>
        <v>3822</v>
      </c>
      <c r="J54" s="196">
        <f t="shared" si="22"/>
        <v>3822</v>
      </c>
      <c r="K54" s="197">
        <f t="shared" si="23"/>
        <v>3528</v>
      </c>
      <c r="L54" s="196">
        <f t="shared" si="24"/>
        <v>3381</v>
      </c>
      <c r="M54" s="197">
        <f t="shared" si="25"/>
        <v>3234</v>
      </c>
      <c r="N54" s="198"/>
      <c r="O54" s="199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</row>
    <row r="55" ht="15.75" customHeight="1">
      <c r="A55" s="187" t="s">
        <v>38</v>
      </c>
      <c r="B55" s="188" t="s">
        <v>262</v>
      </c>
      <c r="C55" s="189" t="s">
        <v>264</v>
      </c>
      <c r="D55" s="190" t="s">
        <v>265</v>
      </c>
      <c r="E55" s="191">
        <v>40.5</v>
      </c>
      <c r="F55" s="192">
        <f t="shared" si="20"/>
        <v>2430</v>
      </c>
      <c r="G55" s="193">
        <v>44682.0</v>
      </c>
      <c r="H55" s="194">
        <f t="shared" si="2"/>
        <v>4860</v>
      </c>
      <c r="I55" s="195">
        <f t="shared" si="21"/>
        <v>3159</v>
      </c>
      <c r="J55" s="196">
        <f t="shared" si="22"/>
        <v>3159</v>
      </c>
      <c r="K55" s="197">
        <f t="shared" si="23"/>
        <v>2916</v>
      </c>
      <c r="L55" s="196">
        <f t="shared" si="24"/>
        <v>2794.5</v>
      </c>
      <c r="M55" s="197">
        <f t="shared" si="25"/>
        <v>2673</v>
      </c>
      <c r="N55" s="198"/>
      <c r="O55" s="199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</row>
    <row r="56" ht="15.75" customHeight="1">
      <c r="A56" s="187" t="s">
        <v>38</v>
      </c>
      <c r="B56" s="188" t="s">
        <v>262</v>
      </c>
      <c r="C56" s="189" t="s">
        <v>266</v>
      </c>
      <c r="D56" s="190" t="s">
        <v>267</v>
      </c>
      <c r="E56" s="191">
        <v>45.0</v>
      </c>
      <c r="F56" s="192">
        <f t="shared" si="20"/>
        <v>2700</v>
      </c>
      <c r="G56" s="193">
        <v>44682.0</v>
      </c>
      <c r="H56" s="194">
        <f t="shared" si="2"/>
        <v>5400</v>
      </c>
      <c r="I56" s="195">
        <f t="shared" si="21"/>
        <v>3510</v>
      </c>
      <c r="J56" s="196">
        <f t="shared" si="22"/>
        <v>3510</v>
      </c>
      <c r="K56" s="197">
        <f t="shared" si="23"/>
        <v>3240</v>
      </c>
      <c r="L56" s="196">
        <f t="shared" si="24"/>
        <v>3105</v>
      </c>
      <c r="M56" s="197">
        <f t="shared" si="25"/>
        <v>2970</v>
      </c>
      <c r="N56" s="198"/>
      <c r="O56" s="199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</row>
    <row r="57" ht="14.25" customHeight="1">
      <c r="A57" s="187" t="s">
        <v>38</v>
      </c>
      <c r="B57" s="188" t="s">
        <v>262</v>
      </c>
      <c r="C57" s="206" t="s">
        <v>268</v>
      </c>
      <c r="D57" s="207" t="s">
        <v>269</v>
      </c>
      <c r="E57" s="191">
        <v>48.0</v>
      </c>
      <c r="F57" s="192">
        <f t="shared" si="20"/>
        <v>2880</v>
      </c>
      <c r="G57" s="193">
        <v>44682.0</v>
      </c>
      <c r="H57" s="194">
        <f t="shared" si="2"/>
        <v>5760</v>
      </c>
      <c r="I57" s="195">
        <f t="shared" si="21"/>
        <v>3744</v>
      </c>
      <c r="J57" s="196">
        <f t="shared" si="22"/>
        <v>3744</v>
      </c>
      <c r="K57" s="197">
        <f t="shared" si="23"/>
        <v>3456</v>
      </c>
      <c r="L57" s="196">
        <f t="shared" si="24"/>
        <v>3312</v>
      </c>
      <c r="M57" s="197">
        <f t="shared" si="25"/>
        <v>3168</v>
      </c>
      <c r="N57" s="198"/>
      <c r="O57" s="199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</row>
    <row r="58" ht="15.75" customHeight="1">
      <c r="A58" s="187" t="s">
        <v>38</v>
      </c>
      <c r="B58" s="188" t="s">
        <v>262</v>
      </c>
      <c r="C58" s="206" t="s">
        <v>270</v>
      </c>
      <c r="D58" s="207" t="s">
        <v>271</v>
      </c>
      <c r="E58" s="191">
        <v>26.5</v>
      </c>
      <c r="F58" s="192">
        <f t="shared" si="20"/>
        <v>1590</v>
      </c>
      <c r="G58" s="193">
        <v>44682.0</v>
      </c>
      <c r="H58" s="194">
        <f t="shared" si="2"/>
        <v>3180</v>
      </c>
      <c r="I58" s="195">
        <f t="shared" si="21"/>
        <v>2067</v>
      </c>
      <c r="J58" s="196">
        <f t="shared" si="22"/>
        <v>2067</v>
      </c>
      <c r="K58" s="197">
        <f t="shared" si="23"/>
        <v>1908</v>
      </c>
      <c r="L58" s="196">
        <f t="shared" si="24"/>
        <v>1828.5</v>
      </c>
      <c r="M58" s="197">
        <f t="shared" si="25"/>
        <v>1749</v>
      </c>
      <c r="N58" s="198"/>
      <c r="O58" s="199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</row>
    <row r="59" ht="15.75" customHeight="1">
      <c r="A59" s="187" t="s">
        <v>38</v>
      </c>
      <c r="B59" s="188" t="s">
        <v>262</v>
      </c>
      <c r="C59" s="206" t="s">
        <v>272</v>
      </c>
      <c r="D59" s="207" t="s">
        <v>273</v>
      </c>
      <c r="E59" s="191">
        <v>42.0</v>
      </c>
      <c r="F59" s="192">
        <f t="shared" si="20"/>
        <v>2520</v>
      </c>
      <c r="G59" s="193">
        <v>44682.0</v>
      </c>
      <c r="H59" s="194">
        <f t="shared" si="2"/>
        <v>5040</v>
      </c>
      <c r="I59" s="195">
        <f t="shared" si="21"/>
        <v>3276</v>
      </c>
      <c r="J59" s="196">
        <f t="shared" si="22"/>
        <v>3276</v>
      </c>
      <c r="K59" s="197">
        <f t="shared" si="23"/>
        <v>3024</v>
      </c>
      <c r="L59" s="196">
        <f t="shared" si="24"/>
        <v>2898</v>
      </c>
      <c r="M59" s="197">
        <f t="shared" si="25"/>
        <v>2772</v>
      </c>
      <c r="N59" s="198"/>
      <c r="O59" s="199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</row>
    <row r="60" ht="14.25" customHeight="1">
      <c r="A60" s="187" t="s">
        <v>38</v>
      </c>
      <c r="B60" s="188" t="s">
        <v>262</v>
      </c>
      <c r="C60" s="206" t="s">
        <v>274</v>
      </c>
      <c r="D60" s="207" t="s">
        <v>275</v>
      </c>
      <c r="E60" s="191">
        <v>45.0</v>
      </c>
      <c r="F60" s="192">
        <f t="shared" si="20"/>
        <v>2700</v>
      </c>
      <c r="G60" s="193">
        <v>44682.0</v>
      </c>
      <c r="H60" s="194">
        <f t="shared" si="2"/>
        <v>5400</v>
      </c>
      <c r="I60" s="195">
        <f t="shared" si="21"/>
        <v>3510</v>
      </c>
      <c r="J60" s="196">
        <f t="shared" si="22"/>
        <v>3510</v>
      </c>
      <c r="K60" s="197">
        <f t="shared" si="23"/>
        <v>3240</v>
      </c>
      <c r="L60" s="196">
        <f t="shared" si="24"/>
        <v>3105</v>
      </c>
      <c r="M60" s="197">
        <f t="shared" si="25"/>
        <v>2970</v>
      </c>
      <c r="N60" s="198"/>
      <c r="O60" s="199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</row>
    <row r="61" ht="15.75" customHeight="1">
      <c r="A61" s="187" t="s">
        <v>38</v>
      </c>
      <c r="B61" s="188" t="s">
        <v>262</v>
      </c>
      <c r="C61" s="206" t="s">
        <v>276</v>
      </c>
      <c r="D61" s="207" t="s">
        <v>277</v>
      </c>
      <c r="E61" s="191">
        <v>63.5</v>
      </c>
      <c r="F61" s="192">
        <f t="shared" si="20"/>
        <v>3810</v>
      </c>
      <c r="G61" s="193">
        <v>44682.0</v>
      </c>
      <c r="H61" s="194">
        <f t="shared" si="2"/>
        <v>7620</v>
      </c>
      <c r="I61" s="195">
        <f t="shared" si="21"/>
        <v>4953</v>
      </c>
      <c r="J61" s="196">
        <f t="shared" si="22"/>
        <v>4953</v>
      </c>
      <c r="K61" s="197">
        <f t="shared" si="23"/>
        <v>4572</v>
      </c>
      <c r="L61" s="196">
        <f t="shared" si="24"/>
        <v>4381.5</v>
      </c>
      <c r="M61" s="197">
        <f t="shared" si="25"/>
        <v>4191</v>
      </c>
      <c r="N61" s="198"/>
      <c r="O61" s="199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</row>
    <row r="62" ht="15.75" customHeight="1">
      <c r="A62" s="187" t="s">
        <v>38</v>
      </c>
      <c r="B62" s="188" t="s">
        <v>262</v>
      </c>
      <c r="C62" s="208" t="s">
        <v>278</v>
      </c>
      <c r="D62" s="207" t="s">
        <v>279</v>
      </c>
      <c r="E62" s="191">
        <v>27.0</v>
      </c>
      <c r="F62" s="192">
        <f t="shared" si="20"/>
        <v>1620</v>
      </c>
      <c r="G62" s="193">
        <v>44682.0</v>
      </c>
      <c r="H62" s="194">
        <f t="shared" si="2"/>
        <v>3240</v>
      </c>
      <c r="I62" s="195">
        <f t="shared" si="21"/>
        <v>2106</v>
      </c>
      <c r="J62" s="196">
        <f t="shared" si="22"/>
        <v>2106</v>
      </c>
      <c r="K62" s="197">
        <f t="shared" si="23"/>
        <v>1944</v>
      </c>
      <c r="L62" s="196">
        <f t="shared" si="24"/>
        <v>1863</v>
      </c>
      <c r="M62" s="197">
        <f t="shared" si="25"/>
        <v>1782</v>
      </c>
      <c r="N62" s="198"/>
      <c r="O62" s="199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</row>
    <row r="63" ht="15.75" customHeight="1">
      <c r="A63" s="187" t="s">
        <v>38</v>
      </c>
      <c r="B63" s="188" t="s">
        <v>280</v>
      </c>
      <c r="C63" s="189" t="s">
        <v>281</v>
      </c>
      <c r="D63" s="190" t="s">
        <v>282</v>
      </c>
      <c r="E63" s="191">
        <v>112.5</v>
      </c>
      <c r="F63" s="192">
        <f t="shared" si="20"/>
        <v>6750</v>
      </c>
      <c r="G63" s="193">
        <v>44682.0</v>
      </c>
      <c r="H63" s="194">
        <f t="shared" si="2"/>
        <v>13500</v>
      </c>
      <c r="I63" s="195">
        <f t="shared" si="21"/>
        <v>8775</v>
      </c>
      <c r="J63" s="196">
        <f t="shared" si="22"/>
        <v>8775</v>
      </c>
      <c r="K63" s="197">
        <f t="shared" si="23"/>
        <v>8100</v>
      </c>
      <c r="L63" s="196">
        <f t="shared" si="24"/>
        <v>7762.5</v>
      </c>
      <c r="M63" s="197">
        <f t="shared" si="25"/>
        <v>7425</v>
      </c>
      <c r="N63" s="198"/>
      <c r="O63" s="199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</row>
    <row r="64" ht="15.75" customHeight="1">
      <c r="A64" s="187" t="s">
        <v>38</v>
      </c>
      <c r="B64" s="188" t="s">
        <v>280</v>
      </c>
      <c r="C64" s="189" t="s">
        <v>283</v>
      </c>
      <c r="D64" s="190" t="s">
        <v>284</v>
      </c>
      <c r="E64" s="191">
        <v>74.5</v>
      </c>
      <c r="F64" s="192">
        <f t="shared" si="20"/>
        <v>4470</v>
      </c>
      <c r="G64" s="193">
        <v>44682.0</v>
      </c>
      <c r="H64" s="194">
        <f t="shared" si="2"/>
        <v>8940</v>
      </c>
      <c r="I64" s="195">
        <f t="shared" si="21"/>
        <v>5811</v>
      </c>
      <c r="J64" s="196">
        <f t="shared" si="22"/>
        <v>5811</v>
      </c>
      <c r="K64" s="197">
        <f t="shared" si="23"/>
        <v>5364</v>
      </c>
      <c r="L64" s="196">
        <f t="shared" si="24"/>
        <v>5140.5</v>
      </c>
      <c r="M64" s="197">
        <f t="shared" si="25"/>
        <v>4917</v>
      </c>
      <c r="N64" s="198"/>
      <c r="O64" s="199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</row>
    <row r="65" ht="15.75" customHeight="1">
      <c r="A65" s="187" t="s">
        <v>38</v>
      </c>
      <c r="B65" s="188" t="s">
        <v>280</v>
      </c>
      <c r="C65" s="189" t="s">
        <v>285</v>
      </c>
      <c r="D65" s="190" t="s">
        <v>286</v>
      </c>
      <c r="E65" s="191">
        <v>109.0</v>
      </c>
      <c r="F65" s="192">
        <f t="shared" si="20"/>
        <v>6540</v>
      </c>
      <c r="G65" s="193">
        <v>44682.0</v>
      </c>
      <c r="H65" s="194">
        <f t="shared" si="2"/>
        <v>13080</v>
      </c>
      <c r="I65" s="195">
        <f t="shared" si="21"/>
        <v>8502</v>
      </c>
      <c r="J65" s="196">
        <f t="shared" si="22"/>
        <v>8502</v>
      </c>
      <c r="K65" s="197">
        <f t="shared" si="23"/>
        <v>7848</v>
      </c>
      <c r="L65" s="196">
        <f t="shared" si="24"/>
        <v>7521</v>
      </c>
      <c r="M65" s="197">
        <f t="shared" si="25"/>
        <v>7194</v>
      </c>
      <c r="N65" s="198"/>
      <c r="O65" s="199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</row>
    <row r="66" ht="15.75" customHeight="1">
      <c r="A66" s="187" t="s">
        <v>38</v>
      </c>
      <c r="B66" s="188" t="s">
        <v>280</v>
      </c>
      <c r="C66" s="189" t="s">
        <v>287</v>
      </c>
      <c r="D66" s="190" t="s">
        <v>288</v>
      </c>
      <c r="E66" s="191">
        <v>98.5</v>
      </c>
      <c r="F66" s="192">
        <f t="shared" si="20"/>
        <v>5910</v>
      </c>
      <c r="G66" s="193">
        <v>44682.0</v>
      </c>
      <c r="H66" s="194">
        <f t="shared" si="2"/>
        <v>11820</v>
      </c>
      <c r="I66" s="195">
        <f t="shared" si="21"/>
        <v>7683</v>
      </c>
      <c r="J66" s="196">
        <f t="shared" si="22"/>
        <v>7683</v>
      </c>
      <c r="K66" s="197">
        <f t="shared" si="23"/>
        <v>7092</v>
      </c>
      <c r="L66" s="196">
        <f t="shared" si="24"/>
        <v>6796.5</v>
      </c>
      <c r="M66" s="197">
        <f t="shared" si="25"/>
        <v>6501</v>
      </c>
      <c r="N66" s="198"/>
      <c r="O66" s="199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</row>
    <row r="67" ht="15.75" customHeight="1">
      <c r="A67" s="187" t="s">
        <v>38</v>
      </c>
      <c r="B67" s="188" t="s">
        <v>280</v>
      </c>
      <c r="C67" s="189"/>
      <c r="D67" s="209" t="s">
        <v>289</v>
      </c>
      <c r="E67" s="191"/>
      <c r="F67" s="192"/>
      <c r="G67" s="193"/>
      <c r="H67" s="194">
        <f t="shared" si="2"/>
        <v>0</v>
      </c>
      <c r="I67" s="195">
        <f t="shared" si="21"/>
        <v>0</v>
      </c>
      <c r="J67" s="196">
        <f t="shared" si="22"/>
        <v>0</v>
      </c>
      <c r="K67" s="197">
        <f t="shared" si="23"/>
        <v>0</v>
      </c>
      <c r="L67" s="196">
        <f t="shared" si="24"/>
        <v>0</v>
      </c>
      <c r="M67" s="197">
        <f t="shared" si="25"/>
        <v>0</v>
      </c>
      <c r="N67" s="198"/>
      <c r="O67" s="199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</row>
    <row r="68" ht="15.75" customHeight="1">
      <c r="A68" s="187" t="s">
        <v>38</v>
      </c>
      <c r="B68" s="188" t="s">
        <v>290</v>
      </c>
      <c r="C68" s="189" t="s">
        <v>291</v>
      </c>
      <c r="D68" s="190" t="s">
        <v>292</v>
      </c>
      <c r="E68" s="191">
        <v>14.0</v>
      </c>
      <c r="F68" s="192">
        <f t="shared" ref="F68:F77" si="26">E68*60</f>
        <v>840</v>
      </c>
      <c r="G68" s="193">
        <v>44682.0</v>
      </c>
      <c r="H68" s="194">
        <f t="shared" si="2"/>
        <v>1680</v>
      </c>
      <c r="I68" s="195">
        <f t="shared" si="21"/>
        <v>1092</v>
      </c>
      <c r="J68" s="196">
        <f t="shared" si="22"/>
        <v>1092</v>
      </c>
      <c r="K68" s="197">
        <f t="shared" si="23"/>
        <v>1008</v>
      </c>
      <c r="L68" s="196">
        <f t="shared" si="24"/>
        <v>966</v>
      </c>
      <c r="M68" s="197">
        <f t="shared" si="25"/>
        <v>924</v>
      </c>
      <c r="N68" s="198"/>
      <c r="O68" s="199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</row>
    <row r="69" ht="15.75" customHeight="1">
      <c r="A69" s="187" t="s">
        <v>38</v>
      </c>
      <c r="B69" s="188" t="s">
        <v>290</v>
      </c>
      <c r="C69" s="189" t="s">
        <v>293</v>
      </c>
      <c r="D69" s="190" t="s">
        <v>294</v>
      </c>
      <c r="E69" s="191">
        <v>22.0</v>
      </c>
      <c r="F69" s="192">
        <f t="shared" si="26"/>
        <v>1320</v>
      </c>
      <c r="G69" s="193">
        <v>44682.0</v>
      </c>
      <c r="H69" s="194">
        <f t="shared" si="2"/>
        <v>2640</v>
      </c>
      <c r="I69" s="195">
        <f t="shared" si="21"/>
        <v>1716</v>
      </c>
      <c r="J69" s="196">
        <f t="shared" si="22"/>
        <v>1716</v>
      </c>
      <c r="K69" s="197">
        <f t="shared" si="23"/>
        <v>1584</v>
      </c>
      <c r="L69" s="196">
        <f t="shared" si="24"/>
        <v>1518</v>
      </c>
      <c r="M69" s="197">
        <f t="shared" si="25"/>
        <v>1452</v>
      </c>
      <c r="N69" s="198"/>
      <c r="O69" s="199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</row>
    <row r="70" ht="15.75" customHeight="1">
      <c r="A70" s="187" t="s">
        <v>38</v>
      </c>
      <c r="B70" s="188" t="s">
        <v>290</v>
      </c>
      <c r="C70" s="189" t="s">
        <v>295</v>
      </c>
      <c r="D70" s="190" t="s">
        <v>296</v>
      </c>
      <c r="E70" s="191">
        <v>33.0</v>
      </c>
      <c r="F70" s="192">
        <f t="shared" si="26"/>
        <v>1980</v>
      </c>
      <c r="G70" s="193">
        <v>44682.0</v>
      </c>
      <c r="H70" s="194">
        <f t="shared" si="2"/>
        <v>3960</v>
      </c>
      <c r="I70" s="195">
        <f t="shared" si="21"/>
        <v>2574</v>
      </c>
      <c r="J70" s="196">
        <f t="shared" si="22"/>
        <v>2574</v>
      </c>
      <c r="K70" s="197">
        <f t="shared" si="23"/>
        <v>2376</v>
      </c>
      <c r="L70" s="196">
        <f t="shared" si="24"/>
        <v>2277</v>
      </c>
      <c r="M70" s="197">
        <f t="shared" si="25"/>
        <v>2178</v>
      </c>
      <c r="N70" s="198"/>
      <c r="O70" s="199"/>
      <c r="P70" s="20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5.75" customHeight="1">
      <c r="A71" s="187" t="s">
        <v>38</v>
      </c>
      <c r="B71" s="188" t="s">
        <v>290</v>
      </c>
      <c r="C71" s="189" t="s">
        <v>297</v>
      </c>
      <c r="D71" s="190" t="s">
        <v>298</v>
      </c>
      <c r="E71" s="191">
        <v>43.0</v>
      </c>
      <c r="F71" s="192">
        <f t="shared" si="26"/>
        <v>2580</v>
      </c>
      <c r="G71" s="193">
        <v>44682.0</v>
      </c>
      <c r="H71" s="194">
        <f t="shared" si="2"/>
        <v>5160</v>
      </c>
      <c r="I71" s="195">
        <f t="shared" si="21"/>
        <v>3354</v>
      </c>
      <c r="J71" s="196">
        <f t="shared" si="22"/>
        <v>3354</v>
      </c>
      <c r="K71" s="197">
        <f t="shared" si="23"/>
        <v>3096</v>
      </c>
      <c r="L71" s="196">
        <f t="shared" si="24"/>
        <v>2967</v>
      </c>
      <c r="M71" s="197">
        <f t="shared" si="25"/>
        <v>2838</v>
      </c>
      <c r="N71" s="198"/>
      <c r="O71" s="199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</row>
    <row r="72" ht="15.75" customHeight="1">
      <c r="A72" s="187" t="s">
        <v>38</v>
      </c>
      <c r="B72" s="188" t="s">
        <v>290</v>
      </c>
      <c r="C72" s="189" t="s">
        <v>299</v>
      </c>
      <c r="D72" s="190" t="s">
        <v>300</v>
      </c>
      <c r="E72" s="191">
        <v>59.0</v>
      </c>
      <c r="F72" s="192">
        <f t="shared" si="26"/>
        <v>3540</v>
      </c>
      <c r="G72" s="193">
        <v>44682.0</v>
      </c>
      <c r="H72" s="194">
        <f t="shared" si="2"/>
        <v>7080</v>
      </c>
      <c r="I72" s="195">
        <f t="shared" si="21"/>
        <v>4602</v>
      </c>
      <c r="J72" s="196">
        <f t="shared" si="22"/>
        <v>4602</v>
      </c>
      <c r="K72" s="197">
        <f t="shared" si="23"/>
        <v>4248</v>
      </c>
      <c r="L72" s="196">
        <f t="shared" si="24"/>
        <v>4071</v>
      </c>
      <c r="M72" s="197">
        <f t="shared" si="25"/>
        <v>3894</v>
      </c>
      <c r="N72" s="198"/>
      <c r="O72" s="199"/>
      <c r="P72" s="20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5.75" customHeight="1">
      <c r="A73" s="187" t="s">
        <v>38</v>
      </c>
      <c r="B73" s="188" t="s">
        <v>301</v>
      </c>
      <c r="C73" s="189" t="s">
        <v>302</v>
      </c>
      <c r="D73" s="190" t="s">
        <v>303</v>
      </c>
      <c r="E73" s="191">
        <v>2.0</v>
      </c>
      <c r="F73" s="192">
        <f t="shared" si="26"/>
        <v>120</v>
      </c>
      <c r="G73" s="193">
        <v>44682.0</v>
      </c>
      <c r="H73" s="194">
        <f t="shared" si="2"/>
        <v>240</v>
      </c>
      <c r="I73" s="195">
        <f t="shared" si="21"/>
        <v>156</v>
      </c>
      <c r="J73" s="196">
        <f t="shared" si="22"/>
        <v>156</v>
      </c>
      <c r="K73" s="197">
        <f t="shared" si="23"/>
        <v>144</v>
      </c>
      <c r="L73" s="196">
        <f t="shared" si="24"/>
        <v>138</v>
      </c>
      <c r="M73" s="197">
        <f t="shared" si="25"/>
        <v>132</v>
      </c>
      <c r="N73" s="198"/>
      <c r="O73" s="199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ht="15.75" customHeight="1">
      <c r="A74" s="187" t="s">
        <v>38</v>
      </c>
      <c r="B74" s="188" t="s">
        <v>304</v>
      </c>
      <c r="C74" s="189" t="s">
        <v>305</v>
      </c>
      <c r="D74" s="190" t="s">
        <v>306</v>
      </c>
      <c r="E74" s="191">
        <v>8.0</v>
      </c>
      <c r="F74" s="192">
        <f t="shared" si="26"/>
        <v>480</v>
      </c>
      <c r="G74" s="193">
        <v>44682.0</v>
      </c>
      <c r="H74" s="194">
        <f t="shared" si="2"/>
        <v>960</v>
      </c>
      <c r="I74" s="195">
        <f t="shared" si="21"/>
        <v>624</v>
      </c>
      <c r="J74" s="196">
        <f t="shared" si="22"/>
        <v>624</v>
      </c>
      <c r="K74" s="197">
        <f t="shared" si="23"/>
        <v>576</v>
      </c>
      <c r="L74" s="196">
        <f t="shared" si="24"/>
        <v>552</v>
      </c>
      <c r="M74" s="197">
        <f t="shared" si="25"/>
        <v>528</v>
      </c>
      <c r="N74" s="198"/>
      <c r="O74" s="199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</row>
    <row r="75" ht="15.75" customHeight="1">
      <c r="A75" s="187" t="s">
        <v>38</v>
      </c>
      <c r="B75" s="188" t="s">
        <v>307</v>
      </c>
      <c r="C75" s="189" t="s">
        <v>308</v>
      </c>
      <c r="D75" s="190" t="s">
        <v>309</v>
      </c>
      <c r="E75" s="191">
        <v>2.0</v>
      </c>
      <c r="F75" s="192">
        <f t="shared" si="26"/>
        <v>120</v>
      </c>
      <c r="G75" s="193">
        <v>44682.0</v>
      </c>
      <c r="H75" s="194">
        <f t="shared" si="2"/>
        <v>240</v>
      </c>
      <c r="I75" s="195">
        <f t="shared" si="21"/>
        <v>156</v>
      </c>
      <c r="J75" s="196">
        <f t="shared" si="22"/>
        <v>156</v>
      </c>
      <c r="K75" s="197">
        <f t="shared" si="23"/>
        <v>144</v>
      </c>
      <c r="L75" s="196">
        <f t="shared" si="24"/>
        <v>138</v>
      </c>
      <c r="M75" s="197">
        <f t="shared" si="25"/>
        <v>132</v>
      </c>
      <c r="N75" s="198"/>
      <c r="O75" s="199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ht="15.75" customHeight="1">
      <c r="A76" s="187" t="s">
        <v>38</v>
      </c>
      <c r="B76" s="188" t="s">
        <v>230</v>
      </c>
      <c r="C76" s="189" t="s">
        <v>310</v>
      </c>
      <c r="D76" s="190" t="s">
        <v>311</v>
      </c>
      <c r="E76" s="191">
        <v>168.5</v>
      </c>
      <c r="F76" s="192">
        <f t="shared" si="26"/>
        <v>10110</v>
      </c>
      <c r="G76" s="193">
        <v>44682.0</v>
      </c>
      <c r="H76" s="194">
        <f t="shared" si="2"/>
        <v>20220</v>
      </c>
      <c r="I76" s="195">
        <f t="shared" si="21"/>
        <v>13143</v>
      </c>
      <c r="J76" s="196">
        <f t="shared" si="22"/>
        <v>13143</v>
      </c>
      <c r="K76" s="197">
        <f t="shared" si="23"/>
        <v>12132</v>
      </c>
      <c r="L76" s="196">
        <f t="shared" si="24"/>
        <v>11626.5</v>
      </c>
      <c r="M76" s="197">
        <f t="shared" si="25"/>
        <v>11121</v>
      </c>
      <c r="N76" s="198"/>
      <c r="O76" s="199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</row>
    <row r="77" ht="15.75" customHeight="1">
      <c r="A77" s="187" t="s">
        <v>38</v>
      </c>
      <c r="B77" s="188" t="s">
        <v>312</v>
      </c>
      <c r="C77" s="206" t="s">
        <v>313</v>
      </c>
      <c r="D77" s="207" t="s">
        <v>314</v>
      </c>
      <c r="E77" s="191">
        <v>98.0</v>
      </c>
      <c r="F77" s="192">
        <f t="shared" si="26"/>
        <v>5880</v>
      </c>
      <c r="G77" s="193">
        <v>44682.0</v>
      </c>
      <c r="H77" s="194">
        <f t="shared" si="2"/>
        <v>11760</v>
      </c>
      <c r="I77" s="195">
        <f t="shared" si="21"/>
        <v>7644</v>
      </c>
      <c r="J77" s="196">
        <f t="shared" si="22"/>
        <v>7644</v>
      </c>
      <c r="K77" s="197">
        <f t="shared" si="23"/>
        <v>7056</v>
      </c>
      <c r="L77" s="196">
        <f t="shared" si="24"/>
        <v>6762</v>
      </c>
      <c r="M77" s="197">
        <f t="shared" si="25"/>
        <v>6468</v>
      </c>
      <c r="N77" s="198"/>
      <c r="O77" s="199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</row>
    <row r="78" ht="15.75" customHeight="1">
      <c r="A78" s="187" t="s">
        <v>38</v>
      </c>
      <c r="B78" s="188" t="s">
        <v>312</v>
      </c>
      <c r="C78" s="206" t="s">
        <v>315</v>
      </c>
      <c r="D78" s="207" t="s">
        <v>316</v>
      </c>
      <c r="E78" s="191" t="s">
        <v>169</v>
      </c>
      <c r="F78" s="201" t="s">
        <v>169</v>
      </c>
      <c r="G78" s="193">
        <v>44682.0</v>
      </c>
      <c r="H78" s="194" t="str">
        <f t="shared" si="2"/>
        <v>#VALUE!</v>
      </c>
      <c r="I78" s="202"/>
      <c r="J78" s="203"/>
      <c r="K78" s="204"/>
      <c r="L78" s="203"/>
      <c r="M78" s="204"/>
      <c r="N78" s="198"/>
      <c r="O78" s="199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</row>
    <row r="79" ht="15.75" customHeight="1">
      <c r="A79" s="187" t="s">
        <v>38</v>
      </c>
      <c r="B79" s="188" t="s">
        <v>312</v>
      </c>
      <c r="C79" s="206" t="s">
        <v>317</v>
      </c>
      <c r="D79" s="207" t="s">
        <v>318</v>
      </c>
      <c r="E79" s="191">
        <v>4.0</v>
      </c>
      <c r="F79" s="192">
        <f t="shared" ref="F79:F81" si="27">E79*60</f>
        <v>240</v>
      </c>
      <c r="G79" s="193">
        <v>44682.0</v>
      </c>
      <c r="H79" s="194">
        <f t="shared" si="2"/>
        <v>480</v>
      </c>
      <c r="I79" s="195">
        <f t="shared" ref="I79:I81" si="28">F79*0.3+F79</f>
        <v>312</v>
      </c>
      <c r="J79" s="196">
        <f t="shared" ref="J79:J81" si="29">F79*0.3+F79</f>
        <v>312</v>
      </c>
      <c r="K79" s="197">
        <f t="shared" ref="K79:K81" si="30">F79*0.2+F79</f>
        <v>288</v>
      </c>
      <c r="L79" s="196">
        <f t="shared" ref="L79:L81" si="31">F79*0.15+F79</f>
        <v>276</v>
      </c>
      <c r="M79" s="197">
        <f t="shared" ref="M79:M81" si="32">F79*0.1+F79</f>
        <v>264</v>
      </c>
      <c r="N79" s="198"/>
      <c r="O79" s="199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</row>
    <row r="80" ht="15.75" customHeight="1">
      <c r="A80" s="187" t="s">
        <v>38</v>
      </c>
      <c r="B80" s="188" t="s">
        <v>312</v>
      </c>
      <c r="C80" s="206" t="s">
        <v>319</v>
      </c>
      <c r="D80" s="207" t="s">
        <v>320</v>
      </c>
      <c r="E80" s="191">
        <v>2.0</v>
      </c>
      <c r="F80" s="192">
        <f t="shared" si="27"/>
        <v>120</v>
      </c>
      <c r="G80" s="193">
        <v>44682.0</v>
      </c>
      <c r="H80" s="194">
        <f t="shared" si="2"/>
        <v>240</v>
      </c>
      <c r="I80" s="195">
        <f t="shared" si="28"/>
        <v>156</v>
      </c>
      <c r="J80" s="196">
        <f t="shared" si="29"/>
        <v>156</v>
      </c>
      <c r="K80" s="197">
        <f t="shared" si="30"/>
        <v>144</v>
      </c>
      <c r="L80" s="196">
        <f t="shared" si="31"/>
        <v>138</v>
      </c>
      <c r="M80" s="197">
        <f t="shared" si="32"/>
        <v>132</v>
      </c>
      <c r="N80" s="198"/>
      <c r="O80" s="199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</row>
    <row r="81" ht="15.75" customHeight="1">
      <c r="A81" s="187" t="s">
        <v>38</v>
      </c>
      <c r="B81" s="188" t="s">
        <v>321</v>
      </c>
      <c r="C81" s="189" t="s">
        <v>322</v>
      </c>
      <c r="D81" s="190" t="s">
        <v>323</v>
      </c>
      <c r="E81" s="191">
        <v>74.5</v>
      </c>
      <c r="F81" s="192">
        <f t="shared" si="27"/>
        <v>4470</v>
      </c>
      <c r="G81" s="193">
        <v>44682.0</v>
      </c>
      <c r="H81" s="194">
        <f t="shared" si="2"/>
        <v>8940</v>
      </c>
      <c r="I81" s="195">
        <f t="shared" si="28"/>
        <v>5811</v>
      </c>
      <c r="J81" s="196">
        <f t="shared" si="29"/>
        <v>5811</v>
      </c>
      <c r="K81" s="197">
        <f t="shared" si="30"/>
        <v>5364</v>
      </c>
      <c r="L81" s="196">
        <f t="shared" si="31"/>
        <v>5140.5</v>
      </c>
      <c r="M81" s="197">
        <f t="shared" si="32"/>
        <v>4917</v>
      </c>
      <c r="N81" s="198"/>
      <c r="O81" s="199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</row>
    <row r="82" ht="15.75" customHeight="1">
      <c r="A82" s="187" t="s">
        <v>38</v>
      </c>
      <c r="B82" s="188" t="s">
        <v>321</v>
      </c>
      <c r="C82" s="206" t="s">
        <v>324</v>
      </c>
      <c r="D82" s="207" t="s">
        <v>325</v>
      </c>
      <c r="E82" s="191" t="s">
        <v>169</v>
      </c>
      <c r="F82" s="201" t="s">
        <v>169</v>
      </c>
      <c r="G82" s="193">
        <v>44682.0</v>
      </c>
      <c r="H82" s="194" t="str">
        <f t="shared" si="2"/>
        <v>#VALUE!</v>
      </c>
      <c r="I82" s="202"/>
      <c r="J82" s="203"/>
      <c r="K82" s="204"/>
      <c r="L82" s="203"/>
      <c r="M82" s="204"/>
      <c r="N82" s="198"/>
      <c r="O82" s="199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</row>
    <row r="83" ht="15.75" customHeight="1">
      <c r="A83" s="187" t="s">
        <v>38</v>
      </c>
      <c r="B83" s="188" t="s">
        <v>321</v>
      </c>
      <c r="C83" s="206" t="s">
        <v>326</v>
      </c>
      <c r="D83" s="207" t="s">
        <v>327</v>
      </c>
      <c r="E83" s="191">
        <v>4.0</v>
      </c>
      <c r="F83" s="192">
        <f t="shared" ref="F83:F107" si="33">E83*60</f>
        <v>240</v>
      </c>
      <c r="G83" s="193">
        <v>44682.0</v>
      </c>
      <c r="H83" s="194">
        <f t="shared" si="2"/>
        <v>480</v>
      </c>
      <c r="I83" s="195">
        <f t="shared" ref="I83:I107" si="34">F83*0.3+F83</f>
        <v>312</v>
      </c>
      <c r="J83" s="196">
        <f t="shared" ref="J83:J107" si="35">F83*0.3+F83</f>
        <v>312</v>
      </c>
      <c r="K83" s="197">
        <f t="shared" ref="K83:K107" si="36">F83*0.2+F83</f>
        <v>288</v>
      </c>
      <c r="L83" s="196">
        <f t="shared" ref="L83:L107" si="37">F83*0.15+F83</f>
        <v>276</v>
      </c>
      <c r="M83" s="197">
        <f t="shared" ref="M83:M107" si="38">F83*0.1+F83</f>
        <v>264</v>
      </c>
      <c r="N83" s="198"/>
      <c r="O83" s="199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</row>
    <row r="84" ht="15.75" customHeight="1">
      <c r="A84" s="187" t="s">
        <v>38</v>
      </c>
      <c r="B84" s="188" t="s">
        <v>321</v>
      </c>
      <c r="C84" s="206" t="s">
        <v>328</v>
      </c>
      <c r="D84" s="207" t="s">
        <v>329</v>
      </c>
      <c r="E84" s="191">
        <v>2.0</v>
      </c>
      <c r="F84" s="192">
        <f t="shared" si="33"/>
        <v>120</v>
      </c>
      <c r="G84" s="193">
        <v>44682.0</v>
      </c>
      <c r="H84" s="194">
        <f t="shared" si="2"/>
        <v>240</v>
      </c>
      <c r="I84" s="195">
        <f t="shared" si="34"/>
        <v>156</v>
      </c>
      <c r="J84" s="196">
        <f t="shared" si="35"/>
        <v>156</v>
      </c>
      <c r="K84" s="197">
        <f t="shared" si="36"/>
        <v>144</v>
      </c>
      <c r="L84" s="196">
        <f t="shared" si="37"/>
        <v>138</v>
      </c>
      <c r="M84" s="197">
        <f t="shared" si="38"/>
        <v>132</v>
      </c>
      <c r="N84" s="198"/>
      <c r="O84" s="199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</row>
    <row r="85" ht="15.75" customHeight="1">
      <c r="A85" s="187" t="s">
        <v>38</v>
      </c>
      <c r="B85" s="188" t="s">
        <v>330</v>
      </c>
      <c r="C85" s="189" t="s">
        <v>331</v>
      </c>
      <c r="D85" s="190" t="s">
        <v>332</v>
      </c>
      <c r="E85" s="191">
        <v>111.0</v>
      </c>
      <c r="F85" s="192">
        <f t="shared" si="33"/>
        <v>6660</v>
      </c>
      <c r="G85" s="193">
        <v>44682.0</v>
      </c>
      <c r="H85" s="194">
        <f t="shared" si="2"/>
        <v>13320</v>
      </c>
      <c r="I85" s="195">
        <f t="shared" si="34"/>
        <v>8658</v>
      </c>
      <c r="J85" s="196">
        <f t="shared" si="35"/>
        <v>8658</v>
      </c>
      <c r="K85" s="197">
        <f t="shared" si="36"/>
        <v>7992</v>
      </c>
      <c r="L85" s="196">
        <f t="shared" si="37"/>
        <v>7659</v>
      </c>
      <c r="M85" s="197">
        <f t="shared" si="38"/>
        <v>7326</v>
      </c>
      <c r="N85" s="198"/>
      <c r="O85" s="199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</row>
    <row r="86" ht="15.75" customHeight="1">
      <c r="A86" s="187" t="s">
        <v>38</v>
      </c>
      <c r="B86" s="188" t="s">
        <v>330</v>
      </c>
      <c r="C86" s="189" t="s">
        <v>333</v>
      </c>
      <c r="D86" s="190" t="s">
        <v>334</v>
      </c>
      <c r="E86" s="191">
        <v>126.0</v>
      </c>
      <c r="F86" s="192">
        <f t="shared" si="33"/>
        <v>7560</v>
      </c>
      <c r="G86" s="193">
        <v>44682.0</v>
      </c>
      <c r="H86" s="194">
        <f t="shared" si="2"/>
        <v>15120</v>
      </c>
      <c r="I86" s="195">
        <f t="shared" si="34"/>
        <v>9828</v>
      </c>
      <c r="J86" s="196">
        <f t="shared" si="35"/>
        <v>9828</v>
      </c>
      <c r="K86" s="197">
        <f t="shared" si="36"/>
        <v>9072</v>
      </c>
      <c r="L86" s="196">
        <f t="shared" si="37"/>
        <v>8694</v>
      </c>
      <c r="M86" s="197">
        <f t="shared" si="38"/>
        <v>8316</v>
      </c>
      <c r="N86" s="198"/>
      <c r="O86" s="199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</row>
    <row r="87" ht="15.75" customHeight="1">
      <c r="A87" s="187" t="s">
        <v>38</v>
      </c>
      <c r="B87" s="188" t="s">
        <v>330</v>
      </c>
      <c r="C87" s="189" t="s">
        <v>335</v>
      </c>
      <c r="D87" s="190" t="s">
        <v>336</v>
      </c>
      <c r="E87" s="191">
        <v>156.0</v>
      </c>
      <c r="F87" s="192">
        <f t="shared" si="33"/>
        <v>9360</v>
      </c>
      <c r="G87" s="193">
        <v>44682.0</v>
      </c>
      <c r="H87" s="194">
        <f t="shared" si="2"/>
        <v>18720</v>
      </c>
      <c r="I87" s="195">
        <f t="shared" si="34"/>
        <v>12168</v>
      </c>
      <c r="J87" s="196">
        <f t="shared" si="35"/>
        <v>12168</v>
      </c>
      <c r="K87" s="197">
        <f t="shared" si="36"/>
        <v>11232</v>
      </c>
      <c r="L87" s="196">
        <f t="shared" si="37"/>
        <v>10764</v>
      </c>
      <c r="M87" s="197">
        <f t="shared" si="38"/>
        <v>10296</v>
      </c>
      <c r="N87" s="198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5.75" customHeight="1">
      <c r="A88" s="187" t="s">
        <v>38</v>
      </c>
      <c r="B88" s="188" t="s">
        <v>330</v>
      </c>
      <c r="C88" s="189" t="s">
        <v>193</v>
      </c>
      <c r="D88" s="190" t="s">
        <v>337</v>
      </c>
      <c r="E88" s="191">
        <v>161.0</v>
      </c>
      <c r="F88" s="192">
        <f t="shared" si="33"/>
        <v>9660</v>
      </c>
      <c r="G88" s="193">
        <v>44682.0</v>
      </c>
      <c r="H88" s="194">
        <f t="shared" si="2"/>
        <v>19320</v>
      </c>
      <c r="I88" s="195">
        <f t="shared" si="34"/>
        <v>12558</v>
      </c>
      <c r="J88" s="196">
        <f t="shared" si="35"/>
        <v>12558</v>
      </c>
      <c r="K88" s="197">
        <f t="shared" si="36"/>
        <v>11592</v>
      </c>
      <c r="L88" s="196">
        <f t="shared" si="37"/>
        <v>11109</v>
      </c>
      <c r="M88" s="197">
        <f t="shared" si="38"/>
        <v>10626</v>
      </c>
      <c r="N88" s="198"/>
      <c r="O88" s="21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</row>
    <row r="89" ht="15.75" customHeight="1">
      <c r="A89" s="187" t="s">
        <v>38</v>
      </c>
      <c r="B89" s="188" t="s">
        <v>330</v>
      </c>
      <c r="C89" s="189" t="s">
        <v>195</v>
      </c>
      <c r="D89" s="190" t="s">
        <v>338</v>
      </c>
      <c r="E89" s="191">
        <v>177.0</v>
      </c>
      <c r="F89" s="192">
        <f t="shared" si="33"/>
        <v>10620</v>
      </c>
      <c r="G89" s="193">
        <v>44682.0</v>
      </c>
      <c r="H89" s="194">
        <f t="shared" si="2"/>
        <v>21240</v>
      </c>
      <c r="I89" s="195">
        <f t="shared" si="34"/>
        <v>13806</v>
      </c>
      <c r="J89" s="196">
        <f t="shared" si="35"/>
        <v>13806</v>
      </c>
      <c r="K89" s="197">
        <f t="shared" si="36"/>
        <v>12744</v>
      </c>
      <c r="L89" s="196">
        <f t="shared" si="37"/>
        <v>12213</v>
      </c>
      <c r="M89" s="197">
        <f t="shared" si="38"/>
        <v>11682</v>
      </c>
      <c r="N89" s="198"/>
      <c r="O89" s="21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</row>
    <row r="90" ht="15.75" customHeight="1">
      <c r="A90" s="187" t="s">
        <v>38</v>
      </c>
      <c r="B90" s="188" t="s">
        <v>330</v>
      </c>
      <c r="C90" s="206" t="s">
        <v>197</v>
      </c>
      <c r="D90" s="207" t="s">
        <v>198</v>
      </c>
      <c r="E90" s="191">
        <v>19.0</v>
      </c>
      <c r="F90" s="192">
        <f t="shared" si="33"/>
        <v>1140</v>
      </c>
      <c r="G90" s="193">
        <v>44682.0</v>
      </c>
      <c r="H90" s="194">
        <f t="shared" si="2"/>
        <v>2280</v>
      </c>
      <c r="I90" s="195">
        <f t="shared" si="34"/>
        <v>1482</v>
      </c>
      <c r="J90" s="196">
        <f t="shared" si="35"/>
        <v>1482</v>
      </c>
      <c r="K90" s="197">
        <f t="shared" si="36"/>
        <v>1368</v>
      </c>
      <c r="L90" s="196">
        <f t="shared" si="37"/>
        <v>1311</v>
      </c>
      <c r="M90" s="197">
        <f t="shared" si="38"/>
        <v>1254</v>
      </c>
      <c r="N90" s="198"/>
      <c r="O90" s="199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</row>
    <row r="91" ht="15.75" customHeight="1">
      <c r="A91" s="187" t="s">
        <v>38</v>
      </c>
      <c r="B91" s="188" t="s">
        <v>330</v>
      </c>
      <c r="C91" s="206" t="s">
        <v>199</v>
      </c>
      <c r="D91" s="207" t="s">
        <v>200</v>
      </c>
      <c r="E91" s="191">
        <v>19.0</v>
      </c>
      <c r="F91" s="192">
        <f t="shared" si="33"/>
        <v>1140</v>
      </c>
      <c r="G91" s="193">
        <v>44682.0</v>
      </c>
      <c r="H91" s="194">
        <f t="shared" si="2"/>
        <v>2280</v>
      </c>
      <c r="I91" s="195">
        <f t="shared" si="34"/>
        <v>1482</v>
      </c>
      <c r="J91" s="196">
        <f t="shared" si="35"/>
        <v>1482</v>
      </c>
      <c r="K91" s="197">
        <f t="shared" si="36"/>
        <v>1368</v>
      </c>
      <c r="L91" s="196">
        <f t="shared" si="37"/>
        <v>1311</v>
      </c>
      <c r="M91" s="197">
        <f t="shared" si="38"/>
        <v>1254</v>
      </c>
      <c r="N91" s="198"/>
      <c r="O91" s="21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</row>
    <row r="92" ht="15.75" customHeight="1">
      <c r="A92" s="187" t="s">
        <v>38</v>
      </c>
      <c r="B92" s="188" t="s">
        <v>339</v>
      </c>
      <c r="C92" s="189" t="s">
        <v>340</v>
      </c>
      <c r="D92" s="190" t="s">
        <v>341</v>
      </c>
      <c r="E92" s="191">
        <v>31.0</v>
      </c>
      <c r="F92" s="192">
        <f t="shared" si="33"/>
        <v>1860</v>
      </c>
      <c r="G92" s="193">
        <v>44682.0</v>
      </c>
      <c r="H92" s="194">
        <f t="shared" si="2"/>
        <v>3720</v>
      </c>
      <c r="I92" s="195">
        <f t="shared" si="34"/>
        <v>2418</v>
      </c>
      <c r="J92" s="196">
        <f t="shared" si="35"/>
        <v>2418</v>
      </c>
      <c r="K92" s="197">
        <f t="shared" si="36"/>
        <v>2232</v>
      </c>
      <c r="L92" s="196">
        <f t="shared" si="37"/>
        <v>2139</v>
      </c>
      <c r="M92" s="197">
        <f t="shared" si="38"/>
        <v>2046</v>
      </c>
      <c r="N92" s="198"/>
      <c r="O92" s="199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</row>
    <row r="93" ht="15.75" customHeight="1">
      <c r="A93" s="187" t="s">
        <v>38</v>
      </c>
      <c r="B93" s="188" t="s">
        <v>339</v>
      </c>
      <c r="C93" s="189" t="s">
        <v>342</v>
      </c>
      <c r="D93" s="190" t="s">
        <v>343</v>
      </c>
      <c r="E93" s="191">
        <v>35.5</v>
      </c>
      <c r="F93" s="192">
        <f t="shared" si="33"/>
        <v>2130</v>
      </c>
      <c r="G93" s="193">
        <v>44682.0</v>
      </c>
      <c r="H93" s="194">
        <f t="shared" si="2"/>
        <v>4260</v>
      </c>
      <c r="I93" s="195">
        <f t="shared" si="34"/>
        <v>2769</v>
      </c>
      <c r="J93" s="196">
        <f t="shared" si="35"/>
        <v>2769</v>
      </c>
      <c r="K93" s="197">
        <f t="shared" si="36"/>
        <v>2556</v>
      </c>
      <c r="L93" s="196">
        <f t="shared" si="37"/>
        <v>2449.5</v>
      </c>
      <c r="M93" s="197">
        <f t="shared" si="38"/>
        <v>2343</v>
      </c>
      <c r="N93" s="198"/>
      <c r="O93" s="21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</row>
    <row r="94" ht="15.75" customHeight="1">
      <c r="A94" s="187" t="s">
        <v>38</v>
      </c>
      <c r="B94" s="188" t="s">
        <v>339</v>
      </c>
      <c r="C94" s="189" t="s">
        <v>344</v>
      </c>
      <c r="D94" s="190" t="s">
        <v>345</v>
      </c>
      <c r="E94" s="191">
        <v>45.0</v>
      </c>
      <c r="F94" s="192">
        <f t="shared" si="33"/>
        <v>2700</v>
      </c>
      <c r="G94" s="193">
        <v>44682.0</v>
      </c>
      <c r="H94" s="194">
        <f t="shared" si="2"/>
        <v>5400</v>
      </c>
      <c r="I94" s="195">
        <f t="shared" si="34"/>
        <v>3510</v>
      </c>
      <c r="J94" s="196">
        <f t="shared" si="35"/>
        <v>3510</v>
      </c>
      <c r="K94" s="197">
        <f t="shared" si="36"/>
        <v>3240</v>
      </c>
      <c r="L94" s="196">
        <f t="shared" si="37"/>
        <v>3105</v>
      </c>
      <c r="M94" s="197">
        <f t="shared" si="38"/>
        <v>2970</v>
      </c>
      <c r="N94" s="198"/>
      <c r="O94" s="21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</row>
    <row r="95" ht="15.75" customHeight="1">
      <c r="A95" s="187" t="s">
        <v>38</v>
      </c>
      <c r="B95" s="188" t="s">
        <v>339</v>
      </c>
      <c r="C95" s="206" t="s">
        <v>346</v>
      </c>
      <c r="D95" s="207" t="s">
        <v>347</v>
      </c>
      <c r="E95" s="191">
        <v>124.5</v>
      </c>
      <c r="F95" s="192">
        <f t="shared" si="33"/>
        <v>7470</v>
      </c>
      <c r="G95" s="193">
        <v>44682.0</v>
      </c>
      <c r="H95" s="194">
        <f t="shared" si="2"/>
        <v>14940</v>
      </c>
      <c r="I95" s="195">
        <f t="shared" si="34"/>
        <v>9711</v>
      </c>
      <c r="J95" s="196">
        <f t="shared" si="35"/>
        <v>9711</v>
      </c>
      <c r="K95" s="197">
        <f t="shared" si="36"/>
        <v>8964</v>
      </c>
      <c r="L95" s="196">
        <f t="shared" si="37"/>
        <v>8590.5</v>
      </c>
      <c r="M95" s="197">
        <f t="shared" si="38"/>
        <v>8217</v>
      </c>
      <c r="N95" s="198"/>
      <c r="O95" s="21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</row>
    <row r="96" ht="15.75" customHeight="1">
      <c r="A96" s="187" t="s">
        <v>38</v>
      </c>
      <c r="B96" s="188" t="s">
        <v>339</v>
      </c>
      <c r="C96" s="206" t="s">
        <v>348</v>
      </c>
      <c r="D96" s="207" t="s">
        <v>349</v>
      </c>
      <c r="E96" s="191">
        <v>218.5</v>
      </c>
      <c r="F96" s="192">
        <f t="shared" si="33"/>
        <v>13110</v>
      </c>
      <c r="G96" s="193">
        <v>44682.0</v>
      </c>
      <c r="H96" s="194">
        <f t="shared" si="2"/>
        <v>26220</v>
      </c>
      <c r="I96" s="195">
        <f t="shared" si="34"/>
        <v>17043</v>
      </c>
      <c r="J96" s="196">
        <f t="shared" si="35"/>
        <v>17043</v>
      </c>
      <c r="K96" s="197">
        <f t="shared" si="36"/>
        <v>15732</v>
      </c>
      <c r="L96" s="196">
        <f t="shared" si="37"/>
        <v>15076.5</v>
      </c>
      <c r="M96" s="197">
        <f t="shared" si="38"/>
        <v>14421</v>
      </c>
      <c r="N96" s="198"/>
      <c r="O96" s="199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</row>
    <row r="97" ht="15.75" customHeight="1">
      <c r="A97" s="187" t="s">
        <v>38</v>
      </c>
      <c r="B97" s="188" t="s">
        <v>350</v>
      </c>
      <c r="C97" s="189" t="s">
        <v>351</v>
      </c>
      <c r="D97" s="190" t="s">
        <v>352</v>
      </c>
      <c r="E97" s="191">
        <v>38.5</v>
      </c>
      <c r="F97" s="192">
        <f t="shared" si="33"/>
        <v>2310</v>
      </c>
      <c r="G97" s="193">
        <v>44682.0</v>
      </c>
      <c r="H97" s="194">
        <f t="shared" si="2"/>
        <v>4620</v>
      </c>
      <c r="I97" s="195">
        <f t="shared" si="34"/>
        <v>3003</v>
      </c>
      <c r="J97" s="196">
        <f t="shared" si="35"/>
        <v>3003</v>
      </c>
      <c r="K97" s="197">
        <f t="shared" si="36"/>
        <v>2772</v>
      </c>
      <c r="L97" s="196">
        <f t="shared" si="37"/>
        <v>2656.5</v>
      </c>
      <c r="M97" s="197">
        <f t="shared" si="38"/>
        <v>2541</v>
      </c>
      <c r="N97" s="198"/>
      <c r="O97" s="199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</row>
    <row r="98" ht="15.75" customHeight="1">
      <c r="A98" s="187" t="s">
        <v>38</v>
      </c>
      <c r="B98" s="188" t="s">
        <v>350</v>
      </c>
      <c r="C98" s="189" t="s">
        <v>353</v>
      </c>
      <c r="D98" s="190" t="s">
        <v>354</v>
      </c>
      <c r="E98" s="191">
        <v>30.5</v>
      </c>
      <c r="F98" s="192">
        <f t="shared" si="33"/>
        <v>1830</v>
      </c>
      <c r="G98" s="193">
        <v>44682.0</v>
      </c>
      <c r="H98" s="194">
        <f t="shared" si="2"/>
        <v>3660</v>
      </c>
      <c r="I98" s="195">
        <f t="shared" si="34"/>
        <v>2379</v>
      </c>
      <c r="J98" s="196">
        <f t="shared" si="35"/>
        <v>2379</v>
      </c>
      <c r="K98" s="197">
        <f t="shared" si="36"/>
        <v>2196</v>
      </c>
      <c r="L98" s="196">
        <f t="shared" si="37"/>
        <v>2104.5</v>
      </c>
      <c r="M98" s="197">
        <f t="shared" si="38"/>
        <v>2013</v>
      </c>
      <c r="N98" s="198"/>
      <c r="O98" s="199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</row>
    <row r="99" ht="15.75" customHeight="1">
      <c r="A99" s="187" t="s">
        <v>38</v>
      </c>
      <c r="B99" s="188" t="s">
        <v>350</v>
      </c>
      <c r="C99" s="206" t="s">
        <v>355</v>
      </c>
      <c r="D99" s="207" t="s">
        <v>356</v>
      </c>
      <c r="E99" s="191">
        <v>71.0</v>
      </c>
      <c r="F99" s="192">
        <f t="shared" si="33"/>
        <v>4260</v>
      </c>
      <c r="G99" s="193">
        <v>44682.0</v>
      </c>
      <c r="H99" s="194">
        <f t="shared" si="2"/>
        <v>8520</v>
      </c>
      <c r="I99" s="195">
        <f t="shared" si="34"/>
        <v>5538</v>
      </c>
      <c r="J99" s="196">
        <f t="shared" si="35"/>
        <v>5538</v>
      </c>
      <c r="K99" s="197">
        <f t="shared" si="36"/>
        <v>5112</v>
      </c>
      <c r="L99" s="196">
        <f t="shared" si="37"/>
        <v>4899</v>
      </c>
      <c r="M99" s="197">
        <f t="shared" si="38"/>
        <v>4686</v>
      </c>
      <c r="N99" s="198"/>
      <c r="O99" s="199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</row>
    <row r="100" ht="15.75" customHeight="1">
      <c r="A100" s="187" t="s">
        <v>38</v>
      </c>
      <c r="B100" s="188" t="s">
        <v>350</v>
      </c>
      <c r="C100" s="206" t="s">
        <v>220</v>
      </c>
      <c r="D100" s="207" t="s">
        <v>357</v>
      </c>
      <c r="E100" s="191">
        <v>72.0</v>
      </c>
      <c r="F100" s="192">
        <f t="shared" si="33"/>
        <v>4320</v>
      </c>
      <c r="G100" s="193">
        <v>44682.0</v>
      </c>
      <c r="H100" s="194">
        <f t="shared" si="2"/>
        <v>8640</v>
      </c>
      <c r="I100" s="195">
        <f t="shared" si="34"/>
        <v>5616</v>
      </c>
      <c r="J100" s="196">
        <f t="shared" si="35"/>
        <v>5616</v>
      </c>
      <c r="K100" s="197">
        <f t="shared" si="36"/>
        <v>5184</v>
      </c>
      <c r="L100" s="196">
        <f t="shared" si="37"/>
        <v>4968</v>
      </c>
      <c r="M100" s="197">
        <f t="shared" si="38"/>
        <v>4752</v>
      </c>
      <c r="N100" s="198"/>
      <c r="O100" s="199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</row>
    <row r="101" ht="15.75" customHeight="1">
      <c r="A101" s="187" t="s">
        <v>38</v>
      </c>
      <c r="B101" s="188" t="s">
        <v>350</v>
      </c>
      <c r="C101" s="206" t="s">
        <v>202</v>
      </c>
      <c r="D101" s="207" t="s">
        <v>203</v>
      </c>
      <c r="E101" s="191">
        <v>72.0</v>
      </c>
      <c r="F101" s="192">
        <f t="shared" si="33"/>
        <v>4320</v>
      </c>
      <c r="G101" s="193">
        <v>44682.0</v>
      </c>
      <c r="H101" s="194">
        <f t="shared" si="2"/>
        <v>8640</v>
      </c>
      <c r="I101" s="195">
        <f t="shared" si="34"/>
        <v>5616</v>
      </c>
      <c r="J101" s="196">
        <f t="shared" si="35"/>
        <v>5616</v>
      </c>
      <c r="K101" s="197">
        <f t="shared" si="36"/>
        <v>5184</v>
      </c>
      <c r="L101" s="196">
        <f t="shared" si="37"/>
        <v>4968</v>
      </c>
      <c r="M101" s="197">
        <f t="shared" si="38"/>
        <v>4752</v>
      </c>
      <c r="N101" s="198"/>
      <c r="O101" s="199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</row>
    <row r="102" ht="15.75" customHeight="1">
      <c r="A102" s="187" t="s">
        <v>38</v>
      </c>
      <c r="B102" s="188" t="s">
        <v>358</v>
      </c>
      <c r="C102" s="189" t="s">
        <v>359</v>
      </c>
      <c r="D102" s="190" t="s">
        <v>360</v>
      </c>
      <c r="E102" s="191">
        <v>111.0</v>
      </c>
      <c r="F102" s="192">
        <f t="shared" si="33"/>
        <v>6660</v>
      </c>
      <c r="G102" s="193">
        <v>44682.0</v>
      </c>
      <c r="H102" s="194">
        <f t="shared" si="2"/>
        <v>13320</v>
      </c>
      <c r="I102" s="195">
        <f t="shared" si="34"/>
        <v>8658</v>
      </c>
      <c r="J102" s="196">
        <f t="shared" si="35"/>
        <v>8658</v>
      </c>
      <c r="K102" s="197">
        <f t="shared" si="36"/>
        <v>7992</v>
      </c>
      <c r="L102" s="196">
        <f t="shared" si="37"/>
        <v>7659</v>
      </c>
      <c r="M102" s="197">
        <f t="shared" si="38"/>
        <v>7326</v>
      </c>
      <c r="N102" s="198"/>
      <c r="O102" s="199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</row>
    <row r="103" ht="15.75" customHeight="1">
      <c r="A103" s="187" t="s">
        <v>38</v>
      </c>
      <c r="B103" s="188" t="s">
        <v>358</v>
      </c>
      <c r="C103" s="189" t="s">
        <v>222</v>
      </c>
      <c r="D103" s="190" t="s">
        <v>223</v>
      </c>
      <c r="E103" s="191">
        <v>63.5</v>
      </c>
      <c r="F103" s="192">
        <f t="shared" si="33"/>
        <v>3810</v>
      </c>
      <c r="G103" s="193">
        <v>44682.0</v>
      </c>
      <c r="H103" s="194">
        <f t="shared" si="2"/>
        <v>7620</v>
      </c>
      <c r="I103" s="195">
        <f t="shared" si="34"/>
        <v>4953</v>
      </c>
      <c r="J103" s="196">
        <f t="shared" si="35"/>
        <v>4953</v>
      </c>
      <c r="K103" s="197">
        <f t="shared" si="36"/>
        <v>4572</v>
      </c>
      <c r="L103" s="196">
        <f t="shared" si="37"/>
        <v>4381.5</v>
      </c>
      <c r="M103" s="197">
        <f t="shared" si="38"/>
        <v>4191</v>
      </c>
      <c r="N103" s="198"/>
      <c r="O103" s="21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</row>
    <row r="104" ht="15.75" customHeight="1">
      <c r="A104" s="187" t="s">
        <v>38</v>
      </c>
      <c r="B104" s="188" t="s">
        <v>358</v>
      </c>
      <c r="C104" s="206" t="s">
        <v>224</v>
      </c>
      <c r="D104" s="207" t="s">
        <v>225</v>
      </c>
      <c r="E104" s="191">
        <v>88.0</v>
      </c>
      <c r="F104" s="192">
        <f t="shared" si="33"/>
        <v>5280</v>
      </c>
      <c r="G104" s="193">
        <v>44682.0</v>
      </c>
      <c r="H104" s="194">
        <f t="shared" si="2"/>
        <v>10560</v>
      </c>
      <c r="I104" s="195">
        <f t="shared" si="34"/>
        <v>6864</v>
      </c>
      <c r="J104" s="196">
        <f t="shared" si="35"/>
        <v>6864</v>
      </c>
      <c r="K104" s="197">
        <f t="shared" si="36"/>
        <v>6336</v>
      </c>
      <c r="L104" s="196">
        <f t="shared" si="37"/>
        <v>6072</v>
      </c>
      <c r="M104" s="197">
        <f t="shared" si="38"/>
        <v>5808</v>
      </c>
      <c r="N104" s="198"/>
      <c r="O104" s="21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</row>
    <row r="105" ht="15.75" customHeight="1">
      <c r="A105" s="187" t="s">
        <v>38</v>
      </c>
      <c r="B105" s="188" t="s">
        <v>358</v>
      </c>
      <c r="C105" s="206" t="s">
        <v>226</v>
      </c>
      <c r="D105" s="207" t="s">
        <v>227</v>
      </c>
      <c r="E105" s="191">
        <v>78.0</v>
      </c>
      <c r="F105" s="192">
        <f t="shared" si="33"/>
        <v>4680</v>
      </c>
      <c r="G105" s="193">
        <v>44682.0</v>
      </c>
      <c r="H105" s="194">
        <f t="shared" si="2"/>
        <v>9360</v>
      </c>
      <c r="I105" s="195">
        <f t="shared" si="34"/>
        <v>6084</v>
      </c>
      <c r="J105" s="196">
        <f t="shared" si="35"/>
        <v>6084</v>
      </c>
      <c r="K105" s="197">
        <f t="shared" si="36"/>
        <v>5616</v>
      </c>
      <c r="L105" s="196">
        <f t="shared" si="37"/>
        <v>5382</v>
      </c>
      <c r="M105" s="197">
        <f t="shared" si="38"/>
        <v>5148</v>
      </c>
      <c r="N105" s="198"/>
      <c r="O105" s="21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</row>
    <row r="106" ht="15.75" customHeight="1">
      <c r="A106" s="187" t="s">
        <v>38</v>
      </c>
      <c r="B106" s="188" t="s">
        <v>358</v>
      </c>
      <c r="C106" s="206" t="s">
        <v>361</v>
      </c>
      <c r="D106" s="207" t="s">
        <v>362</v>
      </c>
      <c r="E106" s="191">
        <v>166.5</v>
      </c>
      <c r="F106" s="192">
        <f t="shared" si="33"/>
        <v>9990</v>
      </c>
      <c r="G106" s="193">
        <v>44682.0</v>
      </c>
      <c r="H106" s="194">
        <f t="shared" si="2"/>
        <v>19980</v>
      </c>
      <c r="I106" s="195">
        <f t="shared" si="34"/>
        <v>12987</v>
      </c>
      <c r="J106" s="196">
        <f t="shared" si="35"/>
        <v>12987</v>
      </c>
      <c r="K106" s="197">
        <f t="shared" si="36"/>
        <v>11988</v>
      </c>
      <c r="L106" s="196">
        <f t="shared" si="37"/>
        <v>11488.5</v>
      </c>
      <c r="M106" s="197">
        <f t="shared" si="38"/>
        <v>10989</v>
      </c>
      <c r="N106" s="198"/>
      <c r="O106" s="21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</row>
    <row r="107" ht="15.75" customHeight="1">
      <c r="A107" s="187" t="s">
        <v>38</v>
      </c>
      <c r="B107" s="188" t="s">
        <v>358</v>
      </c>
      <c r="C107" s="206" t="s">
        <v>363</v>
      </c>
      <c r="D107" s="207" t="s">
        <v>364</v>
      </c>
      <c r="E107" s="191">
        <v>124.5</v>
      </c>
      <c r="F107" s="192">
        <f t="shared" si="33"/>
        <v>7470</v>
      </c>
      <c r="G107" s="193">
        <v>44682.0</v>
      </c>
      <c r="H107" s="194">
        <f t="shared" si="2"/>
        <v>14940</v>
      </c>
      <c r="I107" s="195">
        <f t="shared" si="34"/>
        <v>9711</v>
      </c>
      <c r="J107" s="196">
        <f t="shared" si="35"/>
        <v>9711</v>
      </c>
      <c r="K107" s="197">
        <f t="shared" si="36"/>
        <v>8964</v>
      </c>
      <c r="L107" s="196">
        <f t="shared" si="37"/>
        <v>8590.5</v>
      </c>
      <c r="M107" s="197">
        <f t="shared" si="38"/>
        <v>8217</v>
      </c>
      <c r="N107" s="198"/>
      <c r="O107" s="21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</row>
    <row r="108" ht="15.75" customHeight="1">
      <c r="A108" s="187" t="s">
        <v>38</v>
      </c>
      <c r="B108" s="188" t="s">
        <v>358</v>
      </c>
      <c r="C108" s="206" t="s">
        <v>365</v>
      </c>
      <c r="D108" s="207" t="s">
        <v>366</v>
      </c>
      <c r="E108" s="191" t="s">
        <v>169</v>
      </c>
      <c r="F108" s="201" t="s">
        <v>169</v>
      </c>
      <c r="G108" s="193">
        <v>44682.0</v>
      </c>
      <c r="H108" s="194" t="str">
        <f t="shared" si="2"/>
        <v>#VALUE!</v>
      </c>
      <c r="I108" s="202"/>
      <c r="J108" s="203"/>
      <c r="K108" s="204"/>
      <c r="L108" s="203"/>
      <c r="M108" s="204"/>
      <c r="N108" s="198"/>
      <c r="O108" s="21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</row>
    <row r="109" ht="15.75" customHeight="1">
      <c r="A109" s="187" t="s">
        <v>38</v>
      </c>
      <c r="B109" s="188" t="s">
        <v>358</v>
      </c>
      <c r="C109" s="206" t="s">
        <v>367</v>
      </c>
      <c r="D109" s="207" t="s">
        <v>368</v>
      </c>
      <c r="E109" s="191">
        <v>103.5</v>
      </c>
      <c r="F109" s="192">
        <f t="shared" ref="F109:F330" si="39">E109*60</f>
        <v>6210</v>
      </c>
      <c r="G109" s="193">
        <v>44682.0</v>
      </c>
      <c r="H109" s="194">
        <f t="shared" si="2"/>
        <v>12420</v>
      </c>
      <c r="I109" s="195">
        <f t="shared" ref="I109:I330" si="40">F109*0.3+F109</f>
        <v>8073</v>
      </c>
      <c r="J109" s="196">
        <f t="shared" ref="J109:J330" si="41">F109*0.3+F109</f>
        <v>8073</v>
      </c>
      <c r="K109" s="197">
        <f t="shared" ref="K109:K330" si="42">F109*0.2+F109</f>
        <v>7452</v>
      </c>
      <c r="L109" s="196">
        <f t="shared" ref="L109:L330" si="43">F109*0.15+F109</f>
        <v>7141.5</v>
      </c>
      <c r="M109" s="197">
        <f t="shared" ref="M109:M330" si="44">F109*0.1+F109</f>
        <v>6831</v>
      </c>
      <c r="N109" s="198"/>
      <c r="O109" s="21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</row>
    <row r="110" ht="15.75" customHeight="1">
      <c r="A110" s="187" t="s">
        <v>38</v>
      </c>
      <c r="B110" s="188" t="s">
        <v>369</v>
      </c>
      <c r="C110" s="189" t="s">
        <v>370</v>
      </c>
      <c r="D110" s="190" t="s">
        <v>371</v>
      </c>
      <c r="E110" s="191">
        <v>142.0</v>
      </c>
      <c r="F110" s="192">
        <f t="shared" si="39"/>
        <v>8520</v>
      </c>
      <c r="G110" s="193">
        <v>44682.0</v>
      </c>
      <c r="H110" s="194">
        <f t="shared" si="2"/>
        <v>17040</v>
      </c>
      <c r="I110" s="195">
        <f t="shared" si="40"/>
        <v>11076</v>
      </c>
      <c r="J110" s="196">
        <f t="shared" si="41"/>
        <v>11076</v>
      </c>
      <c r="K110" s="197">
        <f t="shared" si="42"/>
        <v>10224</v>
      </c>
      <c r="L110" s="196">
        <f t="shared" si="43"/>
        <v>9798</v>
      </c>
      <c r="M110" s="197">
        <f t="shared" si="44"/>
        <v>9372</v>
      </c>
      <c r="N110" s="198"/>
      <c r="O110" s="21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</row>
    <row r="111" ht="15.75" customHeight="1">
      <c r="A111" s="187" t="s">
        <v>38</v>
      </c>
      <c r="B111" s="188" t="s">
        <v>369</v>
      </c>
      <c r="C111" s="189" t="s">
        <v>372</v>
      </c>
      <c r="D111" s="190" t="s">
        <v>373</v>
      </c>
      <c r="E111" s="191">
        <v>102.0</v>
      </c>
      <c r="F111" s="192">
        <f t="shared" si="39"/>
        <v>6120</v>
      </c>
      <c r="G111" s="193">
        <v>44682.0</v>
      </c>
      <c r="H111" s="194">
        <f t="shared" si="2"/>
        <v>12240</v>
      </c>
      <c r="I111" s="195">
        <f t="shared" si="40"/>
        <v>7956</v>
      </c>
      <c r="J111" s="196">
        <f t="shared" si="41"/>
        <v>7956</v>
      </c>
      <c r="K111" s="197">
        <f t="shared" si="42"/>
        <v>7344</v>
      </c>
      <c r="L111" s="196">
        <f t="shared" si="43"/>
        <v>7038</v>
      </c>
      <c r="M111" s="197">
        <f t="shared" si="44"/>
        <v>6732</v>
      </c>
      <c r="N111" s="198"/>
      <c r="O111" s="21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</row>
    <row r="112" ht="15.75" customHeight="1">
      <c r="A112" s="187" t="s">
        <v>38</v>
      </c>
      <c r="B112" s="188" t="s">
        <v>369</v>
      </c>
      <c r="C112" s="189" t="s">
        <v>374</v>
      </c>
      <c r="D112" s="190" t="s">
        <v>375</v>
      </c>
      <c r="E112" s="191">
        <v>102.0</v>
      </c>
      <c r="F112" s="192">
        <f t="shared" si="39"/>
        <v>6120</v>
      </c>
      <c r="G112" s="193">
        <v>44682.0</v>
      </c>
      <c r="H112" s="194">
        <f t="shared" si="2"/>
        <v>12240</v>
      </c>
      <c r="I112" s="195">
        <f t="shared" si="40"/>
        <v>7956</v>
      </c>
      <c r="J112" s="196">
        <f t="shared" si="41"/>
        <v>7956</v>
      </c>
      <c r="K112" s="197">
        <f t="shared" si="42"/>
        <v>7344</v>
      </c>
      <c r="L112" s="196">
        <f t="shared" si="43"/>
        <v>7038</v>
      </c>
      <c r="M112" s="197">
        <f t="shared" si="44"/>
        <v>6732</v>
      </c>
      <c r="N112" s="198"/>
      <c r="O112" s="21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</row>
    <row r="113" ht="15.75" customHeight="1">
      <c r="A113" s="187" t="s">
        <v>38</v>
      </c>
      <c r="B113" s="188" t="s">
        <v>376</v>
      </c>
      <c r="C113" s="189" t="s">
        <v>377</v>
      </c>
      <c r="D113" s="190" t="s">
        <v>378</v>
      </c>
      <c r="E113" s="205">
        <v>4.0</v>
      </c>
      <c r="F113" s="192">
        <f t="shared" si="39"/>
        <v>240</v>
      </c>
      <c r="G113" s="193">
        <v>44682.0</v>
      </c>
      <c r="H113" s="194">
        <f t="shared" si="2"/>
        <v>480</v>
      </c>
      <c r="I113" s="195">
        <f t="shared" si="40"/>
        <v>312</v>
      </c>
      <c r="J113" s="196">
        <f t="shared" si="41"/>
        <v>312</v>
      </c>
      <c r="K113" s="197">
        <f t="shared" si="42"/>
        <v>288</v>
      </c>
      <c r="L113" s="196">
        <f t="shared" si="43"/>
        <v>276</v>
      </c>
      <c r="M113" s="197">
        <f t="shared" si="44"/>
        <v>264</v>
      </c>
      <c r="N113" s="198"/>
      <c r="O113" s="21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</row>
    <row r="114" ht="15.75" customHeight="1">
      <c r="A114" s="187" t="s">
        <v>38</v>
      </c>
      <c r="B114" s="188" t="s">
        <v>376</v>
      </c>
      <c r="C114" s="189" t="s">
        <v>379</v>
      </c>
      <c r="D114" s="190" t="s">
        <v>380</v>
      </c>
      <c r="E114" s="205">
        <v>2.0</v>
      </c>
      <c r="F114" s="192">
        <f t="shared" si="39"/>
        <v>120</v>
      </c>
      <c r="G114" s="193">
        <v>44682.0</v>
      </c>
      <c r="H114" s="194">
        <f t="shared" si="2"/>
        <v>240</v>
      </c>
      <c r="I114" s="195">
        <f t="shared" si="40"/>
        <v>156</v>
      </c>
      <c r="J114" s="196">
        <f t="shared" si="41"/>
        <v>156</v>
      </c>
      <c r="K114" s="197">
        <f t="shared" si="42"/>
        <v>144</v>
      </c>
      <c r="L114" s="196">
        <f t="shared" si="43"/>
        <v>138</v>
      </c>
      <c r="M114" s="197">
        <f t="shared" si="44"/>
        <v>132</v>
      </c>
      <c r="N114" s="198"/>
      <c r="O114" s="21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</row>
    <row r="115" ht="15.75" customHeight="1">
      <c r="A115" s="187" t="s">
        <v>38</v>
      </c>
      <c r="B115" s="188" t="s">
        <v>381</v>
      </c>
      <c r="C115" s="189" t="s">
        <v>382</v>
      </c>
      <c r="D115" s="190" t="s">
        <v>383</v>
      </c>
      <c r="E115" s="191">
        <v>13.5</v>
      </c>
      <c r="F115" s="192">
        <f t="shared" si="39"/>
        <v>810</v>
      </c>
      <c r="G115" s="193">
        <v>44682.0</v>
      </c>
      <c r="H115" s="194">
        <f t="shared" si="2"/>
        <v>1620</v>
      </c>
      <c r="I115" s="195">
        <f t="shared" si="40"/>
        <v>1053</v>
      </c>
      <c r="J115" s="196">
        <f t="shared" si="41"/>
        <v>1053</v>
      </c>
      <c r="K115" s="197">
        <f t="shared" si="42"/>
        <v>972</v>
      </c>
      <c r="L115" s="196">
        <f t="shared" si="43"/>
        <v>931.5</v>
      </c>
      <c r="M115" s="197">
        <f t="shared" si="44"/>
        <v>891</v>
      </c>
      <c r="N115" s="198"/>
      <c r="O115" s="21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</row>
    <row r="116" ht="15.75" customHeight="1">
      <c r="A116" s="187" t="s">
        <v>38</v>
      </c>
      <c r="B116" s="188" t="s">
        <v>381</v>
      </c>
      <c r="C116" s="189" t="s">
        <v>384</v>
      </c>
      <c r="D116" s="190" t="s">
        <v>385</v>
      </c>
      <c r="E116" s="191">
        <v>14.0</v>
      </c>
      <c r="F116" s="192">
        <f t="shared" si="39"/>
        <v>840</v>
      </c>
      <c r="G116" s="193">
        <v>44682.0</v>
      </c>
      <c r="H116" s="194">
        <f t="shared" si="2"/>
        <v>1680</v>
      </c>
      <c r="I116" s="195">
        <f t="shared" si="40"/>
        <v>1092</v>
      </c>
      <c r="J116" s="196">
        <f t="shared" si="41"/>
        <v>1092</v>
      </c>
      <c r="K116" s="197">
        <f t="shared" si="42"/>
        <v>1008</v>
      </c>
      <c r="L116" s="196">
        <f t="shared" si="43"/>
        <v>966</v>
      </c>
      <c r="M116" s="197">
        <f t="shared" si="44"/>
        <v>924</v>
      </c>
      <c r="N116" s="198"/>
      <c r="O116" s="21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</row>
    <row r="117" ht="15.75" customHeight="1">
      <c r="A117" s="187" t="s">
        <v>38</v>
      </c>
      <c r="B117" s="188" t="s">
        <v>381</v>
      </c>
      <c r="C117" s="189" t="s">
        <v>386</v>
      </c>
      <c r="D117" s="190" t="s">
        <v>387</v>
      </c>
      <c r="E117" s="191">
        <v>35.0</v>
      </c>
      <c r="F117" s="192">
        <f t="shared" si="39"/>
        <v>2100</v>
      </c>
      <c r="G117" s="193">
        <v>44682.0</v>
      </c>
      <c r="H117" s="194">
        <f t="shared" si="2"/>
        <v>4200</v>
      </c>
      <c r="I117" s="195">
        <f t="shared" si="40"/>
        <v>2730</v>
      </c>
      <c r="J117" s="196">
        <f t="shared" si="41"/>
        <v>2730</v>
      </c>
      <c r="K117" s="197">
        <f t="shared" si="42"/>
        <v>2520</v>
      </c>
      <c r="L117" s="196">
        <f t="shared" si="43"/>
        <v>2415</v>
      </c>
      <c r="M117" s="197">
        <f t="shared" si="44"/>
        <v>2310</v>
      </c>
      <c r="N117" s="198"/>
      <c r="O117" s="21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</row>
    <row r="118" ht="15.75" customHeight="1">
      <c r="A118" s="187" t="s">
        <v>38</v>
      </c>
      <c r="B118" s="188" t="s">
        <v>388</v>
      </c>
      <c r="C118" s="189" t="s">
        <v>389</v>
      </c>
      <c r="D118" s="190" t="s">
        <v>390</v>
      </c>
      <c r="E118" s="191">
        <v>34.5</v>
      </c>
      <c r="F118" s="192">
        <f t="shared" si="39"/>
        <v>2070</v>
      </c>
      <c r="G118" s="193">
        <v>44682.0</v>
      </c>
      <c r="H118" s="194">
        <f t="shared" si="2"/>
        <v>4140</v>
      </c>
      <c r="I118" s="195">
        <f t="shared" si="40"/>
        <v>2691</v>
      </c>
      <c r="J118" s="196">
        <f t="shared" si="41"/>
        <v>2691</v>
      </c>
      <c r="K118" s="197">
        <f t="shared" si="42"/>
        <v>2484</v>
      </c>
      <c r="L118" s="196">
        <f t="shared" si="43"/>
        <v>2380.5</v>
      </c>
      <c r="M118" s="197">
        <f t="shared" si="44"/>
        <v>2277</v>
      </c>
      <c r="N118" s="198"/>
      <c r="O118" s="21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</row>
    <row r="119" ht="15.75" customHeight="1">
      <c r="A119" s="187" t="s">
        <v>38</v>
      </c>
      <c r="B119" s="188" t="s">
        <v>388</v>
      </c>
      <c r="C119" s="189" t="s">
        <v>391</v>
      </c>
      <c r="D119" s="190" t="s">
        <v>392</v>
      </c>
      <c r="E119" s="191">
        <v>15.0</v>
      </c>
      <c r="F119" s="192">
        <f t="shared" si="39"/>
        <v>900</v>
      </c>
      <c r="G119" s="193">
        <v>44682.0</v>
      </c>
      <c r="H119" s="194">
        <f t="shared" si="2"/>
        <v>1800</v>
      </c>
      <c r="I119" s="195">
        <f t="shared" si="40"/>
        <v>1170</v>
      </c>
      <c r="J119" s="196">
        <f t="shared" si="41"/>
        <v>1170</v>
      </c>
      <c r="K119" s="197">
        <f t="shared" si="42"/>
        <v>1080</v>
      </c>
      <c r="L119" s="196">
        <f t="shared" si="43"/>
        <v>1035</v>
      </c>
      <c r="M119" s="197">
        <f t="shared" si="44"/>
        <v>990</v>
      </c>
      <c r="N119" s="198"/>
      <c r="O119" s="21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</row>
    <row r="120" ht="15.75" customHeight="1">
      <c r="A120" s="187" t="s">
        <v>38</v>
      </c>
      <c r="B120" s="188" t="s">
        <v>388</v>
      </c>
      <c r="C120" s="189" t="s">
        <v>393</v>
      </c>
      <c r="D120" s="190" t="s">
        <v>394</v>
      </c>
      <c r="E120" s="191">
        <v>18.0</v>
      </c>
      <c r="F120" s="192">
        <f t="shared" si="39"/>
        <v>1080</v>
      </c>
      <c r="G120" s="193">
        <v>44682.0</v>
      </c>
      <c r="H120" s="194">
        <f t="shared" si="2"/>
        <v>2160</v>
      </c>
      <c r="I120" s="195">
        <f t="shared" si="40"/>
        <v>1404</v>
      </c>
      <c r="J120" s="196">
        <f t="shared" si="41"/>
        <v>1404</v>
      </c>
      <c r="K120" s="197">
        <f t="shared" si="42"/>
        <v>1296</v>
      </c>
      <c r="L120" s="196">
        <f t="shared" si="43"/>
        <v>1242</v>
      </c>
      <c r="M120" s="197">
        <f t="shared" si="44"/>
        <v>1188</v>
      </c>
      <c r="N120" s="198"/>
      <c r="O120" s="21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</row>
    <row r="121" ht="15.75" customHeight="1">
      <c r="A121" s="187" t="s">
        <v>38</v>
      </c>
      <c r="B121" s="188" t="s">
        <v>388</v>
      </c>
      <c r="C121" s="189" t="s">
        <v>395</v>
      </c>
      <c r="D121" s="190" t="s">
        <v>396</v>
      </c>
      <c r="E121" s="191">
        <v>23.0</v>
      </c>
      <c r="F121" s="192">
        <f t="shared" si="39"/>
        <v>1380</v>
      </c>
      <c r="G121" s="193">
        <v>44682.0</v>
      </c>
      <c r="H121" s="194">
        <f t="shared" si="2"/>
        <v>2760</v>
      </c>
      <c r="I121" s="195">
        <f t="shared" si="40"/>
        <v>1794</v>
      </c>
      <c r="J121" s="196">
        <f t="shared" si="41"/>
        <v>1794</v>
      </c>
      <c r="K121" s="197">
        <f t="shared" si="42"/>
        <v>1656</v>
      </c>
      <c r="L121" s="196">
        <f t="shared" si="43"/>
        <v>1587</v>
      </c>
      <c r="M121" s="197">
        <f t="shared" si="44"/>
        <v>1518</v>
      </c>
      <c r="N121" s="198"/>
      <c r="O121" s="21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</row>
    <row r="122" ht="15.75" customHeight="1">
      <c r="A122" s="187" t="s">
        <v>38</v>
      </c>
      <c r="B122" s="188" t="s">
        <v>388</v>
      </c>
      <c r="C122" s="189" t="s">
        <v>397</v>
      </c>
      <c r="D122" s="190" t="s">
        <v>398</v>
      </c>
      <c r="E122" s="191">
        <v>28.5</v>
      </c>
      <c r="F122" s="192">
        <f t="shared" si="39"/>
        <v>1710</v>
      </c>
      <c r="G122" s="193">
        <v>44682.0</v>
      </c>
      <c r="H122" s="194">
        <f t="shared" si="2"/>
        <v>3420</v>
      </c>
      <c r="I122" s="195">
        <f t="shared" si="40"/>
        <v>2223</v>
      </c>
      <c r="J122" s="196">
        <f t="shared" si="41"/>
        <v>2223</v>
      </c>
      <c r="K122" s="197">
        <f t="shared" si="42"/>
        <v>2052</v>
      </c>
      <c r="L122" s="196">
        <f t="shared" si="43"/>
        <v>1966.5</v>
      </c>
      <c r="M122" s="197">
        <f t="shared" si="44"/>
        <v>1881</v>
      </c>
      <c r="N122" s="198"/>
      <c r="O122" s="21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</row>
    <row r="123" ht="15.75" customHeight="1">
      <c r="A123" s="187" t="s">
        <v>38</v>
      </c>
      <c r="B123" s="188" t="s">
        <v>388</v>
      </c>
      <c r="C123" s="189" t="s">
        <v>399</v>
      </c>
      <c r="D123" s="190" t="s">
        <v>400</v>
      </c>
      <c r="E123" s="191">
        <v>101.0</v>
      </c>
      <c r="F123" s="192">
        <f t="shared" si="39"/>
        <v>6060</v>
      </c>
      <c r="G123" s="193">
        <v>44682.0</v>
      </c>
      <c r="H123" s="194">
        <f t="shared" si="2"/>
        <v>12120</v>
      </c>
      <c r="I123" s="195">
        <f t="shared" si="40"/>
        <v>7878</v>
      </c>
      <c r="J123" s="196">
        <f t="shared" si="41"/>
        <v>7878</v>
      </c>
      <c r="K123" s="197">
        <f t="shared" si="42"/>
        <v>7272</v>
      </c>
      <c r="L123" s="196">
        <f t="shared" si="43"/>
        <v>6969</v>
      </c>
      <c r="M123" s="197">
        <f t="shared" si="44"/>
        <v>6666</v>
      </c>
      <c r="N123" s="198"/>
      <c r="O123" s="21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</row>
    <row r="124" ht="15.75" customHeight="1">
      <c r="A124" s="187" t="s">
        <v>38</v>
      </c>
      <c r="B124" s="188" t="s">
        <v>388</v>
      </c>
      <c r="C124" s="189" t="s">
        <v>401</v>
      </c>
      <c r="D124" s="190" t="s">
        <v>402</v>
      </c>
      <c r="E124" s="191">
        <v>41.5</v>
      </c>
      <c r="F124" s="192">
        <f t="shared" si="39"/>
        <v>2490</v>
      </c>
      <c r="G124" s="193">
        <v>44682.0</v>
      </c>
      <c r="H124" s="194">
        <f t="shared" si="2"/>
        <v>4980</v>
      </c>
      <c r="I124" s="195">
        <f t="shared" si="40"/>
        <v>3237</v>
      </c>
      <c r="J124" s="196">
        <f t="shared" si="41"/>
        <v>3237</v>
      </c>
      <c r="K124" s="197">
        <f t="shared" si="42"/>
        <v>2988</v>
      </c>
      <c r="L124" s="196">
        <f t="shared" si="43"/>
        <v>2863.5</v>
      </c>
      <c r="M124" s="197">
        <f t="shared" si="44"/>
        <v>2739</v>
      </c>
      <c r="N124" s="198"/>
      <c r="O124" s="21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</row>
    <row r="125" ht="15.75" customHeight="1">
      <c r="A125" s="187" t="s">
        <v>38</v>
      </c>
      <c r="B125" s="188" t="s">
        <v>388</v>
      </c>
      <c r="C125" s="189" t="s">
        <v>403</v>
      </c>
      <c r="D125" s="190" t="s">
        <v>404</v>
      </c>
      <c r="E125" s="191">
        <v>74.0</v>
      </c>
      <c r="F125" s="192">
        <f t="shared" si="39"/>
        <v>4440</v>
      </c>
      <c r="G125" s="193">
        <v>44682.0</v>
      </c>
      <c r="H125" s="194">
        <f t="shared" si="2"/>
        <v>8880</v>
      </c>
      <c r="I125" s="195">
        <f t="shared" si="40"/>
        <v>5772</v>
      </c>
      <c r="J125" s="196">
        <f t="shared" si="41"/>
        <v>5772</v>
      </c>
      <c r="K125" s="197">
        <f t="shared" si="42"/>
        <v>5328</v>
      </c>
      <c r="L125" s="196">
        <f t="shared" si="43"/>
        <v>5106</v>
      </c>
      <c r="M125" s="197">
        <f t="shared" si="44"/>
        <v>4884</v>
      </c>
      <c r="N125" s="198"/>
      <c r="O125" s="21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ht="15.75" customHeight="1">
      <c r="A126" s="187" t="s">
        <v>38</v>
      </c>
      <c r="B126" s="188" t="s">
        <v>388</v>
      </c>
      <c r="C126" s="206" t="s">
        <v>346</v>
      </c>
      <c r="D126" s="207" t="s">
        <v>347</v>
      </c>
      <c r="E126" s="191">
        <v>124.5</v>
      </c>
      <c r="F126" s="192">
        <f t="shared" si="39"/>
        <v>7470</v>
      </c>
      <c r="G126" s="193">
        <v>44682.0</v>
      </c>
      <c r="H126" s="194">
        <f t="shared" si="2"/>
        <v>14940</v>
      </c>
      <c r="I126" s="195">
        <f t="shared" si="40"/>
        <v>9711</v>
      </c>
      <c r="J126" s="196">
        <f t="shared" si="41"/>
        <v>9711</v>
      </c>
      <c r="K126" s="197">
        <f t="shared" si="42"/>
        <v>8964</v>
      </c>
      <c r="L126" s="196">
        <f t="shared" si="43"/>
        <v>8590.5</v>
      </c>
      <c r="M126" s="197">
        <f t="shared" si="44"/>
        <v>8217</v>
      </c>
      <c r="N126" s="198"/>
      <c r="O126" s="21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</row>
    <row r="127" ht="15.75" customHeight="1">
      <c r="A127" s="187" t="s">
        <v>38</v>
      </c>
      <c r="B127" s="188" t="s">
        <v>388</v>
      </c>
      <c r="C127" s="206" t="s">
        <v>348</v>
      </c>
      <c r="D127" s="207" t="s">
        <v>405</v>
      </c>
      <c r="E127" s="191">
        <v>218.5</v>
      </c>
      <c r="F127" s="192">
        <f t="shared" si="39"/>
        <v>13110</v>
      </c>
      <c r="G127" s="193">
        <v>44682.0</v>
      </c>
      <c r="H127" s="194">
        <f t="shared" si="2"/>
        <v>26220</v>
      </c>
      <c r="I127" s="195">
        <f t="shared" si="40"/>
        <v>17043</v>
      </c>
      <c r="J127" s="196">
        <f t="shared" si="41"/>
        <v>17043</v>
      </c>
      <c r="K127" s="197">
        <f t="shared" si="42"/>
        <v>15732</v>
      </c>
      <c r="L127" s="196">
        <f t="shared" si="43"/>
        <v>15076.5</v>
      </c>
      <c r="M127" s="197">
        <f t="shared" si="44"/>
        <v>14421</v>
      </c>
      <c r="N127" s="198"/>
      <c r="O127" s="21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</row>
    <row r="128" ht="15.75" customHeight="1">
      <c r="A128" s="187" t="s">
        <v>38</v>
      </c>
      <c r="B128" s="188" t="s">
        <v>406</v>
      </c>
      <c r="C128" s="189" t="s">
        <v>407</v>
      </c>
      <c r="D128" s="190" t="s">
        <v>408</v>
      </c>
      <c r="E128" s="191">
        <v>30.0</v>
      </c>
      <c r="F128" s="192">
        <f t="shared" si="39"/>
        <v>1800</v>
      </c>
      <c r="G128" s="193">
        <v>44682.0</v>
      </c>
      <c r="H128" s="194">
        <f t="shared" si="2"/>
        <v>3600</v>
      </c>
      <c r="I128" s="195">
        <f t="shared" si="40"/>
        <v>2340</v>
      </c>
      <c r="J128" s="196">
        <f t="shared" si="41"/>
        <v>2340</v>
      </c>
      <c r="K128" s="197">
        <f t="shared" si="42"/>
        <v>2160</v>
      </c>
      <c r="L128" s="196">
        <f t="shared" si="43"/>
        <v>2070</v>
      </c>
      <c r="M128" s="197">
        <f t="shared" si="44"/>
        <v>1980</v>
      </c>
      <c r="N128" s="198"/>
      <c r="O128" s="21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</row>
    <row r="129" ht="15.75" customHeight="1">
      <c r="A129" s="187" t="s">
        <v>38</v>
      </c>
      <c r="B129" s="188" t="s">
        <v>406</v>
      </c>
      <c r="C129" s="189" t="s">
        <v>409</v>
      </c>
      <c r="D129" s="190" t="s">
        <v>410</v>
      </c>
      <c r="E129" s="191">
        <v>101.0</v>
      </c>
      <c r="F129" s="192">
        <f t="shared" si="39"/>
        <v>6060</v>
      </c>
      <c r="G129" s="193">
        <v>44682.0</v>
      </c>
      <c r="H129" s="194">
        <f t="shared" si="2"/>
        <v>12120</v>
      </c>
      <c r="I129" s="195">
        <f t="shared" si="40"/>
        <v>7878</v>
      </c>
      <c r="J129" s="196">
        <f t="shared" si="41"/>
        <v>7878</v>
      </c>
      <c r="K129" s="197">
        <f t="shared" si="42"/>
        <v>7272</v>
      </c>
      <c r="L129" s="196">
        <f t="shared" si="43"/>
        <v>6969</v>
      </c>
      <c r="M129" s="197">
        <f t="shared" si="44"/>
        <v>6666</v>
      </c>
      <c r="N129" s="198"/>
      <c r="O129" s="21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</row>
    <row r="130" ht="15.75" customHeight="1">
      <c r="A130" s="187" t="s">
        <v>38</v>
      </c>
      <c r="B130" s="188" t="s">
        <v>406</v>
      </c>
      <c r="C130" s="189">
        <v>950.0</v>
      </c>
      <c r="D130" s="190" t="s">
        <v>411</v>
      </c>
      <c r="E130" s="191">
        <v>96.0</v>
      </c>
      <c r="F130" s="192">
        <f t="shared" si="39"/>
        <v>5760</v>
      </c>
      <c r="G130" s="193">
        <v>44682.0</v>
      </c>
      <c r="H130" s="194">
        <f t="shared" si="2"/>
        <v>11520</v>
      </c>
      <c r="I130" s="195">
        <f t="shared" si="40"/>
        <v>7488</v>
      </c>
      <c r="J130" s="196">
        <f t="shared" si="41"/>
        <v>7488</v>
      </c>
      <c r="K130" s="197">
        <f t="shared" si="42"/>
        <v>6912</v>
      </c>
      <c r="L130" s="196">
        <f t="shared" si="43"/>
        <v>6624</v>
      </c>
      <c r="M130" s="197">
        <f t="shared" si="44"/>
        <v>6336</v>
      </c>
      <c r="N130" s="198"/>
      <c r="O130" s="21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</row>
    <row r="131" ht="15.75" customHeight="1">
      <c r="A131" s="187" t="s">
        <v>38</v>
      </c>
      <c r="B131" s="188" t="s">
        <v>406</v>
      </c>
      <c r="C131" s="206" t="s">
        <v>412</v>
      </c>
      <c r="D131" s="207" t="s">
        <v>413</v>
      </c>
      <c r="E131" s="191">
        <v>83.0</v>
      </c>
      <c r="F131" s="192">
        <f t="shared" si="39"/>
        <v>4980</v>
      </c>
      <c r="G131" s="193">
        <v>44682.0</v>
      </c>
      <c r="H131" s="194">
        <f t="shared" si="2"/>
        <v>9960</v>
      </c>
      <c r="I131" s="195">
        <f t="shared" si="40"/>
        <v>6474</v>
      </c>
      <c r="J131" s="196">
        <f t="shared" si="41"/>
        <v>6474</v>
      </c>
      <c r="K131" s="197">
        <f t="shared" si="42"/>
        <v>5976</v>
      </c>
      <c r="L131" s="196">
        <f t="shared" si="43"/>
        <v>5727</v>
      </c>
      <c r="M131" s="197">
        <f t="shared" si="44"/>
        <v>5478</v>
      </c>
      <c r="N131" s="198"/>
      <c r="O131" s="21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</row>
    <row r="132" ht="15.75" customHeight="1">
      <c r="A132" s="187" t="s">
        <v>38</v>
      </c>
      <c r="B132" s="188" t="s">
        <v>406</v>
      </c>
      <c r="C132" s="206" t="s">
        <v>414</v>
      </c>
      <c r="D132" s="207" t="s">
        <v>415</v>
      </c>
      <c r="E132" s="191">
        <v>26.0</v>
      </c>
      <c r="F132" s="192">
        <f t="shared" si="39"/>
        <v>1560</v>
      </c>
      <c r="G132" s="193">
        <v>44682.0</v>
      </c>
      <c r="H132" s="194">
        <f t="shared" si="2"/>
        <v>3120</v>
      </c>
      <c r="I132" s="195">
        <f t="shared" si="40"/>
        <v>2028</v>
      </c>
      <c r="J132" s="196">
        <f t="shared" si="41"/>
        <v>2028</v>
      </c>
      <c r="K132" s="197">
        <f t="shared" si="42"/>
        <v>1872</v>
      </c>
      <c r="L132" s="196">
        <f t="shared" si="43"/>
        <v>1794</v>
      </c>
      <c r="M132" s="197">
        <f t="shared" si="44"/>
        <v>1716</v>
      </c>
      <c r="N132" s="198"/>
      <c r="O132" s="21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</row>
    <row r="133" ht="15.75" customHeight="1">
      <c r="A133" s="187" t="s">
        <v>38</v>
      </c>
      <c r="B133" s="211" t="s">
        <v>416</v>
      </c>
      <c r="C133" s="189" t="s">
        <v>417</v>
      </c>
      <c r="D133" s="190" t="s">
        <v>418</v>
      </c>
      <c r="E133" s="205">
        <v>11.0</v>
      </c>
      <c r="F133" s="192">
        <f t="shared" si="39"/>
        <v>660</v>
      </c>
      <c r="G133" s="193">
        <v>44682.0</v>
      </c>
      <c r="H133" s="194">
        <f t="shared" si="2"/>
        <v>1320</v>
      </c>
      <c r="I133" s="195">
        <f t="shared" si="40"/>
        <v>858</v>
      </c>
      <c r="J133" s="196">
        <f t="shared" si="41"/>
        <v>858</v>
      </c>
      <c r="K133" s="197">
        <f t="shared" si="42"/>
        <v>792</v>
      </c>
      <c r="L133" s="196">
        <f t="shared" si="43"/>
        <v>759</v>
      </c>
      <c r="M133" s="197">
        <f t="shared" si="44"/>
        <v>726</v>
      </c>
      <c r="N133" s="198"/>
      <c r="O133" s="21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ht="15.75" customHeight="1">
      <c r="A134" s="187" t="s">
        <v>38</v>
      </c>
      <c r="B134" s="211" t="s">
        <v>416</v>
      </c>
      <c r="C134" s="206" t="s">
        <v>419</v>
      </c>
      <c r="D134" s="207" t="s">
        <v>420</v>
      </c>
      <c r="E134" s="191">
        <v>13.0</v>
      </c>
      <c r="F134" s="192">
        <f t="shared" si="39"/>
        <v>780</v>
      </c>
      <c r="G134" s="193">
        <v>44682.0</v>
      </c>
      <c r="H134" s="194">
        <f t="shared" si="2"/>
        <v>1560</v>
      </c>
      <c r="I134" s="195">
        <f t="shared" si="40"/>
        <v>1014</v>
      </c>
      <c r="J134" s="196">
        <f t="shared" si="41"/>
        <v>1014</v>
      </c>
      <c r="K134" s="197">
        <f t="shared" si="42"/>
        <v>936</v>
      </c>
      <c r="L134" s="196">
        <f t="shared" si="43"/>
        <v>897</v>
      </c>
      <c r="M134" s="197">
        <f t="shared" si="44"/>
        <v>858</v>
      </c>
      <c r="N134" s="198"/>
      <c r="O134" s="21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</row>
    <row r="135" ht="15.75" customHeight="1">
      <c r="A135" s="187" t="s">
        <v>38</v>
      </c>
      <c r="B135" s="211" t="s">
        <v>416</v>
      </c>
      <c r="C135" s="206" t="s">
        <v>421</v>
      </c>
      <c r="D135" s="207" t="s">
        <v>422</v>
      </c>
      <c r="E135" s="191">
        <v>11.0</v>
      </c>
      <c r="F135" s="192">
        <f t="shared" si="39"/>
        <v>660</v>
      </c>
      <c r="G135" s="193">
        <v>44682.0</v>
      </c>
      <c r="H135" s="194">
        <f t="shared" si="2"/>
        <v>1320</v>
      </c>
      <c r="I135" s="195">
        <f t="shared" si="40"/>
        <v>858</v>
      </c>
      <c r="J135" s="196">
        <f t="shared" si="41"/>
        <v>858</v>
      </c>
      <c r="K135" s="197">
        <f t="shared" si="42"/>
        <v>792</v>
      </c>
      <c r="L135" s="196">
        <f t="shared" si="43"/>
        <v>759</v>
      </c>
      <c r="M135" s="197">
        <f t="shared" si="44"/>
        <v>726</v>
      </c>
      <c r="N135" s="198"/>
      <c r="O135" s="21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</row>
    <row r="136" ht="15.75" customHeight="1">
      <c r="A136" s="187" t="s">
        <v>38</v>
      </c>
      <c r="B136" s="211" t="s">
        <v>416</v>
      </c>
      <c r="C136" s="206" t="s">
        <v>423</v>
      </c>
      <c r="D136" s="207" t="s">
        <v>424</v>
      </c>
      <c r="E136" s="191">
        <v>13.0</v>
      </c>
      <c r="F136" s="192">
        <f t="shared" si="39"/>
        <v>780</v>
      </c>
      <c r="G136" s="193">
        <v>44682.0</v>
      </c>
      <c r="H136" s="194">
        <f t="shared" si="2"/>
        <v>1560</v>
      </c>
      <c r="I136" s="195">
        <f t="shared" si="40"/>
        <v>1014</v>
      </c>
      <c r="J136" s="196">
        <f t="shared" si="41"/>
        <v>1014</v>
      </c>
      <c r="K136" s="197">
        <f t="shared" si="42"/>
        <v>936</v>
      </c>
      <c r="L136" s="196">
        <f t="shared" si="43"/>
        <v>897</v>
      </c>
      <c r="M136" s="197">
        <f t="shared" si="44"/>
        <v>858</v>
      </c>
      <c r="N136" s="198"/>
      <c r="O136" s="21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</row>
    <row r="137" ht="15.75" customHeight="1">
      <c r="A137" s="187" t="s">
        <v>38</v>
      </c>
      <c r="B137" s="211" t="s">
        <v>416</v>
      </c>
      <c r="C137" s="206" t="s">
        <v>425</v>
      </c>
      <c r="D137" s="207" t="s">
        <v>426</v>
      </c>
      <c r="E137" s="191">
        <v>6.0</v>
      </c>
      <c r="F137" s="192">
        <f t="shared" si="39"/>
        <v>360</v>
      </c>
      <c r="G137" s="193">
        <v>44682.0</v>
      </c>
      <c r="H137" s="194">
        <f t="shared" si="2"/>
        <v>720</v>
      </c>
      <c r="I137" s="195">
        <f t="shared" si="40"/>
        <v>468</v>
      </c>
      <c r="J137" s="196">
        <f t="shared" si="41"/>
        <v>468</v>
      </c>
      <c r="K137" s="197">
        <f t="shared" si="42"/>
        <v>432</v>
      </c>
      <c r="L137" s="196">
        <f t="shared" si="43"/>
        <v>414</v>
      </c>
      <c r="M137" s="197">
        <f t="shared" si="44"/>
        <v>396</v>
      </c>
      <c r="N137" s="198"/>
      <c r="O137" s="21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</row>
    <row r="138" ht="15.75" customHeight="1">
      <c r="A138" s="187" t="s">
        <v>38</v>
      </c>
      <c r="B138" s="211" t="s">
        <v>416</v>
      </c>
      <c r="C138" s="206" t="s">
        <v>427</v>
      </c>
      <c r="D138" s="207" t="s">
        <v>428</v>
      </c>
      <c r="E138" s="191">
        <v>11.5</v>
      </c>
      <c r="F138" s="192">
        <f t="shared" si="39"/>
        <v>690</v>
      </c>
      <c r="G138" s="193">
        <v>44682.0</v>
      </c>
      <c r="H138" s="194">
        <f t="shared" si="2"/>
        <v>1380</v>
      </c>
      <c r="I138" s="195">
        <f t="shared" si="40"/>
        <v>897</v>
      </c>
      <c r="J138" s="196">
        <f t="shared" si="41"/>
        <v>897</v>
      </c>
      <c r="K138" s="197">
        <f t="shared" si="42"/>
        <v>828</v>
      </c>
      <c r="L138" s="196">
        <f t="shared" si="43"/>
        <v>793.5</v>
      </c>
      <c r="M138" s="197">
        <f t="shared" si="44"/>
        <v>759</v>
      </c>
      <c r="N138" s="198"/>
      <c r="O138" s="21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</row>
    <row r="139" ht="15.75" customHeight="1">
      <c r="A139" s="187" t="s">
        <v>38</v>
      </c>
      <c r="B139" s="188" t="s">
        <v>429</v>
      </c>
      <c r="C139" s="189" t="s">
        <v>430</v>
      </c>
      <c r="D139" s="190" t="s">
        <v>431</v>
      </c>
      <c r="E139" s="191">
        <v>7.0</v>
      </c>
      <c r="F139" s="192">
        <f t="shared" si="39"/>
        <v>420</v>
      </c>
      <c r="G139" s="193">
        <v>44682.0</v>
      </c>
      <c r="H139" s="194">
        <f t="shared" si="2"/>
        <v>840</v>
      </c>
      <c r="I139" s="195">
        <f t="shared" si="40"/>
        <v>546</v>
      </c>
      <c r="J139" s="196">
        <f t="shared" si="41"/>
        <v>546</v>
      </c>
      <c r="K139" s="197">
        <f t="shared" si="42"/>
        <v>504</v>
      </c>
      <c r="L139" s="196">
        <f t="shared" si="43"/>
        <v>483</v>
      </c>
      <c r="M139" s="197">
        <f t="shared" si="44"/>
        <v>462</v>
      </c>
      <c r="N139" s="198"/>
      <c r="O139" s="21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</row>
    <row r="140" ht="15.75" customHeight="1">
      <c r="A140" s="187" t="s">
        <v>38</v>
      </c>
      <c r="B140" s="188" t="s">
        <v>429</v>
      </c>
      <c r="C140" s="189" t="s">
        <v>432</v>
      </c>
      <c r="D140" s="190" t="s">
        <v>433</v>
      </c>
      <c r="E140" s="191">
        <v>7.0</v>
      </c>
      <c r="F140" s="192">
        <f t="shared" si="39"/>
        <v>420</v>
      </c>
      <c r="G140" s="193">
        <v>44682.0</v>
      </c>
      <c r="H140" s="194">
        <f t="shared" si="2"/>
        <v>840</v>
      </c>
      <c r="I140" s="195">
        <f t="shared" si="40"/>
        <v>546</v>
      </c>
      <c r="J140" s="196">
        <f t="shared" si="41"/>
        <v>546</v>
      </c>
      <c r="K140" s="197">
        <f t="shared" si="42"/>
        <v>504</v>
      </c>
      <c r="L140" s="196">
        <f t="shared" si="43"/>
        <v>483</v>
      </c>
      <c r="M140" s="197">
        <f t="shared" si="44"/>
        <v>462</v>
      </c>
      <c r="N140" s="198"/>
      <c r="O140" s="21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</row>
    <row r="141" ht="15.75" customHeight="1">
      <c r="A141" s="187" t="s">
        <v>38</v>
      </c>
      <c r="B141" s="188" t="s">
        <v>429</v>
      </c>
      <c r="C141" s="189" t="s">
        <v>434</v>
      </c>
      <c r="D141" s="190" t="s">
        <v>435</v>
      </c>
      <c r="E141" s="191">
        <v>7.0</v>
      </c>
      <c r="F141" s="192">
        <f t="shared" si="39"/>
        <v>420</v>
      </c>
      <c r="G141" s="193">
        <v>44682.0</v>
      </c>
      <c r="H141" s="194">
        <f t="shared" si="2"/>
        <v>840</v>
      </c>
      <c r="I141" s="195">
        <f t="shared" si="40"/>
        <v>546</v>
      </c>
      <c r="J141" s="196">
        <f t="shared" si="41"/>
        <v>546</v>
      </c>
      <c r="K141" s="197">
        <f t="shared" si="42"/>
        <v>504</v>
      </c>
      <c r="L141" s="196">
        <f t="shared" si="43"/>
        <v>483</v>
      </c>
      <c r="M141" s="197">
        <f t="shared" si="44"/>
        <v>462</v>
      </c>
      <c r="N141" s="198"/>
      <c r="O141" s="21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</row>
    <row r="142" ht="15.75" customHeight="1">
      <c r="A142" s="187" t="s">
        <v>38</v>
      </c>
      <c r="B142" s="188" t="s">
        <v>429</v>
      </c>
      <c r="C142" s="189" t="s">
        <v>436</v>
      </c>
      <c r="D142" s="190" t="s">
        <v>437</v>
      </c>
      <c r="E142" s="191">
        <v>7.0</v>
      </c>
      <c r="F142" s="192">
        <f t="shared" si="39"/>
        <v>420</v>
      </c>
      <c r="G142" s="193">
        <v>44682.0</v>
      </c>
      <c r="H142" s="194">
        <f t="shared" si="2"/>
        <v>840</v>
      </c>
      <c r="I142" s="195">
        <f t="shared" si="40"/>
        <v>546</v>
      </c>
      <c r="J142" s="196">
        <f t="shared" si="41"/>
        <v>546</v>
      </c>
      <c r="K142" s="197">
        <f t="shared" si="42"/>
        <v>504</v>
      </c>
      <c r="L142" s="196">
        <f t="shared" si="43"/>
        <v>483</v>
      </c>
      <c r="M142" s="197">
        <f t="shared" si="44"/>
        <v>462</v>
      </c>
      <c r="N142" s="198"/>
      <c r="O142" s="21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</row>
    <row r="143" ht="15.75" customHeight="1">
      <c r="A143" s="187" t="s">
        <v>38</v>
      </c>
      <c r="B143" s="188" t="s">
        <v>429</v>
      </c>
      <c r="C143" s="189" t="s">
        <v>438</v>
      </c>
      <c r="D143" s="190" t="s">
        <v>439</v>
      </c>
      <c r="E143" s="191">
        <v>7.0</v>
      </c>
      <c r="F143" s="192">
        <f t="shared" si="39"/>
        <v>420</v>
      </c>
      <c r="G143" s="193">
        <v>44682.0</v>
      </c>
      <c r="H143" s="194">
        <f t="shared" si="2"/>
        <v>840</v>
      </c>
      <c r="I143" s="195">
        <f t="shared" si="40"/>
        <v>546</v>
      </c>
      <c r="J143" s="196">
        <f t="shared" si="41"/>
        <v>546</v>
      </c>
      <c r="K143" s="197">
        <f t="shared" si="42"/>
        <v>504</v>
      </c>
      <c r="L143" s="196">
        <f t="shared" si="43"/>
        <v>483</v>
      </c>
      <c r="M143" s="197">
        <f t="shared" si="44"/>
        <v>462</v>
      </c>
      <c r="N143" s="198"/>
      <c r="O143" s="21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</row>
    <row r="144" ht="15.75" customHeight="1">
      <c r="A144" s="187" t="s">
        <v>38</v>
      </c>
      <c r="B144" s="188" t="s">
        <v>429</v>
      </c>
      <c r="C144" s="189" t="s">
        <v>440</v>
      </c>
      <c r="D144" s="190" t="s">
        <v>439</v>
      </c>
      <c r="E144" s="191">
        <v>7.0</v>
      </c>
      <c r="F144" s="192">
        <f t="shared" si="39"/>
        <v>420</v>
      </c>
      <c r="G144" s="193">
        <v>44682.0</v>
      </c>
      <c r="H144" s="194">
        <f t="shared" si="2"/>
        <v>840</v>
      </c>
      <c r="I144" s="195">
        <f t="shared" si="40"/>
        <v>546</v>
      </c>
      <c r="J144" s="196">
        <f t="shared" si="41"/>
        <v>546</v>
      </c>
      <c r="K144" s="197">
        <f t="shared" si="42"/>
        <v>504</v>
      </c>
      <c r="L144" s="196">
        <f t="shared" si="43"/>
        <v>483</v>
      </c>
      <c r="M144" s="197">
        <f t="shared" si="44"/>
        <v>462</v>
      </c>
      <c r="N144" s="198"/>
      <c r="O144" s="21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</row>
    <row r="145" ht="15.75" customHeight="1">
      <c r="A145" s="187" t="s">
        <v>38</v>
      </c>
      <c r="B145" s="188" t="s">
        <v>429</v>
      </c>
      <c r="C145" s="189" t="s">
        <v>441</v>
      </c>
      <c r="D145" s="190" t="s">
        <v>442</v>
      </c>
      <c r="E145" s="191">
        <v>7.0</v>
      </c>
      <c r="F145" s="192">
        <f t="shared" si="39"/>
        <v>420</v>
      </c>
      <c r="G145" s="193">
        <v>44682.0</v>
      </c>
      <c r="H145" s="194">
        <f t="shared" si="2"/>
        <v>840</v>
      </c>
      <c r="I145" s="195">
        <f t="shared" si="40"/>
        <v>546</v>
      </c>
      <c r="J145" s="196">
        <f t="shared" si="41"/>
        <v>546</v>
      </c>
      <c r="K145" s="197">
        <f t="shared" si="42"/>
        <v>504</v>
      </c>
      <c r="L145" s="196">
        <f t="shared" si="43"/>
        <v>483</v>
      </c>
      <c r="M145" s="197">
        <f t="shared" si="44"/>
        <v>462</v>
      </c>
      <c r="N145" s="198"/>
      <c r="O145" s="21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</row>
    <row r="146" ht="15.75" customHeight="1">
      <c r="A146" s="187" t="s">
        <v>38</v>
      </c>
      <c r="B146" s="188" t="s">
        <v>429</v>
      </c>
      <c r="C146" s="189" t="s">
        <v>443</v>
      </c>
      <c r="D146" s="190" t="s">
        <v>444</v>
      </c>
      <c r="E146" s="191">
        <v>11.5</v>
      </c>
      <c r="F146" s="192">
        <f t="shared" si="39"/>
        <v>690</v>
      </c>
      <c r="G146" s="193">
        <v>44682.0</v>
      </c>
      <c r="H146" s="194">
        <f t="shared" si="2"/>
        <v>1380</v>
      </c>
      <c r="I146" s="195">
        <f t="shared" si="40"/>
        <v>897</v>
      </c>
      <c r="J146" s="196">
        <f t="shared" si="41"/>
        <v>897</v>
      </c>
      <c r="K146" s="197">
        <f t="shared" si="42"/>
        <v>828</v>
      </c>
      <c r="L146" s="196">
        <f t="shared" si="43"/>
        <v>793.5</v>
      </c>
      <c r="M146" s="197">
        <f t="shared" si="44"/>
        <v>759</v>
      </c>
      <c r="N146" s="198"/>
      <c r="O146" s="199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</row>
    <row r="147" ht="15.75" customHeight="1">
      <c r="A147" s="187" t="s">
        <v>38</v>
      </c>
      <c r="B147" s="188" t="s">
        <v>429</v>
      </c>
      <c r="C147" s="189" t="s">
        <v>445</v>
      </c>
      <c r="D147" s="190" t="s">
        <v>446</v>
      </c>
      <c r="E147" s="191">
        <v>11.5</v>
      </c>
      <c r="F147" s="192">
        <f t="shared" si="39"/>
        <v>690</v>
      </c>
      <c r="G147" s="193">
        <v>44682.0</v>
      </c>
      <c r="H147" s="194">
        <f t="shared" si="2"/>
        <v>1380</v>
      </c>
      <c r="I147" s="195">
        <f t="shared" si="40"/>
        <v>897</v>
      </c>
      <c r="J147" s="196">
        <f t="shared" si="41"/>
        <v>897</v>
      </c>
      <c r="K147" s="197">
        <f t="shared" si="42"/>
        <v>828</v>
      </c>
      <c r="L147" s="196">
        <f t="shared" si="43"/>
        <v>793.5</v>
      </c>
      <c r="M147" s="197">
        <f t="shared" si="44"/>
        <v>759</v>
      </c>
      <c r="N147" s="198"/>
      <c r="O147" s="199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</row>
    <row r="148" ht="15.75" customHeight="1">
      <c r="A148" s="187" t="s">
        <v>38</v>
      </c>
      <c r="B148" s="188" t="s">
        <v>447</v>
      </c>
      <c r="C148" s="189" t="s">
        <v>448</v>
      </c>
      <c r="D148" s="190" t="s">
        <v>449</v>
      </c>
      <c r="E148" s="191">
        <v>22.5</v>
      </c>
      <c r="F148" s="192">
        <f t="shared" si="39"/>
        <v>1350</v>
      </c>
      <c r="G148" s="193">
        <v>44682.0</v>
      </c>
      <c r="H148" s="194">
        <f t="shared" si="2"/>
        <v>2700</v>
      </c>
      <c r="I148" s="195">
        <f t="shared" si="40"/>
        <v>1755</v>
      </c>
      <c r="J148" s="196">
        <f t="shared" si="41"/>
        <v>1755</v>
      </c>
      <c r="K148" s="197">
        <f t="shared" si="42"/>
        <v>1620</v>
      </c>
      <c r="L148" s="196">
        <f t="shared" si="43"/>
        <v>1552.5</v>
      </c>
      <c r="M148" s="197">
        <f t="shared" si="44"/>
        <v>1485</v>
      </c>
      <c r="N148" s="198"/>
      <c r="O148" s="199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</row>
    <row r="149" ht="15.75" customHeight="1">
      <c r="A149" s="187" t="s">
        <v>38</v>
      </c>
      <c r="B149" s="188" t="s">
        <v>450</v>
      </c>
      <c r="C149" s="212" t="s">
        <v>451</v>
      </c>
      <c r="D149" s="207" t="s">
        <v>452</v>
      </c>
      <c r="E149" s="213">
        <v>830.0</v>
      </c>
      <c r="F149" s="192">
        <f t="shared" si="39"/>
        <v>49800</v>
      </c>
      <c r="G149" s="193">
        <v>44682.0</v>
      </c>
      <c r="H149" s="194">
        <f t="shared" si="2"/>
        <v>99600</v>
      </c>
      <c r="I149" s="195">
        <f t="shared" si="40"/>
        <v>64740</v>
      </c>
      <c r="J149" s="196">
        <f t="shared" si="41"/>
        <v>64740</v>
      </c>
      <c r="K149" s="197">
        <f t="shared" si="42"/>
        <v>59760</v>
      </c>
      <c r="L149" s="196">
        <f t="shared" si="43"/>
        <v>57270</v>
      </c>
      <c r="M149" s="197">
        <f t="shared" si="44"/>
        <v>54780</v>
      </c>
      <c r="N149" s="198"/>
      <c r="O149" s="199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</row>
    <row r="150" ht="15.75" customHeight="1">
      <c r="A150" s="187" t="s">
        <v>38</v>
      </c>
      <c r="B150" s="188" t="s">
        <v>453</v>
      </c>
      <c r="C150" s="189" t="s">
        <v>454</v>
      </c>
      <c r="D150" s="190" t="s">
        <v>455</v>
      </c>
      <c r="E150" s="191">
        <v>12.0</v>
      </c>
      <c r="F150" s="192">
        <f t="shared" si="39"/>
        <v>720</v>
      </c>
      <c r="G150" s="193">
        <v>44682.0</v>
      </c>
      <c r="H150" s="194">
        <f t="shared" si="2"/>
        <v>1440</v>
      </c>
      <c r="I150" s="195">
        <f t="shared" si="40"/>
        <v>936</v>
      </c>
      <c r="J150" s="196">
        <f t="shared" si="41"/>
        <v>936</v>
      </c>
      <c r="K150" s="197">
        <f t="shared" si="42"/>
        <v>864</v>
      </c>
      <c r="L150" s="196">
        <f t="shared" si="43"/>
        <v>828</v>
      </c>
      <c r="M150" s="197">
        <f t="shared" si="44"/>
        <v>792</v>
      </c>
      <c r="N150" s="198"/>
      <c r="O150" s="199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</row>
    <row r="151" ht="15.75" customHeight="1">
      <c r="A151" s="187" t="s">
        <v>38</v>
      </c>
      <c r="B151" s="188" t="s">
        <v>453</v>
      </c>
      <c r="C151" s="189" t="s">
        <v>456</v>
      </c>
      <c r="D151" s="190" t="s">
        <v>457</v>
      </c>
      <c r="E151" s="191">
        <v>11.0</v>
      </c>
      <c r="F151" s="192">
        <f t="shared" si="39"/>
        <v>660</v>
      </c>
      <c r="G151" s="193">
        <v>44682.0</v>
      </c>
      <c r="H151" s="194">
        <f t="shared" si="2"/>
        <v>1320</v>
      </c>
      <c r="I151" s="195">
        <f t="shared" si="40"/>
        <v>858</v>
      </c>
      <c r="J151" s="196">
        <f t="shared" si="41"/>
        <v>858</v>
      </c>
      <c r="K151" s="197">
        <f t="shared" si="42"/>
        <v>792</v>
      </c>
      <c r="L151" s="196">
        <f t="shared" si="43"/>
        <v>759</v>
      </c>
      <c r="M151" s="197">
        <f t="shared" si="44"/>
        <v>726</v>
      </c>
      <c r="N151" s="198"/>
      <c r="O151" s="199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</row>
    <row r="152" ht="15.75" customHeight="1">
      <c r="A152" s="187" t="s">
        <v>38</v>
      </c>
      <c r="B152" s="188" t="s">
        <v>453</v>
      </c>
      <c r="C152" s="189" t="s">
        <v>458</v>
      </c>
      <c r="D152" s="190" t="s">
        <v>459</v>
      </c>
      <c r="E152" s="191">
        <v>7.0</v>
      </c>
      <c r="F152" s="192">
        <f t="shared" si="39"/>
        <v>420</v>
      </c>
      <c r="G152" s="193">
        <v>44682.0</v>
      </c>
      <c r="H152" s="194">
        <f t="shared" si="2"/>
        <v>840</v>
      </c>
      <c r="I152" s="195">
        <f t="shared" si="40"/>
        <v>546</v>
      </c>
      <c r="J152" s="196">
        <f t="shared" si="41"/>
        <v>546</v>
      </c>
      <c r="K152" s="197">
        <f t="shared" si="42"/>
        <v>504</v>
      </c>
      <c r="L152" s="196">
        <f t="shared" si="43"/>
        <v>483</v>
      </c>
      <c r="M152" s="197">
        <f t="shared" si="44"/>
        <v>462</v>
      </c>
      <c r="N152" s="198"/>
      <c r="O152" s="21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</row>
    <row r="153" ht="15.75" customHeight="1">
      <c r="A153" s="187" t="s">
        <v>38</v>
      </c>
      <c r="B153" s="188" t="s">
        <v>453</v>
      </c>
      <c r="C153" s="189" t="s">
        <v>460</v>
      </c>
      <c r="D153" s="190" t="s">
        <v>461</v>
      </c>
      <c r="E153" s="191">
        <v>15.0</v>
      </c>
      <c r="F153" s="192">
        <f t="shared" si="39"/>
        <v>900</v>
      </c>
      <c r="G153" s="193">
        <v>44682.0</v>
      </c>
      <c r="H153" s="194">
        <f t="shared" si="2"/>
        <v>1800</v>
      </c>
      <c r="I153" s="195">
        <f t="shared" si="40"/>
        <v>1170</v>
      </c>
      <c r="J153" s="196">
        <f t="shared" si="41"/>
        <v>1170</v>
      </c>
      <c r="K153" s="197">
        <f t="shared" si="42"/>
        <v>1080</v>
      </c>
      <c r="L153" s="196">
        <f t="shared" si="43"/>
        <v>1035</v>
      </c>
      <c r="M153" s="197">
        <f t="shared" si="44"/>
        <v>990</v>
      </c>
      <c r="N153" s="198"/>
      <c r="O153" s="21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</row>
    <row r="154" ht="15.75" customHeight="1">
      <c r="A154" s="187" t="s">
        <v>38</v>
      </c>
      <c r="B154" s="188" t="s">
        <v>453</v>
      </c>
      <c r="C154" s="189" t="s">
        <v>462</v>
      </c>
      <c r="D154" s="190" t="s">
        <v>463</v>
      </c>
      <c r="E154" s="191">
        <v>3.8</v>
      </c>
      <c r="F154" s="192">
        <f t="shared" si="39"/>
        <v>228</v>
      </c>
      <c r="G154" s="193">
        <v>44682.0</v>
      </c>
      <c r="H154" s="194">
        <f t="shared" si="2"/>
        <v>456</v>
      </c>
      <c r="I154" s="195">
        <f t="shared" si="40"/>
        <v>296.4</v>
      </c>
      <c r="J154" s="196">
        <f t="shared" si="41"/>
        <v>296.4</v>
      </c>
      <c r="K154" s="197">
        <f t="shared" si="42"/>
        <v>273.6</v>
      </c>
      <c r="L154" s="196">
        <f t="shared" si="43"/>
        <v>262.2</v>
      </c>
      <c r="M154" s="197">
        <f t="shared" si="44"/>
        <v>250.8</v>
      </c>
      <c r="N154" s="198"/>
      <c r="O154" s="21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</row>
    <row r="155" ht="15.75" customHeight="1">
      <c r="A155" s="214"/>
      <c r="B155" s="215"/>
      <c r="C155" s="216"/>
      <c r="D155" s="217"/>
      <c r="E155" s="218"/>
      <c r="F155" s="219">
        <f t="shared" si="39"/>
        <v>0</v>
      </c>
      <c r="G155" s="220"/>
      <c r="H155" s="194">
        <f t="shared" si="2"/>
        <v>0</v>
      </c>
      <c r="I155" s="221">
        <f t="shared" si="40"/>
        <v>0</v>
      </c>
      <c r="J155" s="222">
        <f t="shared" si="41"/>
        <v>0</v>
      </c>
      <c r="K155" s="223">
        <f t="shared" si="42"/>
        <v>0</v>
      </c>
      <c r="L155" s="222">
        <f t="shared" si="43"/>
        <v>0</v>
      </c>
      <c r="M155" s="223">
        <f t="shared" si="44"/>
        <v>0</v>
      </c>
      <c r="N155" s="224"/>
      <c r="O155" s="225"/>
    </row>
    <row r="156" ht="15.75" customHeight="1">
      <c r="A156" s="214"/>
      <c r="B156" s="215"/>
      <c r="C156" s="216"/>
      <c r="D156" s="226"/>
      <c r="E156" s="218"/>
      <c r="F156" s="219">
        <f t="shared" si="39"/>
        <v>0</v>
      </c>
      <c r="G156" s="220"/>
      <c r="H156" s="194">
        <f t="shared" si="2"/>
        <v>0</v>
      </c>
      <c r="I156" s="221">
        <f t="shared" si="40"/>
        <v>0</v>
      </c>
      <c r="J156" s="222">
        <f t="shared" si="41"/>
        <v>0</v>
      </c>
      <c r="K156" s="223">
        <f t="shared" si="42"/>
        <v>0</v>
      </c>
      <c r="L156" s="222">
        <f t="shared" si="43"/>
        <v>0</v>
      </c>
      <c r="M156" s="223">
        <f t="shared" si="44"/>
        <v>0</v>
      </c>
      <c r="N156" s="224"/>
      <c r="O156" s="225"/>
    </row>
    <row r="157" ht="15.75" customHeight="1">
      <c r="A157" s="214"/>
      <c r="B157" s="215"/>
      <c r="C157" s="216"/>
      <c r="D157" s="226"/>
      <c r="E157" s="218"/>
      <c r="F157" s="219">
        <f t="shared" si="39"/>
        <v>0</v>
      </c>
      <c r="G157" s="220"/>
      <c r="H157" s="194">
        <f t="shared" si="2"/>
        <v>0</v>
      </c>
      <c r="I157" s="221">
        <f t="shared" si="40"/>
        <v>0</v>
      </c>
      <c r="J157" s="222">
        <f t="shared" si="41"/>
        <v>0</v>
      </c>
      <c r="K157" s="223">
        <f t="shared" si="42"/>
        <v>0</v>
      </c>
      <c r="L157" s="222">
        <f t="shared" si="43"/>
        <v>0</v>
      </c>
      <c r="M157" s="223">
        <f t="shared" si="44"/>
        <v>0</v>
      </c>
      <c r="N157" s="224"/>
      <c r="O157" s="225"/>
    </row>
    <row r="158" ht="15.75" customHeight="1">
      <c r="A158" s="214"/>
      <c r="B158" s="215"/>
      <c r="C158" s="216"/>
      <c r="D158" s="226"/>
      <c r="E158" s="218"/>
      <c r="F158" s="219">
        <f t="shared" si="39"/>
        <v>0</v>
      </c>
      <c r="G158" s="220"/>
      <c r="H158" s="194">
        <f t="shared" si="2"/>
        <v>0</v>
      </c>
      <c r="I158" s="221">
        <f t="shared" si="40"/>
        <v>0</v>
      </c>
      <c r="J158" s="222">
        <f t="shared" si="41"/>
        <v>0</v>
      </c>
      <c r="K158" s="223">
        <f t="shared" si="42"/>
        <v>0</v>
      </c>
      <c r="L158" s="222">
        <f t="shared" si="43"/>
        <v>0</v>
      </c>
      <c r="M158" s="223">
        <f t="shared" si="44"/>
        <v>0</v>
      </c>
      <c r="N158" s="224"/>
      <c r="O158" s="225"/>
    </row>
    <row r="159" ht="15.75" customHeight="1">
      <c r="A159" s="214"/>
      <c r="B159" s="215"/>
      <c r="C159" s="216"/>
      <c r="D159" s="226"/>
      <c r="E159" s="218"/>
      <c r="F159" s="219">
        <f t="shared" si="39"/>
        <v>0</v>
      </c>
      <c r="G159" s="220"/>
      <c r="H159" s="194">
        <f t="shared" si="2"/>
        <v>0</v>
      </c>
      <c r="I159" s="221">
        <f t="shared" si="40"/>
        <v>0</v>
      </c>
      <c r="J159" s="222">
        <f t="shared" si="41"/>
        <v>0</v>
      </c>
      <c r="K159" s="223">
        <f t="shared" si="42"/>
        <v>0</v>
      </c>
      <c r="L159" s="222">
        <f t="shared" si="43"/>
        <v>0</v>
      </c>
      <c r="M159" s="223">
        <f t="shared" si="44"/>
        <v>0</v>
      </c>
      <c r="N159" s="224"/>
      <c r="O159" s="225"/>
    </row>
    <row r="160" ht="15.75" customHeight="1">
      <c r="A160" s="214"/>
      <c r="B160" s="215"/>
      <c r="C160" s="216"/>
      <c r="D160" s="226"/>
      <c r="E160" s="218"/>
      <c r="F160" s="219">
        <f t="shared" si="39"/>
        <v>0</v>
      </c>
      <c r="G160" s="220"/>
      <c r="H160" s="194">
        <f t="shared" si="2"/>
        <v>0</v>
      </c>
      <c r="I160" s="221">
        <f t="shared" si="40"/>
        <v>0</v>
      </c>
      <c r="J160" s="222">
        <f t="shared" si="41"/>
        <v>0</v>
      </c>
      <c r="K160" s="223">
        <f t="shared" si="42"/>
        <v>0</v>
      </c>
      <c r="L160" s="222">
        <f t="shared" si="43"/>
        <v>0</v>
      </c>
      <c r="M160" s="223">
        <f t="shared" si="44"/>
        <v>0</v>
      </c>
      <c r="N160" s="224"/>
      <c r="O160" s="225"/>
    </row>
    <row r="161" ht="15.75" customHeight="1">
      <c r="A161" s="214"/>
      <c r="B161" s="215"/>
      <c r="C161" s="216"/>
      <c r="D161" s="226"/>
      <c r="E161" s="218"/>
      <c r="F161" s="219">
        <f t="shared" si="39"/>
        <v>0</v>
      </c>
      <c r="G161" s="220"/>
      <c r="H161" s="194">
        <f t="shared" si="2"/>
        <v>0</v>
      </c>
      <c r="I161" s="221">
        <f t="shared" si="40"/>
        <v>0</v>
      </c>
      <c r="J161" s="222">
        <f t="shared" si="41"/>
        <v>0</v>
      </c>
      <c r="K161" s="223">
        <f t="shared" si="42"/>
        <v>0</v>
      </c>
      <c r="L161" s="222">
        <f t="shared" si="43"/>
        <v>0</v>
      </c>
      <c r="M161" s="223">
        <f t="shared" si="44"/>
        <v>0</v>
      </c>
      <c r="N161" s="224"/>
      <c r="O161" s="225"/>
    </row>
    <row r="162" ht="15.75" customHeight="1">
      <c r="A162" s="214"/>
      <c r="B162" s="215"/>
      <c r="C162" s="227"/>
      <c r="D162" s="228"/>
      <c r="E162" s="229"/>
      <c r="F162" s="219">
        <f t="shared" si="39"/>
        <v>0</v>
      </c>
      <c r="G162" s="220"/>
      <c r="H162" s="194">
        <f t="shared" si="2"/>
        <v>0</v>
      </c>
      <c r="I162" s="221">
        <f t="shared" si="40"/>
        <v>0</v>
      </c>
      <c r="J162" s="222">
        <f t="shared" si="41"/>
        <v>0</v>
      </c>
      <c r="K162" s="223">
        <f t="shared" si="42"/>
        <v>0</v>
      </c>
      <c r="L162" s="222">
        <f t="shared" si="43"/>
        <v>0</v>
      </c>
      <c r="M162" s="223">
        <f t="shared" si="44"/>
        <v>0</v>
      </c>
      <c r="N162" s="224"/>
      <c r="O162" s="225"/>
    </row>
    <row r="163" ht="15.75" customHeight="1">
      <c r="A163" s="214"/>
      <c r="B163" s="215"/>
      <c r="C163" s="227"/>
      <c r="D163" s="228"/>
      <c r="E163" s="229"/>
      <c r="F163" s="219">
        <f t="shared" si="39"/>
        <v>0</v>
      </c>
      <c r="G163" s="220"/>
      <c r="H163" s="194">
        <f t="shared" si="2"/>
        <v>0</v>
      </c>
      <c r="I163" s="221">
        <f t="shared" si="40"/>
        <v>0</v>
      </c>
      <c r="J163" s="222">
        <f t="shared" si="41"/>
        <v>0</v>
      </c>
      <c r="K163" s="223">
        <f t="shared" si="42"/>
        <v>0</v>
      </c>
      <c r="L163" s="222">
        <f t="shared" si="43"/>
        <v>0</v>
      </c>
      <c r="M163" s="223">
        <f t="shared" si="44"/>
        <v>0</v>
      </c>
      <c r="N163" s="224"/>
      <c r="O163" s="225"/>
    </row>
    <row r="164" ht="15.75" customHeight="1">
      <c r="A164" s="214"/>
      <c r="B164" s="215"/>
      <c r="C164" s="227"/>
      <c r="D164" s="228"/>
      <c r="E164" s="229"/>
      <c r="F164" s="219">
        <f t="shared" si="39"/>
        <v>0</v>
      </c>
      <c r="G164" s="220"/>
      <c r="H164" s="194">
        <f t="shared" si="2"/>
        <v>0</v>
      </c>
      <c r="I164" s="221">
        <f t="shared" si="40"/>
        <v>0</v>
      </c>
      <c r="J164" s="222">
        <f t="shared" si="41"/>
        <v>0</v>
      </c>
      <c r="K164" s="223">
        <f t="shared" si="42"/>
        <v>0</v>
      </c>
      <c r="L164" s="222">
        <f t="shared" si="43"/>
        <v>0</v>
      </c>
      <c r="M164" s="223">
        <f t="shared" si="44"/>
        <v>0</v>
      </c>
      <c r="N164" s="224"/>
      <c r="O164" s="225"/>
    </row>
    <row r="165" ht="15.75" customHeight="1">
      <c r="A165" s="214"/>
      <c r="B165" s="215"/>
      <c r="C165" s="230"/>
      <c r="D165" s="228"/>
      <c r="E165" s="229"/>
      <c r="F165" s="219">
        <f t="shared" si="39"/>
        <v>0</v>
      </c>
      <c r="G165" s="220"/>
      <c r="H165" s="194">
        <f t="shared" si="2"/>
        <v>0</v>
      </c>
      <c r="I165" s="221">
        <f t="shared" si="40"/>
        <v>0</v>
      </c>
      <c r="J165" s="222">
        <f t="shared" si="41"/>
        <v>0</v>
      </c>
      <c r="K165" s="223">
        <f t="shared" si="42"/>
        <v>0</v>
      </c>
      <c r="L165" s="222">
        <f t="shared" si="43"/>
        <v>0</v>
      </c>
      <c r="M165" s="223">
        <f t="shared" si="44"/>
        <v>0</v>
      </c>
      <c r="N165" s="224"/>
      <c r="O165" s="225"/>
    </row>
    <row r="166" ht="15.75" customHeight="1">
      <c r="A166" s="214"/>
      <c r="B166" s="215"/>
      <c r="C166" s="230"/>
      <c r="D166" s="228"/>
      <c r="E166" s="229"/>
      <c r="F166" s="219">
        <f t="shared" si="39"/>
        <v>0</v>
      </c>
      <c r="G166" s="220"/>
      <c r="H166" s="194">
        <f t="shared" si="2"/>
        <v>0</v>
      </c>
      <c r="I166" s="221">
        <f t="shared" si="40"/>
        <v>0</v>
      </c>
      <c r="J166" s="222">
        <f t="shared" si="41"/>
        <v>0</v>
      </c>
      <c r="K166" s="223">
        <f t="shared" si="42"/>
        <v>0</v>
      </c>
      <c r="L166" s="222">
        <f t="shared" si="43"/>
        <v>0</v>
      </c>
      <c r="M166" s="223">
        <f t="shared" si="44"/>
        <v>0</v>
      </c>
      <c r="N166" s="224"/>
      <c r="O166" s="225"/>
    </row>
    <row r="167" ht="15.75" customHeight="1">
      <c r="A167" s="214"/>
      <c r="B167" s="215"/>
      <c r="C167" s="230"/>
      <c r="D167" s="228"/>
      <c r="E167" s="229"/>
      <c r="F167" s="219">
        <f t="shared" si="39"/>
        <v>0</v>
      </c>
      <c r="G167" s="220"/>
      <c r="H167" s="194">
        <f t="shared" si="2"/>
        <v>0</v>
      </c>
      <c r="I167" s="221">
        <f t="shared" si="40"/>
        <v>0</v>
      </c>
      <c r="J167" s="222">
        <f t="shared" si="41"/>
        <v>0</v>
      </c>
      <c r="K167" s="223">
        <f t="shared" si="42"/>
        <v>0</v>
      </c>
      <c r="L167" s="222">
        <f t="shared" si="43"/>
        <v>0</v>
      </c>
      <c r="M167" s="223">
        <f t="shared" si="44"/>
        <v>0</v>
      </c>
      <c r="N167" s="224"/>
      <c r="O167" s="225"/>
    </row>
    <row r="168" ht="15.75" customHeight="1">
      <c r="A168" s="214"/>
      <c r="B168" s="215"/>
      <c r="C168" s="227"/>
      <c r="D168" s="228"/>
      <c r="E168" s="229"/>
      <c r="F168" s="219">
        <f t="shared" si="39"/>
        <v>0</v>
      </c>
      <c r="G168" s="220"/>
      <c r="H168" s="194">
        <f t="shared" si="2"/>
        <v>0</v>
      </c>
      <c r="I168" s="221">
        <f t="shared" si="40"/>
        <v>0</v>
      </c>
      <c r="J168" s="222">
        <f t="shared" si="41"/>
        <v>0</v>
      </c>
      <c r="K168" s="223">
        <f t="shared" si="42"/>
        <v>0</v>
      </c>
      <c r="L168" s="222">
        <f t="shared" si="43"/>
        <v>0</v>
      </c>
      <c r="M168" s="223">
        <f t="shared" si="44"/>
        <v>0</v>
      </c>
      <c r="N168" s="224"/>
      <c r="O168" s="225"/>
    </row>
    <row r="169" ht="15.75" customHeight="1">
      <c r="A169" s="214"/>
      <c r="B169" s="215"/>
      <c r="C169" s="227"/>
      <c r="D169" s="228"/>
      <c r="E169" s="229"/>
      <c r="F169" s="219">
        <f t="shared" si="39"/>
        <v>0</v>
      </c>
      <c r="G169" s="220"/>
      <c r="H169" s="194">
        <f t="shared" si="2"/>
        <v>0</v>
      </c>
      <c r="I169" s="221">
        <f t="shared" si="40"/>
        <v>0</v>
      </c>
      <c r="J169" s="222">
        <f t="shared" si="41"/>
        <v>0</v>
      </c>
      <c r="K169" s="223">
        <f t="shared" si="42"/>
        <v>0</v>
      </c>
      <c r="L169" s="222">
        <f t="shared" si="43"/>
        <v>0</v>
      </c>
      <c r="M169" s="223">
        <f t="shared" si="44"/>
        <v>0</v>
      </c>
      <c r="N169" s="224"/>
      <c r="O169" s="225"/>
    </row>
    <row r="170" ht="15.75" customHeight="1">
      <c r="A170" s="214"/>
      <c r="B170" s="215"/>
      <c r="C170" s="231"/>
      <c r="D170" s="228"/>
      <c r="E170" s="229"/>
      <c r="F170" s="219">
        <f t="shared" si="39"/>
        <v>0</v>
      </c>
      <c r="G170" s="220"/>
      <c r="H170" s="194">
        <f t="shared" si="2"/>
        <v>0</v>
      </c>
      <c r="I170" s="221">
        <f t="shared" si="40"/>
        <v>0</v>
      </c>
      <c r="J170" s="222">
        <f t="shared" si="41"/>
        <v>0</v>
      </c>
      <c r="K170" s="223">
        <f t="shared" si="42"/>
        <v>0</v>
      </c>
      <c r="L170" s="222">
        <f t="shared" si="43"/>
        <v>0</v>
      </c>
      <c r="M170" s="223">
        <f t="shared" si="44"/>
        <v>0</v>
      </c>
      <c r="N170" s="224"/>
      <c r="O170" s="232"/>
      <c r="P170" s="233"/>
      <c r="Q170" s="233"/>
    </row>
    <row r="171" ht="15.75" customHeight="1">
      <c r="A171" s="214"/>
      <c r="B171" s="215"/>
      <c r="C171" s="227"/>
      <c r="D171" s="228"/>
      <c r="E171" s="229"/>
      <c r="F171" s="219">
        <f t="shared" si="39"/>
        <v>0</v>
      </c>
      <c r="G171" s="220"/>
      <c r="H171" s="194">
        <f t="shared" si="2"/>
        <v>0</v>
      </c>
      <c r="I171" s="221">
        <f t="shared" si="40"/>
        <v>0</v>
      </c>
      <c r="J171" s="222">
        <f t="shared" si="41"/>
        <v>0</v>
      </c>
      <c r="K171" s="223">
        <f t="shared" si="42"/>
        <v>0</v>
      </c>
      <c r="L171" s="222">
        <f t="shared" si="43"/>
        <v>0</v>
      </c>
      <c r="M171" s="223">
        <f t="shared" si="44"/>
        <v>0</v>
      </c>
      <c r="N171" s="224"/>
      <c r="O171" s="232"/>
      <c r="P171" s="233"/>
      <c r="Q171" s="233"/>
    </row>
    <row r="172" ht="15.75" customHeight="1">
      <c r="A172" s="214"/>
      <c r="B172" s="215"/>
      <c r="C172" s="227"/>
      <c r="D172" s="228"/>
      <c r="E172" s="229"/>
      <c r="F172" s="219">
        <f t="shared" si="39"/>
        <v>0</v>
      </c>
      <c r="G172" s="220"/>
      <c r="H172" s="194">
        <f t="shared" si="2"/>
        <v>0</v>
      </c>
      <c r="I172" s="221">
        <f t="shared" si="40"/>
        <v>0</v>
      </c>
      <c r="J172" s="222">
        <f t="shared" si="41"/>
        <v>0</v>
      </c>
      <c r="K172" s="223">
        <f t="shared" si="42"/>
        <v>0</v>
      </c>
      <c r="L172" s="222">
        <f t="shared" si="43"/>
        <v>0</v>
      </c>
      <c r="M172" s="223">
        <f t="shared" si="44"/>
        <v>0</v>
      </c>
      <c r="N172" s="224"/>
      <c r="O172" s="232"/>
      <c r="P172" s="233"/>
      <c r="Q172" s="233"/>
    </row>
    <row r="173" ht="15.75" customHeight="1">
      <c r="A173" s="214"/>
      <c r="B173" s="215"/>
      <c r="C173" s="227"/>
      <c r="D173" s="228"/>
      <c r="E173" s="229"/>
      <c r="F173" s="219">
        <f t="shared" si="39"/>
        <v>0</v>
      </c>
      <c r="G173" s="220"/>
      <c r="H173" s="194">
        <f t="shared" si="2"/>
        <v>0</v>
      </c>
      <c r="I173" s="221">
        <f t="shared" si="40"/>
        <v>0</v>
      </c>
      <c r="J173" s="222">
        <f t="shared" si="41"/>
        <v>0</v>
      </c>
      <c r="K173" s="223">
        <f t="shared" si="42"/>
        <v>0</v>
      </c>
      <c r="L173" s="222">
        <f t="shared" si="43"/>
        <v>0</v>
      </c>
      <c r="M173" s="223">
        <f t="shared" si="44"/>
        <v>0</v>
      </c>
      <c r="N173" s="224"/>
      <c r="O173" s="232"/>
      <c r="P173" s="233"/>
      <c r="Q173" s="233"/>
    </row>
    <row r="174" ht="15.75" customHeight="1">
      <c r="A174" s="214"/>
      <c r="B174" s="215"/>
      <c r="C174" s="227"/>
      <c r="D174" s="228"/>
      <c r="E174" s="229"/>
      <c r="F174" s="219">
        <f t="shared" si="39"/>
        <v>0</v>
      </c>
      <c r="G174" s="220"/>
      <c r="H174" s="194">
        <f t="shared" si="2"/>
        <v>0</v>
      </c>
      <c r="I174" s="221">
        <f t="shared" si="40"/>
        <v>0</v>
      </c>
      <c r="J174" s="222">
        <f t="shared" si="41"/>
        <v>0</v>
      </c>
      <c r="K174" s="223">
        <f t="shared" si="42"/>
        <v>0</v>
      </c>
      <c r="L174" s="222">
        <f t="shared" si="43"/>
        <v>0</v>
      </c>
      <c r="M174" s="223">
        <f t="shared" si="44"/>
        <v>0</v>
      </c>
      <c r="N174" s="224"/>
      <c r="O174" s="232"/>
      <c r="P174" s="233"/>
      <c r="Q174" s="233"/>
    </row>
    <row r="175" ht="15.75" customHeight="1">
      <c r="A175" s="214"/>
      <c r="B175" s="215"/>
      <c r="C175" s="227"/>
      <c r="D175" s="228"/>
      <c r="E175" s="229"/>
      <c r="F175" s="219">
        <f t="shared" si="39"/>
        <v>0</v>
      </c>
      <c r="G175" s="220"/>
      <c r="H175" s="194">
        <f t="shared" si="2"/>
        <v>0</v>
      </c>
      <c r="I175" s="221">
        <f t="shared" si="40"/>
        <v>0</v>
      </c>
      <c r="J175" s="222">
        <f t="shared" si="41"/>
        <v>0</v>
      </c>
      <c r="K175" s="223">
        <f t="shared" si="42"/>
        <v>0</v>
      </c>
      <c r="L175" s="222">
        <f t="shared" si="43"/>
        <v>0</v>
      </c>
      <c r="M175" s="223">
        <f t="shared" si="44"/>
        <v>0</v>
      </c>
      <c r="N175" s="224"/>
      <c r="O175" s="232"/>
      <c r="P175" s="233"/>
      <c r="Q175" s="233"/>
    </row>
    <row r="176" ht="15.75" customHeight="1">
      <c r="A176" s="214"/>
      <c r="B176" s="215"/>
      <c r="C176" s="230"/>
      <c r="D176" s="228"/>
      <c r="E176" s="229"/>
      <c r="F176" s="219">
        <f t="shared" si="39"/>
        <v>0</v>
      </c>
      <c r="G176" s="220"/>
      <c r="H176" s="194">
        <f t="shared" si="2"/>
        <v>0</v>
      </c>
      <c r="I176" s="221">
        <f t="shared" si="40"/>
        <v>0</v>
      </c>
      <c r="J176" s="222">
        <f t="shared" si="41"/>
        <v>0</v>
      </c>
      <c r="K176" s="223">
        <f t="shared" si="42"/>
        <v>0</v>
      </c>
      <c r="L176" s="222">
        <f t="shared" si="43"/>
        <v>0</v>
      </c>
      <c r="M176" s="223">
        <f t="shared" si="44"/>
        <v>0</v>
      </c>
      <c r="N176" s="224"/>
      <c r="O176" s="232"/>
      <c r="P176" s="233"/>
      <c r="Q176" s="233"/>
    </row>
    <row r="177" ht="15.75" customHeight="1">
      <c r="A177" s="214"/>
      <c r="B177" s="215"/>
      <c r="C177" s="227"/>
      <c r="D177" s="228"/>
      <c r="E177" s="229"/>
      <c r="F177" s="219">
        <f t="shared" si="39"/>
        <v>0</v>
      </c>
      <c r="G177" s="220"/>
      <c r="H177" s="194">
        <f t="shared" si="2"/>
        <v>0</v>
      </c>
      <c r="I177" s="221">
        <f t="shared" si="40"/>
        <v>0</v>
      </c>
      <c r="J177" s="222">
        <f t="shared" si="41"/>
        <v>0</v>
      </c>
      <c r="K177" s="223">
        <f t="shared" si="42"/>
        <v>0</v>
      </c>
      <c r="L177" s="222">
        <f t="shared" si="43"/>
        <v>0</v>
      </c>
      <c r="M177" s="223">
        <f t="shared" si="44"/>
        <v>0</v>
      </c>
      <c r="N177" s="224"/>
      <c r="O177" s="232"/>
      <c r="P177" s="233"/>
      <c r="Q177" s="233"/>
    </row>
    <row r="178" ht="15.75" customHeight="1">
      <c r="A178" s="214"/>
      <c r="B178" s="215"/>
      <c r="C178" s="231"/>
      <c r="D178" s="234"/>
      <c r="E178" s="229"/>
      <c r="F178" s="219">
        <f t="shared" si="39"/>
        <v>0</v>
      </c>
      <c r="G178" s="220"/>
      <c r="H178" s="194">
        <f t="shared" si="2"/>
        <v>0</v>
      </c>
      <c r="I178" s="221">
        <f t="shared" si="40"/>
        <v>0</v>
      </c>
      <c r="J178" s="222">
        <f t="shared" si="41"/>
        <v>0</v>
      </c>
      <c r="K178" s="223">
        <f t="shared" si="42"/>
        <v>0</v>
      </c>
      <c r="L178" s="222">
        <f t="shared" si="43"/>
        <v>0</v>
      </c>
      <c r="M178" s="223">
        <f t="shared" si="44"/>
        <v>0</v>
      </c>
      <c r="N178" s="224"/>
      <c r="O178" s="232"/>
      <c r="P178" s="233"/>
      <c r="Q178" s="233"/>
    </row>
    <row r="179" ht="15.75" customHeight="1">
      <c r="A179" s="214"/>
      <c r="B179" s="215"/>
      <c r="C179" s="230"/>
      <c r="D179" s="228"/>
      <c r="E179" s="235"/>
      <c r="F179" s="219">
        <f t="shared" si="39"/>
        <v>0</v>
      </c>
      <c r="G179" s="220"/>
      <c r="H179" s="194">
        <f t="shared" si="2"/>
        <v>0</v>
      </c>
      <c r="I179" s="221">
        <f t="shared" si="40"/>
        <v>0</v>
      </c>
      <c r="J179" s="222">
        <f t="shared" si="41"/>
        <v>0</v>
      </c>
      <c r="K179" s="223">
        <f t="shared" si="42"/>
        <v>0</v>
      </c>
      <c r="L179" s="222">
        <f t="shared" si="43"/>
        <v>0</v>
      </c>
      <c r="M179" s="223">
        <f t="shared" si="44"/>
        <v>0</v>
      </c>
      <c r="N179" s="224"/>
      <c r="O179" s="232"/>
      <c r="P179" s="233"/>
      <c r="Q179" s="233"/>
    </row>
    <row r="180" ht="15.75" customHeight="1">
      <c r="A180" s="214"/>
      <c r="B180" s="215"/>
      <c r="C180" s="230"/>
      <c r="D180" s="228"/>
      <c r="E180" s="235"/>
      <c r="F180" s="219">
        <f t="shared" si="39"/>
        <v>0</v>
      </c>
      <c r="G180" s="220"/>
      <c r="H180" s="194">
        <f t="shared" si="2"/>
        <v>0</v>
      </c>
      <c r="I180" s="221">
        <f t="shared" si="40"/>
        <v>0</v>
      </c>
      <c r="J180" s="222">
        <f t="shared" si="41"/>
        <v>0</v>
      </c>
      <c r="K180" s="223">
        <f t="shared" si="42"/>
        <v>0</v>
      </c>
      <c r="L180" s="222">
        <f t="shared" si="43"/>
        <v>0</v>
      </c>
      <c r="M180" s="223">
        <f t="shared" si="44"/>
        <v>0</v>
      </c>
      <c r="N180" s="224"/>
      <c r="O180" s="232"/>
      <c r="P180" s="233"/>
      <c r="Q180" s="233"/>
    </row>
    <row r="181" ht="15.75" customHeight="1">
      <c r="A181" s="214"/>
      <c r="B181" s="215"/>
      <c r="C181" s="230"/>
      <c r="D181" s="228"/>
      <c r="E181" s="235"/>
      <c r="F181" s="219">
        <f t="shared" si="39"/>
        <v>0</v>
      </c>
      <c r="G181" s="220"/>
      <c r="H181" s="194">
        <f t="shared" si="2"/>
        <v>0</v>
      </c>
      <c r="I181" s="221">
        <f t="shared" si="40"/>
        <v>0</v>
      </c>
      <c r="J181" s="222">
        <f t="shared" si="41"/>
        <v>0</v>
      </c>
      <c r="K181" s="223">
        <f t="shared" si="42"/>
        <v>0</v>
      </c>
      <c r="L181" s="222">
        <f t="shared" si="43"/>
        <v>0</v>
      </c>
      <c r="M181" s="223">
        <f t="shared" si="44"/>
        <v>0</v>
      </c>
      <c r="N181" s="224"/>
      <c r="O181" s="232"/>
      <c r="P181" s="233"/>
      <c r="Q181" s="233"/>
    </row>
    <row r="182" ht="15.75" customHeight="1">
      <c r="A182" s="214"/>
      <c r="B182" s="215"/>
      <c r="C182" s="227"/>
      <c r="D182" s="228"/>
      <c r="E182" s="235"/>
      <c r="F182" s="219">
        <f t="shared" si="39"/>
        <v>0</v>
      </c>
      <c r="G182" s="220"/>
      <c r="H182" s="194">
        <f t="shared" si="2"/>
        <v>0</v>
      </c>
      <c r="I182" s="221">
        <f t="shared" si="40"/>
        <v>0</v>
      </c>
      <c r="J182" s="222">
        <f t="shared" si="41"/>
        <v>0</v>
      </c>
      <c r="K182" s="223">
        <f t="shared" si="42"/>
        <v>0</v>
      </c>
      <c r="L182" s="222">
        <f t="shared" si="43"/>
        <v>0</v>
      </c>
      <c r="M182" s="223">
        <f t="shared" si="44"/>
        <v>0</v>
      </c>
      <c r="N182" s="224"/>
      <c r="O182" s="232"/>
      <c r="P182" s="233"/>
      <c r="Q182" s="233"/>
    </row>
    <row r="183" ht="15.75" customHeight="1">
      <c r="A183" s="214"/>
      <c r="B183" s="215"/>
      <c r="C183" s="227"/>
      <c r="D183" s="228"/>
      <c r="E183" s="235"/>
      <c r="F183" s="219">
        <f t="shared" si="39"/>
        <v>0</v>
      </c>
      <c r="G183" s="220"/>
      <c r="H183" s="194">
        <f t="shared" si="2"/>
        <v>0</v>
      </c>
      <c r="I183" s="221">
        <f t="shared" si="40"/>
        <v>0</v>
      </c>
      <c r="J183" s="222">
        <f t="shared" si="41"/>
        <v>0</v>
      </c>
      <c r="K183" s="223">
        <f t="shared" si="42"/>
        <v>0</v>
      </c>
      <c r="L183" s="222">
        <f t="shared" si="43"/>
        <v>0</v>
      </c>
      <c r="M183" s="223">
        <f t="shared" si="44"/>
        <v>0</v>
      </c>
      <c r="N183" s="224"/>
      <c r="O183" s="232"/>
      <c r="P183" s="233"/>
      <c r="Q183" s="233"/>
    </row>
    <row r="184" ht="15.75" customHeight="1">
      <c r="A184" s="214"/>
      <c r="B184" s="215"/>
      <c r="C184" s="227"/>
      <c r="D184" s="228"/>
      <c r="E184" s="235"/>
      <c r="F184" s="219">
        <f t="shared" si="39"/>
        <v>0</v>
      </c>
      <c r="G184" s="220"/>
      <c r="H184" s="194">
        <f t="shared" si="2"/>
        <v>0</v>
      </c>
      <c r="I184" s="221">
        <f t="shared" si="40"/>
        <v>0</v>
      </c>
      <c r="J184" s="222">
        <f t="shared" si="41"/>
        <v>0</v>
      </c>
      <c r="K184" s="223">
        <f t="shared" si="42"/>
        <v>0</v>
      </c>
      <c r="L184" s="222">
        <f t="shared" si="43"/>
        <v>0</v>
      </c>
      <c r="M184" s="223">
        <f t="shared" si="44"/>
        <v>0</v>
      </c>
      <c r="N184" s="224"/>
      <c r="O184" s="232"/>
      <c r="P184" s="233"/>
      <c r="Q184" s="233"/>
    </row>
    <row r="185" ht="15.75" customHeight="1">
      <c r="A185" s="214"/>
      <c r="B185" s="215"/>
      <c r="C185" s="230"/>
      <c r="D185" s="228"/>
      <c r="E185" s="235"/>
      <c r="F185" s="219">
        <f t="shared" si="39"/>
        <v>0</v>
      </c>
      <c r="G185" s="220"/>
      <c r="H185" s="194">
        <f t="shared" si="2"/>
        <v>0</v>
      </c>
      <c r="I185" s="221">
        <f t="shared" si="40"/>
        <v>0</v>
      </c>
      <c r="J185" s="222">
        <f t="shared" si="41"/>
        <v>0</v>
      </c>
      <c r="K185" s="223">
        <f t="shared" si="42"/>
        <v>0</v>
      </c>
      <c r="L185" s="222">
        <f t="shared" si="43"/>
        <v>0</v>
      </c>
      <c r="M185" s="223">
        <f t="shared" si="44"/>
        <v>0</v>
      </c>
      <c r="N185" s="224"/>
      <c r="O185" s="232"/>
      <c r="P185" s="233"/>
      <c r="Q185" s="233"/>
    </row>
    <row r="186" ht="15.75" customHeight="1">
      <c r="A186" s="214"/>
      <c r="B186" s="215"/>
      <c r="C186" s="227"/>
      <c r="D186" s="228"/>
      <c r="E186" s="235"/>
      <c r="F186" s="219">
        <f t="shared" si="39"/>
        <v>0</v>
      </c>
      <c r="G186" s="220"/>
      <c r="H186" s="194">
        <f t="shared" si="2"/>
        <v>0</v>
      </c>
      <c r="I186" s="221">
        <f t="shared" si="40"/>
        <v>0</v>
      </c>
      <c r="J186" s="222">
        <f t="shared" si="41"/>
        <v>0</v>
      </c>
      <c r="K186" s="223">
        <f t="shared" si="42"/>
        <v>0</v>
      </c>
      <c r="L186" s="222">
        <f t="shared" si="43"/>
        <v>0</v>
      </c>
      <c r="M186" s="223">
        <f t="shared" si="44"/>
        <v>0</v>
      </c>
      <c r="N186" s="224"/>
      <c r="O186" s="232"/>
      <c r="P186" s="233"/>
      <c r="Q186" s="233"/>
    </row>
    <row r="187" ht="15.75" customHeight="1">
      <c r="A187" s="214"/>
      <c r="B187" s="215"/>
      <c r="C187" s="227"/>
      <c r="D187" s="228"/>
      <c r="E187" s="235"/>
      <c r="F187" s="219">
        <f t="shared" si="39"/>
        <v>0</v>
      </c>
      <c r="G187" s="220"/>
      <c r="H187" s="194">
        <f t="shared" si="2"/>
        <v>0</v>
      </c>
      <c r="I187" s="221">
        <f t="shared" si="40"/>
        <v>0</v>
      </c>
      <c r="J187" s="222">
        <f t="shared" si="41"/>
        <v>0</v>
      </c>
      <c r="K187" s="223">
        <f t="shared" si="42"/>
        <v>0</v>
      </c>
      <c r="L187" s="222">
        <f t="shared" si="43"/>
        <v>0</v>
      </c>
      <c r="M187" s="223">
        <f t="shared" si="44"/>
        <v>0</v>
      </c>
      <c r="N187" s="224"/>
      <c r="O187" s="232"/>
      <c r="P187" s="233"/>
      <c r="Q187" s="233"/>
    </row>
    <row r="188" ht="15.75" customHeight="1">
      <c r="A188" s="214"/>
      <c r="B188" s="215"/>
      <c r="C188" s="227"/>
      <c r="D188" s="228"/>
      <c r="E188" s="235"/>
      <c r="F188" s="219">
        <f t="shared" si="39"/>
        <v>0</v>
      </c>
      <c r="G188" s="220"/>
      <c r="H188" s="194">
        <f t="shared" si="2"/>
        <v>0</v>
      </c>
      <c r="I188" s="221">
        <f t="shared" si="40"/>
        <v>0</v>
      </c>
      <c r="J188" s="222">
        <f t="shared" si="41"/>
        <v>0</v>
      </c>
      <c r="K188" s="223">
        <f t="shared" si="42"/>
        <v>0</v>
      </c>
      <c r="L188" s="222">
        <f t="shared" si="43"/>
        <v>0</v>
      </c>
      <c r="M188" s="223">
        <f t="shared" si="44"/>
        <v>0</v>
      </c>
      <c r="N188" s="224"/>
      <c r="O188" s="232"/>
      <c r="P188" s="233"/>
      <c r="Q188" s="233"/>
    </row>
    <row r="189" ht="15.75" customHeight="1">
      <c r="A189" s="214"/>
      <c r="B189" s="215"/>
      <c r="C189" s="227"/>
      <c r="D189" s="228"/>
      <c r="E189" s="235"/>
      <c r="F189" s="219">
        <f t="shared" si="39"/>
        <v>0</v>
      </c>
      <c r="G189" s="220"/>
      <c r="H189" s="194">
        <f t="shared" si="2"/>
        <v>0</v>
      </c>
      <c r="I189" s="221">
        <f t="shared" si="40"/>
        <v>0</v>
      </c>
      <c r="J189" s="222">
        <f t="shared" si="41"/>
        <v>0</v>
      </c>
      <c r="K189" s="223">
        <f t="shared" si="42"/>
        <v>0</v>
      </c>
      <c r="L189" s="222">
        <f t="shared" si="43"/>
        <v>0</v>
      </c>
      <c r="M189" s="223">
        <f t="shared" si="44"/>
        <v>0</v>
      </c>
      <c r="N189" s="224"/>
      <c r="O189" s="232"/>
      <c r="P189" s="233"/>
      <c r="Q189" s="233"/>
    </row>
    <row r="190" ht="15.75" customHeight="1">
      <c r="A190" s="214"/>
      <c r="B190" s="215"/>
      <c r="C190" s="227"/>
      <c r="D190" s="228"/>
      <c r="E190" s="235"/>
      <c r="F190" s="219">
        <f t="shared" si="39"/>
        <v>0</v>
      </c>
      <c r="G190" s="220"/>
      <c r="H190" s="194">
        <f t="shared" si="2"/>
        <v>0</v>
      </c>
      <c r="I190" s="221">
        <f t="shared" si="40"/>
        <v>0</v>
      </c>
      <c r="J190" s="222">
        <f t="shared" si="41"/>
        <v>0</v>
      </c>
      <c r="K190" s="223">
        <f t="shared" si="42"/>
        <v>0</v>
      </c>
      <c r="L190" s="222">
        <f t="shared" si="43"/>
        <v>0</v>
      </c>
      <c r="M190" s="223">
        <f t="shared" si="44"/>
        <v>0</v>
      </c>
      <c r="N190" s="224"/>
      <c r="O190" s="232"/>
      <c r="P190" s="233"/>
      <c r="Q190" s="233"/>
    </row>
    <row r="191" ht="15.75" customHeight="1">
      <c r="A191" s="214"/>
      <c r="B191" s="215"/>
      <c r="C191" s="227"/>
      <c r="D191" s="228"/>
      <c r="E191" s="235"/>
      <c r="F191" s="219">
        <f t="shared" si="39"/>
        <v>0</v>
      </c>
      <c r="G191" s="220"/>
      <c r="H191" s="194">
        <f t="shared" si="2"/>
        <v>0</v>
      </c>
      <c r="I191" s="221">
        <f t="shared" si="40"/>
        <v>0</v>
      </c>
      <c r="J191" s="222">
        <f t="shared" si="41"/>
        <v>0</v>
      </c>
      <c r="K191" s="223">
        <f t="shared" si="42"/>
        <v>0</v>
      </c>
      <c r="L191" s="222">
        <f t="shared" si="43"/>
        <v>0</v>
      </c>
      <c r="M191" s="223">
        <f t="shared" si="44"/>
        <v>0</v>
      </c>
      <c r="N191" s="224"/>
      <c r="O191" s="232"/>
      <c r="P191" s="233"/>
      <c r="Q191" s="233"/>
    </row>
    <row r="192" ht="15.75" customHeight="1">
      <c r="A192" s="214"/>
      <c r="B192" s="215"/>
      <c r="C192" s="227"/>
      <c r="D192" s="228"/>
      <c r="E192" s="235"/>
      <c r="F192" s="219">
        <f t="shared" si="39"/>
        <v>0</v>
      </c>
      <c r="G192" s="220"/>
      <c r="H192" s="194">
        <f t="shared" si="2"/>
        <v>0</v>
      </c>
      <c r="I192" s="221">
        <f t="shared" si="40"/>
        <v>0</v>
      </c>
      <c r="J192" s="222">
        <f t="shared" si="41"/>
        <v>0</v>
      </c>
      <c r="K192" s="223">
        <f t="shared" si="42"/>
        <v>0</v>
      </c>
      <c r="L192" s="222">
        <f t="shared" si="43"/>
        <v>0</v>
      </c>
      <c r="M192" s="223">
        <f t="shared" si="44"/>
        <v>0</v>
      </c>
      <c r="N192" s="224"/>
      <c r="O192" s="232"/>
      <c r="P192" s="233"/>
      <c r="Q192" s="233"/>
    </row>
    <row r="193" ht="15.75" customHeight="1">
      <c r="A193" s="214"/>
      <c r="B193" s="215"/>
      <c r="C193" s="227"/>
      <c r="D193" s="228"/>
      <c r="E193" s="235"/>
      <c r="F193" s="219">
        <f t="shared" si="39"/>
        <v>0</v>
      </c>
      <c r="G193" s="220"/>
      <c r="H193" s="194">
        <f t="shared" si="2"/>
        <v>0</v>
      </c>
      <c r="I193" s="221">
        <f t="shared" si="40"/>
        <v>0</v>
      </c>
      <c r="J193" s="222">
        <f t="shared" si="41"/>
        <v>0</v>
      </c>
      <c r="K193" s="223">
        <f t="shared" si="42"/>
        <v>0</v>
      </c>
      <c r="L193" s="222">
        <f t="shared" si="43"/>
        <v>0</v>
      </c>
      <c r="M193" s="223">
        <f t="shared" si="44"/>
        <v>0</v>
      </c>
      <c r="N193" s="224"/>
      <c r="O193" s="232"/>
      <c r="P193" s="233"/>
      <c r="Q193" s="233"/>
    </row>
    <row r="194" ht="15.75" customHeight="1">
      <c r="A194" s="214"/>
      <c r="B194" s="215"/>
      <c r="C194" s="231"/>
      <c r="D194" s="234"/>
      <c r="E194" s="235"/>
      <c r="F194" s="219">
        <f t="shared" si="39"/>
        <v>0</v>
      </c>
      <c r="G194" s="220"/>
      <c r="H194" s="194">
        <f t="shared" si="2"/>
        <v>0</v>
      </c>
      <c r="I194" s="221">
        <f t="shared" si="40"/>
        <v>0</v>
      </c>
      <c r="J194" s="222">
        <f t="shared" si="41"/>
        <v>0</v>
      </c>
      <c r="K194" s="223">
        <f t="shared" si="42"/>
        <v>0</v>
      </c>
      <c r="L194" s="222">
        <f t="shared" si="43"/>
        <v>0</v>
      </c>
      <c r="M194" s="223">
        <f t="shared" si="44"/>
        <v>0</v>
      </c>
      <c r="N194" s="224"/>
      <c r="O194" s="232"/>
      <c r="P194" s="233"/>
      <c r="Q194" s="233"/>
    </row>
    <row r="195" ht="15.75" customHeight="1">
      <c r="A195" s="214"/>
      <c r="B195" s="215"/>
      <c r="C195" s="231"/>
      <c r="D195" s="234"/>
      <c r="E195" s="235"/>
      <c r="F195" s="219">
        <f t="shared" si="39"/>
        <v>0</v>
      </c>
      <c r="G195" s="220"/>
      <c r="H195" s="194">
        <f t="shared" si="2"/>
        <v>0</v>
      </c>
      <c r="I195" s="221">
        <f t="shared" si="40"/>
        <v>0</v>
      </c>
      <c r="J195" s="222">
        <f t="shared" si="41"/>
        <v>0</v>
      </c>
      <c r="K195" s="223">
        <f t="shared" si="42"/>
        <v>0</v>
      </c>
      <c r="L195" s="222">
        <f t="shared" si="43"/>
        <v>0</v>
      </c>
      <c r="M195" s="223">
        <f t="shared" si="44"/>
        <v>0</v>
      </c>
      <c r="N195" s="224"/>
      <c r="O195" s="232"/>
      <c r="P195" s="233"/>
      <c r="Q195" s="233"/>
    </row>
    <row r="196" ht="15.75" customHeight="1">
      <c r="A196" s="214"/>
      <c r="B196" s="215"/>
      <c r="C196" s="227"/>
      <c r="D196" s="228"/>
      <c r="E196" s="235"/>
      <c r="F196" s="219">
        <f t="shared" si="39"/>
        <v>0</v>
      </c>
      <c r="G196" s="220"/>
      <c r="H196" s="194">
        <f t="shared" si="2"/>
        <v>0</v>
      </c>
      <c r="I196" s="221">
        <f t="shared" si="40"/>
        <v>0</v>
      </c>
      <c r="J196" s="222">
        <f t="shared" si="41"/>
        <v>0</v>
      </c>
      <c r="K196" s="223">
        <f t="shared" si="42"/>
        <v>0</v>
      </c>
      <c r="L196" s="222">
        <f t="shared" si="43"/>
        <v>0</v>
      </c>
      <c r="M196" s="223">
        <f t="shared" si="44"/>
        <v>0</v>
      </c>
      <c r="N196" s="224"/>
      <c r="O196" s="232"/>
      <c r="P196" s="233"/>
      <c r="Q196" s="233"/>
    </row>
    <row r="197" ht="15.75" customHeight="1">
      <c r="A197" s="214"/>
      <c r="B197" s="215"/>
      <c r="C197" s="227"/>
      <c r="D197" s="228"/>
      <c r="E197" s="235"/>
      <c r="F197" s="219">
        <f t="shared" si="39"/>
        <v>0</v>
      </c>
      <c r="G197" s="220"/>
      <c r="H197" s="194">
        <f t="shared" si="2"/>
        <v>0</v>
      </c>
      <c r="I197" s="221">
        <f t="shared" si="40"/>
        <v>0</v>
      </c>
      <c r="J197" s="222">
        <f t="shared" si="41"/>
        <v>0</v>
      </c>
      <c r="K197" s="223">
        <f t="shared" si="42"/>
        <v>0</v>
      </c>
      <c r="L197" s="222">
        <f t="shared" si="43"/>
        <v>0</v>
      </c>
      <c r="M197" s="223">
        <f t="shared" si="44"/>
        <v>0</v>
      </c>
      <c r="N197" s="224"/>
      <c r="O197" s="232"/>
      <c r="P197" s="233"/>
      <c r="Q197" s="233"/>
    </row>
    <row r="198" ht="15.75" customHeight="1">
      <c r="A198" s="214"/>
      <c r="B198" s="215"/>
      <c r="C198" s="227"/>
      <c r="D198" s="228"/>
      <c r="E198" s="235"/>
      <c r="F198" s="219">
        <f t="shared" si="39"/>
        <v>0</v>
      </c>
      <c r="G198" s="220"/>
      <c r="H198" s="194">
        <f t="shared" si="2"/>
        <v>0</v>
      </c>
      <c r="I198" s="221">
        <f t="shared" si="40"/>
        <v>0</v>
      </c>
      <c r="J198" s="222">
        <f t="shared" si="41"/>
        <v>0</v>
      </c>
      <c r="K198" s="223">
        <f t="shared" si="42"/>
        <v>0</v>
      </c>
      <c r="L198" s="222">
        <f t="shared" si="43"/>
        <v>0</v>
      </c>
      <c r="M198" s="223">
        <f t="shared" si="44"/>
        <v>0</v>
      </c>
      <c r="N198" s="224"/>
      <c r="O198" s="232"/>
      <c r="P198" s="233"/>
      <c r="Q198" s="233"/>
    </row>
    <row r="199" ht="15.75" customHeight="1">
      <c r="A199" s="214"/>
      <c r="B199" s="215"/>
      <c r="C199" s="227"/>
      <c r="D199" s="228"/>
      <c r="E199" s="235"/>
      <c r="F199" s="219">
        <f t="shared" si="39"/>
        <v>0</v>
      </c>
      <c r="G199" s="220"/>
      <c r="H199" s="194">
        <f t="shared" si="2"/>
        <v>0</v>
      </c>
      <c r="I199" s="221">
        <f t="shared" si="40"/>
        <v>0</v>
      </c>
      <c r="J199" s="222">
        <f t="shared" si="41"/>
        <v>0</v>
      </c>
      <c r="K199" s="223">
        <f t="shared" si="42"/>
        <v>0</v>
      </c>
      <c r="L199" s="222">
        <f t="shared" si="43"/>
        <v>0</v>
      </c>
      <c r="M199" s="223">
        <f t="shared" si="44"/>
        <v>0</v>
      </c>
      <c r="N199" s="224"/>
      <c r="O199" s="232"/>
      <c r="P199" s="233"/>
      <c r="Q199" s="233"/>
    </row>
    <row r="200" ht="15.75" customHeight="1">
      <c r="A200" s="214"/>
      <c r="B200" s="215"/>
      <c r="C200" s="227"/>
      <c r="D200" s="228"/>
      <c r="E200" s="235"/>
      <c r="F200" s="219">
        <f t="shared" si="39"/>
        <v>0</v>
      </c>
      <c r="G200" s="220"/>
      <c r="H200" s="194">
        <f t="shared" si="2"/>
        <v>0</v>
      </c>
      <c r="I200" s="221">
        <f t="shared" si="40"/>
        <v>0</v>
      </c>
      <c r="J200" s="222">
        <f t="shared" si="41"/>
        <v>0</v>
      </c>
      <c r="K200" s="223">
        <f t="shared" si="42"/>
        <v>0</v>
      </c>
      <c r="L200" s="222">
        <f t="shared" si="43"/>
        <v>0</v>
      </c>
      <c r="M200" s="223">
        <f t="shared" si="44"/>
        <v>0</v>
      </c>
      <c r="N200" s="224"/>
      <c r="O200" s="232"/>
      <c r="P200" s="233"/>
      <c r="Q200" s="233"/>
    </row>
    <row r="201" ht="15.75" customHeight="1">
      <c r="A201" s="214"/>
      <c r="B201" s="215"/>
      <c r="C201" s="231"/>
      <c r="D201" s="228"/>
      <c r="E201" s="235"/>
      <c r="F201" s="219">
        <f t="shared" si="39"/>
        <v>0</v>
      </c>
      <c r="G201" s="220"/>
      <c r="H201" s="194">
        <f t="shared" si="2"/>
        <v>0</v>
      </c>
      <c r="I201" s="221">
        <f t="shared" si="40"/>
        <v>0</v>
      </c>
      <c r="J201" s="222">
        <f t="shared" si="41"/>
        <v>0</v>
      </c>
      <c r="K201" s="223">
        <f t="shared" si="42"/>
        <v>0</v>
      </c>
      <c r="L201" s="222">
        <f t="shared" si="43"/>
        <v>0</v>
      </c>
      <c r="M201" s="223">
        <f t="shared" si="44"/>
        <v>0</v>
      </c>
      <c r="N201" s="224"/>
      <c r="O201" s="232"/>
      <c r="P201" s="233"/>
      <c r="Q201" s="233"/>
    </row>
    <row r="202" ht="15.75" customHeight="1">
      <c r="A202" s="214"/>
      <c r="B202" s="215"/>
      <c r="C202" s="227"/>
      <c r="D202" s="236"/>
      <c r="E202" s="235"/>
      <c r="F202" s="219">
        <f t="shared" si="39"/>
        <v>0</v>
      </c>
      <c r="G202" s="220"/>
      <c r="H202" s="194">
        <f t="shared" si="2"/>
        <v>0</v>
      </c>
      <c r="I202" s="221">
        <f t="shared" si="40"/>
        <v>0</v>
      </c>
      <c r="J202" s="222">
        <f t="shared" si="41"/>
        <v>0</v>
      </c>
      <c r="K202" s="223">
        <f t="shared" si="42"/>
        <v>0</v>
      </c>
      <c r="L202" s="222">
        <f t="shared" si="43"/>
        <v>0</v>
      </c>
      <c r="M202" s="223">
        <f t="shared" si="44"/>
        <v>0</v>
      </c>
      <c r="N202" s="224"/>
      <c r="O202" s="232"/>
      <c r="P202" s="233"/>
      <c r="Q202" s="233"/>
    </row>
    <row r="203" ht="15.75" customHeight="1">
      <c r="A203" s="214"/>
      <c r="B203" s="215"/>
      <c r="C203" s="227"/>
      <c r="D203" s="236"/>
      <c r="E203" s="235"/>
      <c r="F203" s="219">
        <f t="shared" si="39"/>
        <v>0</v>
      </c>
      <c r="G203" s="220"/>
      <c r="H203" s="194">
        <f t="shared" si="2"/>
        <v>0</v>
      </c>
      <c r="I203" s="221">
        <f t="shared" si="40"/>
        <v>0</v>
      </c>
      <c r="J203" s="222">
        <f t="shared" si="41"/>
        <v>0</v>
      </c>
      <c r="K203" s="223">
        <f t="shared" si="42"/>
        <v>0</v>
      </c>
      <c r="L203" s="222">
        <f t="shared" si="43"/>
        <v>0</v>
      </c>
      <c r="M203" s="223">
        <f t="shared" si="44"/>
        <v>0</v>
      </c>
      <c r="N203" s="224"/>
      <c r="O203" s="232"/>
      <c r="P203" s="233"/>
      <c r="Q203" s="233"/>
    </row>
    <row r="204" ht="15.75" customHeight="1">
      <c r="A204" s="214"/>
      <c r="B204" s="215"/>
      <c r="C204" s="227"/>
      <c r="D204" s="234"/>
      <c r="E204" s="235"/>
      <c r="F204" s="219">
        <f t="shared" si="39"/>
        <v>0</v>
      </c>
      <c r="G204" s="220"/>
      <c r="H204" s="194">
        <f t="shared" si="2"/>
        <v>0</v>
      </c>
      <c r="I204" s="221">
        <f t="shared" si="40"/>
        <v>0</v>
      </c>
      <c r="J204" s="222">
        <f t="shared" si="41"/>
        <v>0</v>
      </c>
      <c r="K204" s="223">
        <f t="shared" si="42"/>
        <v>0</v>
      </c>
      <c r="L204" s="222">
        <f t="shared" si="43"/>
        <v>0</v>
      </c>
      <c r="M204" s="223">
        <f t="shared" si="44"/>
        <v>0</v>
      </c>
      <c r="N204" s="224"/>
      <c r="O204" s="232"/>
      <c r="P204" s="233"/>
      <c r="Q204" s="233"/>
    </row>
    <row r="205" ht="15.75" customHeight="1">
      <c r="A205" s="214"/>
      <c r="B205" s="215"/>
      <c r="C205" s="231"/>
      <c r="D205" s="234"/>
      <c r="E205" s="235"/>
      <c r="F205" s="219">
        <f t="shared" si="39"/>
        <v>0</v>
      </c>
      <c r="G205" s="220"/>
      <c r="H205" s="194">
        <f t="shared" si="2"/>
        <v>0</v>
      </c>
      <c r="I205" s="221">
        <f t="shared" si="40"/>
        <v>0</v>
      </c>
      <c r="J205" s="222">
        <f t="shared" si="41"/>
        <v>0</v>
      </c>
      <c r="K205" s="223">
        <f t="shared" si="42"/>
        <v>0</v>
      </c>
      <c r="L205" s="222">
        <f t="shared" si="43"/>
        <v>0</v>
      </c>
      <c r="M205" s="223">
        <f t="shared" si="44"/>
        <v>0</v>
      </c>
      <c r="N205" s="224"/>
      <c r="O205" s="232"/>
      <c r="P205" s="233"/>
      <c r="Q205" s="233"/>
    </row>
    <row r="206" ht="15.75" customHeight="1">
      <c r="A206" s="214"/>
      <c r="B206" s="215"/>
      <c r="C206" s="231"/>
      <c r="D206" s="234"/>
      <c r="E206" s="235"/>
      <c r="F206" s="219">
        <f t="shared" si="39"/>
        <v>0</v>
      </c>
      <c r="G206" s="220"/>
      <c r="H206" s="194">
        <f t="shared" si="2"/>
        <v>0</v>
      </c>
      <c r="I206" s="221">
        <f t="shared" si="40"/>
        <v>0</v>
      </c>
      <c r="J206" s="222">
        <f t="shared" si="41"/>
        <v>0</v>
      </c>
      <c r="K206" s="223">
        <f t="shared" si="42"/>
        <v>0</v>
      </c>
      <c r="L206" s="222">
        <f t="shared" si="43"/>
        <v>0</v>
      </c>
      <c r="M206" s="223">
        <f t="shared" si="44"/>
        <v>0</v>
      </c>
      <c r="N206" s="224"/>
      <c r="O206" s="232"/>
      <c r="P206" s="233"/>
      <c r="Q206" s="233"/>
    </row>
    <row r="207" ht="15.75" customHeight="1">
      <c r="A207" s="214"/>
      <c r="B207" s="215"/>
      <c r="C207" s="237"/>
      <c r="D207" s="238"/>
      <c r="E207" s="235"/>
      <c r="F207" s="219">
        <f t="shared" si="39"/>
        <v>0</v>
      </c>
      <c r="G207" s="220"/>
      <c r="H207" s="194">
        <f t="shared" si="2"/>
        <v>0</v>
      </c>
      <c r="I207" s="221">
        <f t="shared" si="40"/>
        <v>0</v>
      </c>
      <c r="J207" s="222">
        <f t="shared" si="41"/>
        <v>0</v>
      </c>
      <c r="K207" s="223">
        <f t="shared" si="42"/>
        <v>0</v>
      </c>
      <c r="L207" s="222">
        <f t="shared" si="43"/>
        <v>0</v>
      </c>
      <c r="M207" s="223">
        <f t="shared" si="44"/>
        <v>0</v>
      </c>
      <c r="N207" s="224"/>
      <c r="O207" s="232"/>
    </row>
    <row r="208" ht="15.75" customHeight="1">
      <c r="A208" s="214"/>
      <c r="B208" s="215"/>
      <c r="C208" s="237"/>
      <c r="D208" s="238"/>
      <c r="E208" s="235"/>
      <c r="F208" s="219">
        <f t="shared" si="39"/>
        <v>0</v>
      </c>
      <c r="G208" s="220"/>
      <c r="H208" s="194">
        <f t="shared" si="2"/>
        <v>0</v>
      </c>
      <c r="I208" s="221">
        <f t="shared" si="40"/>
        <v>0</v>
      </c>
      <c r="J208" s="222">
        <f t="shared" si="41"/>
        <v>0</v>
      </c>
      <c r="K208" s="223">
        <f t="shared" si="42"/>
        <v>0</v>
      </c>
      <c r="L208" s="222">
        <f t="shared" si="43"/>
        <v>0</v>
      </c>
      <c r="M208" s="223">
        <f t="shared" si="44"/>
        <v>0</v>
      </c>
      <c r="N208" s="224"/>
      <c r="O208" s="232"/>
    </row>
    <row r="209" ht="15.75" customHeight="1">
      <c r="A209" s="214"/>
      <c r="B209" s="215"/>
      <c r="C209" s="237"/>
      <c r="D209" s="238"/>
      <c r="E209" s="235"/>
      <c r="F209" s="219">
        <f t="shared" si="39"/>
        <v>0</v>
      </c>
      <c r="G209" s="220"/>
      <c r="H209" s="194">
        <f t="shared" si="2"/>
        <v>0</v>
      </c>
      <c r="I209" s="221">
        <f t="shared" si="40"/>
        <v>0</v>
      </c>
      <c r="J209" s="222">
        <f t="shared" si="41"/>
        <v>0</v>
      </c>
      <c r="K209" s="223">
        <f t="shared" si="42"/>
        <v>0</v>
      </c>
      <c r="L209" s="222">
        <f t="shared" si="43"/>
        <v>0</v>
      </c>
      <c r="M209" s="223">
        <f t="shared" si="44"/>
        <v>0</v>
      </c>
      <c r="N209" s="224"/>
      <c r="O209" s="232"/>
    </row>
    <row r="210" ht="15.75" customHeight="1">
      <c r="A210" s="214"/>
      <c r="B210" s="215"/>
      <c r="C210" s="237"/>
      <c r="D210" s="238"/>
      <c r="E210" s="235"/>
      <c r="F210" s="219">
        <f t="shared" si="39"/>
        <v>0</v>
      </c>
      <c r="G210" s="220"/>
      <c r="H210" s="194">
        <f t="shared" si="2"/>
        <v>0</v>
      </c>
      <c r="I210" s="221">
        <f t="shared" si="40"/>
        <v>0</v>
      </c>
      <c r="J210" s="222">
        <f t="shared" si="41"/>
        <v>0</v>
      </c>
      <c r="K210" s="223">
        <f t="shared" si="42"/>
        <v>0</v>
      </c>
      <c r="L210" s="222">
        <f t="shared" si="43"/>
        <v>0</v>
      </c>
      <c r="M210" s="223">
        <f t="shared" si="44"/>
        <v>0</v>
      </c>
      <c r="N210" s="224"/>
      <c r="O210" s="232"/>
    </row>
    <row r="211" ht="15.75" customHeight="1">
      <c r="A211" s="214"/>
      <c r="B211" s="215"/>
      <c r="C211" s="237"/>
      <c r="D211" s="238"/>
      <c r="E211" s="235"/>
      <c r="F211" s="219">
        <f t="shared" si="39"/>
        <v>0</v>
      </c>
      <c r="G211" s="220"/>
      <c r="H211" s="194">
        <f t="shared" si="2"/>
        <v>0</v>
      </c>
      <c r="I211" s="221">
        <f t="shared" si="40"/>
        <v>0</v>
      </c>
      <c r="J211" s="222">
        <f t="shared" si="41"/>
        <v>0</v>
      </c>
      <c r="K211" s="223">
        <f t="shared" si="42"/>
        <v>0</v>
      </c>
      <c r="L211" s="222">
        <f t="shared" si="43"/>
        <v>0</v>
      </c>
      <c r="M211" s="223">
        <f t="shared" si="44"/>
        <v>0</v>
      </c>
      <c r="N211" s="224"/>
      <c r="O211" s="232"/>
    </row>
    <row r="212" ht="15.75" customHeight="1">
      <c r="A212" s="214"/>
      <c r="B212" s="215"/>
      <c r="C212" s="237"/>
      <c r="D212" s="238"/>
      <c r="E212" s="235"/>
      <c r="F212" s="219">
        <f t="shared" si="39"/>
        <v>0</v>
      </c>
      <c r="G212" s="220"/>
      <c r="H212" s="194">
        <f t="shared" si="2"/>
        <v>0</v>
      </c>
      <c r="I212" s="221">
        <f t="shared" si="40"/>
        <v>0</v>
      </c>
      <c r="J212" s="222">
        <f t="shared" si="41"/>
        <v>0</v>
      </c>
      <c r="K212" s="223">
        <f t="shared" si="42"/>
        <v>0</v>
      </c>
      <c r="L212" s="222">
        <f t="shared" si="43"/>
        <v>0</v>
      </c>
      <c r="M212" s="223">
        <f t="shared" si="44"/>
        <v>0</v>
      </c>
      <c r="N212" s="224"/>
      <c r="O212" s="232"/>
    </row>
    <row r="213" ht="15.75" customHeight="1">
      <c r="A213" s="214"/>
      <c r="B213" s="215"/>
      <c r="C213" s="237"/>
      <c r="D213" s="238"/>
      <c r="E213" s="235"/>
      <c r="F213" s="219">
        <f t="shared" si="39"/>
        <v>0</v>
      </c>
      <c r="G213" s="220"/>
      <c r="H213" s="194">
        <f t="shared" si="2"/>
        <v>0</v>
      </c>
      <c r="I213" s="221">
        <f t="shared" si="40"/>
        <v>0</v>
      </c>
      <c r="J213" s="222">
        <f t="shared" si="41"/>
        <v>0</v>
      </c>
      <c r="K213" s="223">
        <f t="shared" si="42"/>
        <v>0</v>
      </c>
      <c r="L213" s="222">
        <f t="shared" si="43"/>
        <v>0</v>
      </c>
      <c r="M213" s="223">
        <f t="shared" si="44"/>
        <v>0</v>
      </c>
      <c r="N213" s="224"/>
      <c r="O213" s="232"/>
    </row>
    <row r="214" ht="15.75" customHeight="1">
      <c r="A214" s="214"/>
      <c r="B214" s="215"/>
      <c r="C214" s="237"/>
      <c r="D214" s="238"/>
      <c r="E214" s="235"/>
      <c r="F214" s="219">
        <f t="shared" si="39"/>
        <v>0</v>
      </c>
      <c r="G214" s="220"/>
      <c r="H214" s="194">
        <f t="shared" si="2"/>
        <v>0</v>
      </c>
      <c r="I214" s="221">
        <f t="shared" si="40"/>
        <v>0</v>
      </c>
      <c r="J214" s="222">
        <f t="shared" si="41"/>
        <v>0</v>
      </c>
      <c r="K214" s="223">
        <f t="shared" si="42"/>
        <v>0</v>
      </c>
      <c r="L214" s="222">
        <f t="shared" si="43"/>
        <v>0</v>
      </c>
      <c r="M214" s="223">
        <f t="shared" si="44"/>
        <v>0</v>
      </c>
      <c r="N214" s="224"/>
      <c r="O214" s="232"/>
    </row>
    <row r="215" ht="15.75" customHeight="1">
      <c r="A215" s="214"/>
      <c r="B215" s="215"/>
      <c r="C215" s="237"/>
      <c r="D215" s="238"/>
      <c r="E215" s="235"/>
      <c r="F215" s="219">
        <f t="shared" si="39"/>
        <v>0</v>
      </c>
      <c r="G215" s="220"/>
      <c r="H215" s="194">
        <f t="shared" si="2"/>
        <v>0</v>
      </c>
      <c r="I215" s="221">
        <f t="shared" si="40"/>
        <v>0</v>
      </c>
      <c r="J215" s="222">
        <f t="shared" si="41"/>
        <v>0</v>
      </c>
      <c r="K215" s="223">
        <f t="shared" si="42"/>
        <v>0</v>
      </c>
      <c r="L215" s="222">
        <f t="shared" si="43"/>
        <v>0</v>
      </c>
      <c r="M215" s="223">
        <f t="shared" si="44"/>
        <v>0</v>
      </c>
      <c r="N215" s="224"/>
      <c r="O215" s="232"/>
    </row>
    <row r="216" ht="15.75" customHeight="1">
      <c r="A216" s="214"/>
      <c r="B216" s="215"/>
      <c r="C216" s="237"/>
      <c r="D216" s="238"/>
      <c r="E216" s="235"/>
      <c r="F216" s="219">
        <f t="shared" si="39"/>
        <v>0</v>
      </c>
      <c r="G216" s="220"/>
      <c r="H216" s="194">
        <f t="shared" si="2"/>
        <v>0</v>
      </c>
      <c r="I216" s="221">
        <f t="shared" si="40"/>
        <v>0</v>
      </c>
      <c r="J216" s="222">
        <f t="shared" si="41"/>
        <v>0</v>
      </c>
      <c r="K216" s="223">
        <f t="shared" si="42"/>
        <v>0</v>
      </c>
      <c r="L216" s="222">
        <f t="shared" si="43"/>
        <v>0</v>
      </c>
      <c r="M216" s="223">
        <f t="shared" si="44"/>
        <v>0</v>
      </c>
      <c r="N216" s="224"/>
      <c r="O216" s="232"/>
    </row>
    <row r="217" ht="15.75" customHeight="1">
      <c r="A217" s="214"/>
      <c r="B217" s="215"/>
      <c r="C217" s="237"/>
      <c r="D217" s="238"/>
      <c r="E217" s="235"/>
      <c r="F217" s="219">
        <f t="shared" si="39"/>
        <v>0</v>
      </c>
      <c r="G217" s="220"/>
      <c r="H217" s="194">
        <f t="shared" si="2"/>
        <v>0</v>
      </c>
      <c r="I217" s="221">
        <f t="shared" si="40"/>
        <v>0</v>
      </c>
      <c r="J217" s="222">
        <f t="shared" si="41"/>
        <v>0</v>
      </c>
      <c r="K217" s="223">
        <f t="shared" si="42"/>
        <v>0</v>
      </c>
      <c r="L217" s="222">
        <f t="shared" si="43"/>
        <v>0</v>
      </c>
      <c r="M217" s="223">
        <f t="shared" si="44"/>
        <v>0</v>
      </c>
      <c r="N217" s="224"/>
      <c r="O217" s="232"/>
    </row>
    <row r="218" ht="15.75" customHeight="1">
      <c r="A218" s="214"/>
      <c r="B218" s="215"/>
      <c r="C218" s="237"/>
      <c r="D218" s="238"/>
      <c r="E218" s="235"/>
      <c r="F218" s="219">
        <f t="shared" si="39"/>
        <v>0</v>
      </c>
      <c r="G218" s="220"/>
      <c r="H218" s="194">
        <f t="shared" si="2"/>
        <v>0</v>
      </c>
      <c r="I218" s="221">
        <f t="shared" si="40"/>
        <v>0</v>
      </c>
      <c r="J218" s="222">
        <f t="shared" si="41"/>
        <v>0</v>
      </c>
      <c r="K218" s="223">
        <f t="shared" si="42"/>
        <v>0</v>
      </c>
      <c r="L218" s="222">
        <f t="shared" si="43"/>
        <v>0</v>
      </c>
      <c r="M218" s="223">
        <f t="shared" si="44"/>
        <v>0</v>
      </c>
      <c r="N218" s="224"/>
      <c r="O218" s="232"/>
    </row>
    <row r="219" ht="15.75" customHeight="1">
      <c r="A219" s="214"/>
      <c r="B219" s="215"/>
      <c r="C219" s="231"/>
      <c r="D219" s="238"/>
      <c r="E219" s="235"/>
      <c r="F219" s="219">
        <f t="shared" si="39"/>
        <v>0</v>
      </c>
      <c r="G219" s="220"/>
      <c r="H219" s="194">
        <f t="shared" si="2"/>
        <v>0</v>
      </c>
      <c r="I219" s="221">
        <f t="shared" si="40"/>
        <v>0</v>
      </c>
      <c r="J219" s="222">
        <f t="shared" si="41"/>
        <v>0</v>
      </c>
      <c r="K219" s="223">
        <f t="shared" si="42"/>
        <v>0</v>
      </c>
      <c r="L219" s="222">
        <f t="shared" si="43"/>
        <v>0</v>
      </c>
      <c r="M219" s="223">
        <f t="shared" si="44"/>
        <v>0</v>
      </c>
      <c r="N219" s="224"/>
      <c r="O219" s="232"/>
    </row>
    <row r="220" ht="15.75" customHeight="1">
      <c r="A220" s="214"/>
      <c r="B220" s="215"/>
      <c r="C220" s="231"/>
      <c r="D220" s="238"/>
      <c r="E220" s="235"/>
      <c r="F220" s="219">
        <f t="shared" si="39"/>
        <v>0</v>
      </c>
      <c r="G220" s="220"/>
      <c r="H220" s="194">
        <f t="shared" si="2"/>
        <v>0</v>
      </c>
      <c r="I220" s="221">
        <f t="shared" si="40"/>
        <v>0</v>
      </c>
      <c r="J220" s="222">
        <f t="shared" si="41"/>
        <v>0</v>
      </c>
      <c r="K220" s="223">
        <f t="shared" si="42"/>
        <v>0</v>
      </c>
      <c r="L220" s="222">
        <f t="shared" si="43"/>
        <v>0</v>
      </c>
      <c r="M220" s="223">
        <f t="shared" si="44"/>
        <v>0</v>
      </c>
      <c r="N220" s="224"/>
      <c r="O220" s="232"/>
    </row>
    <row r="221" ht="15.75" customHeight="1">
      <c r="A221" s="214"/>
      <c r="B221" s="215"/>
      <c r="C221" s="231"/>
      <c r="D221" s="238"/>
      <c r="E221" s="235"/>
      <c r="F221" s="219">
        <f t="shared" si="39"/>
        <v>0</v>
      </c>
      <c r="G221" s="220"/>
      <c r="H221" s="194">
        <f t="shared" si="2"/>
        <v>0</v>
      </c>
      <c r="I221" s="221">
        <f t="shared" si="40"/>
        <v>0</v>
      </c>
      <c r="J221" s="222">
        <f t="shared" si="41"/>
        <v>0</v>
      </c>
      <c r="K221" s="223">
        <f t="shared" si="42"/>
        <v>0</v>
      </c>
      <c r="L221" s="222">
        <f t="shared" si="43"/>
        <v>0</v>
      </c>
      <c r="M221" s="223">
        <f t="shared" si="44"/>
        <v>0</v>
      </c>
      <c r="N221" s="224"/>
      <c r="O221" s="232"/>
    </row>
    <row r="222" ht="15.75" customHeight="1">
      <c r="A222" s="214"/>
      <c r="B222" s="215"/>
      <c r="C222" s="231"/>
      <c r="D222" s="238"/>
      <c r="E222" s="235"/>
      <c r="F222" s="219">
        <f t="shared" si="39"/>
        <v>0</v>
      </c>
      <c r="G222" s="220"/>
      <c r="H222" s="194">
        <f t="shared" si="2"/>
        <v>0</v>
      </c>
      <c r="I222" s="221">
        <f t="shared" si="40"/>
        <v>0</v>
      </c>
      <c r="J222" s="222">
        <f t="shared" si="41"/>
        <v>0</v>
      </c>
      <c r="K222" s="223">
        <f t="shared" si="42"/>
        <v>0</v>
      </c>
      <c r="L222" s="222">
        <f t="shared" si="43"/>
        <v>0</v>
      </c>
      <c r="M222" s="223">
        <f t="shared" si="44"/>
        <v>0</v>
      </c>
      <c r="N222" s="224"/>
      <c r="O222" s="232"/>
    </row>
    <row r="223" ht="15.75" customHeight="1">
      <c r="A223" s="214"/>
      <c r="B223" s="215"/>
      <c r="C223" s="231"/>
      <c r="D223" s="238"/>
      <c r="E223" s="235"/>
      <c r="F223" s="219">
        <f t="shared" si="39"/>
        <v>0</v>
      </c>
      <c r="G223" s="220"/>
      <c r="H223" s="194">
        <f t="shared" si="2"/>
        <v>0</v>
      </c>
      <c r="I223" s="221">
        <f t="shared" si="40"/>
        <v>0</v>
      </c>
      <c r="J223" s="222">
        <f t="shared" si="41"/>
        <v>0</v>
      </c>
      <c r="K223" s="223">
        <f t="shared" si="42"/>
        <v>0</v>
      </c>
      <c r="L223" s="222">
        <f t="shared" si="43"/>
        <v>0</v>
      </c>
      <c r="M223" s="223">
        <f t="shared" si="44"/>
        <v>0</v>
      </c>
      <c r="N223" s="224"/>
      <c r="O223" s="232"/>
    </row>
    <row r="224" ht="15.75" customHeight="1">
      <c r="A224" s="214"/>
      <c r="B224" s="215"/>
      <c r="C224" s="230"/>
      <c r="D224" s="234"/>
      <c r="E224" s="235"/>
      <c r="F224" s="219">
        <f t="shared" si="39"/>
        <v>0</v>
      </c>
      <c r="G224" s="220"/>
      <c r="H224" s="194">
        <f t="shared" si="2"/>
        <v>0</v>
      </c>
      <c r="I224" s="221">
        <f t="shared" si="40"/>
        <v>0</v>
      </c>
      <c r="J224" s="222">
        <f t="shared" si="41"/>
        <v>0</v>
      </c>
      <c r="K224" s="223">
        <f t="shared" si="42"/>
        <v>0</v>
      </c>
      <c r="L224" s="222">
        <f t="shared" si="43"/>
        <v>0</v>
      </c>
      <c r="M224" s="223">
        <f t="shared" si="44"/>
        <v>0</v>
      </c>
      <c r="N224" s="224"/>
      <c r="O224" s="232"/>
    </row>
    <row r="225" ht="15.75" customHeight="1">
      <c r="A225" s="214"/>
      <c r="B225" s="215"/>
      <c r="C225" s="237"/>
      <c r="D225" s="234"/>
      <c r="E225" s="235"/>
      <c r="F225" s="219">
        <f t="shared" si="39"/>
        <v>0</v>
      </c>
      <c r="G225" s="220"/>
      <c r="H225" s="194">
        <f t="shared" si="2"/>
        <v>0</v>
      </c>
      <c r="I225" s="221">
        <f t="shared" si="40"/>
        <v>0</v>
      </c>
      <c r="J225" s="222">
        <f t="shared" si="41"/>
        <v>0</v>
      </c>
      <c r="K225" s="223">
        <f t="shared" si="42"/>
        <v>0</v>
      </c>
      <c r="L225" s="222">
        <f t="shared" si="43"/>
        <v>0</v>
      </c>
      <c r="M225" s="223">
        <f t="shared" si="44"/>
        <v>0</v>
      </c>
      <c r="N225" s="224"/>
      <c r="O225" s="232"/>
    </row>
    <row r="226" ht="15.75" customHeight="1">
      <c r="A226" s="214"/>
      <c r="B226" s="215"/>
      <c r="C226" s="237"/>
      <c r="D226" s="234"/>
      <c r="E226" s="235"/>
      <c r="F226" s="219">
        <f t="shared" si="39"/>
        <v>0</v>
      </c>
      <c r="G226" s="220"/>
      <c r="H226" s="194">
        <f t="shared" si="2"/>
        <v>0</v>
      </c>
      <c r="I226" s="221">
        <f t="shared" si="40"/>
        <v>0</v>
      </c>
      <c r="J226" s="222">
        <f t="shared" si="41"/>
        <v>0</v>
      </c>
      <c r="K226" s="223">
        <f t="shared" si="42"/>
        <v>0</v>
      </c>
      <c r="L226" s="222">
        <f t="shared" si="43"/>
        <v>0</v>
      </c>
      <c r="M226" s="223">
        <f t="shared" si="44"/>
        <v>0</v>
      </c>
      <c r="N226" s="224"/>
      <c r="O226" s="232"/>
    </row>
    <row r="227" ht="15.75" customHeight="1">
      <c r="A227" s="214"/>
      <c r="B227" s="215"/>
      <c r="C227" s="237"/>
      <c r="D227" s="234"/>
      <c r="E227" s="235"/>
      <c r="F227" s="219">
        <f t="shared" si="39"/>
        <v>0</v>
      </c>
      <c r="G227" s="220"/>
      <c r="H227" s="194">
        <f t="shared" si="2"/>
        <v>0</v>
      </c>
      <c r="I227" s="221">
        <f t="shared" si="40"/>
        <v>0</v>
      </c>
      <c r="J227" s="222">
        <f t="shared" si="41"/>
        <v>0</v>
      </c>
      <c r="K227" s="223">
        <f t="shared" si="42"/>
        <v>0</v>
      </c>
      <c r="L227" s="222">
        <f t="shared" si="43"/>
        <v>0</v>
      </c>
      <c r="M227" s="223">
        <f t="shared" si="44"/>
        <v>0</v>
      </c>
      <c r="N227" s="224"/>
      <c r="O227" s="232"/>
    </row>
    <row r="228" ht="15.75" customHeight="1">
      <c r="A228" s="214"/>
      <c r="B228" s="215"/>
      <c r="C228" s="230"/>
      <c r="D228" s="234"/>
      <c r="E228" s="235"/>
      <c r="F228" s="219">
        <f t="shared" si="39"/>
        <v>0</v>
      </c>
      <c r="G228" s="220"/>
      <c r="H228" s="194">
        <f t="shared" si="2"/>
        <v>0</v>
      </c>
      <c r="I228" s="221">
        <f t="shared" si="40"/>
        <v>0</v>
      </c>
      <c r="J228" s="222">
        <f t="shared" si="41"/>
        <v>0</v>
      </c>
      <c r="K228" s="223">
        <f t="shared" si="42"/>
        <v>0</v>
      </c>
      <c r="L228" s="222">
        <f t="shared" si="43"/>
        <v>0</v>
      </c>
      <c r="M228" s="223">
        <f t="shared" si="44"/>
        <v>0</v>
      </c>
      <c r="N228" s="224"/>
      <c r="O228" s="232"/>
    </row>
    <row r="229" ht="15.75" customHeight="1">
      <c r="A229" s="214"/>
      <c r="B229" s="215"/>
      <c r="C229" s="237"/>
      <c r="D229" s="234"/>
      <c r="E229" s="235"/>
      <c r="F229" s="219">
        <f t="shared" si="39"/>
        <v>0</v>
      </c>
      <c r="G229" s="220"/>
      <c r="H229" s="194">
        <f t="shared" si="2"/>
        <v>0</v>
      </c>
      <c r="I229" s="221">
        <f t="shared" si="40"/>
        <v>0</v>
      </c>
      <c r="J229" s="222">
        <f t="shared" si="41"/>
        <v>0</v>
      </c>
      <c r="K229" s="223">
        <f t="shared" si="42"/>
        <v>0</v>
      </c>
      <c r="L229" s="222">
        <f t="shared" si="43"/>
        <v>0</v>
      </c>
      <c r="M229" s="223">
        <f t="shared" si="44"/>
        <v>0</v>
      </c>
      <c r="N229" s="224"/>
      <c r="O229" s="232"/>
    </row>
    <row r="230" ht="15.75" customHeight="1">
      <c r="A230" s="214"/>
      <c r="B230" s="215"/>
      <c r="C230" s="237"/>
      <c r="D230" s="234"/>
      <c r="E230" s="235"/>
      <c r="F230" s="219">
        <f t="shared" si="39"/>
        <v>0</v>
      </c>
      <c r="G230" s="220"/>
      <c r="H230" s="194">
        <f t="shared" si="2"/>
        <v>0</v>
      </c>
      <c r="I230" s="221">
        <f t="shared" si="40"/>
        <v>0</v>
      </c>
      <c r="J230" s="222">
        <f t="shared" si="41"/>
        <v>0</v>
      </c>
      <c r="K230" s="223">
        <f t="shared" si="42"/>
        <v>0</v>
      </c>
      <c r="L230" s="222">
        <f t="shared" si="43"/>
        <v>0</v>
      </c>
      <c r="M230" s="223">
        <f t="shared" si="44"/>
        <v>0</v>
      </c>
      <c r="N230" s="224"/>
      <c r="O230" s="232"/>
    </row>
    <row r="231" ht="15.75" customHeight="1">
      <c r="A231" s="214"/>
      <c r="B231" s="215"/>
      <c r="C231" s="231"/>
      <c r="D231" s="234"/>
      <c r="E231" s="235"/>
      <c r="F231" s="219">
        <f t="shared" si="39"/>
        <v>0</v>
      </c>
      <c r="G231" s="220"/>
      <c r="H231" s="194">
        <f t="shared" si="2"/>
        <v>0</v>
      </c>
      <c r="I231" s="221">
        <f t="shared" si="40"/>
        <v>0</v>
      </c>
      <c r="J231" s="222">
        <f t="shared" si="41"/>
        <v>0</v>
      </c>
      <c r="K231" s="223">
        <f t="shared" si="42"/>
        <v>0</v>
      </c>
      <c r="L231" s="222">
        <f t="shared" si="43"/>
        <v>0</v>
      </c>
      <c r="M231" s="223">
        <f t="shared" si="44"/>
        <v>0</v>
      </c>
      <c r="N231" s="224"/>
      <c r="O231" s="232"/>
    </row>
    <row r="232" ht="15.75" customHeight="1">
      <c r="A232" s="214"/>
      <c r="B232" s="215"/>
      <c r="C232" s="231"/>
      <c r="D232" s="234"/>
      <c r="E232" s="235"/>
      <c r="F232" s="219">
        <f t="shared" si="39"/>
        <v>0</v>
      </c>
      <c r="G232" s="220"/>
      <c r="H232" s="194">
        <f t="shared" si="2"/>
        <v>0</v>
      </c>
      <c r="I232" s="221">
        <f t="shared" si="40"/>
        <v>0</v>
      </c>
      <c r="J232" s="222">
        <f t="shared" si="41"/>
        <v>0</v>
      </c>
      <c r="K232" s="223">
        <f t="shared" si="42"/>
        <v>0</v>
      </c>
      <c r="L232" s="222">
        <f t="shared" si="43"/>
        <v>0</v>
      </c>
      <c r="M232" s="223">
        <f t="shared" si="44"/>
        <v>0</v>
      </c>
      <c r="N232" s="224"/>
      <c r="O232" s="232"/>
    </row>
    <row r="233" ht="15.75" customHeight="1">
      <c r="A233" s="214"/>
      <c r="B233" s="215"/>
      <c r="C233" s="237"/>
      <c r="D233" s="234"/>
      <c r="E233" s="235"/>
      <c r="F233" s="219">
        <f t="shared" si="39"/>
        <v>0</v>
      </c>
      <c r="G233" s="220"/>
      <c r="H233" s="194">
        <f t="shared" si="2"/>
        <v>0</v>
      </c>
      <c r="I233" s="221">
        <f t="shared" si="40"/>
        <v>0</v>
      </c>
      <c r="J233" s="222">
        <f t="shared" si="41"/>
        <v>0</v>
      </c>
      <c r="K233" s="223">
        <f t="shared" si="42"/>
        <v>0</v>
      </c>
      <c r="L233" s="222">
        <f t="shared" si="43"/>
        <v>0</v>
      </c>
      <c r="M233" s="223">
        <f t="shared" si="44"/>
        <v>0</v>
      </c>
      <c r="N233" s="224"/>
      <c r="O233" s="232"/>
    </row>
    <row r="234" ht="15.75" customHeight="1">
      <c r="A234" s="214"/>
      <c r="B234" s="215"/>
      <c r="C234" s="231"/>
      <c r="D234" s="238"/>
      <c r="E234" s="235"/>
      <c r="F234" s="219">
        <f t="shared" si="39"/>
        <v>0</v>
      </c>
      <c r="G234" s="220"/>
      <c r="H234" s="194">
        <f t="shared" si="2"/>
        <v>0</v>
      </c>
      <c r="I234" s="221">
        <f t="shared" si="40"/>
        <v>0</v>
      </c>
      <c r="J234" s="222">
        <f t="shared" si="41"/>
        <v>0</v>
      </c>
      <c r="K234" s="223">
        <f t="shared" si="42"/>
        <v>0</v>
      </c>
      <c r="L234" s="222">
        <f t="shared" si="43"/>
        <v>0</v>
      </c>
      <c r="M234" s="223">
        <f t="shared" si="44"/>
        <v>0</v>
      </c>
      <c r="N234" s="224"/>
      <c r="O234" s="232"/>
    </row>
    <row r="235" ht="15.75" customHeight="1">
      <c r="A235" s="214"/>
      <c r="B235" s="215"/>
      <c r="C235" s="231"/>
      <c r="D235" s="238"/>
      <c r="E235" s="235"/>
      <c r="F235" s="219">
        <f t="shared" si="39"/>
        <v>0</v>
      </c>
      <c r="G235" s="220"/>
      <c r="H235" s="194">
        <f t="shared" si="2"/>
        <v>0</v>
      </c>
      <c r="I235" s="221">
        <f t="shared" si="40"/>
        <v>0</v>
      </c>
      <c r="J235" s="222">
        <f t="shared" si="41"/>
        <v>0</v>
      </c>
      <c r="K235" s="223">
        <f t="shared" si="42"/>
        <v>0</v>
      </c>
      <c r="L235" s="222">
        <f t="shared" si="43"/>
        <v>0</v>
      </c>
      <c r="M235" s="223">
        <f t="shared" si="44"/>
        <v>0</v>
      </c>
      <c r="N235" s="224"/>
      <c r="O235" s="232"/>
    </row>
    <row r="236" ht="15.75" customHeight="1">
      <c r="A236" s="239"/>
      <c r="B236" s="240"/>
      <c r="C236" s="241"/>
      <c r="D236" s="242"/>
      <c r="E236" s="243"/>
      <c r="F236" s="219">
        <f t="shared" si="39"/>
        <v>0</v>
      </c>
      <c r="G236" s="244"/>
      <c r="H236" s="194">
        <f t="shared" si="2"/>
        <v>0</v>
      </c>
      <c r="I236" s="221">
        <f t="shared" si="40"/>
        <v>0</v>
      </c>
      <c r="J236" s="222">
        <f t="shared" si="41"/>
        <v>0</v>
      </c>
      <c r="K236" s="223">
        <f t="shared" si="42"/>
        <v>0</v>
      </c>
      <c r="L236" s="222">
        <f t="shared" si="43"/>
        <v>0</v>
      </c>
      <c r="M236" s="223">
        <f t="shared" si="44"/>
        <v>0</v>
      </c>
      <c r="N236" s="224"/>
      <c r="O236" s="232"/>
    </row>
    <row r="237" ht="15.75" customHeight="1">
      <c r="A237" s="239"/>
      <c r="B237" s="215"/>
      <c r="C237" s="245"/>
      <c r="D237" s="234"/>
      <c r="E237" s="246"/>
      <c r="F237" s="219">
        <f t="shared" si="39"/>
        <v>0</v>
      </c>
      <c r="G237" s="244"/>
      <c r="H237" s="194">
        <f t="shared" si="2"/>
        <v>0</v>
      </c>
      <c r="I237" s="221">
        <f t="shared" si="40"/>
        <v>0</v>
      </c>
      <c r="J237" s="222">
        <f t="shared" si="41"/>
        <v>0</v>
      </c>
      <c r="K237" s="223">
        <f t="shared" si="42"/>
        <v>0</v>
      </c>
      <c r="L237" s="222">
        <f t="shared" si="43"/>
        <v>0</v>
      </c>
      <c r="M237" s="223">
        <f t="shared" si="44"/>
        <v>0</v>
      </c>
      <c r="N237" s="224"/>
      <c r="O237" s="232"/>
    </row>
    <row r="238" ht="15.75" customHeight="1">
      <c r="A238" s="239"/>
      <c r="B238" s="215"/>
      <c r="C238" s="245"/>
      <c r="D238" s="234"/>
      <c r="E238" s="246"/>
      <c r="F238" s="219">
        <f t="shared" si="39"/>
        <v>0</v>
      </c>
      <c r="G238" s="244"/>
      <c r="H238" s="194">
        <f t="shared" si="2"/>
        <v>0</v>
      </c>
      <c r="I238" s="221">
        <f t="shared" si="40"/>
        <v>0</v>
      </c>
      <c r="J238" s="222">
        <f t="shared" si="41"/>
        <v>0</v>
      </c>
      <c r="K238" s="223">
        <f t="shared" si="42"/>
        <v>0</v>
      </c>
      <c r="L238" s="222">
        <f t="shared" si="43"/>
        <v>0</v>
      </c>
      <c r="M238" s="223">
        <f t="shared" si="44"/>
        <v>0</v>
      </c>
      <c r="N238" s="224"/>
      <c r="O238" s="232"/>
    </row>
    <row r="239" ht="15.75" customHeight="1">
      <c r="A239" s="239"/>
      <c r="B239" s="215"/>
      <c r="C239" s="245"/>
      <c r="D239" s="234"/>
      <c r="E239" s="246"/>
      <c r="F239" s="219">
        <f t="shared" si="39"/>
        <v>0</v>
      </c>
      <c r="G239" s="244"/>
      <c r="H239" s="194">
        <f t="shared" si="2"/>
        <v>0</v>
      </c>
      <c r="I239" s="221">
        <f t="shared" si="40"/>
        <v>0</v>
      </c>
      <c r="J239" s="222">
        <f t="shared" si="41"/>
        <v>0</v>
      </c>
      <c r="K239" s="223">
        <f t="shared" si="42"/>
        <v>0</v>
      </c>
      <c r="L239" s="222">
        <f t="shared" si="43"/>
        <v>0</v>
      </c>
      <c r="M239" s="223">
        <f t="shared" si="44"/>
        <v>0</v>
      </c>
      <c r="N239" s="224"/>
      <c r="O239" s="232"/>
    </row>
    <row r="240" ht="15.75" customHeight="1">
      <c r="A240" s="239"/>
      <c r="B240" s="215"/>
      <c r="C240" s="245"/>
      <c r="D240" s="234"/>
      <c r="E240" s="246"/>
      <c r="F240" s="219">
        <f t="shared" si="39"/>
        <v>0</v>
      </c>
      <c r="G240" s="244"/>
      <c r="H240" s="194">
        <f t="shared" si="2"/>
        <v>0</v>
      </c>
      <c r="I240" s="221">
        <f t="shared" si="40"/>
        <v>0</v>
      </c>
      <c r="J240" s="222">
        <f t="shared" si="41"/>
        <v>0</v>
      </c>
      <c r="K240" s="223">
        <f t="shared" si="42"/>
        <v>0</v>
      </c>
      <c r="L240" s="222">
        <f t="shared" si="43"/>
        <v>0</v>
      </c>
      <c r="M240" s="223">
        <f t="shared" si="44"/>
        <v>0</v>
      </c>
      <c r="N240" s="224"/>
      <c r="O240" s="232"/>
    </row>
    <row r="241" ht="15.75" customHeight="1">
      <c r="A241" s="239"/>
      <c r="B241" s="215"/>
      <c r="C241" s="245"/>
      <c r="D241" s="234"/>
      <c r="E241" s="246"/>
      <c r="F241" s="219">
        <f t="shared" si="39"/>
        <v>0</v>
      </c>
      <c r="G241" s="244"/>
      <c r="H241" s="194">
        <f t="shared" si="2"/>
        <v>0</v>
      </c>
      <c r="I241" s="221">
        <f t="shared" si="40"/>
        <v>0</v>
      </c>
      <c r="J241" s="222">
        <f t="shared" si="41"/>
        <v>0</v>
      </c>
      <c r="K241" s="223">
        <f t="shared" si="42"/>
        <v>0</v>
      </c>
      <c r="L241" s="222">
        <f t="shared" si="43"/>
        <v>0</v>
      </c>
      <c r="M241" s="223">
        <f t="shared" si="44"/>
        <v>0</v>
      </c>
      <c r="N241" s="224"/>
      <c r="O241" s="232"/>
    </row>
    <row r="242" ht="15.75" customHeight="1">
      <c r="A242" s="239"/>
      <c r="B242" s="215"/>
      <c r="C242" s="245"/>
      <c r="D242" s="234"/>
      <c r="E242" s="246"/>
      <c r="F242" s="219">
        <f t="shared" si="39"/>
        <v>0</v>
      </c>
      <c r="G242" s="244"/>
      <c r="H242" s="194">
        <f t="shared" si="2"/>
        <v>0</v>
      </c>
      <c r="I242" s="221">
        <f t="shared" si="40"/>
        <v>0</v>
      </c>
      <c r="J242" s="222">
        <f t="shared" si="41"/>
        <v>0</v>
      </c>
      <c r="K242" s="223">
        <f t="shared" si="42"/>
        <v>0</v>
      </c>
      <c r="L242" s="222">
        <f t="shared" si="43"/>
        <v>0</v>
      </c>
      <c r="M242" s="223">
        <f t="shared" si="44"/>
        <v>0</v>
      </c>
      <c r="N242" s="224"/>
      <c r="O242" s="232"/>
    </row>
    <row r="243" ht="15.75" customHeight="1">
      <c r="A243" s="239"/>
      <c r="B243" s="215"/>
      <c r="C243" s="245"/>
      <c r="D243" s="234"/>
      <c r="E243" s="246"/>
      <c r="F243" s="219">
        <f t="shared" si="39"/>
        <v>0</v>
      </c>
      <c r="G243" s="244"/>
      <c r="H243" s="194">
        <f t="shared" si="2"/>
        <v>0</v>
      </c>
      <c r="I243" s="221">
        <f t="shared" si="40"/>
        <v>0</v>
      </c>
      <c r="J243" s="222">
        <f t="shared" si="41"/>
        <v>0</v>
      </c>
      <c r="K243" s="223">
        <f t="shared" si="42"/>
        <v>0</v>
      </c>
      <c r="L243" s="222">
        <f t="shared" si="43"/>
        <v>0</v>
      </c>
      <c r="M243" s="223">
        <f t="shared" si="44"/>
        <v>0</v>
      </c>
      <c r="N243" s="224"/>
      <c r="O243" s="232"/>
    </row>
    <row r="244" ht="15.75" customHeight="1">
      <c r="A244" s="239"/>
      <c r="B244" s="215"/>
      <c r="C244" s="247"/>
      <c r="D244" s="234"/>
      <c r="E244" s="246"/>
      <c r="F244" s="219">
        <f t="shared" si="39"/>
        <v>0</v>
      </c>
      <c r="G244" s="244"/>
      <c r="H244" s="194">
        <f t="shared" si="2"/>
        <v>0</v>
      </c>
      <c r="I244" s="221">
        <f t="shared" si="40"/>
        <v>0</v>
      </c>
      <c r="J244" s="222">
        <f t="shared" si="41"/>
        <v>0</v>
      </c>
      <c r="K244" s="223">
        <f t="shared" si="42"/>
        <v>0</v>
      </c>
      <c r="L244" s="222">
        <f t="shared" si="43"/>
        <v>0</v>
      </c>
      <c r="M244" s="223">
        <f t="shared" si="44"/>
        <v>0</v>
      </c>
      <c r="N244" s="224"/>
      <c r="O244" s="232"/>
    </row>
    <row r="245" ht="15.75" customHeight="1">
      <c r="A245" s="239"/>
      <c r="B245" s="215"/>
      <c r="C245" s="248"/>
      <c r="D245" s="234"/>
      <c r="E245" s="246"/>
      <c r="F245" s="219">
        <f t="shared" si="39"/>
        <v>0</v>
      </c>
      <c r="G245" s="244"/>
      <c r="H245" s="194">
        <f t="shared" si="2"/>
        <v>0</v>
      </c>
      <c r="I245" s="221">
        <f t="shared" si="40"/>
        <v>0</v>
      </c>
      <c r="J245" s="222">
        <f t="shared" si="41"/>
        <v>0</v>
      </c>
      <c r="K245" s="223">
        <f t="shared" si="42"/>
        <v>0</v>
      </c>
      <c r="L245" s="222">
        <f t="shared" si="43"/>
        <v>0</v>
      </c>
      <c r="M245" s="223">
        <f t="shared" si="44"/>
        <v>0</v>
      </c>
      <c r="N245" s="224"/>
      <c r="O245" s="232"/>
    </row>
    <row r="246" ht="15.75" customHeight="1">
      <c r="A246" s="239"/>
      <c r="B246" s="215"/>
      <c r="C246" s="248"/>
      <c r="D246" s="234"/>
      <c r="E246" s="246"/>
      <c r="F246" s="219">
        <f t="shared" si="39"/>
        <v>0</v>
      </c>
      <c r="G246" s="244"/>
      <c r="H246" s="194">
        <f t="shared" si="2"/>
        <v>0</v>
      </c>
      <c r="I246" s="221">
        <f t="shared" si="40"/>
        <v>0</v>
      </c>
      <c r="J246" s="222">
        <f t="shared" si="41"/>
        <v>0</v>
      </c>
      <c r="K246" s="223">
        <f t="shared" si="42"/>
        <v>0</v>
      </c>
      <c r="L246" s="222">
        <f t="shared" si="43"/>
        <v>0</v>
      </c>
      <c r="M246" s="223">
        <f t="shared" si="44"/>
        <v>0</v>
      </c>
      <c r="N246" s="224"/>
      <c r="O246" s="232"/>
    </row>
    <row r="247" ht="15.75" customHeight="1">
      <c r="A247" s="239"/>
      <c r="B247" s="215"/>
      <c r="C247" s="248"/>
      <c r="D247" s="234"/>
      <c r="E247" s="246"/>
      <c r="F247" s="219">
        <f t="shared" si="39"/>
        <v>0</v>
      </c>
      <c r="G247" s="244"/>
      <c r="H247" s="194">
        <f t="shared" si="2"/>
        <v>0</v>
      </c>
      <c r="I247" s="221">
        <f t="shared" si="40"/>
        <v>0</v>
      </c>
      <c r="J247" s="222">
        <f t="shared" si="41"/>
        <v>0</v>
      </c>
      <c r="K247" s="223">
        <f t="shared" si="42"/>
        <v>0</v>
      </c>
      <c r="L247" s="222">
        <f t="shared" si="43"/>
        <v>0</v>
      </c>
      <c r="M247" s="223">
        <f t="shared" si="44"/>
        <v>0</v>
      </c>
      <c r="N247" s="224"/>
      <c r="O247" s="232"/>
    </row>
    <row r="248" ht="15.75" customHeight="1">
      <c r="A248" s="239"/>
      <c r="B248" s="215"/>
      <c r="C248" s="248"/>
      <c r="D248" s="228"/>
      <c r="E248" s="246"/>
      <c r="F248" s="219">
        <f t="shared" si="39"/>
        <v>0</v>
      </c>
      <c r="G248" s="244"/>
      <c r="H248" s="194">
        <f t="shared" si="2"/>
        <v>0</v>
      </c>
      <c r="I248" s="221">
        <f t="shared" si="40"/>
        <v>0</v>
      </c>
      <c r="J248" s="222">
        <f t="shared" si="41"/>
        <v>0</v>
      </c>
      <c r="K248" s="223">
        <f t="shared" si="42"/>
        <v>0</v>
      </c>
      <c r="L248" s="222">
        <f t="shared" si="43"/>
        <v>0</v>
      </c>
      <c r="M248" s="223">
        <f t="shared" si="44"/>
        <v>0</v>
      </c>
      <c r="N248" s="224"/>
      <c r="O248" s="232"/>
    </row>
    <row r="249" ht="15.75" customHeight="1">
      <c r="A249" s="239"/>
      <c r="B249" s="215"/>
      <c r="C249" s="248"/>
      <c r="D249" s="234"/>
      <c r="E249" s="246"/>
      <c r="F249" s="219">
        <f t="shared" si="39"/>
        <v>0</v>
      </c>
      <c r="G249" s="244"/>
      <c r="H249" s="194">
        <f t="shared" si="2"/>
        <v>0</v>
      </c>
      <c r="I249" s="221">
        <f t="shared" si="40"/>
        <v>0</v>
      </c>
      <c r="J249" s="222">
        <f t="shared" si="41"/>
        <v>0</v>
      </c>
      <c r="K249" s="223">
        <f t="shared" si="42"/>
        <v>0</v>
      </c>
      <c r="L249" s="222">
        <f t="shared" si="43"/>
        <v>0</v>
      </c>
      <c r="M249" s="223">
        <f t="shared" si="44"/>
        <v>0</v>
      </c>
      <c r="N249" s="224"/>
      <c r="O249" s="232"/>
    </row>
    <row r="250" ht="15.75" customHeight="1">
      <c r="A250" s="239"/>
      <c r="B250" s="215"/>
      <c r="C250" s="248"/>
      <c r="D250" s="234"/>
      <c r="E250" s="246"/>
      <c r="F250" s="219">
        <f t="shared" si="39"/>
        <v>0</v>
      </c>
      <c r="G250" s="244"/>
      <c r="H250" s="194">
        <f t="shared" si="2"/>
        <v>0</v>
      </c>
      <c r="I250" s="221">
        <f t="shared" si="40"/>
        <v>0</v>
      </c>
      <c r="J250" s="222">
        <f t="shared" si="41"/>
        <v>0</v>
      </c>
      <c r="K250" s="223">
        <f t="shared" si="42"/>
        <v>0</v>
      </c>
      <c r="L250" s="222">
        <f t="shared" si="43"/>
        <v>0</v>
      </c>
      <c r="M250" s="223">
        <f t="shared" si="44"/>
        <v>0</v>
      </c>
      <c r="N250" s="224"/>
      <c r="O250" s="232"/>
    </row>
    <row r="251" ht="15.75" customHeight="1">
      <c r="A251" s="239"/>
      <c r="B251" s="215"/>
      <c r="C251" s="248"/>
      <c r="D251" s="234"/>
      <c r="E251" s="246"/>
      <c r="F251" s="219">
        <f t="shared" si="39"/>
        <v>0</v>
      </c>
      <c r="G251" s="244"/>
      <c r="H251" s="194">
        <f t="shared" si="2"/>
        <v>0</v>
      </c>
      <c r="I251" s="221">
        <f t="shared" si="40"/>
        <v>0</v>
      </c>
      <c r="J251" s="222">
        <f t="shared" si="41"/>
        <v>0</v>
      </c>
      <c r="K251" s="223">
        <f t="shared" si="42"/>
        <v>0</v>
      </c>
      <c r="L251" s="222">
        <f t="shared" si="43"/>
        <v>0</v>
      </c>
      <c r="M251" s="223">
        <f t="shared" si="44"/>
        <v>0</v>
      </c>
      <c r="N251" s="224"/>
      <c r="O251" s="232"/>
    </row>
    <row r="252" ht="15.75" customHeight="1">
      <c r="A252" s="239"/>
      <c r="B252" s="215"/>
      <c r="C252" s="248"/>
      <c r="D252" s="234"/>
      <c r="E252" s="246"/>
      <c r="F252" s="219">
        <f t="shared" si="39"/>
        <v>0</v>
      </c>
      <c r="G252" s="244"/>
      <c r="H252" s="194">
        <f t="shared" si="2"/>
        <v>0</v>
      </c>
      <c r="I252" s="221">
        <f t="shared" si="40"/>
        <v>0</v>
      </c>
      <c r="J252" s="222">
        <f t="shared" si="41"/>
        <v>0</v>
      </c>
      <c r="K252" s="223">
        <f t="shared" si="42"/>
        <v>0</v>
      </c>
      <c r="L252" s="222">
        <f t="shared" si="43"/>
        <v>0</v>
      </c>
      <c r="M252" s="223">
        <f t="shared" si="44"/>
        <v>0</v>
      </c>
      <c r="N252" s="224"/>
      <c r="O252" s="232"/>
    </row>
    <row r="253" ht="15.75" customHeight="1">
      <c r="A253" s="239"/>
      <c r="B253" s="215"/>
      <c r="C253" s="248"/>
      <c r="D253" s="234"/>
      <c r="E253" s="246"/>
      <c r="F253" s="219">
        <f t="shared" si="39"/>
        <v>0</v>
      </c>
      <c r="G253" s="244"/>
      <c r="H253" s="194">
        <f t="shared" si="2"/>
        <v>0</v>
      </c>
      <c r="I253" s="221">
        <f t="shared" si="40"/>
        <v>0</v>
      </c>
      <c r="J253" s="222">
        <f t="shared" si="41"/>
        <v>0</v>
      </c>
      <c r="K253" s="223">
        <f t="shared" si="42"/>
        <v>0</v>
      </c>
      <c r="L253" s="222">
        <f t="shared" si="43"/>
        <v>0</v>
      </c>
      <c r="M253" s="223">
        <f t="shared" si="44"/>
        <v>0</v>
      </c>
      <c r="N253" s="224"/>
      <c r="O253" s="232"/>
    </row>
    <row r="254" ht="15.75" customHeight="1">
      <c r="A254" s="239"/>
      <c r="B254" s="215"/>
      <c r="C254" s="248"/>
      <c r="D254" s="234"/>
      <c r="E254" s="246"/>
      <c r="F254" s="219">
        <f t="shared" si="39"/>
        <v>0</v>
      </c>
      <c r="G254" s="244"/>
      <c r="H254" s="194">
        <f t="shared" si="2"/>
        <v>0</v>
      </c>
      <c r="I254" s="221">
        <f t="shared" si="40"/>
        <v>0</v>
      </c>
      <c r="J254" s="222">
        <f t="shared" si="41"/>
        <v>0</v>
      </c>
      <c r="K254" s="223">
        <f t="shared" si="42"/>
        <v>0</v>
      </c>
      <c r="L254" s="222">
        <f t="shared" si="43"/>
        <v>0</v>
      </c>
      <c r="M254" s="223">
        <f t="shared" si="44"/>
        <v>0</v>
      </c>
      <c r="N254" s="224"/>
      <c r="O254" s="232"/>
    </row>
    <row r="255" ht="15.75" customHeight="1">
      <c r="A255" s="239"/>
      <c r="B255" s="215"/>
      <c r="C255" s="248"/>
      <c r="D255" s="234"/>
      <c r="E255" s="246"/>
      <c r="F255" s="219">
        <f t="shared" si="39"/>
        <v>0</v>
      </c>
      <c r="G255" s="244"/>
      <c r="H255" s="194">
        <f t="shared" si="2"/>
        <v>0</v>
      </c>
      <c r="I255" s="221">
        <f t="shared" si="40"/>
        <v>0</v>
      </c>
      <c r="J255" s="222">
        <f t="shared" si="41"/>
        <v>0</v>
      </c>
      <c r="K255" s="223">
        <f t="shared" si="42"/>
        <v>0</v>
      </c>
      <c r="L255" s="222">
        <f t="shared" si="43"/>
        <v>0</v>
      </c>
      <c r="M255" s="223">
        <f t="shared" si="44"/>
        <v>0</v>
      </c>
      <c r="N255" s="224"/>
      <c r="O255" s="232"/>
    </row>
    <row r="256" ht="15.75" customHeight="1">
      <c r="A256" s="239"/>
      <c r="B256" s="215"/>
      <c r="C256" s="248"/>
      <c r="D256" s="228"/>
      <c r="E256" s="249"/>
      <c r="F256" s="219">
        <f t="shared" si="39"/>
        <v>0</v>
      </c>
      <c r="G256" s="244"/>
      <c r="H256" s="194">
        <f t="shared" si="2"/>
        <v>0</v>
      </c>
      <c r="I256" s="221">
        <f t="shared" si="40"/>
        <v>0</v>
      </c>
      <c r="J256" s="222">
        <f t="shared" si="41"/>
        <v>0</v>
      </c>
      <c r="K256" s="223">
        <f t="shared" si="42"/>
        <v>0</v>
      </c>
      <c r="L256" s="222">
        <f t="shared" si="43"/>
        <v>0</v>
      </c>
      <c r="M256" s="223">
        <f t="shared" si="44"/>
        <v>0</v>
      </c>
      <c r="N256" s="224"/>
      <c r="O256" s="232"/>
    </row>
    <row r="257" ht="15.75" customHeight="1">
      <c r="A257" s="239"/>
      <c r="B257" s="215"/>
      <c r="C257" s="248"/>
      <c r="D257" s="250"/>
      <c r="E257" s="249"/>
      <c r="F257" s="219">
        <f t="shared" si="39"/>
        <v>0</v>
      </c>
      <c r="G257" s="244"/>
      <c r="H257" s="194">
        <f t="shared" si="2"/>
        <v>0</v>
      </c>
      <c r="I257" s="221">
        <f t="shared" si="40"/>
        <v>0</v>
      </c>
      <c r="J257" s="222">
        <f t="shared" si="41"/>
        <v>0</v>
      </c>
      <c r="K257" s="223">
        <f t="shared" si="42"/>
        <v>0</v>
      </c>
      <c r="L257" s="222">
        <f t="shared" si="43"/>
        <v>0</v>
      </c>
      <c r="M257" s="223">
        <f t="shared" si="44"/>
        <v>0</v>
      </c>
      <c r="N257" s="224"/>
      <c r="O257" s="232"/>
    </row>
    <row r="258" ht="15.75" customHeight="1">
      <c r="A258" s="239"/>
      <c r="B258" s="215"/>
      <c r="C258" s="248"/>
      <c r="D258" s="228"/>
      <c r="E258" s="249"/>
      <c r="F258" s="219">
        <f t="shared" si="39"/>
        <v>0</v>
      </c>
      <c r="G258" s="244"/>
      <c r="H258" s="194">
        <f t="shared" si="2"/>
        <v>0</v>
      </c>
      <c r="I258" s="221">
        <f t="shared" si="40"/>
        <v>0</v>
      </c>
      <c r="J258" s="222">
        <f t="shared" si="41"/>
        <v>0</v>
      </c>
      <c r="K258" s="223">
        <f t="shared" si="42"/>
        <v>0</v>
      </c>
      <c r="L258" s="222">
        <f t="shared" si="43"/>
        <v>0</v>
      </c>
      <c r="M258" s="223">
        <f t="shared" si="44"/>
        <v>0</v>
      </c>
      <c r="N258" s="224"/>
      <c r="O258" s="232"/>
    </row>
    <row r="259" ht="15.75" customHeight="1">
      <c r="A259" s="239"/>
      <c r="B259" s="215"/>
      <c r="C259" s="248"/>
      <c r="D259" s="228"/>
      <c r="E259" s="249"/>
      <c r="F259" s="219">
        <f t="shared" si="39"/>
        <v>0</v>
      </c>
      <c r="G259" s="244"/>
      <c r="H259" s="194">
        <f t="shared" si="2"/>
        <v>0</v>
      </c>
      <c r="I259" s="221">
        <f t="shared" si="40"/>
        <v>0</v>
      </c>
      <c r="J259" s="222">
        <f t="shared" si="41"/>
        <v>0</v>
      </c>
      <c r="K259" s="223">
        <f t="shared" si="42"/>
        <v>0</v>
      </c>
      <c r="L259" s="222">
        <f t="shared" si="43"/>
        <v>0</v>
      </c>
      <c r="M259" s="223">
        <f t="shared" si="44"/>
        <v>0</v>
      </c>
      <c r="N259" s="224"/>
      <c r="O259" s="232"/>
    </row>
    <row r="260" ht="15.75" customHeight="1">
      <c r="A260" s="239"/>
      <c r="B260" s="215"/>
      <c r="C260" s="248"/>
      <c r="D260" s="228"/>
      <c r="E260" s="249"/>
      <c r="F260" s="219">
        <f t="shared" si="39"/>
        <v>0</v>
      </c>
      <c r="G260" s="244"/>
      <c r="H260" s="194">
        <f t="shared" si="2"/>
        <v>0</v>
      </c>
      <c r="I260" s="221">
        <f t="shared" si="40"/>
        <v>0</v>
      </c>
      <c r="J260" s="222">
        <f t="shared" si="41"/>
        <v>0</v>
      </c>
      <c r="K260" s="223">
        <f t="shared" si="42"/>
        <v>0</v>
      </c>
      <c r="L260" s="222">
        <f t="shared" si="43"/>
        <v>0</v>
      </c>
      <c r="M260" s="223">
        <f t="shared" si="44"/>
        <v>0</v>
      </c>
      <c r="N260" s="224"/>
      <c r="O260" s="232"/>
    </row>
    <row r="261" ht="15.75" customHeight="1">
      <c r="A261" s="239"/>
      <c r="B261" s="215"/>
      <c r="C261" s="248"/>
      <c r="D261" s="228"/>
      <c r="E261" s="249"/>
      <c r="F261" s="219">
        <f t="shared" si="39"/>
        <v>0</v>
      </c>
      <c r="G261" s="244"/>
      <c r="H261" s="194">
        <f t="shared" si="2"/>
        <v>0</v>
      </c>
      <c r="I261" s="221">
        <f t="shared" si="40"/>
        <v>0</v>
      </c>
      <c r="J261" s="222">
        <f t="shared" si="41"/>
        <v>0</v>
      </c>
      <c r="K261" s="223">
        <f t="shared" si="42"/>
        <v>0</v>
      </c>
      <c r="L261" s="222">
        <f t="shared" si="43"/>
        <v>0</v>
      </c>
      <c r="M261" s="223">
        <f t="shared" si="44"/>
        <v>0</v>
      </c>
      <c r="N261" s="224"/>
      <c r="O261" s="232"/>
    </row>
    <row r="262" ht="15.75" customHeight="1">
      <c r="A262" s="239"/>
      <c r="B262" s="215"/>
      <c r="C262" s="248"/>
      <c r="D262" s="228"/>
      <c r="E262" s="246"/>
      <c r="F262" s="219">
        <f t="shared" si="39"/>
        <v>0</v>
      </c>
      <c r="G262" s="244"/>
      <c r="H262" s="194">
        <f t="shared" si="2"/>
        <v>0</v>
      </c>
      <c r="I262" s="221">
        <f t="shared" si="40"/>
        <v>0</v>
      </c>
      <c r="J262" s="222">
        <f t="shared" si="41"/>
        <v>0</v>
      </c>
      <c r="K262" s="223">
        <f t="shared" si="42"/>
        <v>0</v>
      </c>
      <c r="L262" s="222">
        <f t="shared" si="43"/>
        <v>0</v>
      </c>
      <c r="M262" s="223">
        <f t="shared" si="44"/>
        <v>0</v>
      </c>
      <c r="N262" s="224"/>
      <c r="O262" s="232"/>
    </row>
    <row r="263" ht="15.75" customHeight="1">
      <c r="A263" s="239"/>
      <c r="B263" s="215"/>
      <c r="C263" s="248"/>
      <c r="D263" s="228"/>
      <c r="E263" s="246"/>
      <c r="F263" s="219">
        <f t="shared" si="39"/>
        <v>0</v>
      </c>
      <c r="G263" s="244"/>
      <c r="H263" s="194">
        <f t="shared" si="2"/>
        <v>0</v>
      </c>
      <c r="I263" s="221">
        <f t="shared" si="40"/>
        <v>0</v>
      </c>
      <c r="J263" s="222">
        <f t="shared" si="41"/>
        <v>0</v>
      </c>
      <c r="K263" s="223">
        <f t="shared" si="42"/>
        <v>0</v>
      </c>
      <c r="L263" s="222">
        <f t="shared" si="43"/>
        <v>0</v>
      </c>
      <c r="M263" s="223">
        <f t="shared" si="44"/>
        <v>0</v>
      </c>
      <c r="N263" s="224"/>
      <c r="O263" s="232"/>
    </row>
    <row r="264" ht="15.75" customHeight="1">
      <c r="A264" s="239"/>
      <c r="B264" s="215"/>
      <c r="C264" s="247"/>
      <c r="D264" s="234"/>
      <c r="E264" s="246"/>
      <c r="F264" s="219">
        <f t="shared" si="39"/>
        <v>0</v>
      </c>
      <c r="G264" s="244"/>
      <c r="H264" s="194">
        <f t="shared" si="2"/>
        <v>0</v>
      </c>
      <c r="I264" s="221">
        <f t="shared" si="40"/>
        <v>0</v>
      </c>
      <c r="J264" s="222">
        <f t="shared" si="41"/>
        <v>0</v>
      </c>
      <c r="K264" s="223">
        <f t="shared" si="42"/>
        <v>0</v>
      </c>
      <c r="L264" s="222">
        <f t="shared" si="43"/>
        <v>0</v>
      </c>
      <c r="M264" s="223">
        <f t="shared" si="44"/>
        <v>0</v>
      </c>
      <c r="N264" s="224"/>
      <c r="O264" s="232"/>
    </row>
    <row r="265" ht="15.75" customHeight="1">
      <c r="A265" s="239"/>
      <c r="B265" s="215"/>
      <c r="C265" s="247"/>
      <c r="D265" s="234"/>
      <c r="E265" s="246"/>
      <c r="F265" s="219">
        <f t="shared" si="39"/>
        <v>0</v>
      </c>
      <c r="G265" s="244"/>
      <c r="H265" s="194">
        <f t="shared" si="2"/>
        <v>0</v>
      </c>
      <c r="I265" s="221">
        <f t="shared" si="40"/>
        <v>0</v>
      </c>
      <c r="J265" s="222">
        <f t="shared" si="41"/>
        <v>0</v>
      </c>
      <c r="K265" s="223">
        <f t="shared" si="42"/>
        <v>0</v>
      </c>
      <c r="L265" s="222">
        <f t="shared" si="43"/>
        <v>0</v>
      </c>
      <c r="M265" s="223">
        <f t="shared" si="44"/>
        <v>0</v>
      </c>
      <c r="N265" s="224"/>
      <c r="O265" s="232"/>
    </row>
    <row r="266" ht="15.75" customHeight="1">
      <c r="A266" s="239"/>
      <c r="B266" s="215"/>
      <c r="C266" s="247"/>
      <c r="D266" s="234"/>
      <c r="E266" s="246"/>
      <c r="F266" s="219">
        <f t="shared" si="39"/>
        <v>0</v>
      </c>
      <c r="G266" s="244"/>
      <c r="H266" s="194">
        <f t="shared" si="2"/>
        <v>0</v>
      </c>
      <c r="I266" s="221">
        <f t="shared" si="40"/>
        <v>0</v>
      </c>
      <c r="J266" s="222">
        <f t="shared" si="41"/>
        <v>0</v>
      </c>
      <c r="K266" s="223">
        <f t="shared" si="42"/>
        <v>0</v>
      </c>
      <c r="L266" s="222">
        <f t="shared" si="43"/>
        <v>0</v>
      </c>
      <c r="M266" s="223">
        <f t="shared" si="44"/>
        <v>0</v>
      </c>
      <c r="N266" s="224"/>
      <c r="O266" s="232"/>
    </row>
    <row r="267" ht="15.75" customHeight="1">
      <c r="A267" s="239"/>
      <c r="B267" s="215"/>
      <c r="C267" s="247"/>
      <c r="D267" s="234"/>
      <c r="E267" s="246"/>
      <c r="F267" s="219">
        <f t="shared" si="39"/>
        <v>0</v>
      </c>
      <c r="G267" s="244"/>
      <c r="H267" s="194">
        <f t="shared" si="2"/>
        <v>0</v>
      </c>
      <c r="I267" s="221">
        <f t="shared" si="40"/>
        <v>0</v>
      </c>
      <c r="J267" s="222">
        <f t="shared" si="41"/>
        <v>0</v>
      </c>
      <c r="K267" s="223">
        <f t="shared" si="42"/>
        <v>0</v>
      </c>
      <c r="L267" s="222">
        <f t="shared" si="43"/>
        <v>0</v>
      </c>
      <c r="M267" s="223">
        <f t="shared" si="44"/>
        <v>0</v>
      </c>
      <c r="N267" s="224"/>
      <c r="O267" s="232"/>
    </row>
    <row r="268" ht="15.75" customHeight="1">
      <c r="A268" s="239"/>
      <c r="B268" s="215"/>
      <c r="C268" s="248"/>
      <c r="D268" s="234"/>
      <c r="E268" s="246"/>
      <c r="F268" s="219">
        <f t="shared" si="39"/>
        <v>0</v>
      </c>
      <c r="G268" s="244"/>
      <c r="H268" s="194">
        <f t="shared" si="2"/>
        <v>0</v>
      </c>
      <c r="I268" s="221">
        <f t="shared" si="40"/>
        <v>0</v>
      </c>
      <c r="J268" s="222">
        <f t="shared" si="41"/>
        <v>0</v>
      </c>
      <c r="K268" s="223">
        <f t="shared" si="42"/>
        <v>0</v>
      </c>
      <c r="L268" s="222">
        <f t="shared" si="43"/>
        <v>0</v>
      </c>
      <c r="M268" s="223">
        <f t="shared" si="44"/>
        <v>0</v>
      </c>
      <c r="N268" s="224"/>
      <c r="O268" s="232"/>
    </row>
    <row r="269" ht="15.75" customHeight="1">
      <c r="A269" s="239"/>
      <c r="B269" s="215"/>
      <c r="C269" s="245"/>
      <c r="D269" s="234"/>
      <c r="E269" s="246"/>
      <c r="F269" s="219">
        <f t="shared" si="39"/>
        <v>0</v>
      </c>
      <c r="G269" s="244"/>
      <c r="H269" s="194">
        <f t="shared" si="2"/>
        <v>0</v>
      </c>
      <c r="I269" s="221">
        <f t="shared" si="40"/>
        <v>0</v>
      </c>
      <c r="J269" s="222">
        <f t="shared" si="41"/>
        <v>0</v>
      </c>
      <c r="K269" s="223">
        <f t="shared" si="42"/>
        <v>0</v>
      </c>
      <c r="L269" s="222">
        <f t="shared" si="43"/>
        <v>0</v>
      </c>
      <c r="M269" s="223">
        <f t="shared" si="44"/>
        <v>0</v>
      </c>
      <c r="N269" s="224"/>
      <c r="O269" s="232"/>
    </row>
    <row r="270" ht="15.75" customHeight="1">
      <c r="A270" s="239"/>
      <c r="B270" s="215"/>
      <c r="C270" s="247"/>
      <c r="D270" s="234"/>
      <c r="E270" s="246"/>
      <c r="F270" s="219">
        <f t="shared" si="39"/>
        <v>0</v>
      </c>
      <c r="G270" s="244"/>
      <c r="H270" s="194">
        <f t="shared" si="2"/>
        <v>0</v>
      </c>
      <c r="I270" s="221">
        <f t="shared" si="40"/>
        <v>0</v>
      </c>
      <c r="J270" s="222">
        <f t="shared" si="41"/>
        <v>0</v>
      </c>
      <c r="K270" s="223">
        <f t="shared" si="42"/>
        <v>0</v>
      </c>
      <c r="L270" s="222">
        <f t="shared" si="43"/>
        <v>0</v>
      </c>
      <c r="M270" s="223">
        <f t="shared" si="44"/>
        <v>0</v>
      </c>
      <c r="N270" s="224"/>
      <c r="O270" s="232"/>
    </row>
    <row r="271" ht="15.75" customHeight="1">
      <c r="A271" s="239"/>
      <c r="B271" s="215"/>
      <c r="C271" s="247"/>
      <c r="D271" s="234"/>
      <c r="E271" s="246"/>
      <c r="F271" s="219">
        <f t="shared" si="39"/>
        <v>0</v>
      </c>
      <c r="G271" s="244"/>
      <c r="H271" s="194">
        <f t="shared" si="2"/>
        <v>0</v>
      </c>
      <c r="I271" s="221">
        <f t="shared" si="40"/>
        <v>0</v>
      </c>
      <c r="J271" s="222">
        <f t="shared" si="41"/>
        <v>0</v>
      </c>
      <c r="K271" s="223">
        <f t="shared" si="42"/>
        <v>0</v>
      </c>
      <c r="L271" s="222">
        <f t="shared" si="43"/>
        <v>0</v>
      </c>
      <c r="M271" s="223">
        <f t="shared" si="44"/>
        <v>0</v>
      </c>
      <c r="N271" s="224"/>
      <c r="O271" s="232"/>
    </row>
    <row r="272" ht="15.75" customHeight="1">
      <c r="A272" s="239"/>
      <c r="B272" s="215"/>
      <c r="C272" s="245"/>
      <c r="D272" s="234"/>
      <c r="E272" s="246"/>
      <c r="F272" s="219">
        <f t="shared" si="39"/>
        <v>0</v>
      </c>
      <c r="G272" s="244"/>
      <c r="H272" s="194">
        <f t="shared" si="2"/>
        <v>0</v>
      </c>
      <c r="I272" s="221">
        <f t="shared" si="40"/>
        <v>0</v>
      </c>
      <c r="J272" s="222">
        <f t="shared" si="41"/>
        <v>0</v>
      </c>
      <c r="K272" s="223">
        <f t="shared" si="42"/>
        <v>0</v>
      </c>
      <c r="L272" s="222">
        <f t="shared" si="43"/>
        <v>0</v>
      </c>
      <c r="M272" s="223">
        <f t="shared" si="44"/>
        <v>0</v>
      </c>
      <c r="N272" s="224"/>
      <c r="O272" s="232"/>
    </row>
    <row r="273" ht="15.75" customHeight="1">
      <c r="A273" s="239"/>
      <c r="B273" s="215"/>
      <c r="C273" s="245"/>
      <c r="D273" s="234"/>
      <c r="E273" s="246"/>
      <c r="F273" s="219">
        <f t="shared" si="39"/>
        <v>0</v>
      </c>
      <c r="G273" s="244"/>
      <c r="H273" s="194">
        <f t="shared" si="2"/>
        <v>0</v>
      </c>
      <c r="I273" s="221">
        <f t="shared" si="40"/>
        <v>0</v>
      </c>
      <c r="J273" s="222">
        <f t="shared" si="41"/>
        <v>0</v>
      </c>
      <c r="K273" s="223">
        <f t="shared" si="42"/>
        <v>0</v>
      </c>
      <c r="L273" s="222">
        <f t="shared" si="43"/>
        <v>0</v>
      </c>
      <c r="M273" s="223">
        <f t="shared" si="44"/>
        <v>0</v>
      </c>
      <c r="N273" s="224"/>
      <c r="O273" s="232"/>
    </row>
    <row r="274" ht="15.75" customHeight="1">
      <c r="A274" s="239"/>
      <c r="B274" s="215"/>
      <c r="C274" s="245"/>
      <c r="D274" s="234"/>
      <c r="E274" s="246"/>
      <c r="F274" s="219">
        <f t="shared" si="39"/>
        <v>0</v>
      </c>
      <c r="G274" s="244"/>
      <c r="H274" s="194">
        <f t="shared" si="2"/>
        <v>0</v>
      </c>
      <c r="I274" s="221">
        <f t="shared" si="40"/>
        <v>0</v>
      </c>
      <c r="J274" s="222">
        <f t="shared" si="41"/>
        <v>0</v>
      </c>
      <c r="K274" s="223">
        <f t="shared" si="42"/>
        <v>0</v>
      </c>
      <c r="L274" s="222">
        <f t="shared" si="43"/>
        <v>0</v>
      </c>
      <c r="M274" s="223">
        <f t="shared" si="44"/>
        <v>0</v>
      </c>
      <c r="N274" s="224"/>
      <c r="O274" s="232"/>
    </row>
    <row r="275" ht="15.75" customHeight="1">
      <c r="A275" s="239"/>
      <c r="B275" s="215"/>
      <c r="C275" s="245"/>
      <c r="D275" s="234"/>
      <c r="E275" s="246"/>
      <c r="F275" s="219">
        <f t="shared" si="39"/>
        <v>0</v>
      </c>
      <c r="G275" s="244"/>
      <c r="H275" s="194">
        <f t="shared" si="2"/>
        <v>0</v>
      </c>
      <c r="I275" s="221">
        <f t="shared" si="40"/>
        <v>0</v>
      </c>
      <c r="J275" s="222">
        <f t="shared" si="41"/>
        <v>0</v>
      </c>
      <c r="K275" s="223">
        <f t="shared" si="42"/>
        <v>0</v>
      </c>
      <c r="L275" s="222">
        <f t="shared" si="43"/>
        <v>0</v>
      </c>
      <c r="M275" s="223">
        <f t="shared" si="44"/>
        <v>0</v>
      </c>
      <c r="N275" s="224"/>
      <c r="O275" s="232"/>
    </row>
    <row r="276" ht="15.75" customHeight="1">
      <c r="A276" s="239"/>
      <c r="B276" s="215"/>
      <c r="C276" s="245"/>
      <c r="D276" s="234"/>
      <c r="E276" s="246"/>
      <c r="F276" s="219">
        <f t="shared" si="39"/>
        <v>0</v>
      </c>
      <c r="G276" s="244"/>
      <c r="H276" s="194">
        <f t="shared" si="2"/>
        <v>0</v>
      </c>
      <c r="I276" s="221">
        <f t="shared" si="40"/>
        <v>0</v>
      </c>
      <c r="J276" s="222">
        <f t="shared" si="41"/>
        <v>0</v>
      </c>
      <c r="K276" s="223">
        <f t="shared" si="42"/>
        <v>0</v>
      </c>
      <c r="L276" s="222">
        <f t="shared" si="43"/>
        <v>0</v>
      </c>
      <c r="M276" s="223">
        <f t="shared" si="44"/>
        <v>0</v>
      </c>
      <c r="N276" s="224"/>
      <c r="O276" s="232"/>
    </row>
    <row r="277" ht="15.75" customHeight="1">
      <c r="A277" s="239"/>
      <c r="B277" s="215"/>
      <c r="C277" s="245"/>
      <c r="D277" s="234"/>
      <c r="E277" s="246"/>
      <c r="F277" s="219">
        <f t="shared" si="39"/>
        <v>0</v>
      </c>
      <c r="G277" s="244"/>
      <c r="H277" s="194">
        <f t="shared" si="2"/>
        <v>0</v>
      </c>
      <c r="I277" s="221">
        <f t="shared" si="40"/>
        <v>0</v>
      </c>
      <c r="J277" s="222">
        <f t="shared" si="41"/>
        <v>0</v>
      </c>
      <c r="K277" s="223">
        <f t="shared" si="42"/>
        <v>0</v>
      </c>
      <c r="L277" s="222">
        <f t="shared" si="43"/>
        <v>0</v>
      </c>
      <c r="M277" s="223">
        <f t="shared" si="44"/>
        <v>0</v>
      </c>
      <c r="N277" s="224"/>
      <c r="O277" s="232"/>
    </row>
    <row r="278" ht="15.75" customHeight="1">
      <c r="A278" s="239"/>
      <c r="B278" s="215"/>
      <c r="C278" s="245"/>
      <c r="D278" s="251"/>
      <c r="E278" s="246"/>
      <c r="F278" s="219">
        <f t="shared" si="39"/>
        <v>0</v>
      </c>
      <c r="G278" s="244"/>
      <c r="H278" s="194">
        <f t="shared" si="2"/>
        <v>0</v>
      </c>
      <c r="I278" s="221">
        <f t="shared" si="40"/>
        <v>0</v>
      </c>
      <c r="J278" s="222">
        <f t="shared" si="41"/>
        <v>0</v>
      </c>
      <c r="K278" s="223">
        <f t="shared" si="42"/>
        <v>0</v>
      </c>
      <c r="L278" s="222">
        <f t="shared" si="43"/>
        <v>0</v>
      </c>
      <c r="M278" s="223">
        <f t="shared" si="44"/>
        <v>0</v>
      </c>
      <c r="N278" s="224"/>
      <c r="O278" s="232"/>
    </row>
    <row r="279" ht="15.75" customHeight="1">
      <c r="A279" s="239"/>
      <c r="B279" s="215"/>
      <c r="C279" s="245"/>
      <c r="D279" s="251"/>
      <c r="E279" s="246"/>
      <c r="F279" s="219">
        <f t="shared" si="39"/>
        <v>0</v>
      </c>
      <c r="G279" s="244"/>
      <c r="H279" s="194">
        <f t="shared" si="2"/>
        <v>0</v>
      </c>
      <c r="I279" s="221">
        <f t="shared" si="40"/>
        <v>0</v>
      </c>
      <c r="J279" s="222">
        <f t="shared" si="41"/>
        <v>0</v>
      </c>
      <c r="K279" s="223">
        <f t="shared" si="42"/>
        <v>0</v>
      </c>
      <c r="L279" s="222">
        <f t="shared" si="43"/>
        <v>0</v>
      </c>
      <c r="M279" s="223">
        <f t="shared" si="44"/>
        <v>0</v>
      </c>
      <c r="N279" s="224"/>
      <c r="O279" s="232"/>
    </row>
    <row r="280" ht="15.75" customHeight="1">
      <c r="A280" s="239"/>
      <c r="B280" s="215"/>
      <c r="C280" s="245"/>
      <c r="D280" s="251"/>
      <c r="E280" s="246"/>
      <c r="F280" s="219">
        <f t="shared" si="39"/>
        <v>0</v>
      </c>
      <c r="G280" s="244"/>
      <c r="H280" s="194">
        <f t="shared" si="2"/>
        <v>0</v>
      </c>
      <c r="I280" s="221">
        <f t="shared" si="40"/>
        <v>0</v>
      </c>
      <c r="J280" s="222">
        <f t="shared" si="41"/>
        <v>0</v>
      </c>
      <c r="K280" s="223">
        <f t="shared" si="42"/>
        <v>0</v>
      </c>
      <c r="L280" s="222">
        <f t="shared" si="43"/>
        <v>0</v>
      </c>
      <c r="M280" s="223">
        <f t="shared" si="44"/>
        <v>0</v>
      </c>
      <c r="N280" s="224"/>
      <c r="O280" s="232"/>
    </row>
    <row r="281" ht="15.75" customHeight="1">
      <c r="A281" s="239"/>
      <c r="B281" s="215"/>
      <c r="C281" s="245"/>
      <c r="D281" s="251"/>
      <c r="E281" s="246"/>
      <c r="F281" s="219">
        <f t="shared" si="39"/>
        <v>0</v>
      </c>
      <c r="G281" s="244"/>
      <c r="H281" s="194">
        <f t="shared" si="2"/>
        <v>0</v>
      </c>
      <c r="I281" s="221">
        <f t="shared" si="40"/>
        <v>0</v>
      </c>
      <c r="J281" s="222">
        <f t="shared" si="41"/>
        <v>0</v>
      </c>
      <c r="K281" s="223">
        <f t="shared" si="42"/>
        <v>0</v>
      </c>
      <c r="L281" s="222">
        <f t="shared" si="43"/>
        <v>0</v>
      </c>
      <c r="M281" s="223">
        <f t="shared" si="44"/>
        <v>0</v>
      </c>
      <c r="N281" s="224"/>
      <c r="O281" s="232"/>
    </row>
    <row r="282" ht="15.75" customHeight="1">
      <c r="A282" s="239"/>
      <c r="B282" s="215"/>
      <c r="C282" s="245"/>
      <c r="D282" s="251"/>
      <c r="E282" s="246"/>
      <c r="F282" s="219">
        <f t="shared" si="39"/>
        <v>0</v>
      </c>
      <c r="G282" s="244"/>
      <c r="H282" s="194">
        <f t="shared" si="2"/>
        <v>0</v>
      </c>
      <c r="I282" s="221">
        <f t="shared" si="40"/>
        <v>0</v>
      </c>
      <c r="J282" s="222">
        <f t="shared" si="41"/>
        <v>0</v>
      </c>
      <c r="K282" s="223">
        <f t="shared" si="42"/>
        <v>0</v>
      </c>
      <c r="L282" s="222">
        <f t="shared" si="43"/>
        <v>0</v>
      </c>
      <c r="M282" s="223">
        <f t="shared" si="44"/>
        <v>0</v>
      </c>
      <c r="N282" s="224"/>
      <c r="O282" s="232"/>
    </row>
    <row r="283" ht="15.75" customHeight="1">
      <c r="A283" s="239"/>
      <c r="B283" s="215"/>
      <c r="C283" s="248"/>
      <c r="D283" s="251"/>
      <c r="E283" s="246"/>
      <c r="F283" s="219">
        <f t="shared" si="39"/>
        <v>0</v>
      </c>
      <c r="G283" s="244"/>
      <c r="H283" s="194">
        <f t="shared" si="2"/>
        <v>0</v>
      </c>
      <c r="I283" s="221">
        <f t="shared" si="40"/>
        <v>0</v>
      </c>
      <c r="J283" s="222">
        <f t="shared" si="41"/>
        <v>0</v>
      </c>
      <c r="K283" s="223">
        <f t="shared" si="42"/>
        <v>0</v>
      </c>
      <c r="L283" s="222">
        <f t="shared" si="43"/>
        <v>0</v>
      </c>
      <c r="M283" s="223">
        <f t="shared" si="44"/>
        <v>0</v>
      </c>
      <c r="N283" s="224"/>
      <c r="O283" s="232"/>
    </row>
    <row r="284" ht="15.75" customHeight="1">
      <c r="A284" s="239"/>
      <c r="B284" s="215"/>
      <c r="C284" s="248"/>
      <c r="D284" s="214"/>
      <c r="E284" s="246"/>
      <c r="F284" s="219">
        <f t="shared" si="39"/>
        <v>0</v>
      </c>
      <c r="G284" s="244"/>
      <c r="H284" s="194">
        <f t="shared" si="2"/>
        <v>0</v>
      </c>
      <c r="I284" s="221">
        <f t="shared" si="40"/>
        <v>0</v>
      </c>
      <c r="J284" s="222">
        <f t="shared" si="41"/>
        <v>0</v>
      </c>
      <c r="K284" s="223">
        <f t="shared" si="42"/>
        <v>0</v>
      </c>
      <c r="L284" s="222">
        <f t="shared" si="43"/>
        <v>0</v>
      </c>
      <c r="M284" s="223">
        <f t="shared" si="44"/>
        <v>0</v>
      </c>
      <c r="N284" s="224"/>
      <c r="O284" s="232"/>
    </row>
    <row r="285" ht="15.75" customHeight="1">
      <c r="A285" s="239"/>
      <c r="B285" s="215"/>
      <c r="C285" s="248"/>
      <c r="D285" s="214"/>
      <c r="E285" s="246"/>
      <c r="F285" s="219">
        <f t="shared" si="39"/>
        <v>0</v>
      </c>
      <c r="G285" s="244"/>
      <c r="H285" s="194">
        <f t="shared" si="2"/>
        <v>0</v>
      </c>
      <c r="I285" s="221">
        <f t="shared" si="40"/>
        <v>0</v>
      </c>
      <c r="J285" s="222">
        <f t="shared" si="41"/>
        <v>0</v>
      </c>
      <c r="K285" s="223">
        <f t="shared" si="42"/>
        <v>0</v>
      </c>
      <c r="L285" s="222">
        <f t="shared" si="43"/>
        <v>0</v>
      </c>
      <c r="M285" s="223">
        <f t="shared" si="44"/>
        <v>0</v>
      </c>
      <c r="N285" s="224"/>
      <c r="O285" s="232"/>
    </row>
    <row r="286" ht="15.75" customHeight="1">
      <c r="A286" s="239"/>
      <c r="B286" s="215"/>
      <c r="C286" s="248"/>
      <c r="D286" s="251"/>
      <c r="E286" s="246"/>
      <c r="F286" s="219">
        <f t="shared" si="39"/>
        <v>0</v>
      </c>
      <c r="G286" s="244"/>
      <c r="H286" s="194">
        <f t="shared" si="2"/>
        <v>0</v>
      </c>
      <c r="I286" s="221">
        <f t="shared" si="40"/>
        <v>0</v>
      </c>
      <c r="J286" s="222">
        <f t="shared" si="41"/>
        <v>0</v>
      </c>
      <c r="K286" s="223">
        <f t="shared" si="42"/>
        <v>0</v>
      </c>
      <c r="L286" s="222">
        <f t="shared" si="43"/>
        <v>0</v>
      </c>
      <c r="M286" s="223">
        <f t="shared" si="44"/>
        <v>0</v>
      </c>
      <c r="N286" s="224"/>
      <c r="O286" s="232"/>
    </row>
    <row r="287" ht="15.75" customHeight="1">
      <c r="A287" s="239"/>
      <c r="B287" s="215"/>
      <c r="C287" s="245"/>
      <c r="D287" s="251"/>
      <c r="E287" s="246"/>
      <c r="F287" s="219">
        <f t="shared" si="39"/>
        <v>0</v>
      </c>
      <c r="G287" s="244"/>
      <c r="H287" s="194">
        <f t="shared" si="2"/>
        <v>0</v>
      </c>
      <c r="I287" s="221">
        <f t="shared" si="40"/>
        <v>0</v>
      </c>
      <c r="J287" s="222">
        <f t="shared" si="41"/>
        <v>0</v>
      </c>
      <c r="K287" s="223">
        <f t="shared" si="42"/>
        <v>0</v>
      </c>
      <c r="L287" s="222">
        <f t="shared" si="43"/>
        <v>0</v>
      </c>
      <c r="M287" s="223">
        <f t="shared" si="44"/>
        <v>0</v>
      </c>
      <c r="N287" s="224"/>
      <c r="O287" s="232"/>
    </row>
    <row r="288" ht="15.75" customHeight="1">
      <c r="A288" s="239"/>
      <c r="B288" s="215"/>
      <c r="C288" s="245"/>
      <c r="D288" s="251"/>
      <c r="E288" s="246"/>
      <c r="F288" s="219">
        <f t="shared" si="39"/>
        <v>0</v>
      </c>
      <c r="G288" s="244"/>
      <c r="H288" s="194">
        <f t="shared" si="2"/>
        <v>0</v>
      </c>
      <c r="I288" s="221">
        <f t="shared" si="40"/>
        <v>0</v>
      </c>
      <c r="J288" s="222">
        <f t="shared" si="41"/>
        <v>0</v>
      </c>
      <c r="K288" s="223">
        <f t="shared" si="42"/>
        <v>0</v>
      </c>
      <c r="L288" s="222">
        <f t="shared" si="43"/>
        <v>0</v>
      </c>
      <c r="M288" s="223">
        <f t="shared" si="44"/>
        <v>0</v>
      </c>
      <c r="N288" s="224"/>
      <c r="O288" s="232"/>
    </row>
    <row r="289" ht="15.75" customHeight="1">
      <c r="A289" s="239"/>
      <c r="B289" s="215"/>
      <c r="C289" s="245"/>
      <c r="D289" s="251"/>
      <c r="E289" s="246"/>
      <c r="F289" s="219">
        <f t="shared" si="39"/>
        <v>0</v>
      </c>
      <c r="G289" s="244"/>
      <c r="H289" s="194">
        <f t="shared" si="2"/>
        <v>0</v>
      </c>
      <c r="I289" s="221">
        <f t="shared" si="40"/>
        <v>0</v>
      </c>
      <c r="J289" s="222">
        <f t="shared" si="41"/>
        <v>0</v>
      </c>
      <c r="K289" s="223">
        <f t="shared" si="42"/>
        <v>0</v>
      </c>
      <c r="L289" s="222">
        <f t="shared" si="43"/>
        <v>0</v>
      </c>
      <c r="M289" s="223">
        <f t="shared" si="44"/>
        <v>0</v>
      </c>
      <c r="N289" s="224"/>
      <c r="O289" s="232"/>
    </row>
    <row r="290" ht="15.75" customHeight="1">
      <c r="A290" s="239"/>
      <c r="B290" s="215"/>
      <c r="C290" s="245"/>
      <c r="D290" s="251"/>
      <c r="E290" s="246"/>
      <c r="F290" s="219">
        <f t="shared" si="39"/>
        <v>0</v>
      </c>
      <c r="G290" s="244"/>
      <c r="H290" s="194">
        <f t="shared" si="2"/>
        <v>0</v>
      </c>
      <c r="I290" s="221">
        <f t="shared" si="40"/>
        <v>0</v>
      </c>
      <c r="J290" s="222">
        <f t="shared" si="41"/>
        <v>0</v>
      </c>
      <c r="K290" s="223">
        <f t="shared" si="42"/>
        <v>0</v>
      </c>
      <c r="L290" s="222">
        <f t="shared" si="43"/>
        <v>0</v>
      </c>
      <c r="M290" s="223">
        <f t="shared" si="44"/>
        <v>0</v>
      </c>
      <c r="N290" s="224"/>
      <c r="O290" s="232"/>
    </row>
    <row r="291" ht="15.75" customHeight="1">
      <c r="A291" s="239"/>
      <c r="B291" s="215"/>
      <c r="C291" s="245"/>
      <c r="D291" s="251"/>
      <c r="E291" s="246"/>
      <c r="F291" s="219">
        <f t="shared" si="39"/>
        <v>0</v>
      </c>
      <c r="G291" s="244"/>
      <c r="H291" s="194">
        <f t="shared" si="2"/>
        <v>0</v>
      </c>
      <c r="I291" s="221">
        <f t="shared" si="40"/>
        <v>0</v>
      </c>
      <c r="J291" s="222">
        <f t="shared" si="41"/>
        <v>0</v>
      </c>
      <c r="K291" s="223">
        <f t="shared" si="42"/>
        <v>0</v>
      </c>
      <c r="L291" s="222">
        <f t="shared" si="43"/>
        <v>0</v>
      </c>
      <c r="M291" s="223">
        <f t="shared" si="44"/>
        <v>0</v>
      </c>
      <c r="N291" s="224"/>
      <c r="O291" s="232"/>
    </row>
    <row r="292" ht="15.75" customHeight="1">
      <c r="A292" s="239"/>
      <c r="B292" s="215"/>
      <c r="C292" s="245"/>
      <c r="D292" s="251"/>
      <c r="E292" s="246"/>
      <c r="F292" s="219">
        <f t="shared" si="39"/>
        <v>0</v>
      </c>
      <c r="G292" s="244"/>
      <c r="H292" s="194">
        <f t="shared" si="2"/>
        <v>0</v>
      </c>
      <c r="I292" s="221">
        <f t="shared" si="40"/>
        <v>0</v>
      </c>
      <c r="J292" s="222">
        <f t="shared" si="41"/>
        <v>0</v>
      </c>
      <c r="K292" s="223">
        <f t="shared" si="42"/>
        <v>0</v>
      </c>
      <c r="L292" s="222">
        <f t="shared" si="43"/>
        <v>0</v>
      </c>
      <c r="M292" s="223">
        <f t="shared" si="44"/>
        <v>0</v>
      </c>
      <c r="N292" s="224"/>
      <c r="O292" s="232"/>
    </row>
    <row r="293" ht="15.75" customHeight="1">
      <c r="A293" s="239"/>
      <c r="B293" s="215"/>
      <c r="C293" s="245"/>
      <c r="D293" s="251"/>
      <c r="E293" s="246"/>
      <c r="F293" s="219">
        <f t="shared" si="39"/>
        <v>0</v>
      </c>
      <c r="G293" s="244"/>
      <c r="H293" s="194">
        <f t="shared" si="2"/>
        <v>0</v>
      </c>
      <c r="I293" s="221">
        <f t="shared" si="40"/>
        <v>0</v>
      </c>
      <c r="J293" s="222">
        <f t="shared" si="41"/>
        <v>0</v>
      </c>
      <c r="K293" s="223">
        <f t="shared" si="42"/>
        <v>0</v>
      </c>
      <c r="L293" s="222">
        <f t="shared" si="43"/>
        <v>0</v>
      </c>
      <c r="M293" s="223">
        <f t="shared" si="44"/>
        <v>0</v>
      </c>
      <c r="N293" s="224"/>
      <c r="O293" s="232"/>
    </row>
    <row r="294" ht="15.75" customHeight="1">
      <c r="A294" s="239"/>
      <c r="B294" s="215"/>
      <c r="C294" s="245"/>
      <c r="D294" s="251"/>
      <c r="E294" s="246"/>
      <c r="F294" s="219">
        <f t="shared" si="39"/>
        <v>0</v>
      </c>
      <c r="G294" s="244"/>
      <c r="H294" s="194">
        <f t="shared" si="2"/>
        <v>0</v>
      </c>
      <c r="I294" s="221">
        <f t="shared" si="40"/>
        <v>0</v>
      </c>
      <c r="J294" s="222">
        <f t="shared" si="41"/>
        <v>0</v>
      </c>
      <c r="K294" s="223">
        <f t="shared" si="42"/>
        <v>0</v>
      </c>
      <c r="L294" s="222">
        <f t="shared" si="43"/>
        <v>0</v>
      </c>
      <c r="M294" s="223">
        <f t="shared" si="44"/>
        <v>0</v>
      </c>
      <c r="N294" s="224"/>
      <c r="O294" s="232"/>
    </row>
    <row r="295" ht="15.75" customHeight="1">
      <c r="A295" s="239"/>
      <c r="B295" s="215"/>
      <c r="C295" s="248"/>
      <c r="D295" s="214"/>
      <c r="E295" s="246"/>
      <c r="F295" s="219">
        <f t="shared" si="39"/>
        <v>0</v>
      </c>
      <c r="G295" s="244"/>
      <c r="H295" s="194">
        <f t="shared" si="2"/>
        <v>0</v>
      </c>
      <c r="I295" s="221">
        <f t="shared" si="40"/>
        <v>0</v>
      </c>
      <c r="J295" s="222">
        <f t="shared" si="41"/>
        <v>0</v>
      </c>
      <c r="K295" s="223">
        <f t="shared" si="42"/>
        <v>0</v>
      </c>
      <c r="L295" s="222">
        <f t="shared" si="43"/>
        <v>0</v>
      </c>
      <c r="M295" s="223">
        <f t="shared" si="44"/>
        <v>0</v>
      </c>
      <c r="N295" s="224"/>
      <c r="O295" s="232"/>
    </row>
    <row r="296" ht="15.75" customHeight="1">
      <c r="A296" s="239"/>
      <c r="B296" s="215"/>
      <c r="C296" s="248"/>
      <c r="D296" s="214"/>
      <c r="E296" s="246"/>
      <c r="F296" s="219">
        <f t="shared" si="39"/>
        <v>0</v>
      </c>
      <c r="G296" s="244"/>
      <c r="H296" s="194">
        <f t="shared" si="2"/>
        <v>0</v>
      </c>
      <c r="I296" s="221">
        <f t="shared" si="40"/>
        <v>0</v>
      </c>
      <c r="J296" s="222">
        <f t="shared" si="41"/>
        <v>0</v>
      </c>
      <c r="K296" s="223">
        <f t="shared" si="42"/>
        <v>0</v>
      </c>
      <c r="L296" s="222">
        <f t="shared" si="43"/>
        <v>0</v>
      </c>
      <c r="M296" s="223">
        <f t="shared" si="44"/>
        <v>0</v>
      </c>
      <c r="N296" s="224"/>
      <c r="O296" s="232"/>
    </row>
    <row r="297" ht="15.75" customHeight="1">
      <c r="A297" s="239"/>
      <c r="B297" s="215"/>
      <c r="C297" s="247"/>
      <c r="D297" s="251"/>
      <c r="E297" s="246"/>
      <c r="F297" s="219">
        <f t="shared" si="39"/>
        <v>0</v>
      </c>
      <c r="G297" s="244"/>
      <c r="H297" s="194">
        <f t="shared" si="2"/>
        <v>0</v>
      </c>
      <c r="I297" s="221">
        <f t="shared" si="40"/>
        <v>0</v>
      </c>
      <c r="J297" s="222">
        <f t="shared" si="41"/>
        <v>0</v>
      </c>
      <c r="K297" s="223">
        <f t="shared" si="42"/>
        <v>0</v>
      </c>
      <c r="L297" s="222">
        <f t="shared" si="43"/>
        <v>0</v>
      </c>
      <c r="M297" s="223">
        <f t="shared" si="44"/>
        <v>0</v>
      </c>
      <c r="N297" s="224"/>
      <c r="O297" s="232"/>
    </row>
    <row r="298" ht="15.75" customHeight="1">
      <c r="A298" s="239"/>
      <c r="B298" s="215"/>
      <c r="C298" s="245"/>
      <c r="D298" s="251"/>
      <c r="E298" s="246"/>
      <c r="F298" s="219">
        <f t="shared" si="39"/>
        <v>0</v>
      </c>
      <c r="G298" s="244"/>
      <c r="H298" s="194">
        <f t="shared" si="2"/>
        <v>0</v>
      </c>
      <c r="I298" s="221">
        <f t="shared" si="40"/>
        <v>0</v>
      </c>
      <c r="J298" s="222">
        <f t="shared" si="41"/>
        <v>0</v>
      </c>
      <c r="K298" s="223">
        <f t="shared" si="42"/>
        <v>0</v>
      </c>
      <c r="L298" s="222">
        <f t="shared" si="43"/>
        <v>0</v>
      </c>
      <c r="M298" s="223">
        <f t="shared" si="44"/>
        <v>0</v>
      </c>
      <c r="N298" s="224"/>
      <c r="O298" s="232"/>
    </row>
    <row r="299" ht="15.75" customHeight="1">
      <c r="A299" s="239"/>
      <c r="B299" s="215"/>
      <c r="C299" s="245"/>
      <c r="D299" s="251"/>
      <c r="E299" s="246"/>
      <c r="F299" s="219">
        <f t="shared" si="39"/>
        <v>0</v>
      </c>
      <c r="G299" s="244"/>
      <c r="H299" s="194">
        <f t="shared" si="2"/>
        <v>0</v>
      </c>
      <c r="I299" s="221">
        <f t="shared" si="40"/>
        <v>0</v>
      </c>
      <c r="J299" s="222">
        <f t="shared" si="41"/>
        <v>0</v>
      </c>
      <c r="K299" s="223">
        <f t="shared" si="42"/>
        <v>0</v>
      </c>
      <c r="L299" s="222">
        <f t="shared" si="43"/>
        <v>0</v>
      </c>
      <c r="M299" s="223">
        <f t="shared" si="44"/>
        <v>0</v>
      </c>
      <c r="N299" s="224"/>
      <c r="O299" s="232"/>
    </row>
    <row r="300" ht="15.75" customHeight="1">
      <c r="A300" s="239"/>
      <c r="B300" s="215"/>
      <c r="C300" s="247"/>
      <c r="D300" s="251"/>
      <c r="E300" s="246"/>
      <c r="F300" s="219">
        <f t="shared" si="39"/>
        <v>0</v>
      </c>
      <c r="G300" s="244"/>
      <c r="H300" s="194">
        <f t="shared" si="2"/>
        <v>0</v>
      </c>
      <c r="I300" s="221">
        <f t="shared" si="40"/>
        <v>0</v>
      </c>
      <c r="J300" s="222">
        <f t="shared" si="41"/>
        <v>0</v>
      </c>
      <c r="K300" s="223">
        <f t="shared" si="42"/>
        <v>0</v>
      </c>
      <c r="L300" s="222">
        <f t="shared" si="43"/>
        <v>0</v>
      </c>
      <c r="M300" s="223">
        <f t="shared" si="44"/>
        <v>0</v>
      </c>
      <c r="N300" s="224"/>
      <c r="O300" s="232"/>
    </row>
    <row r="301" ht="15.75" customHeight="1">
      <c r="A301" s="239"/>
      <c r="B301" s="215"/>
      <c r="C301" s="247"/>
      <c r="D301" s="251"/>
      <c r="E301" s="246"/>
      <c r="F301" s="219">
        <f t="shared" si="39"/>
        <v>0</v>
      </c>
      <c r="G301" s="244"/>
      <c r="H301" s="194">
        <f t="shared" si="2"/>
        <v>0</v>
      </c>
      <c r="I301" s="221">
        <f t="shared" si="40"/>
        <v>0</v>
      </c>
      <c r="J301" s="222">
        <f t="shared" si="41"/>
        <v>0</v>
      </c>
      <c r="K301" s="223">
        <f t="shared" si="42"/>
        <v>0</v>
      </c>
      <c r="L301" s="222">
        <f t="shared" si="43"/>
        <v>0</v>
      </c>
      <c r="M301" s="223">
        <f t="shared" si="44"/>
        <v>0</v>
      </c>
      <c r="N301" s="224"/>
      <c r="O301" s="232"/>
    </row>
    <row r="302" ht="15.75" customHeight="1">
      <c r="A302" s="239"/>
      <c r="B302" s="215"/>
      <c r="C302" s="247"/>
      <c r="D302" s="214"/>
      <c r="E302" s="246"/>
      <c r="F302" s="219">
        <f t="shared" si="39"/>
        <v>0</v>
      </c>
      <c r="G302" s="244"/>
      <c r="H302" s="194">
        <f t="shared" si="2"/>
        <v>0</v>
      </c>
      <c r="I302" s="221">
        <f t="shared" si="40"/>
        <v>0</v>
      </c>
      <c r="J302" s="222">
        <f t="shared" si="41"/>
        <v>0</v>
      </c>
      <c r="K302" s="223">
        <f t="shared" si="42"/>
        <v>0</v>
      </c>
      <c r="L302" s="222">
        <f t="shared" si="43"/>
        <v>0</v>
      </c>
      <c r="M302" s="223">
        <f t="shared" si="44"/>
        <v>0</v>
      </c>
      <c r="N302" s="224"/>
      <c r="O302" s="232"/>
    </row>
    <row r="303" ht="15.75" customHeight="1">
      <c r="A303" s="239"/>
      <c r="B303" s="215"/>
      <c r="C303" s="252"/>
      <c r="D303" s="253"/>
      <c r="E303" s="246"/>
      <c r="F303" s="219">
        <f t="shared" si="39"/>
        <v>0</v>
      </c>
      <c r="G303" s="244"/>
      <c r="H303" s="194">
        <f t="shared" si="2"/>
        <v>0</v>
      </c>
      <c r="I303" s="221">
        <f t="shared" si="40"/>
        <v>0</v>
      </c>
      <c r="J303" s="222">
        <f t="shared" si="41"/>
        <v>0</v>
      </c>
      <c r="K303" s="223">
        <f t="shared" si="42"/>
        <v>0</v>
      </c>
      <c r="L303" s="222">
        <f t="shared" si="43"/>
        <v>0</v>
      </c>
      <c r="M303" s="223">
        <f t="shared" si="44"/>
        <v>0</v>
      </c>
      <c r="N303" s="224"/>
      <c r="O303" s="232"/>
    </row>
    <row r="304" ht="15.75" customHeight="1">
      <c r="A304" s="239"/>
      <c r="B304" s="215"/>
      <c r="C304" s="248"/>
      <c r="D304" s="214"/>
      <c r="E304" s="246"/>
      <c r="F304" s="219">
        <f t="shared" si="39"/>
        <v>0</v>
      </c>
      <c r="G304" s="244"/>
      <c r="H304" s="194">
        <f t="shared" si="2"/>
        <v>0</v>
      </c>
      <c r="I304" s="221">
        <f t="shared" si="40"/>
        <v>0</v>
      </c>
      <c r="J304" s="222">
        <f t="shared" si="41"/>
        <v>0</v>
      </c>
      <c r="K304" s="223">
        <f t="shared" si="42"/>
        <v>0</v>
      </c>
      <c r="L304" s="222">
        <f t="shared" si="43"/>
        <v>0</v>
      </c>
      <c r="M304" s="223">
        <f t="shared" si="44"/>
        <v>0</v>
      </c>
      <c r="N304" s="224"/>
      <c r="O304" s="232"/>
    </row>
    <row r="305" ht="15.75" customHeight="1">
      <c r="A305" s="239"/>
      <c r="B305" s="215"/>
      <c r="C305" s="245"/>
      <c r="D305" s="214"/>
      <c r="E305" s="246"/>
      <c r="F305" s="219">
        <f t="shared" si="39"/>
        <v>0</v>
      </c>
      <c r="G305" s="244"/>
      <c r="H305" s="194">
        <f t="shared" si="2"/>
        <v>0</v>
      </c>
      <c r="I305" s="221">
        <f t="shared" si="40"/>
        <v>0</v>
      </c>
      <c r="J305" s="222">
        <f t="shared" si="41"/>
        <v>0</v>
      </c>
      <c r="K305" s="223">
        <f t="shared" si="42"/>
        <v>0</v>
      </c>
      <c r="L305" s="222">
        <f t="shared" si="43"/>
        <v>0</v>
      </c>
      <c r="M305" s="223">
        <f t="shared" si="44"/>
        <v>0</v>
      </c>
      <c r="N305" s="224"/>
      <c r="O305" s="232"/>
    </row>
    <row r="306" ht="15.75" customHeight="1">
      <c r="A306" s="239"/>
      <c r="B306" s="215"/>
      <c r="C306" s="245"/>
      <c r="D306" s="214"/>
      <c r="E306" s="246"/>
      <c r="F306" s="219">
        <f t="shared" si="39"/>
        <v>0</v>
      </c>
      <c r="G306" s="244"/>
      <c r="H306" s="194">
        <f t="shared" si="2"/>
        <v>0</v>
      </c>
      <c r="I306" s="221">
        <f t="shared" si="40"/>
        <v>0</v>
      </c>
      <c r="J306" s="222">
        <f t="shared" si="41"/>
        <v>0</v>
      </c>
      <c r="K306" s="223">
        <f t="shared" si="42"/>
        <v>0</v>
      </c>
      <c r="L306" s="222">
        <f t="shared" si="43"/>
        <v>0</v>
      </c>
      <c r="M306" s="223">
        <f t="shared" si="44"/>
        <v>0</v>
      </c>
      <c r="N306" s="224"/>
      <c r="O306" s="232"/>
    </row>
    <row r="307" ht="15.75" customHeight="1">
      <c r="A307" s="239"/>
      <c r="B307" s="215"/>
      <c r="C307" s="245"/>
      <c r="D307" s="214"/>
      <c r="E307" s="246"/>
      <c r="F307" s="219">
        <f t="shared" si="39"/>
        <v>0</v>
      </c>
      <c r="G307" s="244"/>
      <c r="H307" s="194">
        <f t="shared" si="2"/>
        <v>0</v>
      </c>
      <c r="I307" s="221">
        <f t="shared" si="40"/>
        <v>0</v>
      </c>
      <c r="J307" s="222">
        <f t="shared" si="41"/>
        <v>0</v>
      </c>
      <c r="K307" s="223">
        <f t="shared" si="42"/>
        <v>0</v>
      </c>
      <c r="L307" s="222">
        <f t="shared" si="43"/>
        <v>0</v>
      </c>
      <c r="M307" s="223">
        <f t="shared" si="44"/>
        <v>0</v>
      </c>
      <c r="N307" s="224"/>
      <c r="O307" s="232"/>
    </row>
    <row r="308" ht="15.75" customHeight="1">
      <c r="A308" s="239"/>
      <c r="B308" s="215"/>
      <c r="C308" s="245"/>
      <c r="D308" s="214"/>
      <c r="E308" s="246"/>
      <c r="F308" s="219">
        <f t="shared" si="39"/>
        <v>0</v>
      </c>
      <c r="G308" s="244"/>
      <c r="H308" s="194">
        <f t="shared" si="2"/>
        <v>0</v>
      </c>
      <c r="I308" s="221">
        <f t="shared" si="40"/>
        <v>0</v>
      </c>
      <c r="J308" s="222">
        <f t="shared" si="41"/>
        <v>0</v>
      </c>
      <c r="K308" s="223">
        <f t="shared" si="42"/>
        <v>0</v>
      </c>
      <c r="L308" s="222">
        <f t="shared" si="43"/>
        <v>0</v>
      </c>
      <c r="M308" s="223">
        <f t="shared" si="44"/>
        <v>0</v>
      </c>
      <c r="N308" s="224"/>
      <c r="O308" s="232"/>
    </row>
    <row r="309" ht="15.75" customHeight="1">
      <c r="A309" s="239"/>
      <c r="B309" s="215"/>
      <c r="C309" s="248"/>
      <c r="D309" s="254"/>
      <c r="E309" s="246"/>
      <c r="F309" s="219">
        <f t="shared" si="39"/>
        <v>0</v>
      </c>
      <c r="G309" s="244"/>
      <c r="H309" s="194">
        <f t="shared" si="2"/>
        <v>0</v>
      </c>
      <c r="I309" s="221">
        <f t="shared" si="40"/>
        <v>0</v>
      </c>
      <c r="J309" s="222">
        <f t="shared" si="41"/>
        <v>0</v>
      </c>
      <c r="K309" s="223">
        <f t="shared" si="42"/>
        <v>0</v>
      </c>
      <c r="L309" s="222">
        <f t="shared" si="43"/>
        <v>0</v>
      </c>
      <c r="M309" s="223">
        <f t="shared" si="44"/>
        <v>0</v>
      </c>
      <c r="N309" s="224"/>
      <c r="O309" s="232"/>
    </row>
    <row r="310" ht="15.75" customHeight="1">
      <c r="A310" s="239"/>
      <c r="B310" s="215"/>
      <c r="C310" s="248"/>
      <c r="D310" s="254"/>
      <c r="E310" s="246"/>
      <c r="F310" s="219">
        <f t="shared" si="39"/>
        <v>0</v>
      </c>
      <c r="G310" s="244"/>
      <c r="H310" s="194">
        <f t="shared" si="2"/>
        <v>0</v>
      </c>
      <c r="I310" s="221">
        <f t="shared" si="40"/>
        <v>0</v>
      </c>
      <c r="J310" s="222">
        <f t="shared" si="41"/>
        <v>0</v>
      </c>
      <c r="K310" s="223">
        <f t="shared" si="42"/>
        <v>0</v>
      </c>
      <c r="L310" s="222">
        <f t="shared" si="43"/>
        <v>0</v>
      </c>
      <c r="M310" s="223">
        <f t="shared" si="44"/>
        <v>0</v>
      </c>
      <c r="N310" s="224"/>
      <c r="O310" s="232"/>
    </row>
    <row r="311" ht="15.75" customHeight="1">
      <c r="A311" s="239"/>
      <c r="B311" s="215"/>
      <c r="C311" s="248"/>
      <c r="D311" s="214"/>
      <c r="E311" s="246"/>
      <c r="F311" s="219">
        <f t="shared" si="39"/>
        <v>0</v>
      </c>
      <c r="G311" s="244"/>
      <c r="H311" s="194">
        <f t="shared" si="2"/>
        <v>0</v>
      </c>
      <c r="I311" s="221">
        <f t="shared" si="40"/>
        <v>0</v>
      </c>
      <c r="J311" s="222">
        <f t="shared" si="41"/>
        <v>0</v>
      </c>
      <c r="K311" s="223">
        <f t="shared" si="42"/>
        <v>0</v>
      </c>
      <c r="L311" s="222">
        <f t="shared" si="43"/>
        <v>0</v>
      </c>
      <c r="M311" s="223">
        <f t="shared" si="44"/>
        <v>0</v>
      </c>
      <c r="N311" s="224"/>
      <c r="O311" s="232"/>
    </row>
    <row r="312" ht="15.75" customHeight="1">
      <c r="A312" s="239"/>
      <c r="B312" s="215"/>
      <c r="C312" s="248"/>
      <c r="D312" s="214"/>
      <c r="E312" s="246"/>
      <c r="F312" s="219">
        <f t="shared" si="39"/>
        <v>0</v>
      </c>
      <c r="G312" s="244"/>
      <c r="H312" s="194">
        <f t="shared" si="2"/>
        <v>0</v>
      </c>
      <c r="I312" s="221">
        <f t="shared" si="40"/>
        <v>0</v>
      </c>
      <c r="J312" s="222">
        <f t="shared" si="41"/>
        <v>0</v>
      </c>
      <c r="K312" s="223">
        <f t="shared" si="42"/>
        <v>0</v>
      </c>
      <c r="L312" s="222">
        <f t="shared" si="43"/>
        <v>0</v>
      </c>
      <c r="M312" s="223">
        <f t="shared" si="44"/>
        <v>0</v>
      </c>
      <c r="N312" s="224"/>
      <c r="O312" s="232"/>
    </row>
    <row r="313" ht="15.75" customHeight="1">
      <c r="A313" s="239"/>
      <c r="B313" s="215"/>
      <c r="C313" s="248"/>
      <c r="D313" s="214"/>
      <c r="E313" s="246"/>
      <c r="F313" s="219">
        <f t="shared" si="39"/>
        <v>0</v>
      </c>
      <c r="G313" s="244"/>
      <c r="H313" s="194">
        <f t="shared" si="2"/>
        <v>0</v>
      </c>
      <c r="I313" s="221">
        <f t="shared" si="40"/>
        <v>0</v>
      </c>
      <c r="J313" s="222">
        <f t="shared" si="41"/>
        <v>0</v>
      </c>
      <c r="K313" s="223">
        <f t="shared" si="42"/>
        <v>0</v>
      </c>
      <c r="L313" s="222">
        <f t="shared" si="43"/>
        <v>0</v>
      </c>
      <c r="M313" s="223">
        <f t="shared" si="44"/>
        <v>0</v>
      </c>
      <c r="N313" s="224"/>
      <c r="O313" s="232"/>
    </row>
    <row r="314" ht="15.75" customHeight="1">
      <c r="A314" s="239"/>
      <c r="B314" s="215"/>
      <c r="C314" s="248"/>
      <c r="D314" s="214"/>
      <c r="E314" s="246"/>
      <c r="F314" s="219">
        <f t="shared" si="39"/>
        <v>0</v>
      </c>
      <c r="G314" s="244"/>
      <c r="H314" s="194">
        <f t="shared" si="2"/>
        <v>0</v>
      </c>
      <c r="I314" s="221">
        <f t="shared" si="40"/>
        <v>0</v>
      </c>
      <c r="J314" s="222">
        <f t="shared" si="41"/>
        <v>0</v>
      </c>
      <c r="K314" s="223">
        <f t="shared" si="42"/>
        <v>0</v>
      </c>
      <c r="L314" s="222">
        <f t="shared" si="43"/>
        <v>0</v>
      </c>
      <c r="M314" s="223">
        <f t="shared" si="44"/>
        <v>0</v>
      </c>
      <c r="N314" s="224"/>
      <c r="O314" s="232"/>
    </row>
    <row r="315" ht="15.75" customHeight="1">
      <c r="A315" s="239"/>
      <c r="B315" s="215"/>
      <c r="C315" s="248"/>
      <c r="D315" s="214"/>
      <c r="E315" s="246"/>
      <c r="F315" s="219">
        <f t="shared" si="39"/>
        <v>0</v>
      </c>
      <c r="G315" s="244"/>
      <c r="H315" s="194">
        <f t="shared" si="2"/>
        <v>0</v>
      </c>
      <c r="I315" s="221">
        <f t="shared" si="40"/>
        <v>0</v>
      </c>
      <c r="J315" s="222">
        <f t="shared" si="41"/>
        <v>0</v>
      </c>
      <c r="K315" s="223">
        <f t="shared" si="42"/>
        <v>0</v>
      </c>
      <c r="L315" s="222">
        <f t="shared" si="43"/>
        <v>0</v>
      </c>
      <c r="M315" s="223">
        <f t="shared" si="44"/>
        <v>0</v>
      </c>
      <c r="N315" s="224"/>
      <c r="O315" s="232"/>
    </row>
    <row r="316" ht="15.75" customHeight="1">
      <c r="A316" s="239"/>
      <c r="B316" s="215"/>
      <c r="C316" s="248"/>
      <c r="D316" s="214"/>
      <c r="E316" s="246"/>
      <c r="F316" s="219">
        <f t="shared" si="39"/>
        <v>0</v>
      </c>
      <c r="G316" s="244"/>
      <c r="H316" s="194">
        <f t="shared" si="2"/>
        <v>0</v>
      </c>
      <c r="I316" s="221">
        <f t="shared" si="40"/>
        <v>0</v>
      </c>
      <c r="J316" s="222">
        <f t="shared" si="41"/>
        <v>0</v>
      </c>
      <c r="K316" s="223">
        <f t="shared" si="42"/>
        <v>0</v>
      </c>
      <c r="L316" s="222">
        <f t="shared" si="43"/>
        <v>0</v>
      </c>
      <c r="M316" s="223">
        <f t="shared" si="44"/>
        <v>0</v>
      </c>
      <c r="N316" s="224"/>
      <c r="O316" s="232"/>
    </row>
    <row r="317" ht="15.75" customHeight="1">
      <c r="A317" s="239"/>
      <c r="B317" s="215"/>
      <c r="C317" s="248"/>
      <c r="D317" s="214"/>
      <c r="E317" s="246"/>
      <c r="F317" s="219">
        <f t="shared" si="39"/>
        <v>0</v>
      </c>
      <c r="G317" s="244"/>
      <c r="H317" s="194">
        <f t="shared" si="2"/>
        <v>0</v>
      </c>
      <c r="I317" s="221">
        <f t="shared" si="40"/>
        <v>0</v>
      </c>
      <c r="J317" s="222">
        <f t="shared" si="41"/>
        <v>0</v>
      </c>
      <c r="K317" s="223">
        <f t="shared" si="42"/>
        <v>0</v>
      </c>
      <c r="L317" s="222">
        <f t="shared" si="43"/>
        <v>0</v>
      </c>
      <c r="M317" s="223">
        <f t="shared" si="44"/>
        <v>0</v>
      </c>
      <c r="N317" s="224"/>
      <c r="O317" s="232"/>
    </row>
    <row r="318" ht="15.75" customHeight="1">
      <c r="A318" s="239"/>
      <c r="B318" s="215"/>
      <c r="C318" s="248"/>
      <c r="D318" s="214"/>
      <c r="E318" s="246"/>
      <c r="F318" s="219">
        <f t="shared" si="39"/>
        <v>0</v>
      </c>
      <c r="G318" s="244"/>
      <c r="H318" s="194">
        <f t="shared" si="2"/>
        <v>0</v>
      </c>
      <c r="I318" s="221">
        <f t="shared" si="40"/>
        <v>0</v>
      </c>
      <c r="J318" s="222">
        <f t="shared" si="41"/>
        <v>0</v>
      </c>
      <c r="K318" s="223">
        <f t="shared" si="42"/>
        <v>0</v>
      </c>
      <c r="L318" s="222">
        <f t="shared" si="43"/>
        <v>0</v>
      </c>
      <c r="M318" s="223">
        <f t="shared" si="44"/>
        <v>0</v>
      </c>
      <c r="N318" s="224"/>
      <c r="O318" s="232"/>
    </row>
    <row r="319" ht="15.75" customHeight="1">
      <c r="A319" s="239"/>
      <c r="B319" s="215"/>
      <c r="C319" s="252"/>
      <c r="D319" s="214"/>
      <c r="E319" s="246"/>
      <c r="F319" s="219">
        <f t="shared" si="39"/>
        <v>0</v>
      </c>
      <c r="G319" s="244"/>
      <c r="H319" s="194">
        <f t="shared" si="2"/>
        <v>0</v>
      </c>
      <c r="I319" s="221">
        <f t="shared" si="40"/>
        <v>0</v>
      </c>
      <c r="J319" s="222">
        <f t="shared" si="41"/>
        <v>0</v>
      </c>
      <c r="K319" s="223">
        <f t="shared" si="42"/>
        <v>0</v>
      </c>
      <c r="L319" s="222">
        <f t="shared" si="43"/>
        <v>0</v>
      </c>
      <c r="M319" s="223">
        <f t="shared" si="44"/>
        <v>0</v>
      </c>
      <c r="N319" s="224"/>
      <c r="O319" s="232"/>
    </row>
    <row r="320" ht="15.75" customHeight="1">
      <c r="A320" s="239"/>
      <c r="B320" s="215"/>
      <c r="C320" s="248"/>
      <c r="D320" s="214"/>
      <c r="E320" s="246"/>
      <c r="F320" s="219">
        <f t="shared" si="39"/>
        <v>0</v>
      </c>
      <c r="G320" s="244"/>
      <c r="H320" s="194">
        <f t="shared" si="2"/>
        <v>0</v>
      </c>
      <c r="I320" s="221">
        <f t="shared" si="40"/>
        <v>0</v>
      </c>
      <c r="J320" s="222">
        <f t="shared" si="41"/>
        <v>0</v>
      </c>
      <c r="K320" s="223">
        <f t="shared" si="42"/>
        <v>0</v>
      </c>
      <c r="L320" s="222">
        <f t="shared" si="43"/>
        <v>0</v>
      </c>
      <c r="M320" s="223">
        <f t="shared" si="44"/>
        <v>0</v>
      </c>
      <c r="N320" s="224"/>
      <c r="O320" s="232"/>
    </row>
    <row r="321" ht="15.75" customHeight="1">
      <c r="A321" s="239"/>
      <c r="B321" s="215"/>
      <c r="C321" s="248"/>
      <c r="D321" s="255"/>
      <c r="E321" s="246"/>
      <c r="F321" s="219">
        <f t="shared" si="39"/>
        <v>0</v>
      </c>
      <c r="G321" s="244"/>
      <c r="H321" s="194">
        <f t="shared" si="2"/>
        <v>0</v>
      </c>
      <c r="I321" s="221">
        <f t="shared" si="40"/>
        <v>0</v>
      </c>
      <c r="J321" s="222">
        <f t="shared" si="41"/>
        <v>0</v>
      </c>
      <c r="K321" s="223">
        <f t="shared" si="42"/>
        <v>0</v>
      </c>
      <c r="L321" s="222">
        <f t="shared" si="43"/>
        <v>0</v>
      </c>
      <c r="M321" s="223">
        <f t="shared" si="44"/>
        <v>0</v>
      </c>
      <c r="N321" s="224"/>
      <c r="O321" s="232"/>
    </row>
    <row r="322" ht="15.75" customHeight="1">
      <c r="A322" s="239"/>
      <c r="B322" s="215"/>
      <c r="C322" s="256"/>
      <c r="D322" s="257"/>
      <c r="E322" s="258"/>
      <c r="F322" s="219">
        <f t="shared" si="39"/>
        <v>0</v>
      </c>
      <c r="G322" s="244"/>
      <c r="H322" s="194">
        <f t="shared" si="2"/>
        <v>0</v>
      </c>
      <c r="I322" s="221">
        <f t="shared" si="40"/>
        <v>0</v>
      </c>
      <c r="J322" s="222">
        <f t="shared" si="41"/>
        <v>0</v>
      </c>
      <c r="K322" s="223">
        <f t="shared" si="42"/>
        <v>0</v>
      </c>
      <c r="L322" s="222">
        <f t="shared" si="43"/>
        <v>0</v>
      </c>
      <c r="M322" s="223">
        <f t="shared" si="44"/>
        <v>0</v>
      </c>
      <c r="N322" s="224"/>
      <c r="O322" s="232"/>
    </row>
    <row r="323" ht="15.75" customHeight="1">
      <c r="A323" s="239"/>
      <c r="B323" s="215"/>
      <c r="C323" s="247"/>
      <c r="D323" s="251"/>
      <c r="E323" s="259"/>
      <c r="F323" s="219">
        <f t="shared" si="39"/>
        <v>0</v>
      </c>
      <c r="G323" s="244"/>
      <c r="H323" s="194">
        <f t="shared" si="2"/>
        <v>0</v>
      </c>
      <c r="I323" s="221">
        <f t="shared" si="40"/>
        <v>0</v>
      </c>
      <c r="J323" s="222">
        <f t="shared" si="41"/>
        <v>0</v>
      </c>
      <c r="K323" s="223">
        <f t="shared" si="42"/>
        <v>0</v>
      </c>
      <c r="L323" s="222">
        <f t="shared" si="43"/>
        <v>0</v>
      </c>
      <c r="M323" s="223">
        <f t="shared" si="44"/>
        <v>0</v>
      </c>
      <c r="N323" s="224"/>
      <c r="O323" s="232"/>
    </row>
    <row r="324" ht="15.75" customHeight="1">
      <c r="A324" s="239"/>
      <c r="B324" s="215"/>
      <c r="C324" s="247"/>
      <c r="D324" s="251"/>
      <c r="E324" s="259"/>
      <c r="F324" s="219">
        <f t="shared" si="39"/>
        <v>0</v>
      </c>
      <c r="G324" s="244"/>
      <c r="H324" s="194">
        <f t="shared" si="2"/>
        <v>0</v>
      </c>
      <c r="I324" s="221">
        <f t="shared" si="40"/>
        <v>0</v>
      </c>
      <c r="J324" s="222">
        <f t="shared" si="41"/>
        <v>0</v>
      </c>
      <c r="K324" s="223">
        <f t="shared" si="42"/>
        <v>0</v>
      </c>
      <c r="L324" s="222">
        <f t="shared" si="43"/>
        <v>0</v>
      </c>
      <c r="M324" s="223">
        <f t="shared" si="44"/>
        <v>0</v>
      </c>
      <c r="N324" s="224"/>
      <c r="O324" s="232"/>
    </row>
    <row r="325" ht="15.75" customHeight="1">
      <c r="A325" s="239"/>
      <c r="B325" s="215"/>
      <c r="C325" s="247"/>
      <c r="D325" s="251"/>
      <c r="E325" s="259"/>
      <c r="F325" s="219">
        <f t="shared" si="39"/>
        <v>0</v>
      </c>
      <c r="G325" s="244"/>
      <c r="H325" s="194">
        <f t="shared" si="2"/>
        <v>0</v>
      </c>
      <c r="I325" s="221">
        <f t="shared" si="40"/>
        <v>0</v>
      </c>
      <c r="J325" s="222">
        <f t="shared" si="41"/>
        <v>0</v>
      </c>
      <c r="K325" s="223">
        <f t="shared" si="42"/>
        <v>0</v>
      </c>
      <c r="L325" s="222">
        <f t="shared" si="43"/>
        <v>0</v>
      </c>
      <c r="M325" s="223">
        <f t="shared" si="44"/>
        <v>0</v>
      </c>
      <c r="N325" s="224"/>
      <c r="O325" s="232"/>
    </row>
    <row r="326" ht="15.75" customHeight="1">
      <c r="A326" s="239"/>
      <c r="B326" s="215"/>
      <c r="C326" s="247"/>
      <c r="D326" s="251"/>
      <c r="E326" s="259"/>
      <c r="F326" s="219">
        <f t="shared" si="39"/>
        <v>0</v>
      </c>
      <c r="G326" s="244"/>
      <c r="H326" s="194">
        <f t="shared" si="2"/>
        <v>0</v>
      </c>
      <c r="I326" s="221">
        <f t="shared" si="40"/>
        <v>0</v>
      </c>
      <c r="J326" s="222">
        <f t="shared" si="41"/>
        <v>0</v>
      </c>
      <c r="K326" s="223">
        <f t="shared" si="42"/>
        <v>0</v>
      </c>
      <c r="L326" s="222">
        <f t="shared" si="43"/>
        <v>0</v>
      </c>
      <c r="M326" s="223">
        <f t="shared" si="44"/>
        <v>0</v>
      </c>
      <c r="N326" s="224"/>
      <c r="O326" s="232"/>
    </row>
    <row r="327" ht="15.75" customHeight="1">
      <c r="A327" s="239"/>
      <c r="B327" s="215"/>
      <c r="C327" s="247"/>
      <c r="D327" s="251"/>
      <c r="E327" s="259"/>
      <c r="F327" s="219">
        <f t="shared" si="39"/>
        <v>0</v>
      </c>
      <c r="G327" s="244"/>
      <c r="H327" s="194">
        <f t="shared" si="2"/>
        <v>0</v>
      </c>
      <c r="I327" s="221">
        <f t="shared" si="40"/>
        <v>0</v>
      </c>
      <c r="J327" s="222">
        <f t="shared" si="41"/>
        <v>0</v>
      </c>
      <c r="K327" s="223">
        <f t="shared" si="42"/>
        <v>0</v>
      </c>
      <c r="L327" s="222">
        <f t="shared" si="43"/>
        <v>0</v>
      </c>
      <c r="M327" s="223">
        <f t="shared" si="44"/>
        <v>0</v>
      </c>
      <c r="N327" s="224"/>
      <c r="O327" s="232"/>
    </row>
    <row r="328" ht="15.75" customHeight="1">
      <c r="A328" s="239"/>
      <c r="B328" s="215"/>
      <c r="C328" s="247"/>
      <c r="D328" s="251"/>
      <c r="E328" s="259"/>
      <c r="F328" s="219">
        <f t="shared" si="39"/>
        <v>0</v>
      </c>
      <c r="G328" s="244"/>
      <c r="H328" s="194">
        <f t="shared" si="2"/>
        <v>0</v>
      </c>
      <c r="I328" s="221">
        <f t="shared" si="40"/>
        <v>0</v>
      </c>
      <c r="J328" s="222">
        <f t="shared" si="41"/>
        <v>0</v>
      </c>
      <c r="K328" s="223">
        <f t="shared" si="42"/>
        <v>0</v>
      </c>
      <c r="L328" s="222">
        <f t="shared" si="43"/>
        <v>0</v>
      </c>
      <c r="M328" s="223">
        <f t="shared" si="44"/>
        <v>0</v>
      </c>
      <c r="N328" s="224"/>
      <c r="O328" s="232"/>
    </row>
    <row r="329" ht="15.75" customHeight="1">
      <c r="A329" s="239"/>
      <c r="B329" s="215"/>
      <c r="C329" s="247"/>
      <c r="D329" s="251"/>
      <c r="E329" s="246"/>
      <c r="F329" s="219">
        <f t="shared" si="39"/>
        <v>0</v>
      </c>
      <c r="G329" s="244"/>
      <c r="H329" s="194">
        <f t="shared" si="2"/>
        <v>0</v>
      </c>
      <c r="I329" s="221">
        <f t="shared" si="40"/>
        <v>0</v>
      </c>
      <c r="J329" s="222">
        <f t="shared" si="41"/>
        <v>0</v>
      </c>
      <c r="K329" s="223">
        <f t="shared" si="42"/>
        <v>0</v>
      </c>
      <c r="L329" s="222">
        <f t="shared" si="43"/>
        <v>0</v>
      </c>
      <c r="M329" s="223">
        <f t="shared" si="44"/>
        <v>0</v>
      </c>
      <c r="N329" s="224"/>
      <c r="O329" s="232"/>
    </row>
    <row r="330" ht="15.75" customHeight="1">
      <c r="A330" s="239"/>
      <c r="B330" s="215"/>
      <c r="C330" s="248"/>
      <c r="D330" s="214"/>
      <c r="E330" s="260"/>
      <c r="F330" s="219">
        <f t="shared" si="39"/>
        <v>0</v>
      </c>
      <c r="G330" s="244"/>
      <c r="H330" s="194">
        <f t="shared" si="2"/>
        <v>0</v>
      </c>
      <c r="I330" s="221">
        <f t="shared" si="40"/>
        <v>0</v>
      </c>
      <c r="J330" s="222">
        <f t="shared" si="41"/>
        <v>0</v>
      </c>
      <c r="K330" s="223">
        <f t="shared" si="42"/>
        <v>0</v>
      </c>
      <c r="L330" s="222">
        <f t="shared" si="43"/>
        <v>0</v>
      </c>
      <c r="M330" s="223">
        <f t="shared" si="44"/>
        <v>0</v>
      </c>
      <c r="N330" s="224"/>
      <c r="O330" s="232"/>
    </row>
    <row r="331" ht="15.75" customHeight="1">
      <c r="A331" s="261"/>
      <c r="B331" s="262"/>
      <c r="C331" s="248"/>
      <c r="D331" s="214"/>
      <c r="E331" s="259"/>
      <c r="F331" s="263"/>
      <c r="G331" s="264"/>
      <c r="H331" s="194">
        <f t="shared" si="2"/>
        <v>0</v>
      </c>
      <c r="I331" s="221"/>
      <c r="J331" s="222"/>
      <c r="K331" s="223"/>
      <c r="L331" s="222"/>
      <c r="M331" s="223"/>
      <c r="N331" s="224"/>
      <c r="O331" s="232"/>
    </row>
    <row r="332" ht="15.75" customHeight="1">
      <c r="A332" s="261"/>
      <c r="B332" s="262"/>
      <c r="C332" s="248"/>
      <c r="D332" s="214"/>
      <c r="E332" s="259"/>
      <c r="F332" s="263"/>
      <c r="G332" s="264"/>
      <c r="H332" s="194">
        <f t="shared" si="2"/>
        <v>0</v>
      </c>
      <c r="I332" s="221"/>
      <c r="J332" s="222"/>
      <c r="K332" s="223"/>
      <c r="L332" s="222"/>
      <c r="M332" s="223"/>
      <c r="N332" s="224"/>
      <c r="O332" s="232"/>
    </row>
    <row r="333" ht="15.75" customHeight="1">
      <c r="A333" s="261"/>
      <c r="B333" s="262"/>
      <c r="C333" s="248"/>
      <c r="D333" s="214"/>
      <c r="E333" s="259"/>
      <c r="F333" s="263"/>
      <c r="G333" s="264"/>
      <c r="H333" s="194">
        <f t="shared" si="2"/>
        <v>0</v>
      </c>
      <c r="I333" s="221"/>
      <c r="J333" s="222"/>
      <c r="K333" s="223"/>
      <c r="L333" s="222"/>
      <c r="M333" s="223"/>
      <c r="N333" s="224"/>
      <c r="O333" s="232"/>
    </row>
    <row r="334" ht="15.75" customHeight="1">
      <c r="A334" s="261"/>
      <c r="B334" s="262"/>
      <c r="C334" s="248"/>
      <c r="D334" s="214"/>
      <c r="E334" s="259"/>
      <c r="F334" s="263"/>
      <c r="G334" s="264"/>
      <c r="H334" s="194">
        <f t="shared" si="2"/>
        <v>0</v>
      </c>
      <c r="I334" s="221"/>
      <c r="J334" s="222"/>
      <c r="K334" s="223"/>
      <c r="L334" s="222"/>
      <c r="M334" s="223"/>
      <c r="N334" s="224"/>
      <c r="O334" s="232"/>
    </row>
    <row r="335" ht="15.75" customHeight="1">
      <c r="A335" s="261"/>
      <c r="B335" s="262"/>
      <c r="C335" s="248"/>
      <c r="D335" s="214"/>
      <c r="E335" s="259"/>
      <c r="F335" s="263"/>
      <c r="G335" s="264"/>
      <c r="H335" s="194">
        <f t="shared" si="2"/>
        <v>0</v>
      </c>
      <c r="I335" s="221"/>
      <c r="J335" s="222"/>
      <c r="K335" s="223"/>
      <c r="L335" s="222"/>
      <c r="M335" s="223"/>
      <c r="N335" s="224"/>
      <c r="O335" s="232"/>
    </row>
    <row r="336" ht="15.75" customHeight="1">
      <c r="A336" s="261"/>
      <c r="B336" s="262"/>
      <c r="C336" s="248"/>
      <c r="D336" s="214"/>
      <c r="E336" s="259"/>
      <c r="F336" s="263"/>
      <c r="G336" s="264"/>
      <c r="H336" s="194">
        <f t="shared" si="2"/>
        <v>0</v>
      </c>
      <c r="I336" s="221"/>
      <c r="J336" s="222"/>
      <c r="K336" s="223"/>
      <c r="L336" s="222"/>
      <c r="M336" s="223"/>
      <c r="N336" s="224"/>
      <c r="O336" s="232"/>
    </row>
    <row r="337" ht="15.75" customHeight="1">
      <c r="A337" s="261"/>
      <c r="B337" s="262"/>
      <c r="C337" s="248"/>
      <c r="D337" s="214"/>
      <c r="E337" s="259"/>
      <c r="F337" s="263"/>
      <c r="G337" s="264"/>
      <c r="H337" s="194">
        <f t="shared" si="2"/>
        <v>0</v>
      </c>
      <c r="I337" s="221"/>
      <c r="J337" s="222"/>
      <c r="K337" s="223"/>
      <c r="L337" s="222"/>
      <c r="M337" s="223"/>
      <c r="N337" s="224"/>
      <c r="O337" s="232"/>
    </row>
    <row r="338" ht="15.75" customHeight="1">
      <c r="A338" s="261"/>
      <c r="B338" s="262"/>
      <c r="C338" s="248"/>
      <c r="D338" s="214"/>
      <c r="E338" s="259"/>
      <c r="F338" s="263"/>
      <c r="G338" s="264"/>
      <c r="H338" s="194">
        <f t="shared" si="2"/>
        <v>0</v>
      </c>
      <c r="I338" s="221"/>
      <c r="J338" s="222"/>
      <c r="K338" s="223"/>
      <c r="L338" s="222"/>
      <c r="M338" s="223"/>
      <c r="N338" s="224"/>
      <c r="O338" s="232"/>
    </row>
    <row r="339" ht="15.75" customHeight="1">
      <c r="A339" s="261"/>
      <c r="B339" s="262"/>
      <c r="C339" s="248"/>
      <c r="D339" s="214"/>
      <c r="E339" s="259"/>
      <c r="F339" s="263"/>
      <c r="G339" s="264"/>
      <c r="H339" s="194">
        <f t="shared" si="2"/>
        <v>0</v>
      </c>
      <c r="I339" s="221"/>
      <c r="J339" s="222"/>
      <c r="K339" s="223"/>
      <c r="L339" s="222"/>
      <c r="M339" s="223"/>
      <c r="N339" s="224"/>
      <c r="O339" s="232"/>
    </row>
    <row r="340" ht="15.75" customHeight="1">
      <c r="A340" s="261"/>
      <c r="B340" s="262"/>
      <c r="C340" s="248"/>
      <c r="D340" s="214"/>
      <c r="E340" s="259"/>
      <c r="F340" s="263"/>
      <c r="G340" s="264"/>
      <c r="H340" s="194">
        <f t="shared" si="2"/>
        <v>0</v>
      </c>
      <c r="I340" s="221"/>
      <c r="J340" s="222"/>
      <c r="K340" s="223"/>
      <c r="L340" s="222"/>
      <c r="M340" s="223"/>
      <c r="N340" s="224"/>
      <c r="O340" s="232"/>
    </row>
    <row r="341" ht="15.75" customHeight="1">
      <c r="A341" s="261"/>
      <c r="B341" s="262"/>
      <c r="C341" s="248"/>
      <c r="D341" s="214"/>
      <c r="E341" s="259"/>
      <c r="F341" s="263"/>
      <c r="G341" s="264"/>
      <c r="H341" s="194">
        <f t="shared" si="2"/>
        <v>0</v>
      </c>
      <c r="I341" s="221"/>
      <c r="J341" s="222"/>
      <c r="K341" s="223"/>
      <c r="L341" s="222"/>
      <c r="M341" s="223"/>
      <c r="N341" s="224"/>
      <c r="O341" s="232"/>
    </row>
    <row r="342" ht="15.75" customHeight="1">
      <c r="A342" s="261"/>
      <c r="B342" s="262"/>
      <c r="C342" s="248"/>
      <c r="D342" s="214"/>
      <c r="E342" s="259"/>
      <c r="F342" s="263"/>
      <c r="G342" s="264"/>
      <c r="H342" s="194">
        <f t="shared" si="2"/>
        <v>0</v>
      </c>
      <c r="I342" s="221"/>
      <c r="J342" s="222"/>
      <c r="K342" s="223"/>
      <c r="L342" s="222"/>
      <c r="M342" s="223"/>
      <c r="N342" s="224"/>
      <c r="O342" s="232"/>
    </row>
    <row r="343" ht="15.75" customHeight="1">
      <c r="A343" s="261"/>
      <c r="B343" s="262"/>
      <c r="C343" s="248"/>
      <c r="D343" s="214"/>
      <c r="E343" s="259"/>
      <c r="F343" s="263"/>
      <c r="G343" s="264"/>
      <c r="H343" s="194">
        <f t="shared" si="2"/>
        <v>0</v>
      </c>
      <c r="I343" s="221"/>
      <c r="J343" s="222"/>
      <c r="K343" s="223"/>
      <c r="L343" s="222"/>
      <c r="M343" s="223"/>
      <c r="N343" s="224"/>
      <c r="O343" s="232"/>
    </row>
    <row r="344" ht="15.75" customHeight="1">
      <c r="A344" s="261"/>
      <c r="B344" s="262"/>
      <c r="C344" s="248"/>
      <c r="D344" s="214"/>
      <c r="E344" s="259"/>
      <c r="F344" s="263"/>
      <c r="G344" s="264"/>
      <c r="H344" s="194">
        <f t="shared" si="2"/>
        <v>0</v>
      </c>
      <c r="I344" s="221"/>
      <c r="J344" s="222"/>
      <c r="K344" s="223"/>
      <c r="L344" s="222"/>
      <c r="M344" s="223"/>
      <c r="N344" s="224"/>
      <c r="O344" s="232"/>
    </row>
    <row r="345" ht="15.75" customHeight="1">
      <c r="A345" s="261"/>
      <c r="B345" s="262"/>
      <c r="C345" s="248"/>
      <c r="D345" s="214"/>
      <c r="E345" s="259"/>
      <c r="F345" s="263"/>
      <c r="G345" s="264"/>
      <c r="H345" s="194">
        <f t="shared" si="2"/>
        <v>0</v>
      </c>
      <c r="I345" s="221"/>
      <c r="J345" s="222"/>
      <c r="K345" s="223"/>
      <c r="L345" s="222"/>
      <c r="M345" s="223"/>
      <c r="N345" s="224"/>
      <c r="O345" s="232"/>
    </row>
    <row r="346" ht="15.75" customHeight="1">
      <c r="A346" s="261"/>
      <c r="B346" s="262"/>
      <c r="C346" s="248"/>
      <c r="D346" s="214"/>
      <c r="E346" s="259"/>
      <c r="F346" s="263"/>
      <c r="G346" s="264"/>
      <c r="H346" s="194">
        <f t="shared" si="2"/>
        <v>0</v>
      </c>
      <c r="I346" s="221"/>
      <c r="J346" s="222"/>
      <c r="K346" s="223"/>
      <c r="L346" s="222"/>
      <c r="M346" s="223"/>
      <c r="N346" s="224"/>
      <c r="O346" s="232"/>
    </row>
    <row r="347" ht="15.75" customHeight="1">
      <c r="A347" s="261"/>
      <c r="B347" s="262"/>
      <c r="C347" s="248"/>
      <c r="D347" s="214"/>
      <c r="E347" s="259"/>
      <c r="F347" s="263"/>
      <c r="G347" s="264"/>
      <c r="H347" s="194">
        <f t="shared" si="2"/>
        <v>0</v>
      </c>
      <c r="I347" s="221"/>
      <c r="J347" s="222"/>
      <c r="K347" s="223"/>
      <c r="L347" s="222"/>
      <c r="M347" s="223"/>
      <c r="N347" s="224"/>
      <c r="O347" s="232"/>
    </row>
    <row r="348" ht="15.75" customHeight="1">
      <c r="A348" s="261"/>
      <c r="B348" s="262"/>
      <c r="C348" s="248"/>
      <c r="D348" s="214"/>
      <c r="E348" s="259"/>
      <c r="F348" s="263"/>
      <c r="G348" s="264"/>
      <c r="H348" s="194">
        <f t="shared" si="2"/>
        <v>0</v>
      </c>
      <c r="I348" s="221"/>
      <c r="J348" s="222"/>
      <c r="K348" s="223"/>
      <c r="L348" s="222"/>
      <c r="M348" s="223"/>
      <c r="N348" s="224"/>
      <c r="O348" s="232"/>
    </row>
    <row r="349" ht="15.75" customHeight="1">
      <c r="A349" s="261"/>
      <c r="B349" s="262"/>
      <c r="C349" s="248"/>
      <c r="D349" s="214"/>
      <c r="E349" s="259"/>
      <c r="F349" s="263"/>
      <c r="G349" s="264"/>
      <c r="H349" s="194">
        <f t="shared" si="2"/>
        <v>0</v>
      </c>
      <c r="I349" s="221"/>
      <c r="J349" s="222"/>
      <c r="K349" s="223"/>
      <c r="L349" s="222"/>
      <c r="M349" s="223"/>
      <c r="N349" s="224"/>
      <c r="O349" s="232"/>
    </row>
    <row r="350" ht="15.75" customHeight="1">
      <c r="A350" s="261"/>
      <c r="B350" s="262"/>
      <c r="C350" s="248"/>
      <c r="D350" s="214"/>
      <c r="E350" s="259"/>
      <c r="F350" s="263"/>
      <c r="G350" s="264"/>
      <c r="H350" s="194">
        <f t="shared" si="2"/>
        <v>0</v>
      </c>
      <c r="I350" s="221"/>
      <c r="J350" s="222"/>
      <c r="K350" s="223"/>
      <c r="L350" s="222"/>
      <c r="M350" s="223"/>
      <c r="N350" s="224"/>
      <c r="O350" s="232"/>
    </row>
    <row r="351" ht="15.75" customHeight="1">
      <c r="A351" s="261"/>
      <c r="B351" s="262"/>
      <c r="C351" s="248"/>
      <c r="D351" s="214"/>
      <c r="E351" s="259"/>
      <c r="F351" s="263"/>
      <c r="G351" s="264"/>
      <c r="H351" s="194">
        <f t="shared" si="2"/>
        <v>0</v>
      </c>
      <c r="I351" s="221"/>
      <c r="J351" s="222"/>
      <c r="K351" s="223"/>
      <c r="L351" s="222"/>
      <c r="M351" s="223"/>
      <c r="N351" s="224"/>
      <c r="O351" s="232"/>
    </row>
    <row r="352" ht="15.75" customHeight="1">
      <c r="A352" s="261"/>
      <c r="B352" s="262"/>
      <c r="C352" s="248"/>
      <c r="D352" s="214"/>
      <c r="E352" s="259"/>
      <c r="F352" s="263"/>
      <c r="G352" s="264"/>
      <c r="H352" s="194">
        <f t="shared" si="2"/>
        <v>0</v>
      </c>
      <c r="I352" s="221"/>
      <c r="J352" s="222"/>
      <c r="K352" s="223"/>
      <c r="L352" s="222"/>
      <c r="M352" s="223"/>
      <c r="N352" s="224"/>
      <c r="O352" s="232"/>
    </row>
    <row r="353" ht="15.75" customHeight="1">
      <c r="A353" s="261"/>
      <c r="B353" s="262"/>
      <c r="C353" s="248"/>
      <c r="D353" s="214"/>
      <c r="E353" s="259"/>
      <c r="F353" s="263"/>
      <c r="G353" s="264"/>
      <c r="H353" s="194">
        <f t="shared" si="2"/>
        <v>0</v>
      </c>
      <c r="I353" s="221"/>
      <c r="J353" s="222"/>
      <c r="K353" s="223"/>
      <c r="L353" s="222"/>
      <c r="M353" s="223"/>
      <c r="N353" s="224"/>
      <c r="O353" s="232"/>
    </row>
    <row r="354" ht="15.75" customHeight="1">
      <c r="A354" s="261"/>
      <c r="B354" s="262"/>
      <c r="C354" s="248"/>
      <c r="D354" s="214"/>
      <c r="E354" s="259"/>
      <c r="F354" s="263"/>
      <c r="G354" s="264"/>
      <c r="H354" s="194">
        <f t="shared" si="2"/>
        <v>0</v>
      </c>
      <c r="I354" s="221"/>
      <c r="J354" s="222"/>
      <c r="K354" s="223"/>
      <c r="L354" s="222"/>
      <c r="M354" s="223"/>
      <c r="N354" s="224"/>
      <c r="O354" s="232"/>
    </row>
    <row r="355" ht="15.75" customHeight="1">
      <c r="A355" s="261"/>
      <c r="B355" s="262"/>
      <c r="C355" s="248"/>
      <c r="D355" s="214"/>
      <c r="E355" s="259"/>
      <c r="F355" s="263"/>
      <c r="G355" s="264"/>
      <c r="H355" s="194">
        <f t="shared" si="2"/>
        <v>0</v>
      </c>
      <c r="I355" s="221"/>
      <c r="J355" s="222"/>
      <c r="K355" s="223"/>
      <c r="L355" s="222"/>
      <c r="M355" s="223"/>
      <c r="N355" s="224"/>
      <c r="O355" s="232"/>
    </row>
    <row r="356" ht="15.75" customHeight="1">
      <c r="A356" s="261"/>
      <c r="B356" s="262"/>
      <c r="C356" s="248"/>
      <c r="D356" s="214"/>
      <c r="E356" s="259"/>
      <c r="F356" s="263"/>
      <c r="G356" s="264"/>
      <c r="H356" s="194">
        <f t="shared" si="2"/>
        <v>0</v>
      </c>
      <c r="I356" s="221"/>
      <c r="J356" s="222"/>
      <c r="K356" s="223"/>
      <c r="L356" s="222"/>
      <c r="M356" s="223"/>
      <c r="N356" s="224"/>
      <c r="O356" s="232"/>
    </row>
    <row r="357" ht="15.75" customHeight="1">
      <c r="A357" s="261"/>
      <c r="B357" s="262"/>
      <c r="C357" s="248"/>
      <c r="D357" s="214"/>
      <c r="E357" s="259"/>
      <c r="F357" s="263"/>
      <c r="G357" s="264"/>
      <c r="H357" s="194">
        <f t="shared" si="2"/>
        <v>0</v>
      </c>
      <c r="I357" s="221"/>
      <c r="J357" s="222"/>
      <c r="K357" s="223"/>
      <c r="L357" s="222"/>
      <c r="M357" s="223"/>
      <c r="N357" s="224"/>
      <c r="O357" s="232"/>
    </row>
    <row r="358" ht="15.75" customHeight="1">
      <c r="A358" s="261"/>
      <c r="B358" s="262"/>
      <c r="C358" s="248"/>
      <c r="D358" s="214"/>
      <c r="E358" s="259"/>
      <c r="F358" s="263"/>
      <c r="G358" s="264"/>
      <c r="H358" s="194">
        <f t="shared" si="2"/>
        <v>0</v>
      </c>
      <c r="I358" s="221"/>
      <c r="J358" s="222"/>
      <c r="K358" s="223"/>
      <c r="L358" s="222"/>
      <c r="M358" s="223"/>
      <c r="N358" s="224"/>
      <c r="O358" s="232"/>
    </row>
    <row r="359" ht="15.75" customHeight="1">
      <c r="A359" s="261"/>
      <c r="B359" s="262"/>
      <c r="C359" s="248"/>
      <c r="D359" s="214"/>
      <c r="E359" s="259"/>
      <c r="F359" s="263"/>
      <c r="G359" s="264"/>
      <c r="H359" s="194">
        <f t="shared" si="2"/>
        <v>0</v>
      </c>
      <c r="I359" s="221"/>
      <c r="J359" s="222"/>
      <c r="K359" s="223"/>
      <c r="L359" s="222"/>
      <c r="M359" s="223"/>
      <c r="N359" s="224"/>
      <c r="O359" s="232"/>
    </row>
    <row r="360" ht="15.75" customHeight="1">
      <c r="A360" s="261"/>
      <c r="B360" s="262"/>
      <c r="C360" s="248"/>
      <c r="D360" s="214"/>
      <c r="E360" s="259"/>
      <c r="F360" s="263"/>
      <c r="G360" s="264"/>
      <c r="H360" s="194">
        <f t="shared" si="2"/>
        <v>0</v>
      </c>
      <c r="I360" s="221"/>
      <c r="J360" s="222"/>
      <c r="K360" s="223"/>
      <c r="L360" s="222"/>
      <c r="M360" s="223"/>
      <c r="N360" s="224"/>
      <c r="O360" s="232"/>
    </row>
    <row r="361" ht="15.75" customHeight="1">
      <c r="A361" s="261"/>
      <c r="B361" s="262"/>
      <c r="C361" s="248"/>
      <c r="D361" s="214"/>
      <c r="E361" s="259"/>
      <c r="F361" s="263"/>
      <c r="G361" s="264"/>
      <c r="H361" s="194">
        <f t="shared" si="2"/>
        <v>0</v>
      </c>
      <c r="I361" s="221"/>
      <c r="J361" s="222"/>
      <c r="K361" s="223"/>
      <c r="L361" s="222"/>
      <c r="M361" s="223"/>
      <c r="N361" s="224"/>
      <c r="O361" s="232"/>
    </row>
    <row r="362" ht="15.75" customHeight="1">
      <c r="A362" s="261"/>
      <c r="B362" s="262"/>
      <c r="C362" s="248"/>
      <c r="D362" s="214"/>
      <c r="E362" s="259"/>
      <c r="F362" s="263"/>
      <c r="G362" s="264"/>
      <c r="H362" s="194">
        <f t="shared" si="2"/>
        <v>0</v>
      </c>
      <c r="I362" s="221"/>
      <c r="J362" s="222"/>
      <c r="K362" s="223"/>
      <c r="L362" s="222"/>
      <c r="M362" s="223"/>
      <c r="N362" s="224"/>
      <c r="O362" s="232"/>
    </row>
    <row r="363" ht="15.75" customHeight="1">
      <c r="A363" s="261"/>
      <c r="B363" s="262"/>
      <c r="C363" s="248"/>
      <c r="D363" s="214"/>
      <c r="E363" s="259"/>
      <c r="F363" s="263"/>
      <c r="G363" s="264"/>
      <c r="H363" s="194">
        <f t="shared" si="2"/>
        <v>0</v>
      </c>
      <c r="I363" s="221"/>
      <c r="J363" s="222"/>
      <c r="K363" s="223"/>
      <c r="L363" s="222"/>
      <c r="M363" s="223"/>
      <c r="N363" s="224"/>
      <c r="O363" s="232"/>
    </row>
    <row r="364" ht="15.75" customHeight="1">
      <c r="A364" s="261"/>
      <c r="B364" s="262"/>
      <c r="C364" s="248"/>
      <c r="D364" s="214"/>
      <c r="E364" s="259"/>
      <c r="F364" s="263"/>
      <c r="G364" s="264"/>
      <c r="H364" s="194">
        <f t="shared" si="2"/>
        <v>0</v>
      </c>
      <c r="I364" s="221"/>
      <c r="J364" s="222"/>
      <c r="K364" s="223"/>
      <c r="L364" s="222"/>
      <c r="M364" s="223"/>
      <c r="N364" s="224"/>
      <c r="O364" s="232"/>
    </row>
    <row r="365" ht="15.75" customHeight="1">
      <c r="A365" s="261"/>
      <c r="B365" s="262"/>
      <c r="C365" s="248"/>
      <c r="D365" s="214"/>
      <c r="E365" s="259"/>
      <c r="F365" s="263"/>
      <c r="G365" s="264"/>
      <c r="H365" s="194">
        <f t="shared" si="2"/>
        <v>0</v>
      </c>
      <c r="I365" s="221"/>
      <c r="J365" s="222"/>
      <c r="K365" s="223"/>
      <c r="L365" s="222"/>
      <c r="M365" s="223"/>
      <c r="N365" s="224"/>
      <c r="O365" s="232"/>
    </row>
    <row r="366" ht="15.75" customHeight="1">
      <c r="A366" s="261"/>
      <c r="B366" s="262"/>
      <c r="C366" s="248"/>
      <c r="D366" s="214"/>
      <c r="E366" s="259"/>
      <c r="F366" s="263"/>
      <c r="G366" s="264"/>
      <c r="H366" s="194">
        <f t="shared" si="2"/>
        <v>0</v>
      </c>
      <c r="I366" s="221"/>
      <c r="J366" s="222"/>
      <c r="K366" s="223"/>
      <c r="L366" s="222"/>
      <c r="M366" s="223"/>
      <c r="N366" s="224"/>
      <c r="O366" s="232"/>
    </row>
    <row r="367" ht="15.75" customHeight="1">
      <c r="A367" s="261"/>
      <c r="B367" s="262"/>
      <c r="C367" s="248"/>
      <c r="D367" s="214"/>
      <c r="E367" s="259"/>
      <c r="F367" s="263"/>
      <c r="G367" s="264"/>
      <c r="H367" s="194">
        <f t="shared" si="2"/>
        <v>0</v>
      </c>
      <c r="I367" s="221"/>
      <c r="J367" s="222"/>
      <c r="K367" s="223"/>
      <c r="L367" s="222"/>
      <c r="M367" s="223"/>
      <c r="N367" s="224"/>
      <c r="O367" s="232"/>
    </row>
    <row r="368" ht="15.75" customHeight="1">
      <c r="A368" s="261"/>
      <c r="B368" s="262"/>
      <c r="C368" s="248"/>
      <c r="D368" s="214"/>
      <c r="E368" s="259"/>
      <c r="F368" s="263"/>
      <c r="G368" s="264"/>
      <c r="H368" s="194">
        <f t="shared" si="2"/>
        <v>0</v>
      </c>
      <c r="I368" s="221"/>
      <c r="J368" s="222"/>
      <c r="K368" s="223"/>
      <c r="L368" s="222"/>
      <c r="M368" s="223"/>
      <c r="N368" s="224"/>
      <c r="O368" s="232"/>
    </row>
    <row r="369" ht="15.75" customHeight="1">
      <c r="A369" s="261"/>
      <c r="B369" s="262"/>
      <c r="C369" s="248"/>
      <c r="D369" s="214"/>
      <c r="E369" s="259"/>
      <c r="F369" s="263"/>
      <c r="G369" s="264"/>
      <c r="H369" s="194">
        <f t="shared" si="2"/>
        <v>0</v>
      </c>
      <c r="I369" s="221"/>
      <c r="J369" s="222"/>
      <c r="K369" s="223"/>
      <c r="L369" s="222"/>
      <c r="M369" s="223"/>
      <c r="N369" s="224"/>
      <c r="O369" s="232"/>
    </row>
    <row r="370" ht="15.75" customHeight="1">
      <c r="A370" s="261"/>
      <c r="B370" s="262"/>
      <c r="C370" s="248"/>
      <c r="D370" s="214"/>
      <c r="E370" s="259"/>
      <c r="F370" s="263"/>
      <c r="G370" s="264"/>
      <c r="H370" s="194">
        <f t="shared" si="2"/>
        <v>0</v>
      </c>
      <c r="I370" s="221"/>
      <c r="J370" s="222"/>
      <c r="K370" s="223"/>
      <c r="L370" s="222"/>
      <c r="M370" s="223"/>
      <c r="N370" s="224"/>
      <c r="O370" s="232"/>
    </row>
    <row r="371" ht="15.75" customHeight="1">
      <c r="A371" s="261"/>
      <c r="B371" s="262"/>
      <c r="C371" s="248"/>
      <c r="D371" s="214"/>
      <c r="E371" s="259"/>
      <c r="F371" s="263"/>
      <c r="G371" s="264"/>
      <c r="H371" s="194">
        <f t="shared" si="2"/>
        <v>0</v>
      </c>
      <c r="I371" s="221"/>
      <c r="J371" s="222"/>
      <c r="K371" s="223"/>
      <c r="L371" s="222"/>
      <c r="M371" s="223"/>
      <c r="N371" s="224"/>
      <c r="O371" s="232"/>
    </row>
    <row r="372" ht="15.75" customHeight="1">
      <c r="A372" s="261"/>
      <c r="B372" s="262"/>
      <c r="C372" s="248"/>
      <c r="D372" s="214"/>
      <c r="E372" s="259"/>
      <c r="F372" s="263"/>
      <c r="G372" s="264"/>
      <c r="H372" s="194">
        <f t="shared" si="2"/>
        <v>0</v>
      </c>
      <c r="I372" s="221"/>
      <c r="J372" s="222"/>
      <c r="K372" s="223"/>
      <c r="L372" s="222"/>
      <c r="M372" s="223"/>
      <c r="N372" s="224"/>
      <c r="O372" s="232"/>
    </row>
    <row r="373" ht="15.75" customHeight="1">
      <c r="A373" s="261"/>
      <c r="B373" s="262"/>
      <c r="C373" s="248"/>
      <c r="D373" s="214"/>
      <c r="E373" s="259"/>
      <c r="F373" s="263"/>
      <c r="G373" s="264"/>
      <c r="H373" s="194">
        <f t="shared" si="2"/>
        <v>0</v>
      </c>
      <c r="I373" s="221"/>
      <c r="J373" s="222"/>
      <c r="K373" s="223"/>
      <c r="L373" s="222"/>
      <c r="M373" s="223"/>
      <c r="N373" s="224"/>
      <c r="O373" s="232"/>
    </row>
    <row r="374" ht="15.75" customHeight="1">
      <c r="A374" s="261"/>
      <c r="B374" s="262"/>
      <c r="C374" s="248"/>
      <c r="D374" s="214"/>
      <c r="E374" s="259"/>
      <c r="F374" s="263"/>
      <c r="G374" s="264"/>
      <c r="H374" s="194">
        <f t="shared" si="2"/>
        <v>0</v>
      </c>
      <c r="I374" s="221"/>
      <c r="J374" s="222"/>
      <c r="K374" s="223"/>
      <c r="L374" s="222"/>
      <c r="M374" s="223"/>
      <c r="N374" s="224"/>
      <c r="O374" s="232"/>
    </row>
    <row r="375" ht="15.75" customHeight="1">
      <c r="A375" s="261"/>
      <c r="B375" s="262"/>
      <c r="C375" s="248"/>
      <c r="D375" s="214"/>
      <c r="E375" s="259"/>
      <c r="F375" s="263"/>
      <c r="G375" s="264"/>
      <c r="H375" s="194">
        <f t="shared" si="2"/>
        <v>0</v>
      </c>
      <c r="I375" s="221"/>
      <c r="J375" s="222"/>
      <c r="K375" s="223"/>
      <c r="L375" s="222"/>
      <c r="M375" s="223"/>
      <c r="N375" s="224"/>
      <c r="O375" s="232"/>
    </row>
    <row r="376" ht="15.75" customHeight="1">
      <c r="A376" s="261"/>
      <c r="B376" s="262"/>
      <c r="C376" s="248"/>
      <c r="D376" s="214"/>
      <c r="E376" s="259"/>
      <c r="F376" s="263"/>
      <c r="G376" s="264"/>
      <c r="H376" s="194">
        <f t="shared" si="2"/>
        <v>0</v>
      </c>
      <c r="I376" s="221"/>
      <c r="J376" s="222"/>
      <c r="K376" s="223"/>
      <c r="L376" s="222"/>
      <c r="M376" s="223"/>
      <c r="N376" s="224"/>
      <c r="O376" s="232"/>
    </row>
    <row r="377" ht="15.75" customHeight="1">
      <c r="A377" s="261"/>
      <c r="B377" s="262"/>
      <c r="C377" s="248"/>
      <c r="D377" s="214"/>
      <c r="E377" s="259"/>
      <c r="F377" s="263"/>
      <c r="G377" s="264"/>
      <c r="H377" s="194">
        <f t="shared" si="2"/>
        <v>0</v>
      </c>
      <c r="I377" s="221"/>
      <c r="J377" s="222"/>
      <c r="K377" s="223"/>
      <c r="L377" s="222"/>
      <c r="M377" s="223"/>
      <c r="N377" s="224"/>
      <c r="O377" s="232"/>
    </row>
    <row r="378" ht="15.75" customHeight="1">
      <c r="A378" s="261"/>
      <c r="B378" s="262"/>
      <c r="C378" s="248"/>
      <c r="D378" s="214"/>
      <c r="E378" s="259"/>
      <c r="F378" s="263"/>
      <c r="G378" s="264"/>
      <c r="H378" s="194">
        <f t="shared" si="2"/>
        <v>0</v>
      </c>
      <c r="I378" s="221"/>
      <c r="J378" s="222"/>
      <c r="K378" s="223"/>
      <c r="L378" s="222"/>
      <c r="M378" s="223"/>
      <c r="N378" s="224"/>
      <c r="O378" s="232"/>
    </row>
    <row r="379" ht="15.75" customHeight="1">
      <c r="A379" s="261"/>
      <c r="B379" s="262"/>
      <c r="C379" s="248"/>
      <c r="D379" s="214"/>
      <c r="E379" s="259"/>
      <c r="F379" s="263"/>
      <c r="G379" s="264"/>
      <c r="H379" s="194">
        <f t="shared" si="2"/>
        <v>0</v>
      </c>
      <c r="I379" s="221"/>
      <c r="J379" s="222"/>
      <c r="K379" s="223"/>
      <c r="L379" s="222"/>
      <c r="M379" s="223"/>
      <c r="N379" s="224"/>
      <c r="O379" s="232"/>
    </row>
    <row r="380" ht="15.75" customHeight="1">
      <c r="A380" s="261"/>
      <c r="B380" s="262"/>
      <c r="C380" s="248"/>
      <c r="D380" s="214"/>
      <c r="E380" s="259"/>
      <c r="F380" s="263"/>
      <c r="G380" s="264"/>
      <c r="H380" s="194">
        <f t="shared" si="2"/>
        <v>0</v>
      </c>
      <c r="I380" s="221"/>
      <c r="J380" s="222"/>
      <c r="K380" s="223"/>
      <c r="L380" s="222"/>
      <c r="M380" s="223"/>
      <c r="N380" s="224"/>
      <c r="O380" s="232"/>
    </row>
    <row r="381" ht="15.75" customHeight="1">
      <c r="A381" s="261"/>
      <c r="B381" s="262"/>
      <c r="C381" s="248"/>
      <c r="D381" s="214"/>
      <c r="E381" s="259"/>
      <c r="F381" s="263"/>
      <c r="G381" s="264"/>
      <c r="H381" s="194">
        <f t="shared" si="2"/>
        <v>0</v>
      </c>
      <c r="I381" s="221"/>
      <c r="J381" s="222"/>
      <c r="K381" s="223"/>
      <c r="L381" s="222"/>
      <c r="M381" s="223"/>
      <c r="N381" s="224"/>
      <c r="O381" s="232"/>
    </row>
    <row r="382" ht="15.75" customHeight="1">
      <c r="A382" s="261"/>
      <c r="B382" s="262"/>
      <c r="C382" s="248"/>
      <c r="D382" s="214"/>
      <c r="E382" s="259"/>
      <c r="F382" s="263"/>
      <c r="G382" s="264"/>
      <c r="H382" s="194">
        <f t="shared" si="2"/>
        <v>0</v>
      </c>
      <c r="I382" s="221"/>
      <c r="J382" s="222"/>
      <c r="K382" s="223"/>
      <c r="L382" s="222"/>
      <c r="M382" s="223"/>
      <c r="N382" s="224"/>
      <c r="O382" s="232"/>
    </row>
    <row r="383" ht="15.75" customHeight="1">
      <c r="A383" s="261"/>
      <c r="B383" s="262"/>
      <c r="C383" s="248"/>
      <c r="D383" s="214"/>
      <c r="E383" s="259"/>
      <c r="F383" s="263"/>
      <c r="G383" s="264"/>
      <c r="H383" s="194">
        <f t="shared" si="2"/>
        <v>0</v>
      </c>
      <c r="I383" s="221"/>
      <c r="J383" s="222"/>
      <c r="K383" s="223"/>
      <c r="L383" s="222"/>
      <c r="M383" s="223"/>
      <c r="N383" s="224"/>
      <c r="O383" s="232"/>
    </row>
    <row r="384" ht="15.75" customHeight="1">
      <c r="A384" s="265"/>
      <c r="B384" s="266"/>
      <c r="C384" s="267"/>
      <c r="D384" s="268"/>
      <c r="E384" s="269"/>
      <c r="F384" s="270"/>
      <c r="G384" s="271"/>
      <c r="H384" s="272"/>
      <c r="I384" s="273"/>
      <c r="J384" s="274"/>
      <c r="K384" s="275"/>
      <c r="L384" s="274"/>
      <c r="M384" s="275"/>
      <c r="N384" s="276"/>
      <c r="O384" s="232"/>
    </row>
    <row r="385" ht="15.75" customHeight="1">
      <c r="A385" s="265"/>
      <c r="B385" s="266"/>
      <c r="C385" s="267"/>
      <c r="D385" s="268"/>
      <c r="E385" s="269"/>
      <c r="F385" s="270"/>
      <c r="G385" s="271"/>
      <c r="H385" s="272"/>
      <c r="I385" s="273"/>
      <c r="J385" s="274"/>
      <c r="K385" s="275"/>
      <c r="L385" s="274"/>
      <c r="M385" s="275"/>
      <c r="N385" s="276"/>
      <c r="O385" s="232"/>
    </row>
    <row r="386" ht="15.75" customHeight="1">
      <c r="A386" s="265"/>
      <c r="B386" s="266"/>
      <c r="C386" s="267"/>
      <c r="D386" s="268"/>
      <c r="E386" s="269"/>
      <c r="F386" s="270"/>
      <c r="G386" s="271"/>
      <c r="H386" s="272"/>
      <c r="I386" s="273"/>
      <c r="J386" s="274"/>
      <c r="K386" s="275"/>
      <c r="L386" s="274"/>
      <c r="M386" s="275"/>
      <c r="N386" s="276"/>
      <c r="O386" s="232"/>
    </row>
    <row r="387" ht="15.75" customHeight="1">
      <c r="A387" s="265"/>
      <c r="B387" s="266"/>
      <c r="C387" s="267"/>
      <c r="D387" s="268"/>
      <c r="E387" s="269"/>
      <c r="F387" s="270"/>
      <c r="G387" s="271"/>
      <c r="H387" s="272"/>
      <c r="I387" s="273"/>
      <c r="J387" s="274"/>
      <c r="K387" s="275"/>
      <c r="L387" s="274"/>
      <c r="M387" s="275"/>
      <c r="N387" s="276"/>
      <c r="O387" s="232"/>
    </row>
    <row r="388" ht="15.75" customHeight="1">
      <c r="A388" s="265"/>
      <c r="B388" s="266"/>
      <c r="C388" s="267"/>
      <c r="D388" s="268"/>
      <c r="E388" s="269"/>
      <c r="F388" s="270"/>
      <c r="G388" s="271"/>
      <c r="H388" s="272"/>
      <c r="I388" s="273"/>
      <c r="J388" s="274"/>
      <c r="K388" s="275"/>
      <c r="L388" s="274"/>
      <c r="M388" s="275"/>
      <c r="N388" s="276"/>
      <c r="O388" s="232"/>
    </row>
    <row r="389" ht="15.75" customHeight="1">
      <c r="A389" s="265"/>
      <c r="B389" s="266"/>
      <c r="C389" s="267"/>
      <c r="D389" s="268"/>
      <c r="E389" s="269"/>
      <c r="F389" s="270"/>
      <c r="G389" s="271"/>
      <c r="H389" s="272"/>
      <c r="I389" s="273"/>
      <c r="J389" s="274"/>
      <c r="K389" s="275"/>
      <c r="L389" s="274"/>
      <c r="M389" s="275"/>
      <c r="N389" s="276"/>
      <c r="O389" s="232"/>
    </row>
    <row r="390" ht="15.75" customHeight="1">
      <c r="A390" s="265"/>
      <c r="B390" s="266"/>
      <c r="C390" s="267"/>
      <c r="D390" s="268"/>
      <c r="E390" s="269"/>
      <c r="F390" s="270"/>
      <c r="G390" s="271"/>
      <c r="H390" s="272"/>
      <c r="I390" s="273"/>
      <c r="J390" s="274"/>
      <c r="K390" s="275"/>
      <c r="L390" s="274"/>
      <c r="M390" s="275"/>
      <c r="N390" s="276"/>
      <c r="O390" s="232"/>
    </row>
    <row r="391" ht="15.75" customHeight="1">
      <c r="A391" s="265"/>
      <c r="B391" s="266"/>
      <c r="C391" s="267"/>
      <c r="D391" s="268"/>
      <c r="E391" s="269"/>
      <c r="F391" s="270"/>
      <c r="G391" s="271"/>
      <c r="H391" s="272"/>
      <c r="I391" s="273"/>
      <c r="J391" s="274"/>
      <c r="K391" s="275"/>
      <c r="L391" s="274"/>
      <c r="M391" s="275"/>
      <c r="N391" s="276"/>
      <c r="O391" s="232"/>
    </row>
    <row r="392" ht="15.75" customHeight="1">
      <c r="A392" s="265"/>
      <c r="B392" s="266"/>
      <c r="C392" s="267"/>
      <c r="D392" s="268"/>
      <c r="E392" s="269"/>
      <c r="F392" s="270"/>
      <c r="G392" s="271"/>
      <c r="H392" s="272"/>
      <c r="I392" s="273"/>
      <c r="J392" s="274"/>
      <c r="K392" s="275"/>
      <c r="L392" s="274"/>
      <c r="M392" s="275"/>
      <c r="N392" s="276"/>
      <c r="O392" s="232"/>
    </row>
    <row r="393" ht="15.75" customHeight="1">
      <c r="A393" s="265"/>
      <c r="B393" s="266"/>
      <c r="C393" s="267"/>
      <c r="D393" s="268"/>
      <c r="E393" s="269"/>
      <c r="F393" s="270"/>
      <c r="G393" s="271"/>
      <c r="H393" s="272"/>
      <c r="I393" s="273"/>
      <c r="J393" s="274"/>
      <c r="K393" s="275"/>
      <c r="L393" s="274"/>
      <c r="M393" s="275"/>
      <c r="N393" s="276"/>
      <c r="O393" s="232"/>
    </row>
    <row r="394" ht="15.75" customHeight="1">
      <c r="A394" s="265"/>
      <c r="B394" s="266"/>
      <c r="C394" s="267"/>
      <c r="D394" s="268"/>
      <c r="E394" s="269"/>
      <c r="F394" s="270"/>
      <c r="G394" s="271"/>
      <c r="H394" s="272"/>
      <c r="I394" s="273"/>
      <c r="J394" s="274"/>
      <c r="K394" s="275"/>
      <c r="L394" s="274"/>
      <c r="M394" s="275"/>
      <c r="N394" s="276"/>
      <c r="O394" s="232"/>
    </row>
    <row r="395" ht="15.75" customHeight="1">
      <c r="A395" s="265"/>
      <c r="B395" s="266"/>
      <c r="C395" s="267"/>
      <c r="D395" s="268"/>
      <c r="E395" s="269"/>
      <c r="F395" s="270"/>
      <c r="G395" s="271"/>
      <c r="H395" s="272"/>
      <c r="I395" s="273"/>
      <c r="J395" s="274"/>
      <c r="K395" s="275"/>
      <c r="L395" s="274"/>
      <c r="M395" s="275"/>
      <c r="N395" s="276"/>
      <c r="O395" s="232"/>
    </row>
    <row r="396" ht="15.75" customHeight="1">
      <c r="A396" s="265"/>
      <c r="B396" s="266"/>
      <c r="C396" s="267"/>
      <c r="D396" s="268"/>
      <c r="E396" s="269"/>
      <c r="F396" s="270"/>
      <c r="G396" s="271"/>
      <c r="H396" s="272"/>
      <c r="I396" s="273"/>
      <c r="J396" s="274"/>
      <c r="K396" s="275"/>
      <c r="L396" s="274"/>
      <c r="M396" s="275"/>
      <c r="N396" s="276"/>
      <c r="O396" s="232"/>
    </row>
    <row r="397" ht="15.75" customHeight="1">
      <c r="A397" s="265"/>
      <c r="B397" s="266"/>
      <c r="C397" s="267"/>
      <c r="D397" s="268"/>
      <c r="E397" s="269"/>
      <c r="F397" s="270"/>
      <c r="G397" s="271"/>
      <c r="H397" s="272"/>
      <c r="I397" s="273"/>
      <c r="J397" s="274"/>
      <c r="K397" s="275"/>
      <c r="L397" s="274"/>
      <c r="M397" s="275"/>
      <c r="N397" s="276"/>
      <c r="O397" s="232"/>
    </row>
    <row r="398" ht="15.75" customHeight="1">
      <c r="A398" s="265"/>
      <c r="B398" s="266"/>
      <c r="C398" s="267"/>
      <c r="D398" s="268"/>
      <c r="E398" s="269"/>
      <c r="F398" s="270"/>
      <c r="G398" s="271"/>
      <c r="H398" s="272"/>
      <c r="I398" s="273"/>
      <c r="J398" s="274"/>
      <c r="K398" s="275"/>
      <c r="L398" s="274"/>
      <c r="M398" s="275"/>
      <c r="N398" s="276"/>
      <c r="O398" s="232"/>
    </row>
    <row r="399" ht="15.75" customHeight="1">
      <c r="A399" s="265"/>
      <c r="B399" s="266"/>
      <c r="C399" s="267"/>
      <c r="D399" s="268"/>
      <c r="E399" s="269"/>
      <c r="F399" s="270"/>
      <c r="G399" s="271"/>
      <c r="H399" s="272"/>
      <c r="I399" s="273"/>
      <c r="J399" s="274"/>
      <c r="K399" s="275"/>
      <c r="L399" s="274"/>
      <c r="M399" s="275"/>
      <c r="N399" s="276"/>
      <c r="O399" s="232"/>
    </row>
    <row r="400" ht="15.75" customHeight="1">
      <c r="A400" s="265"/>
      <c r="B400" s="266"/>
      <c r="C400" s="267"/>
      <c r="D400" s="268"/>
      <c r="E400" s="269"/>
      <c r="F400" s="270"/>
      <c r="G400" s="271"/>
      <c r="H400" s="272"/>
      <c r="I400" s="273"/>
      <c r="J400" s="274"/>
      <c r="K400" s="275"/>
      <c r="L400" s="274"/>
      <c r="M400" s="275"/>
      <c r="N400" s="276"/>
      <c r="O400" s="232"/>
    </row>
    <row r="401" ht="15.75" customHeight="1">
      <c r="A401" s="265"/>
      <c r="B401" s="266"/>
      <c r="C401" s="267"/>
      <c r="D401" s="268"/>
      <c r="E401" s="269"/>
      <c r="F401" s="270"/>
      <c r="G401" s="271"/>
      <c r="H401" s="272"/>
      <c r="I401" s="273"/>
      <c r="J401" s="274"/>
      <c r="K401" s="275"/>
      <c r="L401" s="274"/>
      <c r="M401" s="275"/>
      <c r="N401" s="276"/>
      <c r="O401" s="232"/>
    </row>
    <row r="402" ht="15.75" customHeight="1">
      <c r="A402" s="265"/>
      <c r="B402" s="266"/>
      <c r="C402" s="267"/>
      <c r="D402" s="268"/>
      <c r="E402" s="269"/>
      <c r="F402" s="270"/>
      <c r="G402" s="271"/>
      <c r="H402" s="272"/>
      <c r="I402" s="273"/>
      <c r="J402" s="274"/>
      <c r="K402" s="275"/>
      <c r="L402" s="274"/>
      <c r="M402" s="275"/>
      <c r="N402" s="276"/>
      <c r="O402" s="232"/>
    </row>
    <row r="403" ht="15.75" customHeight="1">
      <c r="A403" s="265"/>
      <c r="B403" s="266"/>
      <c r="C403" s="267"/>
      <c r="D403" s="268"/>
      <c r="E403" s="269"/>
      <c r="F403" s="270"/>
      <c r="G403" s="271"/>
      <c r="H403" s="272"/>
      <c r="I403" s="273"/>
      <c r="J403" s="274"/>
      <c r="K403" s="275"/>
      <c r="L403" s="274"/>
      <c r="M403" s="275"/>
      <c r="N403" s="276"/>
      <c r="O403" s="232"/>
    </row>
    <row r="404" ht="15.75" customHeight="1">
      <c r="A404" s="265"/>
      <c r="B404" s="266"/>
      <c r="C404" s="267"/>
      <c r="D404" s="268"/>
      <c r="E404" s="269"/>
      <c r="F404" s="270"/>
      <c r="G404" s="271"/>
      <c r="H404" s="272"/>
      <c r="I404" s="273"/>
      <c r="J404" s="274"/>
      <c r="K404" s="275"/>
      <c r="L404" s="274"/>
      <c r="M404" s="275"/>
      <c r="N404" s="276"/>
      <c r="O404" s="232"/>
    </row>
    <row r="405" ht="15.75" customHeight="1">
      <c r="A405" s="265"/>
      <c r="B405" s="266"/>
      <c r="C405" s="267"/>
      <c r="D405" s="268"/>
      <c r="E405" s="269"/>
      <c r="F405" s="270"/>
      <c r="G405" s="271"/>
      <c r="H405" s="272"/>
      <c r="I405" s="273"/>
      <c r="J405" s="274"/>
      <c r="K405" s="275"/>
      <c r="L405" s="274"/>
      <c r="M405" s="275"/>
      <c r="N405" s="276"/>
      <c r="O405" s="232"/>
    </row>
    <row r="406" ht="15.75" customHeight="1">
      <c r="A406" s="265"/>
      <c r="B406" s="266"/>
      <c r="C406" s="267"/>
      <c r="D406" s="268"/>
      <c r="E406" s="269"/>
      <c r="F406" s="270"/>
      <c r="G406" s="271"/>
      <c r="H406" s="272"/>
      <c r="I406" s="273"/>
      <c r="J406" s="274"/>
      <c r="K406" s="275"/>
      <c r="L406" s="274"/>
      <c r="M406" s="275"/>
      <c r="N406" s="276"/>
      <c r="O406" s="232"/>
    </row>
    <row r="407" ht="15.75" customHeight="1">
      <c r="A407" s="265"/>
      <c r="B407" s="266"/>
      <c r="C407" s="267"/>
      <c r="D407" s="268"/>
      <c r="E407" s="269"/>
      <c r="F407" s="270"/>
      <c r="G407" s="271"/>
      <c r="H407" s="272"/>
      <c r="I407" s="273"/>
      <c r="J407" s="274"/>
      <c r="K407" s="275"/>
      <c r="L407" s="274"/>
      <c r="M407" s="275"/>
      <c r="N407" s="276"/>
      <c r="O407" s="232"/>
    </row>
    <row r="408" ht="15.75" customHeight="1">
      <c r="A408" s="265"/>
      <c r="B408" s="266"/>
      <c r="C408" s="267"/>
      <c r="D408" s="268"/>
      <c r="E408" s="269"/>
      <c r="F408" s="270"/>
      <c r="G408" s="271"/>
      <c r="H408" s="272"/>
      <c r="I408" s="273"/>
      <c r="J408" s="274"/>
      <c r="K408" s="275"/>
      <c r="L408" s="274"/>
      <c r="M408" s="275"/>
      <c r="N408" s="276"/>
      <c r="O408" s="232"/>
    </row>
    <row r="409" ht="15.75" customHeight="1">
      <c r="A409" s="265"/>
      <c r="B409" s="266"/>
      <c r="C409" s="267"/>
      <c r="D409" s="268"/>
      <c r="E409" s="269"/>
      <c r="F409" s="270"/>
      <c r="G409" s="271"/>
      <c r="H409" s="272"/>
      <c r="I409" s="273"/>
      <c r="J409" s="274"/>
      <c r="K409" s="275"/>
      <c r="L409" s="274"/>
      <c r="M409" s="275"/>
      <c r="N409" s="276"/>
      <c r="O409" s="232"/>
    </row>
    <row r="410" ht="15.75" customHeight="1">
      <c r="A410" s="265"/>
      <c r="B410" s="266"/>
      <c r="C410" s="267"/>
      <c r="D410" s="268"/>
      <c r="E410" s="269"/>
      <c r="F410" s="270"/>
      <c r="G410" s="271"/>
      <c r="H410" s="272"/>
      <c r="I410" s="273"/>
      <c r="J410" s="274"/>
      <c r="K410" s="275"/>
      <c r="L410" s="274"/>
      <c r="M410" s="275"/>
      <c r="N410" s="276"/>
      <c r="O410" s="232"/>
    </row>
    <row r="411" ht="15.75" customHeight="1">
      <c r="A411" s="265"/>
      <c r="B411" s="266"/>
      <c r="C411" s="267"/>
      <c r="D411" s="268"/>
      <c r="E411" s="269"/>
      <c r="F411" s="270"/>
      <c r="G411" s="271"/>
      <c r="H411" s="272"/>
      <c r="I411" s="273"/>
      <c r="J411" s="274"/>
      <c r="K411" s="275"/>
      <c r="L411" s="274"/>
      <c r="M411" s="275"/>
      <c r="N411" s="276"/>
      <c r="O411" s="232"/>
    </row>
    <row r="412" ht="15.75" customHeight="1">
      <c r="A412" s="265"/>
      <c r="B412" s="266"/>
      <c r="C412" s="267"/>
      <c r="D412" s="268"/>
      <c r="E412" s="269"/>
      <c r="F412" s="270"/>
      <c r="G412" s="271"/>
      <c r="H412" s="272"/>
      <c r="I412" s="273"/>
      <c r="J412" s="274"/>
      <c r="K412" s="275"/>
      <c r="L412" s="274"/>
      <c r="M412" s="275"/>
      <c r="N412" s="276"/>
      <c r="O412" s="232"/>
    </row>
    <row r="413" ht="15.75" customHeight="1">
      <c r="A413" s="265"/>
      <c r="B413" s="266"/>
      <c r="C413" s="267"/>
      <c r="D413" s="268"/>
      <c r="E413" s="269"/>
      <c r="F413" s="270"/>
      <c r="G413" s="271"/>
      <c r="H413" s="272"/>
      <c r="I413" s="273"/>
      <c r="J413" s="274"/>
      <c r="K413" s="275"/>
      <c r="L413" s="274"/>
      <c r="M413" s="275"/>
      <c r="N413" s="276"/>
      <c r="O413" s="232"/>
    </row>
    <row r="414" ht="15.75" customHeight="1">
      <c r="A414" s="265"/>
      <c r="B414" s="266"/>
      <c r="C414" s="267"/>
      <c r="D414" s="268"/>
      <c r="E414" s="269"/>
      <c r="F414" s="270"/>
      <c r="G414" s="271"/>
      <c r="H414" s="272"/>
      <c r="I414" s="273"/>
      <c r="J414" s="274"/>
      <c r="K414" s="275"/>
      <c r="L414" s="274"/>
      <c r="M414" s="275"/>
      <c r="N414" s="276"/>
      <c r="O414" s="232"/>
    </row>
    <row r="415" ht="15.75" customHeight="1">
      <c r="A415" s="265"/>
      <c r="B415" s="266"/>
      <c r="C415" s="267"/>
      <c r="D415" s="268"/>
      <c r="E415" s="269"/>
      <c r="F415" s="270"/>
      <c r="G415" s="271"/>
      <c r="H415" s="272"/>
      <c r="I415" s="273"/>
      <c r="J415" s="274"/>
      <c r="K415" s="275"/>
      <c r="L415" s="274"/>
      <c r="M415" s="275"/>
      <c r="N415" s="276"/>
      <c r="O415" s="232"/>
    </row>
    <row r="416" ht="15.75" customHeight="1">
      <c r="A416" s="265"/>
      <c r="B416" s="266"/>
      <c r="C416" s="267"/>
      <c r="D416" s="268"/>
      <c r="E416" s="269"/>
      <c r="F416" s="270"/>
      <c r="G416" s="271"/>
      <c r="H416" s="272"/>
      <c r="I416" s="273"/>
      <c r="J416" s="274"/>
      <c r="K416" s="275"/>
      <c r="L416" s="274"/>
      <c r="M416" s="275"/>
      <c r="N416" s="276"/>
      <c r="O416" s="232"/>
    </row>
    <row r="417" ht="15.75" customHeight="1">
      <c r="A417" s="265"/>
      <c r="B417" s="266"/>
      <c r="C417" s="267"/>
      <c r="D417" s="268"/>
      <c r="E417" s="269"/>
      <c r="F417" s="270"/>
      <c r="G417" s="271"/>
      <c r="H417" s="272"/>
      <c r="I417" s="273"/>
      <c r="J417" s="274"/>
      <c r="K417" s="275"/>
      <c r="L417" s="274"/>
      <c r="M417" s="275"/>
      <c r="N417" s="276"/>
      <c r="O417" s="232"/>
    </row>
    <row r="418" ht="15.75" customHeight="1">
      <c r="A418" s="265"/>
      <c r="B418" s="266"/>
      <c r="C418" s="267"/>
      <c r="D418" s="268"/>
      <c r="E418" s="269"/>
      <c r="F418" s="270"/>
      <c r="G418" s="271"/>
      <c r="H418" s="272"/>
      <c r="I418" s="273"/>
      <c r="J418" s="274"/>
      <c r="K418" s="275"/>
      <c r="L418" s="274"/>
      <c r="M418" s="275"/>
      <c r="N418" s="276"/>
      <c r="O418" s="232"/>
    </row>
    <row r="419" ht="15.75" customHeight="1">
      <c r="A419" s="265"/>
      <c r="B419" s="266"/>
      <c r="C419" s="267"/>
      <c r="D419" s="268"/>
      <c r="E419" s="269"/>
      <c r="F419" s="270"/>
      <c r="G419" s="271"/>
      <c r="H419" s="272"/>
      <c r="I419" s="273"/>
      <c r="J419" s="274"/>
      <c r="K419" s="275"/>
      <c r="L419" s="274"/>
      <c r="M419" s="275"/>
      <c r="N419" s="276"/>
      <c r="O419" s="232"/>
    </row>
    <row r="420" ht="15.75" customHeight="1">
      <c r="A420" s="265"/>
      <c r="B420" s="266"/>
      <c r="C420" s="267"/>
      <c r="D420" s="268"/>
      <c r="E420" s="269"/>
      <c r="F420" s="270"/>
      <c r="G420" s="271"/>
      <c r="H420" s="272"/>
      <c r="I420" s="273"/>
      <c r="J420" s="274"/>
      <c r="K420" s="275"/>
      <c r="L420" s="274"/>
      <c r="M420" s="275"/>
      <c r="N420" s="276"/>
      <c r="O420" s="232"/>
    </row>
    <row r="421" ht="15.75" customHeight="1">
      <c r="A421" s="265"/>
      <c r="B421" s="266"/>
      <c r="C421" s="267"/>
      <c r="D421" s="268"/>
      <c r="E421" s="269"/>
      <c r="F421" s="270"/>
      <c r="G421" s="271"/>
      <c r="H421" s="272"/>
      <c r="I421" s="273"/>
      <c r="J421" s="274"/>
      <c r="K421" s="275"/>
      <c r="L421" s="274"/>
      <c r="M421" s="275"/>
      <c r="N421" s="276"/>
      <c r="O421" s="232"/>
    </row>
    <row r="422" ht="15.75" customHeight="1">
      <c r="A422" s="265"/>
      <c r="B422" s="266"/>
      <c r="C422" s="267"/>
      <c r="D422" s="268"/>
      <c r="E422" s="269"/>
      <c r="F422" s="270"/>
      <c r="G422" s="271"/>
      <c r="H422" s="272"/>
      <c r="I422" s="273"/>
      <c r="J422" s="274"/>
      <c r="K422" s="275"/>
      <c r="L422" s="274"/>
      <c r="M422" s="275"/>
      <c r="N422" s="276"/>
      <c r="O422" s="232"/>
    </row>
    <row r="423" ht="15.75" customHeight="1">
      <c r="A423" s="265"/>
      <c r="B423" s="266"/>
      <c r="C423" s="267"/>
      <c r="D423" s="268"/>
      <c r="E423" s="269"/>
      <c r="F423" s="270"/>
      <c r="G423" s="271"/>
      <c r="H423" s="272"/>
      <c r="I423" s="273"/>
      <c r="J423" s="274"/>
      <c r="K423" s="275"/>
      <c r="L423" s="274"/>
      <c r="M423" s="275"/>
      <c r="N423" s="276"/>
      <c r="O423" s="232"/>
    </row>
    <row r="424" ht="15.75" customHeight="1">
      <c r="A424" s="265"/>
      <c r="B424" s="266"/>
      <c r="C424" s="267"/>
      <c r="D424" s="268"/>
      <c r="E424" s="269"/>
      <c r="F424" s="270"/>
      <c r="G424" s="271"/>
      <c r="H424" s="272"/>
      <c r="I424" s="273"/>
      <c r="J424" s="274"/>
      <c r="K424" s="275"/>
      <c r="L424" s="274"/>
      <c r="M424" s="275"/>
      <c r="N424" s="276"/>
      <c r="O424" s="232"/>
    </row>
    <row r="425" ht="15.75" customHeight="1">
      <c r="A425" s="265"/>
      <c r="B425" s="266"/>
      <c r="C425" s="267"/>
      <c r="D425" s="268"/>
      <c r="E425" s="269"/>
      <c r="F425" s="270"/>
      <c r="G425" s="271"/>
      <c r="H425" s="272"/>
      <c r="I425" s="273"/>
      <c r="J425" s="274"/>
      <c r="K425" s="275"/>
      <c r="L425" s="274"/>
      <c r="M425" s="275"/>
      <c r="N425" s="276"/>
      <c r="O425" s="232"/>
    </row>
    <row r="426" ht="15.75" customHeight="1">
      <c r="A426" s="265"/>
      <c r="B426" s="266"/>
      <c r="C426" s="267"/>
      <c r="D426" s="268"/>
      <c r="E426" s="269"/>
      <c r="F426" s="270"/>
      <c r="G426" s="271"/>
      <c r="H426" s="272"/>
      <c r="I426" s="273"/>
      <c r="J426" s="274"/>
      <c r="K426" s="275"/>
      <c r="L426" s="274"/>
      <c r="M426" s="275"/>
      <c r="N426" s="276"/>
      <c r="O426" s="232"/>
    </row>
    <row r="427" ht="15.75" customHeight="1">
      <c r="A427" s="265"/>
      <c r="B427" s="266"/>
      <c r="C427" s="267"/>
      <c r="D427" s="268"/>
      <c r="E427" s="269"/>
      <c r="F427" s="270"/>
      <c r="G427" s="271"/>
      <c r="H427" s="272"/>
      <c r="I427" s="273"/>
      <c r="J427" s="274"/>
      <c r="K427" s="275"/>
      <c r="L427" s="274"/>
      <c r="M427" s="275"/>
      <c r="N427" s="276"/>
      <c r="O427" s="232"/>
    </row>
    <row r="428" ht="15.75" customHeight="1">
      <c r="A428" s="265"/>
      <c r="B428" s="266"/>
      <c r="C428" s="267"/>
      <c r="D428" s="268"/>
      <c r="E428" s="269"/>
      <c r="F428" s="270"/>
      <c r="G428" s="271"/>
      <c r="H428" s="272"/>
      <c r="I428" s="273"/>
      <c r="J428" s="274"/>
      <c r="K428" s="275"/>
      <c r="L428" s="274"/>
      <c r="M428" s="275"/>
      <c r="N428" s="276"/>
      <c r="O428" s="232"/>
    </row>
    <row r="429" ht="15.75" customHeight="1">
      <c r="A429" s="265"/>
      <c r="B429" s="266"/>
      <c r="C429" s="267"/>
      <c r="D429" s="268"/>
      <c r="E429" s="269"/>
      <c r="F429" s="270"/>
      <c r="G429" s="271"/>
      <c r="H429" s="272"/>
      <c r="I429" s="273"/>
      <c r="J429" s="274"/>
      <c r="K429" s="275"/>
      <c r="L429" s="274"/>
      <c r="M429" s="275"/>
      <c r="N429" s="276"/>
      <c r="O429" s="232"/>
    </row>
    <row r="430" ht="15.75" customHeight="1">
      <c r="A430" s="265"/>
      <c r="B430" s="266"/>
      <c r="C430" s="267"/>
      <c r="D430" s="268"/>
      <c r="E430" s="269"/>
      <c r="F430" s="270"/>
      <c r="G430" s="271"/>
      <c r="H430" s="272"/>
      <c r="I430" s="273"/>
      <c r="J430" s="274"/>
      <c r="K430" s="275"/>
      <c r="L430" s="274"/>
      <c r="M430" s="275"/>
      <c r="N430" s="276"/>
      <c r="O430" s="232"/>
    </row>
    <row r="431" ht="15.75" customHeight="1">
      <c r="A431" s="265"/>
      <c r="B431" s="266"/>
      <c r="C431" s="267"/>
      <c r="D431" s="268"/>
      <c r="E431" s="269"/>
      <c r="F431" s="270"/>
      <c r="G431" s="271"/>
      <c r="H431" s="272"/>
      <c r="I431" s="273"/>
      <c r="J431" s="274"/>
      <c r="K431" s="275"/>
      <c r="L431" s="274"/>
      <c r="M431" s="275"/>
      <c r="N431" s="276"/>
      <c r="O431" s="232"/>
    </row>
    <row r="432" ht="15.75" customHeight="1">
      <c r="A432" s="265"/>
      <c r="B432" s="266"/>
      <c r="C432" s="267"/>
      <c r="D432" s="268"/>
      <c r="E432" s="269"/>
      <c r="F432" s="270"/>
      <c r="G432" s="271"/>
      <c r="H432" s="272"/>
      <c r="I432" s="273"/>
      <c r="J432" s="274"/>
      <c r="K432" s="275"/>
      <c r="L432" s="274"/>
      <c r="M432" s="275"/>
      <c r="N432" s="276"/>
      <c r="O432" s="232"/>
    </row>
    <row r="433" ht="15.75" customHeight="1">
      <c r="A433" s="265"/>
      <c r="B433" s="266"/>
      <c r="C433" s="267"/>
      <c r="D433" s="268"/>
      <c r="E433" s="269"/>
      <c r="F433" s="270"/>
      <c r="G433" s="271"/>
      <c r="H433" s="272"/>
      <c r="I433" s="273"/>
      <c r="J433" s="274"/>
      <c r="K433" s="275"/>
      <c r="L433" s="274"/>
      <c r="M433" s="275"/>
      <c r="N433" s="276"/>
      <c r="O433" s="232"/>
    </row>
    <row r="434" ht="15.75" customHeight="1">
      <c r="A434" s="265"/>
      <c r="B434" s="266"/>
      <c r="C434" s="267"/>
      <c r="D434" s="268"/>
      <c r="E434" s="269"/>
      <c r="F434" s="270"/>
      <c r="G434" s="271"/>
      <c r="H434" s="272"/>
      <c r="I434" s="273"/>
      <c r="J434" s="274"/>
      <c r="K434" s="275"/>
      <c r="L434" s="274"/>
      <c r="M434" s="275"/>
      <c r="N434" s="276"/>
      <c r="O434" s="232"/>
    </row>
    <row r="435" ht="15.75" customHeight="1">
      <c r="A435" s="265"/>
      <c r="B435" s="266"/>
      <c r="C435" s="267"/>
      <c r="D435" s="268"/>
      <c r="E435" s="269"/>
      <c r="F435" s="270"/>
      <c r="G435" s="271"/>
      <c r="H435" s="272"/>
      <c r="I435" s="273"/>
      <c r="J435" s="274"/>
      <c r="K435" s="275"/>
      <c r="L435" s="274"/>
      <c r="M435" s="275"/>
      <c r="N435" s="276"/>
      <c r="O435" s="232"/>
    </row>
    <row r="436" ht="15.75" customHeight="1">
      <c r="A436" s="265"/>
      <c r="B436" s="266"/>
      <c r="C436" s="267"/>
      <c r="D436" s="268"/>
      <c r="E436" s="269"/>
      <c r="F436" s="270"/>
      <c r="G436" s="271"/>
      <c r="H436" s="272"/>
      <c r="I436" s="273"/>
      <c r="J436" s="274"/>
      <c r="K436" s="275"/>
      <c r="L436" s="274"/>
      <c r="M436" s="275"/>
      <c r="N436" s="276"/>
      <c r="O436" s="232"/>
    </row>
    <row r="437" ht="15.75" customHeight="1">
      <c r="A437" s="265"/>
      <c r="B437" s="266"/>
      <c r="C437" s="267"/>
      <c r="D437" s="268"/>
      <c r="E437" s="269"/>
      <c r="F437" s="270"/>
      <c r="G437" s="271"/>
      <c r="H437" s="272"/>
      <c r="I437" s="273"/>
      <c r="J437" s="274"/>
      <c r="K437" s="275"/>
      <c r="L437" s="274"/>
      <c r="M437" s="275"/>
      <c r="N437" s="276"/>
      <c r="O437" s="232"/>
    </row>
    <row r="438" ht="15.75" customHeight="1">
      <c r="A438" s="265"/>
      <c r="B438" s="266"/>
      <c r="C438" s="267"/>
      <c r="D438" s="268"/>
      <c r="E438" s="269"/>
      <c r="F438" s="270"/>
      <c r="G438" s="271"/>
      <c r="H438" s="272"/>
      <c r="I438" s="273"/>
      <c r="J438" s="274"/>
      <c r="K438" s="275"/>
      <c r="L438" s="274"/>
      <c r="M438" s="275"/>
      <c r="N438" s="276"/>
      <c r="O438" s="232"/>
    </row>
    <row r="439" ht="15.75" customHeight="1">
      <c r="A439" s="265"/>
      <c r="B439" s="266"/>
      <c r="C439" s="267"/>
      <c r="D439" s="268"/>
      <c r="E439" s="269"/>
      <c r="F439" s="270"/>
      <c r="G439" s="271"/>
      <c r="H439" s="272"/>
      <c r="I439" s="273"/>
      <c r="J439" s="274"/>
      <c r="K439" s="275"/>
      <c r="L439" s="274"/>
      <c r="M439" s="275"/>
      <c r="N439" s="276"/>
      <c r="O439" s="232"/>
    </row>
    <row r="440" ht="15.75" customHeight="1">
      <c r="A440" s="265"/>
      <c r="B440" s="266"/>
      <c r="C440" s="267"/>
      <c r="D440" s="268"/>
      <c r="E440" s="269"/>
      <c r="F440" s="270"/>
      <c r="G440" s="271"/>
      <c r="H440" s="272"/>
      <c r="I440" s="273"/>
      <c r="J440" s="274"/>
      <c r="K440" s="275"/>
      <c r="L440" s="274"/>
      <c r="M440" s="275"/>
      <c r="N440" s="276"/>
      <c r="O440" s="232"/>
    </row>
    <row r="441" ht="15.75" customHeight="1">
      <c r="A441" s="265"/>
      <c r="B441" s="266"/>
      <c r="C441" s="267"/>
      <c r="D441" s="268"/>
      <c r="E441" s="269"/>
      <c r="F441" s="270"/>
      <c r="G441" s="271"/>
      <c r="H441" s="272"/>
      <c r="I441" s="273"/>
      <c r="J441" s="274"/>
      <c r="K441" s="275"/>
      <c r="L441" s="274"/>
      <c r="M441" s="275"/>
      <c r="N441" s="276"/>
      <c r="O441" s="232"/>
    </row>
    <row r="442" ht="15.75" customHeight="1">
      <c r="A442" s="265"/>
      <c r="B442" s="266"/>
      <c r="C442" s="267"/>
      <c r="D442" s="268"/>
      <c r="E442" s="269"/>
      <c r="F442" s="270"/>
      <c r="G442" s="271"/>
      <c r="H442" s="272"/>
      <c r="I442" s="273"/>
      <c r="J442" s="274"/>
      <c r="K442" s="275"/>
      <c r="L442" s="274"/>
      <c r="M442" s="275"/>
      <c r="N442" s="276"/>
      <c r="O442" s="232"/>
    </row>
    <row r="443" ht="15.75" customHeight="1">
      <c r="A443" s="265"/>
      <c r="B443" s="266"/>
      <c r="C443" s="267"/>
      <c r="D443" s="268"/>
      <c r="E443" s="269"/>
      <c r="F443" s="270"/>
      <c r="G443" s="271"/>
      <c r="H443" s="272"/>
      <c r="I443" s="273"/>
      <c r="J443" s="274"/>
      <c r="K443" s="275"/>
      <c r="L443" s="274"/>
      <c r="M443" s="275"/>
      <c r="N443" s="276"/>
      <c r="O443" s="232"/>
    </row>
    <row r="444" ht="15.75" customHeight="1">
      <c r="A444" s="265"/>
      <c r="B444" s="266"/>
      <c r="C444" s="267"/>
      <c r="D444" s="268"/>
      <c r="E444" s="269"/>
      <c r="F444" s="270"/>
      <c r="G444" s="271"/>
      <c r="H444" s="272"/>
      <c r="I444" s="273"/>
      <c r="J444" s="274"/>
      <c r="K444" s="275"/>
      <c r="L444" s="274"/>
      <c r="M444" s="275"/>
      <c r="N444" s="276"/>
      <c r="O444" s="232"/>
    </row>
    <row r="445" ht="15.75" customHeight="1">
      <c r="A445" s="265"/>
      <c r="B445" s="266"/>
      <c r="C445" s="267"/>
      <c r="D445" s="268"/>
      <c r="E445" s="269"/>
      <c r="F445" s="270"/>
      <c r="G445" s="271"/>
      <c r="H445" s="272"/>
      <c r="I445" s="273"/>
      <c r="J445" s="274"/>
      <c r="K445" s="275"/>
      <c r="L445" s="274"/>
      <c r="M445" s="275"/>
      <c r="N445" s="276"/>
      <c r="O445" s="232"/>
    </row>
    <row r="446" ht="15.75" customHeight="1">
      <c r="A446" s="265"/>
      <c r="B446" s="266"/>
      <c r="C446" s="267"/>
      <c r="D446" s="268"/>
      <c r="E446" s="269"/>
      <c r="F446" s="270"/>
      <c r="G446" s="271"/>
      <c r="H446" s="272"/>
      <c r="I446" s="273"/>
      <c r="J446" s="274"/>
      <c r="K446" s="275"/>
      <c r="L446" s="274"/>
      <c r="M446" s="275"/>
      <c r="N446" s="276"/>
      <c r="O446" s="232"/>
    </row>
    <row r="447" ht="15.75" customHeight="1">
      <c r="A447" s="265"/>
      <c r="B447" s="266"/>
      <c r="C447" s="267"/>
      <c r="D447" s="268"/>
      <c r="E447" s="269"/>
      <c r="F447" s="270"/>
      <c r="G447" s="271"/>
      <c r="H447" s="272"/>
      <c r="I447" s="273"/>
      <c r="J447" s="274"/>
      <c r="K447" s="275"/>
      <c r="L447" s="274"/>
      <c r="M447" s="275"/>
      <c r="N447" s="276"/>
      <c r="O447" s="232"/>
    </row>
    <row r="448" ht="15.75" customHeight="1">
      <c r="A448" s="265"/>
      <c r="B448" s="266"/>
      <c r="C448" s="267"/>
      <c r="D448" s="268"/>
      <c r="E448" s="269"/>
      <c r="F448" s="270"/>
      <c r="G448" s="271"/>
      <c r="H448" s="272"/>
      <c r="I448" s="273"/>
      <c r="J448" s="274"/>
      <c r="K448" s="275"/>
      <c r="L448" s="274"/>
      <c r="M448" s="275"/>
      <c r="N448" s="276"/>
      <c r="O448" s="232"/>
    </row>
    <row r="449" ht="15.75" customHeight="1">
      <c r="A449" s="265"/>
      <c r="B449" s="266"/>
      <c r="C449" s="267"/>
      <c r="D449" s="268"/>
      <c r="E449" s="269"/>
      <c r="F449" s="270"/>
      <c r="G449" s="271"/>
      <c r="H449" s="272"/>
      <c r="I449" s="273"/>
      <c r="J449" s="274"/>
      <c r="K449" s="275"/>
      <c r="L449" s="274"/>
      <c r="M449" s="275"/>
      <c r="N449" s="276"/>
      <c r="O449" s="232"/>
    </row>
    <row r="450" ht="15.75" customHeight="1">
      <c r="A450" s="265"/>
      <c r="B450" s="266"/>
      <c r="C450" s="267"/>
      <c r="D450" s="268"/>
      <c r="E450" s="269"/>
      <c r="F450" s="270"/>
      <c r="G450" s="271"/>
      <c r="H450" s="272"/>
      <c r="I450" s="273"/>
      <c r="J450" s="274"/>
      <c r="K450" s="275"/>
      <c r="L450" s="274"/>
      <c r="M450" s="275"/>
      <c r="N450" s="276"/>
      <c r="O450" s="232"/>
    </row>
    <row r="451" ht="15.75" customHeight="1">
      <c r="A451" s="265"/>
      <c r="B451" s="266"/>
      <c r="C451" s="267"/>
      <c r="D451" s="268"/>
      <c r="E451" s="269"/>
      <c r="F451" s="270"/>
      <c r="G451" s="271"/>
      <c r="H451" s="272"/>
      <c r="I451" s="273"/>
      <c r="J451" s="274"/>
      <c r="K451" s="275"/>
      <c r="L451" s="274"/>
      <c r="M451" s="275"/>
      <c r="N451" s="276"/>
      <c r="O451" s="232"/>
    </row>
    <row r="452" ht="15.75" customHeight="1">
      <c r="A452" s="265"/>
      <c r="B452" s="266"/>
      <c r="C452" s="267"/>
      <c r="D452" s="268"/>
      <c r="E452" s="269"/>
      <c r="F452" s="270"/>
      <c r="G452" s="271"/>
      <c r="H452" s="272"/>
      <c r="I452" s="273"/>
      <c r="J452" s="274"/>
      <c r="K452" s="275"/>
      <c r="L452" s="274"/>
      <c r="M452" s="275"/>
      <c r="N452" s="276"/>
      <c r="O452" s="232"/>
    </row>
    <row r="453" ht="15.75" customHeight="1">
      <c r="A453" s="265"/>
      <c r="B453" s="266"/>
      <c r="C453" s="267"/>
      <c r="D453" s="268"/>
      <c r="E453" s="269"/>
      <c r="F453" s="270"/>
      <c r="G453" s="271"/>
      <c r="H453" s="272"/>
      <c r="I453" s="273"/>
      <c r="J453" s="274"/>
      <c r="K453" s="275"/>
      <c r="L453" s="274"/>
      <c r="M453" s="275"/>
      <c r="N453" s="276"/>
      <c r="O453" s="232"/>
    </row>
    <row r="454" ht="15.75" customHeight="1">
      <c r="A454" s="265"/>
      <c r="B454" s="266"/>
      <c r="C454" s="267"/>
      <c r="D454" s="268"/>
      <c r="E454" s="269"/>
      <c r="F454" s="270"/>
      <c r="G454" s="271"/>
      <c r="H454" s="272"/>
      <c r="I454" s="273"/>
      <c r="J454" s="274"/>
      <c r="K454" s="275"/>
      <c r="L454" s="274"/>
      <c r="M454" s="275"/>
      <c r="N454" s="276"/>
      <c r="O454" s="232"/>
    </row>
    <row r="455" ht="15.75" customHeight="1">
      <c r="A455" s="265"/>
      <c r="B455" s="266"/>
      <c r="C455" s="267"/>
      <c r="D455" s="268"/>
      <c r="E455" s="269"/>
      <c r="F455" s="270"/>
      <c r="G455" s="271"/>
      <c r="H455" s="272"/>
      <c r="I455" s="273"/>
      <c r="J455" s="274"/>
      <c r="K455" s="275"/>
      <c r="L455" s="274"/>
      <c r="M455" s="275"/>
      <c r="N455" s="276"/>
      <c r="O455" s="232"/>
    </row>
    <row r="456" ht="15.75" customHeight="1">
      <c r="A456" s="265"/>
      <c r="B456" s="266"/>
      <c r="C456" s="267"/>
      <c r="D456" s="268"/>
      <c r="E456" s="269"/>
      <c r="F456" s="270"/>
      <c r="G456" s="271"/>
      <c r="H456" s="272"/>
      <c r="I456" s="273"/>
      <c r="J456" s="274"/>
      <c r="K456" s="275"/>
      <c r="L456" s="274"/>
      <c r="M456" s="275"/>
      <c r="N456" s="276"/>
      <c r="O456" s="232"/>
    </row>
    <row r="457" ht="15.75" customHeight="1">
      <c r="A457" s="265"/>
      <c r="B457" s="266"/>
      <c r="C457" s="267"/>
      <c r="D457" s="268"/>
      <c r="E457" s="269"/>
      <c r="F457" s="270"/>
      <c r="G457" s="271"/>
      <c r="H457" s="272"/>
      <c r="I457" s="273"/>
      <c r="J457" s="274"/>
      <c r="K457" s="275"/>
      <c r="L457" s="274"/>
      <c r="M457" s="275"/>
      <c r="N457" s="276"/>
      <c r="O457" s="232"/>
    </row>
    <row r="458" ht="15.75" customHeight="1">
      <c r="A458" s="265"/>
      <c r="B458" s="266"/>
      <c r="C458" s="267"/>
      <c r="D458" s="268"/>
      <c r="E458" s="269"/>
      <c r="F458" s="270"/>
      <c r="G458" s="271"/>
      <c r="H458" s="272"/>
      <c r="I458" s="273"/>
      <c r="J458" s="274"/>
      <c r="K458" s="275"/>
      <c r="L458" s="274"/>
      <c r="M458" s="275"/>
      <c r="N458" s="276"/>
      <c r="O458" s="232"/>
    </row>
    <row r="459" ht="15.75" customHeight="1">
      <c r="A459" s="265"/>
      <c r="B459" s="266"/>
      <c r="C459" s="267"/>
      <c r="D459" s="268"/>
      <c r="E459" s="269"/>
      <c r="F459" s="270"/>
      <c r="G459" s="271"/>
      <c r="H459" s="272"/>
      <c r="I459" s="273"/>
      <c r="J459" s="274"/>
      <c r="K459" s="275"/>
      <c r="L459" s="274"/>
      <c r="M459" s="275"/>
      <c r="N459" s="276"/>
      <c r="O459" s="232"/>
    </row>
    <row r="460" ht="15.75" customHeight="1">
      <c r="A460" s="265"/>
      <c r="B460" s="266"/>
      <c r="C460" s="267"/>
      <c r="D460" s="268"/>
      <c r="E460" s="269"/>
      <c r="F460" s="270"/>
      <c r="G460" s="271"/>
      <c r="H460" s="272"/>
      <c r="I460" s="273"/>
      <c r="J460" s="274"/>
      <c r="K460" s="275"/>
      <c r="L460" s="274"/>
      <c r="M460" s="275"/>
      <c r="N460" s="276"/>
      <c r="O460" s="232"/>
    </row>
    <row r="461" ht="15.75" customHeight="1">
      <c r="A461" s="265"/>
      <c r="B461" s="266"/>
      <c r="C461" s="267"/>
      <c r="D461" s="268"/>
      <c r="E461" s="269"/>
      <c r="F461" s="270"/>
      <c r="G461" s="271"/>
      <c r="H461" s="272"/>
      <c r="I461" s="273"/>
      <c r="J461" s="274"/>
      <c r="K461" s="275"/>
      <c r="L461" s="274"/>
      <c r="M461" s="275"/>
      <c r="N461" s="276"/>
      <c r="O461" s="232"/>
    </row>
    <row r="462" ht="15.75" customHeight="1">
      <c r="A462" s="265"/>
      <c r="B462" s="266"/>
      <c r="C462" s="267"/>
      <c r="D462" s="268"/>
      <c r="E462" s="269"/>
      <c r="F462" s="270"/>
      <c r="G462" s="271"/>
      <c r="H462" s="272"/>
      <c r="I462" s="273"/>
      <c r="J462" s="274"/>
      <c r="K462" s="275"/>
      <c r="L462" s="274"/>
      <c r="M462" s="275"/>
      <c r="N462" s="276"/>
      <c r="O462" s="232"/>
    </row>
    <row r="463" ht="15.75" customHeight="1">
      <c r="A463" s="265"/>
      <c r="B463" s="266"/>
      <c r="C463" s="267"/>
      <c r="D463" s="268"/>
      <c r="E463" s="269"/>
      <c r="F463" s="270"/>
      <c r="G463" s="271"/>
      <c r="H463" s="272"/>
      <c r="I463" s="273"/>
      <c r="J463" s="274"/>
      <c r="K463" s="275"/>
      <c r="L463" s="274"/>
      <c r="M463" s="275"/>
      <c r="N463" s="276"/>
      <c r="O463" s="232"/>
    </row>
    <row r="464" ht="15.75" customHeight="1">
      <c r="A464" s="265"/>
      <c r="B464" s="266"/>
      <c r="C464" s="267"/>
      <c r="D464" s="268"/>
      <c r="E464" s="269"/>
      <c r="F464" s="270"/>
      <c r="G464" s="271"/>
      <c r="H464" s="272"/>
      <c r="I464" s="273"/>
      <c r="J464" s="274"/>
      <c r="K464" s="275"/>
      <c r="L464" s="274"/>
      <c r="M464" s="275"/>
      <c r="N464" s="276"/>
      <c r="O464" s="232"/>
    </row>
    <row r="465" ht="15.75" customHeight="1">
      <c r="A465" s="265"/>
      <c r="B465" s="266"/>
      <c r="C465" s="267"/>
      <c r="D465" s="268"/>
      <c r="E465" s="269"/>
      <c r="F465" s="270"/>
      <c r="G465" s="271"/>
      <c r="H465" s="272"/>
      <c r="I465" s="273"/>
      <c r="J465" s="274"/>
      <c r="K465" s="275"/>
      <c r="L465" s="274"/>
      <c r="M465" s="275"/>
      <c r="N465" s="276"/>
      <c r="O465" s="232"/>
    </row>
    <row r="466" ht="15.75" customHeight="1">
      <c r="A466" s="265"/>
      <c r="B466" s="266"/>
      <c r="C466" s="267"/>
      <c r="D466" s="268"/>
      <c r="E466" s="269"/>
      <c r="F466" s="270"/>
      <c r="G466" s="271"/>
      <c r="H466" s="272"/>
      <c r="I466" s="273"/>
      <c r="J466" s="274"/>
      <c r="K466" s="275"/>
      <c r="L466" s="274"/>
      <c r="M466" s="275"/>
      <c r="N466" s="276"/>
      <c r="O466" s="232"/>
    </row>
    <row r="467" ht="15.75" customHeight="1">
      <c r="A467" s="265"/>
      <c r="B467" s="266"/>
      <c r="C467" s="267"/>
      <c r="D467" s="268"/>
      <c r="E467" s="269"/>
      <c r="F467" s="270"/>
      <c r="G467" s="271"/>
      <c r="H467" s="272"/>
      <c r="I467" s="273"/>
      <c r="J467" s="274"/>
      <c r="K467" s="275"/>
      <c r="L467" s="274"/>
      <c r="M467" s="275"/>
      <c r="N467" s="276"/>
      <c r="O467" s="232"/>
    </row>
    <row r="468" ht="15.75" customHeight="1">
      <c r="A468" s="265"/>
      <c r="B468" s="266"/>
      <c r="C468" s="267"/>
      <c r="D468" s="268"/>
      <c r="E468" s="269"/>
      <c r="F468" s="270"/>
      <c r="G468" s="271"/>
      <c r="H468" s="272"/>
      <c r="I468" s="273"/>
      <c r="J468" s="274"/>
      <c r="K468" s="275"/>
      <c r="L468" s="274"/>
      <c r="M468" s="275"/>
      <c r="N468" s="276"/>
      <c r="O468" s="232"/>
    </row>
    <row r="469" ht="15.75" customHeight="1">
      <c r="A469" s="265"/>
      <c r="B469" s="266"/>
      <c r="C469" s="267"/>
      <c r="D469" s="268"/>
      <c r="E469" s="269"/>
      <c r="F469" s="270"/>
      <c r="G469" s="271"/>
      <c r="H469" s="272"/>
      <c r="I469" s="273"/>
      <c r="J469" s="274"/>
      <c r="K469" s="275"/>
      <c r="L469" s="274"/>
      <c r="M469" s="275"/>
      <c r="N469" s="276"/>
      <c r="O469" s="232"/>
    </row>
    <row r="470" ht="15.75" customHeight="1">
      <c r="A470" s="265"/>
      <c r="B470" s="266"/>
      <c r="C470" s="267"/>
      <c r="D470" s="268"/>
      <c r="E470" s="269"/>
      <c r="F470" s="270"/>
      <c r="G470" s="271"/>
      <c r="H470" s="272"/>
      <c r="I470" s="273"/>
      <c r="J470" s="274"/>
      <c r="K470" s="275"/>
      <c r="L470" s="274"/>
      <c r="M470" s="275"/>
      <c r="N470" s="276"/>
      <c r="O470" s="232"/>
    </row>
    <row r="471" ht="15.75" customHeight="1">
      <c r="A471" s="265"/>
      <c r="B471" s="266"/>
      <c r="C471" s="267"/>
      <c r="D471" s="268"/>
      <c r="E471" s="269"/>
      <c r="F471" s="270"/>
      <c r="G471" s="271"/>
      <c r="H471" s="272"/>
      <c r="I471" s="273"/>
      <c r="J471" s="274"/>
      <c r="K471" s="275"/>
      <c r="L471" s="274"/>
      <c r="M471" s="275"/>
      <c r="N471" s="276"/>
      <c r="O471" s="232"/>
    </row>
    <row r="472" ht="15.75" customHeight="1">
      <c r="A472" s="265"/>
      <c r="B472" s="266"/>
      <c r="C472" s="267"/>
      <c r="D472" s="268"/>
      <c r="E472" s="269"/>
      <c r="F472" s="270"/>
      <c r="G472" s="271"/>
      <c r="H472" s="272"/>
      <c r="I472" s="273"/>
      <c r="J472" s="274"/>
      <c r="K472" s="275"/>
      <c r="L472" s="274"/>
      <c r="M472" s="275"/>
      <c r="N472" s="276"/>
      <c r="O472" s="232"/>
    </row>
    <row r="473" ht="15.75" customHeight="1">
      <c r="A473" s="265"/>
      <c r="B473" s="266"/>
      <c r="C473" s="267"/>
      <c r="D473" s="268"/>
      <c r="E473" s="269"/>
      <c r="F473" s="270"/>
      <c r="G473" s="271"/>
      <c r="H473" s="272"/>
      <c r="I473" s="273"/>
      <c r="J473" s="274"/>
      <c r="K473" s="275"/>
      <c r="L473" s="274"/>
      <c r="M473" s="275"/>
      <c r="N473" s="276"/>
      <c r="O473" s="232"/>
    </row>
    <row r="474" ht="15.75" customHeight="1">
      <c r="A474" s="265"/>
      <c r="B474" s="266"/>
      <c r="C474" s="267"/>
      <c r="D474" s="268"/>
      <c r="E474" s="269"/>
      <c r="F474" s="270"/>
      <c r="G474" s="271"/>
      <c r="H474" s="272"/>
      <c r="I474" s="273"/>
      <c r="J474" s="274"/>
      <c r="K474" s="275"/>
      <c r="L474" s="274"/>
      <c r="M474" s="275"/>
      <c r="N474" s="276"/>
      <c r="O474" s="232"/>
    </row>
    <row r="475" ht="15.75" customHeight="1">
      <c r="A475" s="265"/>
      <c r="B475" s="266"/>
      <c r="C475" s="267"/>
      <c r="D475" s="268"/>
      <c r="E475" s="269"/>
      <c r="F475" s="270"/>
      <c r="G475" s="271"/>
      <c r="H475" s="272"/>
      <c r="I475" s="273"/>
      <c r="J475" s="274"/>
      <c r="K475" s="275"/>
      <c r="L475" s="274"/>
      <c r="M475" s="275"/>
      <c r="N475" s="276"/>
      <c r="O475" s="232"/>
    </row>
    <row r="476" ht="15.75" customHeight="1">
      <c r="A476" s="265"/>
      <c r="B476" s="266"/>
      <c r="C476" s="267"/>
      <c r="D476" s="268"/>
      <c r="E476" s="269"/>
      <c r="F476" s="270"/>
      <c r="G476" s="271"/>
      <c r="H476" s="272"/>
      <c r="I476" s="273"/>
      <c r="J476" s="274"/>
      <c r="K476" s="275"/>
      <c r="L476" s="274"/>
      <c r="M476" s="275"/>
      <c r="N476" s="276"/>
      <c r="O476" s="232"/>
    </row>
    <row r="477" ht="15.75" customHeight="1">
      <c r="A477" s="265"/>
      <c r="B477" s="266"/>
      <c r="C477" s="267"/>
      <c r="D477" s="268"/>
      <c r="E477" s="269"/>
      <c r="F477" s="270"/>
      <c r="G477" s="271"/>
      <c r="H477" s="272"/>
      <c r="I477" s="273"/>
      <c r="J477" s="274"/>
      <c r="K477" s="275"/>
      <c r="L477" s="274"/>
      <c r="M477" s="275"/>
      <c r="N477" s="276"/>
      <c r="O477" s="232"/>
    </row>
    <row r="478" ht="15.75" customHeight="1">
      <c r="A478" s="265"/>
      <c r="B478" s="266"/>
      <c r="C478" s="267"/>
      <c r="D478" s="268"/>
      <c r="E478" s="269"/>
      <c r="F478" s="270"/>
      <c r="G478" s="271"/>
      <c r="H478" s="272"/>
      <c r="I478" s="273"/>
      <c r="J478" s="274"/>
      <c r="K478" s="275"/>
      <c r="L478" s="274"/>
      <c r="M478" s="275"/>
      <c r="N478" s="276"/>
      <c r="O478" s="232"/>
    </row>
    <row r="479" ht="15.75" customHeight="1">
      <c r="A479" s="265"/>
      <c r="B479" s="266"/>
      <c r="C479" s="267"/>
      <c r="D479" s="268"/>
      <c r="E479" s="269"/>
      <c r="F479" s="270"/>
      <c r="G479" s="271"/>
      <c r="H479" s="272"/>
      <c r="I479" s="273"/>
      <c r="J479" s="274"/>
      <c r="K479" s="275"/>
      <c r="L479" s="274"/>
      <c r="M479" s="275"/>
      <c r="N479" s="276"/>
      <c r="O479" s="232"/>
    </row>
    <row r="480" ht="15.75" customHeight="1">
      <c r="A480" s="265"/>
      <c r="B480" s="266"/>
      <c r="C480" s="267"/>
      <c r="D480" s="268"/>
      <c r="E480" s="269"/>
      <c r="F480" s="270"/>
      <c r="G480" s="271"/>
      <c r="H480" s="272"/>
      <c r="I480" s="273"/>
      <c r="J480" s="274"/>
      <c r="K480" s="275"/>
      <c r="L480" s="274"/>
      <c r="M480" s="275"/>
      <c r="N480" s="276"/>
      <c r="O480" s="232"/>
    </row>
    <row r="481" ht="15.75" customHeight="1">
      <c r="A481" s="265"/>
      <c r="B481" s="266"/>
      <c r="C481" s="267"/>
      <c r="D481" s="268"/>
      <c r="E481" s="269"/>
      <c r="F481" s="270"/>
      <c r="G481" s="271"/>
      <c r="H481" s="272"/>
      <c r="I481" s="273"/>
      <c r="J481" s="274"/>
      <c r="K481" s="275"/>
      <c r="L481" s="274"/>
      <c r="M481" s="275"/>
      <c r="N481" s="276"/>
      <c r="O481" s="232"/>
    </row>
    <row r="482" ht="15.75" customHeight="1">
      <c r="A482" s="265"/>
      <c r="B482" s="266"/>
      <c r="C482" s="267"/>
      <c r="D482" s="268"/>
      <c r="E482" s="269"/>
      <c r="F482" s="270"/>
      <c r="G482" s="271"/>
      <c r="H482" s="272"/>
      <c r="I482" s="273"/>
      <c r="J482" s="274"/>
      <c r="K482" s="275"/>
      <c r="L482" s="274"/>
      <c r="M482" s="275"/>
      <c r="N482" s="276"/>
      <c r="O482" s="232"/>
    </row>
    <row r="483" ht="15.75" customHeight="1">
      <c r="A483" s="265"/>
      <c r="B483" s="266"/>
      <c r="C483" s="267"/>
      <c r="D483" s="268"/>
      <c r="E483" s="269"/>
      <c r="F483" s="270"/>
      <c r="G483" s="271"/>
      <c r="H483" s="272"/>
      <c r="I483" s="273"/>
      <c r="J483" s="274"/>
      <c r="K483" s="275"/>
      <c r="L483" s="274"/>
      <c r="M483" s="275"/>
      <c r="N483" s="276"/>
      <c r="O483" s="232"/>
    </row>
    <row r="484" ht="15.75" customHeight="1">
      <c r="A484" s="265"/>
      <c r="B484" s="266"/>
      <c r="C484" s="267"/>
      <c r="D484" s="268"/>
      <c r="E484" s="269"/>
      <c r="F484" s="270"/>
      <c r="G484" s="271"/>
      <c r="H484" s="272"/>
      <c r="I484" s="273"/>
      <c r="J484" s="274"/>
      <c r="K484" s="275"/>
      <c r="L484" s="274"/>
      <c r="M484" s="275"/>
      <c r="N484" s="276"/>
      <c r="O484" s="232"/>
    </row>
    <row r="485" ht="15.75" customHeight="1">
      <c r="A485" s="265"/>
      <c r="B485" s="266"/>
      <c r="C485" s="267"/>
      <c r="D485" s="268"/>
      <c r="E485" s="269"/>
      <c r="F485" s="270"/>
      <c r="G485" s="271"/>
      <c r="H485" s="272"/>
      <c r="I485" s="273"/>
      <c r="J485" s="274"/>
      <c r="K485" s="275"/>
      <c r="L485" s="274"/>
      <c r="M485" s="275"/>
      <c r="N485" s="276"/>
      <c r="O485" s="232"/>
    </row>
    <row r="486" ht="15.75" customHeight="1">
      <c r="A486" s="265"/>
      <c r="B486" s="266"/>
      <c r="C486" s="267"/>
      <c r="D486" s="268"/>
      <c r="E486" s="269"/>
      <c r="F486" s="270"/>
      <c r="G486" s="271"/>
      <c r="H486" s="272"/>
      <c r="I486" s="273"/>
      <c r="J486" s="274"/>
      <c r="K486" s="275"/>
      <c r="L486" s="274"/>
      <c r="M486" s="275"/>
      <c r="N486" s="276"/>
      <c r="O486" s="232"/>
    </row>
    <row r="487" ht="15.75" customHeight="1">
      <c r="A487" s="265"/>
      <c r="B487" s="266"/>
      <c r="C487" s="267"/>
      <c r="D487" s="268"/>
      <c r="E487" s="269"/>
      <c r="F487" s="270"/>
      <c r="G487" s="271"/>
      <c r="H487" s="272"/>
      <c r="I487" s="273"/>
      <c r="J487" s="274"/>
      <c r="K487" s="275"/>
      <c r="L487" s="274"/>
      <c r="M487" s="275"/>
      <c r="N487" s="276"/>
      <c r="O487" s="232"/>
    </row>
    <row r="488" ht="15.75" customHeight="1">
      <c r="A488" s="265"/>
      <c r="B488" s="266"/>
      <c r="C488" s="267"/>
      <c r="D488" s="268"/>
      <c r="E488" s="269"/>
      <c r="F488" s="270"/>
      <c r="G488" s="271"/>
      <c r="H488" s="272"/>
      <c r="I488" s="273"/>
      <c r="J488" s="274"/>
      <c r="K488" s="275"/>
      <c r="L488" s="274"/>
      <c r="M488" s="275"/>
      <c r="N488" s="276"/>
      <c r="O488" s="232"/>
    </row>
    <row r="489" ht="15.75" customHeight="1">
      <c r="A489" s="265"/>
      <c r="B489" s="266"/>
      <c r="C489" s="267"/>
      <c r="D489" s="268"/>
      <c r="E489" s="269"/>
      <c r="F489" s="270"/>
      <c r="G489" s="271"/>
      <c r="H489" s="272"/>
      <c r="I489" s="273"/>
      <c r="J489" s="274"/>
      <c r="K489" s="275"/>
      <c r="L489" s="274"/>
      <c r="M489" s="275"/>
      <c r="N489" s="276"/>
      <c r="O489" s="232"/>
    </row>
    <row r="490" ht="15.75" customHeight="1">
      <c r="A490" s="265"/>
      <c r="B490" s="266"/>
      <c r="C490" s="267"/>
      <c r="D490" s="268"/>
      <c r="E490" s="269"/>
      <c r="F490" s="270"/>
      <c r="G490" s="271"/>
      <c r="H490" s="272"/>
      <c r="I490" s="273"/>
      <c r="J490" s="274"/>
      <c r="K490" s="275"/>
      <c r="L490" s="274"/>
      <c r="M490" s="275"/>
      <c r="N490" s="276"/>
      <c r="O490" s="232"/>
    </row>
    <row r="491" ht="15.75" customHeight="1">
      <c r="A491" s="265"/>
      <c r="B491" s="266"/>
      <c r="C491" s="267"/>
      <c r="D491" s="268"/>
      <c r="E491" s="269"/>
      <c r="F491" s="270"/>
      <c r="G491" s="271"/>
      <c r="H491" s="272"/>
      <c r="I491" s="273"/>
      <c r="J491" s="274"/>
      <c r="K491" s="275"/>
      <c r="L491" s="274"/>
      <c r="M491" s="275"/>
      <c r="N491" s="276"/>
      <c r="O491" s="232"/>
    </row>
    <row r="492" ht="15.75" customHeight="1">
      <c r="A492" s="265"/>
      <c r="B492" s="266"/>
      <c r="C492" s="267"/>
      <c r="D492" s="268"/>
      <c r="E492" s="269"/>
      <c r="F492" s="270"/>
      <c r="G492" s="271"/>
      <c r="H492" s="272"/>
      <c r="I492" s="273"/>
      <c r="J492" s="274"/>
      <c r="K492" s="275"/>
      <c r="L492" s="274"/>
      <c r="M492" s="275"/>
      <c r="N492" s="276"/>
      <c r="O492" s="232"/>
    </row>
    <row r="493" ht="15.75" customHeight="1">
      <c r="A493" s="265"/>
      <c r="B493" s="266"/>
      <c r="C493" s="267"/>
      <c r="D493" s="268"/>
      <c r="E493" s="269"/>
      <c r="F493" s="270"/>
      <c r="G493" s="271"/>
      <c r="H493" s="272"/>
      <c r="I493" s="273"/>
      <c r="J493" s="274"/>
      <c r="K493" s="275"/>
      <c r="L493" s="274"/>
      <c r="M493" s="275"/>
      <c r="N493" s="276"/>
      <c r="O493" s="232"/>
    </row>
    <row r="494" ht="15.75" customHeight="1">
      <c r="A494" s="265"/>
      <c r="B494" s="266"/>
      <c r="C494" s="267"/>
      <c r="D494" s="268"/>
      <c r="E494" s="269"/>
      <c r="F494" s="270"/>
      <c r="G494" s="271"/>
      <c r="H494" s="272"/>
      <c r="I494" s="273"/>
      <c r="J494" s="274"/>
      <c r="K494" s="275"/>
      <c r="L494" s="274"/>
      <c r="M494" s="275"/>
      <c r="N494" s="276"/>
      <c r="O494" s="232"/>
    </row>
    <row r="495" ht="15.75" customHeight="1">
      <c r="A495" s="265"/>
      <c r="B495" s="266"/>
      <c r="C495" s="267"/>
      <c r="D495" s="268"/>
      <c r="E495" s="269"/>
      <c r="F495" s="270"/>
      <c r="G495" s="271"/>
      <c r="H495" s="272"/>
      <c r="I495" s="273"/>
      <c r="J495" s="274"/>
      <c r="K495" s="275"/>
      <c r="L495" s="274"/>
      <c r="M495" s="275"/>
      <c r="N495" s="276"/>
      <c r="O495" s="232"/>
    </row>
    <row r="496" ht="15.75" customHeight="1">
      <c r="A496" s="265"/>
      <c r="B496" s="266"/>
      <c r="C496" s="267"/>
      <c r="D496" s="268"/>
      <c r="E496" s="269"/>
      <c r="F496" s="270"/>
      <c r="G496" s="271"/>
      <c r="H496" s="272"/>
      <c r="I496" s="273"/>
      <c r="J496" s="274"/>
      <c r="K496" s="275"/>
      <c r="L496" s="274"/>
      <c r="M496" s="275"/>
      <c r="N496" s="276"/>
      <c r="O496" s="232"/>
    </row>
    <row r="497" ht="15.75" customHeight="1">
      <c r="A497" s="265"/>
      <c r="B497" s="266"/>
      <c r="C497" s="267"/>
      <c r="D497" s="268"/>
      <c r="E497" s="269"/>
      <c r="F497" s="270"/>
      <c r="G497" s="271"/>
      <c r="H497" s="272"/>
      <c r="I497" s="273"/>
      <c r="J497" s="274"/>
      <c r="K497" s="275"/>
      <c r="L497" s="274"/>
      <c r="M497" s="275"/>
      <c r="N497" s="276"/>
      <c r="O497" s="232"/>
    </row>
    <row r="498" ht="15.75" customHeight="1">
      <c r="A498" s="265"/>
      <c r="B498" s="266"/>
      <c r="C498" s="267"/>
      <c r="D498" s="268"/>
      <c r="E498" s="269"/>
      <c r="F498" s="270"/>
      <c r="G498" s="271"/>
      <c r="H498" s="272"/>
      <c r="I498" s="273"/>
      <c r="J498" s="274"/>
      <c r="K498" s="275"/>
      <c r="L498" s="274"/>
      <c r="M498" s="275"/>
      <c r="N498" s="276"/>
      <c r="O498" s="232"/>
    </row>
    <row r="499" ht="15.75" customHeight="1">
      <c r="A499" s="265"/>
      <c r="B499" s="266"/>
      <c r="C499" s="267"/>
      <c r="D499" s="268"/>
      <c r="E499" s="269"/>
      <c r="F499" s="270"/>
      <c r="G499" s="271"/>
      <c r="H499" s="272"/>
      <c r="I499" s="273"/>
      <c r="J499" s="274"/>
      <c r="K499" s="275"/>
      <c r="L499" s="274"/>
      <c r="M499" s="275"/>
      <c r="N499" s="276"/>
      <c r="O499" s="232"/>
    </row>
    <row r="500" ht="15.75" customHeight="1">
      <c r="A500" s="265"/>
      <c r="B500" s="266"/>
      <c r="C500" s="267"/>
      <c r="D500" s="268"/>
      <c r="E500" s="269"/>
      <c r="F500" s="270"/>
      <c r="G500" s="271"/>
      <c r="H500" s="272"/>
      <c r="I500" s="273"/>
      <c r="J500" s="274"/>
      <c r="K500" s="275"/>
      <c r="L500" s="274"/>
      <c r="M500" s="275"/>
      <c r="N500" s="276"/>
      <c r="O500" s="232"/>
    </row>
    <row r="501" ht="15.75" customHeight="1">
      <c r="A501" s="265"/>
      <c r="B501" s="266"/>
      <c r="C501" s="267"/>
      <c r="D501" s="268"/>
      <c r="E501" s="269"/>
      <c r="F501" s="270"/>
      <c r="G501" s="271"/>
      <c r="H501" s="272"/>
      <c r="I501" s="273"/>
      <c r="J501" s="274"/>
      <c r="K501" s="275"/>
      <c r="L501" s="274"/>
      <c r="M501" s="275"/>
      <c r="N501" s="276"/>
      <c r="O501" s="232"/>
    </row>
    <row r="502" ht="15.75" customHeight="1">
      <c r="A502" s="265"/>
      <c r="B502" s="266"/>
      <c r="C502" s="267"/>
      <c r="D502" s="268"/>
      <c r="E502" s="269"/>
      <c r="F502" s="270"/>
      <c r="G502" s="271"/>
      <c r="H502" s="272"/>
      <c r="I502" s="273"/>
      <c r="J502" s="274"/>
      <c r="K502" s="275"/>
      <c r="L502" s="274"/>
      <c r="M502" s="275"/>
      <c r="N502" s="276"/>
      <c r="O502" s="232"/>
    </row>
    <row r="503" ht="15.75" customHeight="1">
      <c r="A503" s="265"/>
      <c r="B503" s="266"/>
      <c r="C503" s="267"/>
      <c r="D503" s="268"/>
      <c r="E503" s="269"/>
      <c r="F503" s="270"/>
      <c r="G503" s="271"/>
      <c r="H503" s="272"/>
      <c r="I503" s="273"/>
      <c r="J503" s="274"/>
      <c r="K503" s="275"/>
      <c r="L503" s="274"/>
      <c r="M503" s="275"/>
      <c r="N503" s="276"/>
      <c r="O503" s="232"/>
    </row>
    <row r="504" ht="15.75" customHeight="1">
      <c r="A504" s="265"/>
      <c r="B504" s="266"/>
      <c r="C504" s="267"/>
      <c r="D504" s="268"/>
      <c r="E504" s="269"/>
      <c r="F504" s="270"/>
      <c r="G504" s="271"/>
      <c r="H504" s="272"/>
      <c r="I504" s="273"/>
      <c r="J504" s="274"/>
      <c r="K504" s="275"/>
      <c r="L504" s="274"/>
      <c r="M504" s="275"/>
      <c r="N504" s="276"/>
      <c r="O504" s="232"/>
    </row>
    <row r="505" ht="15.75" customHeight="1">
      <c r="A505" s="265"/>
      <c r="B505" s="266"/>
      <c r="C505" s="267"/>
      <c r="D505" s="268"/>
      <c r="E505" s="269"/>
      <c r="F505" s="270"/>
      <c r="G505" s="271"/>
      <c r="H505" s="272"/>
      <c r="I505" s="273"/>
      <c r="J505" s="274"/>
      <c r="K505" s="275"/>
      <c r="L505" s="274"/>
      <c r="M505" s="275"/>
      <c r="N505" s="276"/>
      <c r="O505" s="232"/>
    </row>
    <row r="506" ht="15.75" customHeight="1">
      <c r="A506" s="265"/>
      <c r="B506" s="266"/>
      <c r="C506" s="267"/>
      <c r="D506" s="268"/>
      <c r="E506" s="269"/>
      <c r="F506" s="270"/>
      <c r="G506" s="271"/>
      <c r="H506" s="272"/>
      <c r="I506" s="273"/>
      <c r="J506" s="274"/>
      <c r="K506" s="275"/>
      <c r="L506" s="274"/>
      <c r="M506" s="275"/>
      <c r="N506" s="276"/>
      <c r="O506" s="232"/>
    </row>
    <row r="507" ht="15.75" customHeight="1">
      <c r="A507" s="265"/>
      <c r="B507" s="266"/>
      <c r="C507" s="267"/>
      <c r="D507" s="268"/>
      <c r="E507" s="269"/>
      <c r="F507" s="270"/>
      <c r="G507" s="271"/>
      <c r="H507" s="272"/>
      <c r="I507" s="273"/>
      <c r="J507" s="274"/>
      <c r="K507" s="275"/>
      <c r="L507" s="274"/>
      <c r="M507" s="275"/>
      <c r="N507" s="276"/>
      <c r="O507" s="232"/>
    </row>
    <row r="508" ht="15.75" customHeight="1">
      <c r="A508" s="265"/>
      <c r="B508" s="266"/>
      <c r="C508" s="267"/>
      <c r="D508" s="268"/>
      <c r="E508" s="269"/>
      <c r="F508" s="270"/>
      <c r="G508" s="271"/>
      <c r="H508" s="272"/>
      <c r="I508" s="273"/>
      <c r="J508" s="274"/>
      <c r="K508" s="275"/>
      <c r="L508" s="274"/>
      <c r="M508" s="275"/>
      <c r="N508" s="276"/>
      <c r="O508" s="232"/>
    </row>
    <row r="509" ht="15.75" customHeight="1">
      <c r="A509" s="265"/>
      <c r="B509" s="266"/>
      <c r="C509" s="267"/>
      <c r="D509" s="268"/>
      <c r="E509" s="269"/>
      <c r="F509" s="270"/>
      <c r="G509" s="271"/>
      <c r="H509" s="272"/>
      <c r="I509" s="273"/>
      <c r="J509" s="274"/>
      <c r="K509" s="275"/>
      <c r="L509" s="274"/>
      <c r="M509" s="275"/>
      <c r="N509" s="276"/>
      <c r="O509" s="232"/>
    </row>
    <row r="510" ht="15.75" customHeight="1">
      <c r="A510" s="265"/>
      <c r="B510" s="266"/>
      <c r="C510" s="267"/>
      <c r="D510" s="268"/>
      <c r="E510" s="269"/>
      <c r="F510" s="270"/>
      <c r="G510" s="271"/>
      <c r="H510" s="272"/>
      <c r="I510" s="273"/>
      <c r="J510" s="274"/>
      <c r="K510" s="275"/>
      <c r="L510" s="274"/>
      <c r="M510" s="275"/>
      <c r="N510" s="276"/>
      <c r="O510" s="232"/>
    </row>
    <row r="511" ht="15.75" customHeight="1">
      <c r="A511" s="265"/>
      <c r="B511" s="266"/>
      <c r="C511" s="267"/>
      <c r="D511" s="268"/>
      <c r="E511" s="269"/>
      <c r="F511" s="270"/>
      <c r="G511" s="271"/>
      <c r="H511" s="272"/>
      <c r="I511" s="273"/>
      <c r="J511" s="274"/>
      <c r="K511" s="275"/>
      <c r="L511" s="274"/>
      <c r="M511" s="275"/>
      <c r="N511" s="276"/>
      <c r="O511" s="232"/>
    </row>
    <row r="512" ht="15.75" customHeight="1">
      <c r="A512" s="265"/>
      <c r="B512" s="266"/>
      <c r="C512" s="267"/>
      <c r="D512" s="268"/>
      <c r="E512" s="269"/>
      <c r="F512" s="270"/>
      <c r="G512" s="271"/>
      <c r="H512" s="272"/>
      <c r="I512" s="273"/>
      <c r="J512" s="274"/>
      <c r="K512" s="275"/>
      <c r="L512" s="274"/>
      <c r="M512" s="275"/>
      <c r="N512" s="276"/>
      <c r="O512" s="232"/>
    </row>
    <row r="513" ht="15.75" customHeight="1">
      <c r="A513" s="265"/>
      <c r="B513" s="266"/>
      <c r="C513" s="267"/>
      <c r="D513" s="268"/>
      <c r="E513" s="269"/>
      <c r="F513" s="270"/>
      <c r="G513" s="271"/>
      <c r="H513" s="272"/>
      <c r="I513" s="273"/>
      <c r="J513" s="274"/>
      <c r="K513" s="275"/>
      <c r="L513" s="274"/>
      <c r="M513" s="275"/>
      <c r="N513" s="276"/>
      <c r="O513" s="232"/>
    </row>
    <row r="514" ht="15.75" customHeight="1">
      <c r="A514" s="265"/>
      <c r="B514" s="266"/>
      <c r="C514" s="267"/>
      <c r="D514" s="268"/>
      <c r="E514" s="269"/>
      <c r="F514" s="270"/>
      <c r="G514" s="271"/>
      <c r="H514" s="272"/>
      <c r="I514" s="273"/>
      <c r="J514" s="274"/>
      <c r="K514" s="275"/>
      <c r="L514" s="274"/>
      <c r="M514" s="275"/>
      <c r="N514" s="276"/>
      <c r="O514" s="232"/>
    </row>
    <row r="515" ht="15.75" customHeight="1">
      <c r="A515" s="265"/>
      <c r="B515" s="266"/>
      <c r="C515" s="267"/>
      <c r="D515" s="268"/>
      <c r="E515" s="269"/>
      <c r="F515" s="270"/>
      <c r="G515" s="271"/>
      <c r="H515" s="272"/>
      <c r="I515" s="273"/>
      <c r="J515" s="274"/>
      <c r="K515" s="275"/>
      <c r="L515" s="274"/>
      <c r="M515" s="275"/>
      <c r="N515" s="276"/>
      <c r="O515" s="232"/>
    </row>
    <row r="516" ht="15.75" customHeight="1">
      <c r="A516" s="265"/>
      <c r="B516" s="266"/>
      <c r="C516" s="267"/>
      <c r="D516" s="268"/>
      <c r="E516" s="269"/>
      <c r="F516" s="270"/>
      <c r="G516" s="271"/>
      <c r="H516" s="272"/>
      <c r="I516" s="273"/>
      <c r="J516" s="274"/>
      <c r="K516" s="275"/>
      <c r="L516" s="274"/>
      <c r="M516" s="275"/>
      <c r="N516" s="276"/>
      <c r="O516" s="232"/>
    </row>
    <row r="517" ht="15.75" customHeight="1">
      <c r="A517" s="265"/>
      <c r="B517" s="266"/>
      <c r="C517" s="267"/>
      <c r="D517" s="268"/>
      <c r="E517" s="269"/>
      <c r="F517" s="270"/>
      <c r="G517" s="271"/>
      <c r="H517" s="272"/>
      <c r="I517" s="273"/>
      <c r="J517" s="274"/>
      <c r="K517" s="275"/>
      <c r="L517" s="274"/>
      <c r="M517" s="275"/>
      <c r="N517" s="276"/>
      <c r="O517" s="232"/>
    </row>
    <row r="518" ht="15.75" customHeight="1">
      <c r="A518" s="265"/>
      <c r="B518" s="266"/>
      <c r="C518" s="267"/>
      <c r="D518" s="268"/>
      <c r="E518" s="269"/>
      <c r="F518" s="270"/>
      <c r="G518" s="271"/>
      <c r="H518" s="272"/>
      <c r="I518" s="273"/>
      <c r="J518" s="274"/>
      <c r="K518" s="275"/>
      <c r="L518" s="274"/>
      <c r="M518" s="275"/>
      <c r="N518" s="276"/>
      <c r="O518" s="232"/>
    </row>
    <row r="519" ht="15.75" customHeight="1">
      <c r="A519" s="265"/>
      <c r="B519" s="266"/>
      <c r="C519" s="267"/>
      <c r="D519" s="268"/>
      <c r="E519" s="269"/>
      <c r="F519" s="270"/>
      <c r="G519" s="271"/>
      <c r="H519" s="272"/>
      <c r="I519" s="273"/>
      <c r="J519" s="274"/>
      <c r="K519" s="275"/>
      <c r="L519" s="274"/>
      <c r="M519" s="275"/>
      <c r="N519" s="276"/>
      <c r="O519" s="232"/>
    </row>
    <row r="520" ht="15.75" customHeight="1">
      <c r="A520" s="265"/>
      <c r="B520" s="266"/>
      <c r="C520" s="267"/>
      <c r="D520" s="268"/>
      <c r="E520" s="269"/>
      <c r="F520" s="270"/>
      <c r="G520" s="271"/>
      <c r="H520" s="272"/>
      <c r="I520" s="273"/>
      <c r="J520" s="274"/>
      <c r="K520" s="275"/>
      <c r="L520" s="274"/>
      <c r="M520" s="275"/>
      <c r="N520" s="276"/>
      <c r="O520" s="232"/>
    </row>
    <row r="521" ht="15.75" customHeight="1">
      <c r="A521" s="265"/>
      <c r="B521" s="266"/>
      <c r="C521" s="267"/>
      <c r="D521" s="268"/>
      <c r="E521" s="269"/>
      <c r="F521" s="270"/>
      <c r="G521" s="271"/>
      <c r="H521" s="272"/>
      <c r="I521" s="273"/>
      <c r="J521" s="274"/>
      <c r="K521" s="275"/>
      <c r="L521" s="274"/>
      <c r="M521" s="275"/>
      <c r="N521" s="276"/>
      <c r="O521" s="232"/>
    </row>
    <row r="522" ht="15.75" customHeight="1">
      <c r="A522" s="265"/>
      <c r="B522" s="266"/>
      <c r="C522" s="267"/>
      <c r="D522" s="268"/>
      <c r="E522" s="269"/>
      <c r="F522" s="270"/>
      <c r="G522" s="271"/>
      <c r="H522" s="272"/>
      <c r="I522" s="273"/>
      <c r="J522" s="274"/>
      <c r="K522" s="275"/>
      <c r="L522" s="274"/>
      <c r="M522" s="275"/>
      <c r="N522" s="276"/>
      <c r="O522" s="232"/>
    </row>
    <row r="523" ht="15.75" customHeight="1">
      <c r="A523" s="265"/>
      <c r="B523" s="266"/>
      <c r="C523" s="267"/>
      <c r="D523" s="268"/>
      <c r="E523" s="269"/>
      <c r="F523" s="270"/>
      <c r="G523" s="271"/>
      <c r="H523" s="272"/>
      <c r="I523" s="273"/>
      <c r="J523" s="274"/>
      <c r="K523" s="275"/>
      <c r="L523" s="274"/>
      <c r="M523" s="275"/>
      <c r="N523" s="276"/>
      <c r="O523" s="232"/>
    </row>
    <row r="524" ht="15.75" customHeight="1">
      <c r="A524" s="265"/>
      <c r="B524" s="266"/>
      <c r="C524" s="267"/>
      <c r="D524" s="268"/>
      <c r="E524" s="269"/>
      <c r="F524" s="270"/>
      <c r="G524" s="271"/>
      <c r="H524" s="272"/>
      <c r="I524" s="273"/>
      <c r="J524" s="274"/>
      <c r="K524" s="275"/>
      <c r="L524" s="274"/>
      <c r="M524" s="275"/>
      <c r="N524" s="276"/>
      <c r="O524" s="232"/>
    </row>
    <row r="525" ht="15.75" customHeight="1">
      <c r="A525" s="265"/>
      <c r="B525" s="266"/>
      <c r="C525" s="267"/>
      <c r="D525" s="268"/>
      <c r="E525" s="269"/>
      <c r="F525" s="270"/>
      <c r="G525" s="271"/>
      <c r="H525" s="272"/>
      <c r="I525" s="273"/>
      <c r="J525" s="274"/>
      <c r="K525" s="275"/>
      <c r="L525" s="274"/>
      <c r="M525" s="275"/>
      <c r="N525" s="276"/>
      <c r="O525" s="232"/>
    </row>
    <row r="526" ht="15.75" customHeight="1">
      <c r="A526" s="265"/>
      <c r="B526" s="266"/>
      <c r="C526" s="267"/>
      <c r="D526" s="268"/>
      <c r="E526" s="269"/>
      <c r="F526" s="270"/>
      <c r="G526" s="271"/>
      <c r="H526" s="272"/>
      <c r="I526" s="273"/>
      <c r="J526" s="274"/>
      <c r="K526" s="275"/>
      <c r="L526" s="274"/>
      <c r="M526" s="275"/>
      <c r="N526" s="276"/>
      <c r="O526" s="232"/>
    </row>
    <row r="527" ht="15.75" customHeight="1">
      <c r="A527" s="265"/>
      <c r="B527" s="266"/>
      <c r="C527" s="267"/>
      <c r="D527" s="268"/>
      <c r="E527" s="269"/>
      <c r="F527" s="270"/>
      <c r="G527" s="271"/>
      <c r="H527" s="272"/>
      <c r="I527" s="273"/>
      <c r="J527" s="274"/>
      <c r="K527" s="275"/>
      <c r="L527" s="274"/>
      <c r="M527" s="275"/>
      <c r="N527" s="276"/>
      <c r="O527" s="232"/>
    </row>
    <row r="528" ht="15.75" customHeight="1">
      <c r="A528" s="265"/>
      <c r="B528" s="266"/>
      <c r="C528" s="267"/>
      <c r="D528" s="268"/>
      <c r="E528" s="269"/>
      <c r="F528" s="270"/>
      <c r="G528" s="271"/>
      <c r="H528" s="272"/>
      <c r="I528" s="273"/>
      <c r="J528" s="274"/>
      <c r="K528" s="275"/>
      <c r="L528" s="274"/>
      <c r="M528" s="275"/>
      <c r="N528" s="276"/>
      <c r="O528" s="232"/>
    </row>
    <row r="529" ht="15.75" customHeight="1">
      <c r="A529" s="265"/>
      <c r="B529" s="266"/>
      <c r="C529" s="267"/>
      <c r="D529" s="268"/>
      <c r="E529" s="269"/>
      <c r="F529" s="270"/>
      <c r="G529" s="271"/>
      <c r="H529" s="272"/>
      <c r="I529" s="273"/>
      <c r="J529" s="274"/>
      <c r="K529" s="275"/>
      <c r="L529" s="274"/>
      <c r="M529" s="275"/>
      <c r="N529" s="276"/>
      <c r="O529" s="232"/>
    </row>
    <row r="530" ht="15.75" customHeight="1">
      <c r="A530" s="265"/>
      <c r="B530" s="266"/>
      <c r="C530" s="267"/>
      <c r="D530" s="268"/>
      <c r="E530" s="269"/>
      <c r="F530" s="270"/>
      <c r="G530" s="271"/>
      <c r="H530" s="272"/>
      <c r="I530" s="273"/>
      <c r="J530" s="274"/>
      <c r="K530" s="275"/>
      <c r="L530" s="274"/>
      <c r="M530" s="275"/>
      <c r="N530" s="276"/>
      <c r="O530" s="232"/>
    </row>
    <row r="531" ht="15.75" customHeight="1">
      <c r="C531" s="277"/>
      <c r="E531" s="278"/>
      <c r="G531" s="279"/>
    </row>
    <row r="532" ht="15.75" customHeight="1">
      <c r="C532" s="277"/>
      <c r="E532" s="278"/>
      <c r="G532" s="279"/>
    </row>
    <row r="533" ht="15.75" customHeight="1">
      <c r="C533" s="277"/>
      <c r="E533" s="278"/>
      <c r="G533" s="279"/>
    </row>
    <row r="534" ht="15.75" customHeight="1">
      <c r="C534" s="277"/>
      <c r="E534" s="278"/>
      <c r="G534" s="279"/>
    </row>
    <row r="535" ht="15.75" customHeight="1">
      <c r="C535" s="277"/>
      <c r="E535" s="278"/>
      <c r="G535" s="279"/>
    </row>
    <row r="536" ht="15.75" customHeight="1">
      <c r="C536" s="277"/>
      <c r="E536" s="278"/>
      <c r="G536" s="279"/>
    </row>
    <row r="537" ht="15.75" customHeight="1">
      <c r="C537" s="277"/>
      <c r="E537" s="278"/>
      <c r="G537" s="279"/>
    </row>
    <row r="538" ht="15.75" customHeight="1">
      <c r="C538" s="277"/>
      <c r="E538" s="278"/>
      <c r="G538" s="279"/>
    </row>
    <row r="539" ht="15.75" customHeight="1">
      <c r="C539" s="277"/>
      <c r="E539" s="278"/>
      <c r="G539" s="279"/>
    </row>
    <row r="540" ht="15.75" customHeight="1">
      <c r="C540" s="277"/>
      <c r="E540" s="278"/>
      <c r="G540" s="279"/>
    </row>
    <row r="541" ht="15.75" customHeight="1">
      <c r="C541" s="277"/>
      <c r="E541" s="278"/>
      <c r="G541" s="279"/>
    </row>
    <row r="542" ht="15.75" customHeight="1">
      <c r="C542" s="277"/>
      <c r="E542" s="278"/>
      <c r="G542" s="279"/>
    </row>
    <row r="543" ht="15.75" customHeight="1">
      <c r="C543" s="277"/>
      <c r="E543" s="278"/>
      <c r="G543" s="279"/>
    </row>
    <row r="544" ht="15.75" customHeight="1">
      <c r="C544" s="277"/>
      <c r="E544" s="278"/>
      <c r="G544" s="279"/>
    </row>
    <row r="545" ht="15.75" customHeight="1">
      <c r="C545" s="277"/>
      <c r="E545" s="278"/>
      <c r="G545" s="279"/>
    </row>
    <row r="546" ht="15.75" customHeight="1">
      <c r="C546" s="277"/>
      <c r="E546" s="278"/>
      <c r="G546" s="279"/>
    </row>
    <row r="547" ht="15.75" customHeight="1">
      <c r="C547" s="277"/>
      <c r="E547" s="278"/>
      <c r="G547" s="279"/>
    </row>
    <row r="548" ht="15.75" customHeight="1">
      <c r="C548" s="277"/>
      <c r="E548" s="278"/>
      <c r="G548" s="279"/>
    </row>
    <row r="549" ht="15.75" customHeight="1">
      <c r="C549" s="277"/>
      <c r="E549" s="278"/>
      <c r="G549" s="279"/>
    </row>
    <row r="550" ht="15.75" customHeight="1">
      <c r="C550" s="277"/>
      <c r="E550" s="278"/>
      <c r="G550" s="279"/>
    </row>
    <row r="551" ht="15.75" customHeight="1">
      <c r="C551" s="277"/>
      <c r="E551" s="278"/>
      <c r="G551" s="279"/>
    </row>
    <row r="552" ht="15.75" customHeight="1">
      <c r="C552" s="277"/>
      <c r="E552" s="278"/>
      <c r="G552" s="279"/>
    </row>
    <row r="553" ht="15.75" customHeight="1">
      <c r="C553" s="277"/>
      <c r="E553" s="278"/>
      <c r="G553" s="279"/>
    </row>
    <row r="554" ht="15.75" customHeight="1">
      <c r="C554" s="277"/>
      <c r="E554" s="278"/>
      <c r="G554" s="279"/>
    </row>
    <row r="555" ht="15.75" customHeight="1">
      <c r="C555" s="277"/>
      <c r="E555" s="278"/>
      <c r="G555" s="279"/>
    </row>
    <row r="556" ht="15.75" customHeight="1">
      <c r="C556" s="277"/>
      <c r="E556" s="278"/>
      <c r="G556" s="279"/>
    </row>
    <row r="557" ht="15.75" customHeight="1">
      <c r="C557" s="277"/>
      <c r="E557" s="278"/>
      <c r="G557" s="279"/>
    </row>
    <row r="558" ht="15.75" customHeight="1">
      <c r="C558" s="277"/>
      <c r="E558" s="278"/>
      <c r="G558" s="279"/>
    </row>
    <row r="559" ht="15.75" customHeight="1">
      <c r="C559" s="277"/>
      <c r="E559" s="278"/>
      <c r="G559" s="279"/>
    </row>
    <row r="560" ht="15.75" customHeight="1">
      <c r="C560" s="277"/>
      <c r="E560" s="278"/>
      <c r="G560" s="279"/>
    </row>
    <row r="561" ht="15.75" customHeight="1">
      <c r="C561" s="277"/>
      <c r="E561" s="278"/>
      <c r="G561" s="279"/>
    </row>
    <row r="562" ht="15.75" customHeight="1">
      <c r="C562" s="277"/>
      <c r="E562" s="278"/>
      <c r="G562" s="279"/>
    </row>
    <row r="563" ht="15.75" customHeight="1">
      <c r="C563" s="277"/>
      <c r="E563" s="278"/>
      <c r="G563" s="279"/>
    </row>
    <row r="564" ht="15.75" customHeight="1">
      <c r="C564" s="277"/>
      <c r="E564" s="278"/>
      <c r="G564" s="279"/>
    </row>
    <row r="565" ht="15.75" customHeight="1">
      <c r="C565" s="277"/>
      <c r="E565" s="278"/>
      <c r="G565" s="279"/>
    </row>
    <row r="566" ht="15.75" customHeight="1">
      <c r="C566" s="277"/>
      <c r="E566" s="278"/>
      <c r="G566" s="279"/>
    </row>
    <row r="567" ht="15.75" customHeight="1">
      <c r="C567" s="277"/>
      <c r="E567" s="278"/>
      <c r="G567" s="279"/>
    </row>
    <row r="568" ht="15.75" customHeight="1">
      <c r="C568" s="277"/>
      <c r="E568" s="278"/>
      <c r="G568" s="279"/>
    </row>
    <row r="569" ht="15.75" customHeight="1">
      <c r="C569" s="277"/>
      <c r="E569" s="278"/>
      <c r="G569" s="279"/>
    </row>
    <row r="570" ht="15.75" customHeight="1">
      <c r="C570" s="277"/>
      <c r="E570" s="278"/>
      <c r="G570" s="279"/>
    </row>
    <row r="571" ht="15.75" customHeight="1">
      <c r="C571" s="277"/>
      <c r="E571" s="278"/>
      <c r="G571" s="279"/>
    </row>
    <row r="572" ht="15.75" customHeight="1">
      <c r="C572" s="277"/>
      <c r="E572" s="278"/>
      <c r="G572" s="279"/>
    </row>
    <row r="573" ht="15.75" customHeight="1">
      <c r="C573" s="277"/>
      <c r="E573" s="278"/>
      <c r="G573" s="279"/>
    </row>
    <row r="574" ht="15.75" customHeight="1">
      <c r="C574" s="277"/>
      <c r="E574" s="278"/>
      <c r="G574" s="279"/>
    </row>
    <row r="575" ht="15.75" customHeight="1">
      <c r="C575" s="277"/>
      <c r="E575" s="278"/>
      <c r="G575" s="279"/>
    </row>
    <row r="576" ht="15.75" customHeight="1">
      <c r="C576" s="277"/>
      <c r="E576" s="278"/>
      <c r="G576" s="279"/>
    </row>
    <row r="577" ht="15.75" customHeight="1">
      <c r="C577" s="277"/>
      <c r="E577" s="278"/>
      <c r="G577" s="279"/>
    </row>
    <row r="578" ht="15.75" customHeight="1">
      <c r="C578" s="277"/>
      <c r="E578" s="278"/>
      <c r="G578" s="279"/>
    </row>
    <row r="579" ht="15.75" customHeight="1">
      <c r="C579" s="277"/>
      <c r="E579" s="278"/>
      <c r="G579" s="279"/>
    </row>
    <row r="580" ht="15.75" customHeight="1">
      <c r="C580" s="277"/>
      <c r="E580" s="278"/>
      <c r="G580" s="279"/>
    </row>
    <row r="581" ht="15.75" customHeight="1">
      <c r="C581" s="277"/>
      <c r="E581" s="278"/>
      <c r="G581" s="279"/>
    </row>
    <row r="582" ht="15.75" customHeight="1">
      <c r="C582" s="277"/>
      <c r="E582" s="278"/>
      <c r="G582" s="279"/>
    </row>
    <row r="583" ht="15.75" customHeight="1">
      <c r="C583" s="277"/>
      <c r="E583" s="278"/>
      <c r="G583" s="279"/>
    </row>
    <row r="584" ht="15.75" customHeight="1">
      <c r="C584" s="277"/>
      <c r="E584" s="278"/>
      <c r="G584" s="279"/>
    </row>
    <row r="585" ht="15.75" customHeight="1">
      <c r="C585" s="277"/>
      <c r="E585" s="278"/>
      <c r="G585" s="279"/>
    </row>
    <row r="586" ht="15.75" customHeight="1">
      <c r="C586" s="277"/>
      <c r="E586" s="278"/>
      <c r="G586" s="279"/>
    </row>
    <row r="587" ht="15.75" customHeight="1">
      <c r="C587" s="277"/>
      <c r="E587" s="278"/>
      <c r="G587" s="279"/>
    </row>
    <row r="588" ht="15.75" customHeight="1">
      <c r="C588" s="277"/>
      <c r="E588" s="278"/>
      <c r="G588" s="279"/>
    </row>
    <row r="589" ht="15.75" customHeight="1">
      <c r="C589" s="277"/>
      <c r="E589" s="278"/>
      <c r="G589" s="279"/>
    </row>
    <row r="590" ht="15.75" customHeight="1">
      <c r="C590" s="277"/>
      <c r="E590" s="278"/>
      <c r="G590" s="279"/>
    </row>
    <row r="591" ht="15.75" customHeight="1">
      <c r="C591" s="277"/>
      <c r="E591" s="278"/>
      <c r="G591" s="279"/>
    </row>
    <row r="592" ht="15.75" customHeight="1">
      <c r="C592" s="277"/>
      <c r="E592" s="278"/>
      <c r="G592" s="279"/>
    </row>
    <row r="593" ht="15.75" customHeight="1">
      <c r="C593" s="277"/>
      <c r="E593" s="278"/>
      <c r="G593" s="279"/>
    </row>
    <row r="594" ht="15.75" customHeight="1">
      <c r="C594" s="277"/>
      <c r="E594" s="278"/>
      <c r="G594" s="279"/>
    </row>
    <row r="595" ht="15.75" customHeight="1">
      <c r="C595" s="277"/>
      <c r="E595" s="278"/>
      <c r="G595" s="279"/>
    </row>
    <row r="596" ht="15.75" customHeight="1">
      <c r="C596" s="277"/>
      <c r="E596" s="278"/>
      <c r="G596" s="279"/>
    </row>
    <row r="597" ht="15.75" customHeight="1">
      <c r="C597" s="277"/>
      <c r="E597" s="278"/>
      <c r="G597" s="279"/>
    </row>
    <row r="598" ht="15.75" customHeight="1">
      <c r="C598" s="277"/>
      <c r="E598" s="278"/>
      <c r="G598" s="279"/>
    </row>
    <row r="599" ht="15.75" customHeight="1">
      <c r="C599" s="277"/>
      <c r="E599" s="278"/>
      <c r="G599" s="279"/>
    </row>
    <row r="600" ht="15.75" customHeight="1">
      <c r="C600" s="277"/>
      <c r="E600" s="278"/>
      <c r="G600" s="279"/>
    </row>
    <row r="601" ht="15.75" customHeight="1">
      <c r="C601" s="277"/>
      <c r="E601" s="278"/>
      <c r="G601" s="279"/>
    </row>
    <row r="602" ht="15.75" customHeight="1">
      <c r="C602" s="277"/>
      <c r="E602" s="278"/>
      <c r="G602" s="279"/>
    </row>
    <row r="603" ht="15.75" customHeight="1">
      <c r="C603" s="277"/>
      <c r="E603" s="278"/>
      <c r="G603" s="279"/>
    </row>
    <row r="604" ht="15.75" customHeight="1">
      <c r="C604" s="277"/>
      <c r="E604" s="278"/>
      <c r="G604" s="279"/>
    </row>
    <row r="605" ht="15.75" customHeight="1">
      <c r="C605" s="277"/>
      <c r="E605" s="278"/>
      <c r="G605" s="279"/>
    </row>
    <row r="606" ht="15.75" customHeight="1">
      <c r="C606" s="277"/>
      <c r="E606" s="278"/>
      <c r="G606" s="279"/>
    </row>
    <row r="607" ht="15.75" customHeight="1">
      <c r="C607" s="277"/>
      <c r="E607" s="278"/>
      <c r="G607" s="279"/>
    </row>
    <row r="608" ht="15.75" customHeight="1">
      <c r="C608" s="277"/>
      <c r="E608" s="278"/>
      <c r="G608" s="279"/>
    </row>
    <row r="609" ht="15.75" customHeight="1">
      <c r="C609" s="277"/>
      <c r="E609" s="278"/>
      <c r="G609" s="279"/>
    </row>
    <row r="610" ht="15.75" customHeight="1">
      <c r="C610" s="277"/>
      <c r="E610" s="278"/>
      <c r="G610" s="279"/>
    </row>
    <row r="611" ht="15.75" customHeight="1">
      <c r="C611" s="277"/>
      <c r="E611" s="278"/>
      <c r="G611" s="279"/>
    </row>
    <row r="612" ht="15.75" customHeight="1">
      <c r="C612" s="277"/>
      <c r="E612" s="278"/>
      <c r="G612" s="279"/>
    </row>
    <row r="613" ht="15.75" customHeight="1">
      <c r="C613" s="277"/>
      <c r="E613" s="278"/>
      <c r="G613" s="279"/>
    </row>
    <row r="614" ht="15.75" customHeight="1">
      <c r="C614" s="277"/>
      <c r="E614" s="278"/>
      <c r="G614" s="279"/>
    </row>
    <row r="615" ht="15.75" customHeight="1">
      <c r="C615" s="277"/>
      <c r="E615" s="278"/>
      <c r="G615" s="279"/>
    </row>
    <row r="616" ht="15.75" customHeight="1">
      <c r="C616" s="277"/>
      <c r="E616" s="278"/>
      <c r="G616" s="279"/>
    </row>
    <row r="617" ht="15.75" customHeight="1">
      <c r="C617" s="277"/>
      <c r="E617" s="278"/>
      <c r="G617" s="279"/>
    </row>
    <row r="618" ht="15.75" customHeight="1">
      <c r="C618" s="277"/>
      <c r="E618" s="278"/>
      <c r="G618" s="279"/>
    </row>
    <row r="619" ht="15.75" customHeight="1">
      <c r="C619" s="277"/>
      <c r="E619" s="278"/>
      <c r="G619" s="279"/>
    </row>
    <row r="620" ht="15.75" customHeight="1">
      <c r="C620" s="277"/>
      <c r="E620" s="278"/>
      <c r="G620" s="279"/>
    </row>
    <row r="621" ht="15.75" customHeight="1">
      <c r="C621" s="277"/>
      <c r="E621" s="278"/>
      <c r="G621" s="279"/>
    </row>
    <row r="622" ht="15.75" customHeight="1">
      <c r="C622" s="277"/>
      <c r="E622" s="278"/>
      <c r="G622" s="279"/>
    </row>
    <row r="623" ht="15.75" customHeight="1">
      <c r="C623" s="277"/>
      <c r="E623" s="278"/>
      <c r="G623" s="279"/>
    </row>
    <row r="624" ht="15.75" customHeight="1">
      <c r="C624" s="277"/>
      <c r="E624" s="278"/>
      <c r="G624" s="279"/>
    </row>
    <row r="625" ht="15.75" customHeight="1">
      <c r="C625" s="277"/>
      <c r="E625" s="278"/>
      <c r="G625" s="279"/>
    </row>
    <row r="626" ht="15.75" customHeight="1">
      <c r="C626" s="277"/>
      <c r="E626" s="278"/>
      <c r="G626" s="279"/>
    </row>
    <row r="627" ht="15.75" customHeight="1">
      <c r="C627" s="277"/>
      <c r="E627" s="278"/>
      <c r="G627" s="279"/>
    </row>
    <row r="628" ht="15.75" customHeight="1">
      <c r="C628" s="277"/>
      <c r="E628" s="278"/>
      <c r="G628" s="279"/>
    </row>
    <row r="629" ht="15.75" customHeight="1">
      <c r="C629" s="277"/>
      <c r="E629" s="278"/>
      <c r="G629" s="279"/>
    </row>
    <row r="630" ht="15.75" customHeight="1">
      <c r="C630" s="277"/>
      <c r="E630" s="278"/>
      <c r="G630" s="279"/>
    </row>
    <row r="631" ht="15.75" customHeight="1">
      <c r="C631" s="277"/>
      <c r="E631" s="278"/>
      <c r="G631" s="279"/>
    </row>
    <row r="632" ht="15.75" customHeight="1">
      <c r="C632" s="277"/>
      <c r="E632" s="278"/>
      <c r="G632" s="279"/>
    </row>
    <row r="633" ht="15.75" customHeight="1">
      <c r="C633" s="277"/>
      <c r="E633" s="278"/>
      <c r="G633" s="279"/>
    </row>
    <row r="634" ht="15.75" customHeight="1">
      <c r="C634" s="277"/>
      <c r="E634" s="278"/>
      <c r="G634" s="279"/>
    </row>
    <row r="635" ht="15.75" customHeight="1">
      <c r="C635" s="277"/>
      <c r="E635" s="278"/>
      <c r="G635" s="279"/>
    </row>
    <row r="636" ht="15.75" customHeight="1">
      <c r="C636" s="277"/>
      <c r="E636" s="278"/>
      <c r="G636" s="279"/>
    </row>
    <row r="637" ht="15.75" customHeight="1">
      <c r="C637" s="277"/>
      <c r="E637" s="278"/>
      <c r="G637" s="279"/>
    </row>
    <row r="638" ht="15.75" customHeight="1">
      <c r="C638" s="277"/>
      <c r="E638" s="278"/>
      <c r="G638" s="279"/>
    </row>
    <row r="639" ht="15.75" customHeight="1">
      <c r="C639" s="277"/>
      <c r="E639" s="278"/>
      <c r="G639" s="279"/>
    </row>
    <row r="640" ht="15.75" customHeight="1">
      <c r="C640" s="277"/>
      <c r="E640" s="278"/>
      <c r="G640" s="279"/>
    </row>
    <row r="641" ht="15.75" customHeight="1">
      <c r="C641" s="277"/>
      <c r="E641" s="278"/>
      <c r="G641" s="279"/>
    </row>
    <row r="642" ht="15.75" customHeight="1">
      <c r="C642" s="277"/>
      <c r="E642" s="278"/>
      <c r="G642" s="279"/>
    </row>
    <row r="643" ht="15.75" customHeight="1">
      <c r="C643" s="277"/>
      <c r="E643" s="278"/>
      <c r="G643" s="279"/>
    </row>
    <row r="644" ht="15.75" customHeight="1">
      <c r="C644" s="277"/>
      <c r="E644" s="278"/>
      <c r="G644" s="279"/>
    </row>
    <row r="645" ht="15.75" customHeight="1">
      <c r="C645" s="277"/>
      <c r="E645" s="278"/>
      <c r="G645" s="279"/>
    </row>
    <row r="646" ht="15.75" customHeight="1">
      <c r="C646" s="277"/>
      <c r="E646" s="278"/>
      <c r="G646" s="279"/>
    </row>
    <row r="647" ht="15.75" customHeight="1">
      <c r="C647" s="277"/>
      <c r="E647" s="278"/>
      <c r="G647" s="279"/>
    </row>
    <row r="648" ht="15.75" customHeight="1">
      <c r="C648" s="277"/>
      <c r="E648" s="278"/>
      <c r="G648" s="279"/>
    </row>
    <row r="649" ht="15.75" customHeight="1">
      <c r="C649" s="277"/>
      <c r="E649" s="278"/>
      <c r="G649" s="279"/>
    </row>
    <row r="650" ht="15.75" customHeight="1">
      <c r="C650" s="277"/>
      <c r="E650" s="278"/>
      <c r="G650" s="279"/>
    </row>
    <row r="651" ht="15.75" customHeight="1">
      <c r="C651" s="277"/>
      <c r="E651" s="278"/>
      <c r="G651" s="279"/>
    </row>
    <row r="652" ht="15.75" customHeight="1">
      <c r="C652" s="277"/>
      <c r="E652" s="278"/>
      <c r="G652" s="279"/>
    </row>
    <row r="653" ht="15.75" customHeight="1">
      <c r="C653" s="277"/>
      <c r="E653" s="278"/>
      <c r="G653" s="279"/>
    </row>
    <row r="654" ht="15.75" customHeight="1">
      <c r="C654" s="277"/>
      <c r="E654" s="278"/>
      <c r="G654" s="279"/>
    </row>
    <row r="655" ht="15.75" customHeight="1">
      <c r="C655" s="277"/>
      <c r="E655" s="278"/>
      <c r="G655" s="279"/>
    </row>
    <row r="656" ht="15.75" customHeight="1">
      <c r="C656" s="277"/>
      <c r="E656" s="278"/>
      <c r="G656" s="279"/>
    </row>
    <row r="657" ht="15.75" customHeight="1">
      <c r="C657" s="277"/>
      <c r="E657" s="278"/>
      <c r="G657" s="279"/>
    </row>
    <row r="658" ht="15.75" customHeight="1">
      <c r="C658" s="277"/>
      <c r="E658" s="278"/>
      <c r="G658" s="279"/>
    </row>
    <row r="659" ht="15.75" customHeight="1">
      <c r="C659" s="277"/>
      <c r="E659" s="278"/>
      <c r="G659" s="279"/>
    </row>
    <row r="660" ht="15.75" customHeight="1">
      <c r="C660" s="277"/>
      <c r="E660" s="278"/>
      <c r="G660" s="279"/>
    </row>
    <row r="661" ht="15.75" customHeight="1">
      <c r="C661" s="277"/>
      <c r="E661" s="278"/>
      <c r="G661" s="279"/>
    </row>
    <row r="662" ht="15.75" customHeight="1">
      <c r="C662" s="277"/>
      <c r="E662" s="278"/>
      <c r="G662" s="279"/>
    </row>
    <row r="663" ht="15.75" customHeight="1">
      <c r="C663" s="277"/>
      <c r="E663" s="278"/>
      <c r="G663" s="279"/>
    </row>
    <row r="664" ht="15.75" customHeight="1">
      <c r="C664" s="277"/>
      <c r="E664" s="278"/>
      <c r="G664" s="279"/>
    </row>
    <row r="665" ht="15.75" customHeight="1">
      <c r="C665" s="277"/>
      <c r="E665" s="278"/>
      <c r="G665" s="279"/>
    </row>
    <row r="666" ht="15.75" customHeight="1">
      <c r="C666" s="277"/>
      <c r="E666" s="278"/>
      <c r="G666" s="279"/>
    </row>
    <row r="667" ht="15.75" customHeight="1">
      <c r="C667" s="277"/>
      <c r="E667" s="278"/>
      <c r="G667" s="279"/>
    </row>
    <row r="668" ht="15.75" customHeight="1">
      <c r="C668" s="277"/>
      <c r="E668" s="278"/>
      <c r="G668" s="279"/>
    </row>
    <row r="669" ht="15.75" customHeight="1">
      <c r="C669" s="277"/>
      <c r="E669" s="278"/>
      <c r="G669" s="279"/>
    </row>
    <row r="670" ht="15.75" customHeight="1">
      <c r="C670" s="277"/>
      <c r="E670" s="278"/>
      <c r="G670" s="279"/>
    </row>
    <row r="671" ht="15.75" customHeight="1">
      <c r="C671" s="277"/>
      <c r="E671" s="278"/>
      <c r="G671" s="279"/>
    </row>
    <row r="672" ht="15.75" customHeight="1">
      <c r="C672" s="277"/>
      <c r="E672" s="278"/>
      <c r="G672" s="279"/>
    </row>
    <row r="673" ht="15.75" customHeight="1">
      <c r="C673" s="277"/>
      <c r="E673" s="278"/>
      <c r="G673" s="279"/>
    </row>
    <row r="674" ht="15.75" customHeight="1">
      <c r="C674" s="277"/>
      <c r="E674" s="278"/>
      <c r="G674" s="279"/>
    </row>
    <row r="675" ht="15.75" customHeight="1">
      <c r="C675" s="277"/>
      <c r="E675" s="278"/>
      <c r="G675" s="279"/>
    </row>
    <row r="676" ht="15.75" customHeight="1">
      <c r="C676" s="277"/>
      <c r="E676" s="278"/>
      <c r="G676" s="279"/>
    </row>
    <row r="677" ht="15.75" customHeight="1">
      <c r="C677" s="277"/>
      <c r="E677" s="278"/>
      <c r="G677" s="279"/>
    </row>
    <row r="678" ht="15.75" customHeight="1">
      <c r="C678" s="277"/>
      <c r="E678" s="278"/>
      <c r="G678" s="279"/>
    </row>
    <row r="679" ht="15.75" customHeight="1">
      <c r="C679" s="277"/>
      <c r="E679" s="278"/>
      <c r="G679" s="279"/>
    </row>
    <row r="680" ht="15.75" customHeight="1">
      <c r="C680" s="277"/>
      <c r="E680" s="278"/>
      <c r="G680" s="279"/>
    </row>
    <row r="681" ht="15.75" customHeight="1">
      <c r="C681" s="277"/>
      <c r="E681" s="278"/>
      <c r="G681" s="279"/>
    </row>
    <row r="682" ht="15.75" customHeight="1">
      <c r="C682" s="277"/>
      <c r="E682" s="278"/>
      <c r="G682" s="279"/>
    </row>
    <row r="683" ht="15.75" customHeight="1">
      <c r="C683" s="277"/>
      <c r="E683" s="278"/>
      <c r="G683" s="279"/>
    </row>
    <row r="684" ht="15.75" customHeight="1">
      <c r="C684" s="277"/>
      <c r="E684" s="278"/>
      <c r="G684" s="279"/>
    </row>
    <row r="685" ht="15.75" customHeight="1">
      <c r="C685" s="277"/>
      <c r="E685" s="278"/>
      <c r="G685" s="279"/>
    </row>
    <row r="686" ht="15.75" customHeight="1">
      <c r="C686" s="277"/>
      <c r="E686" s="278"/>
      <c r="G686" s="279"/>
    </row>
    <row r="687" ht="15.75" customHeight="1">
      <c r="C687" s="277"/>
      <c r="E687" s="278"/>
      <c r="G687" s="279"/>
    </row>
    <row r="688" ht="15.75" customHeight="1">
      <c r="C688" s="277"/>
      <c r="E688" s="278"/>
      <c r="G688" s="279"/>
    </row>
    <row r="689" ht="15.75" customHeight="1">
      <c r="C689" s="277"/>
      <c r="E689" s="278"/>
      <c r="G689" s="279"/>
    </row>
    <row r="690" ht="15.75" customHeight="1">
      <c r="C690" s="277"/>
      <c r="E690" s="278"/>
      <c r="G690" s="279"/>
    </row>
    <row r="691" ht="15.75" customHeight="1">
      <c r="C691" s="277"/>
      <c r="E691" s="278"/>
      <c r="G691" s="279"/>
    </row>
    <row r="692" ht="15.75" customHeight="1">
      <c r="C692" s="277"/>
      <c r="E692" s="278"/>
      <c r="G692" s="279"/>
    </row>
    <row r="693" ht="15.75" customHeight="1">
      <c r="C693" s="277"/>
      <c r="E693" s="278"/>
      <c r="G693" s="279"/>
    </row>
    <row r="694" ht="15.75" customHeight="1">
      <c r="C694" s="277"/>
      <c r="E694" s="278"/>
      <c r="G694" s="279"/>
    </row>
    <row r="695" ht="15.75" customHeight="1">
      <c r="C695" s="277"/>
      <c r="E695" s="278"/>
      <c r="G695" s="279"/>
    </row>
    <row r="696" ht="15.75" customHeight="1">
      <c r="C696" s="277"/>
      <c r="E696" s="278"/>
      <c r="G696" s="279"/>
    </row>
    <row r="697" ht="15.75" customHeight="1">
      <c r="C697" s="277"/>
      <c r="E697" s="278"/>
      <c r="G697" s="279"/>
    </row>
    <row r="698" ht="15.75" customHeight="1">
      <c r="C698" s="277"/>
      <c r="E698" s="278"/>
      <c r="G698" s="279"/>
    </row>
    <row r="699" ht="15.75" customHeight="1">
      <c r="C699" s="277"/>
      <c r="E699" s="278"/>
      <c r="G699" s="279"/>
    </row>
    <row r="700" ht="15.75" customHeight="1">
      <c r="C700" s="277"/>
      <c r="E700" s="278"/>
      <c r="G700" s="279"/>
    </row>
    <row r="701" ht="15.75" customHeight="1">
      <c r="C701" s="277"/>
      <c r="E701" s="278"/>
      <c r="G701" s="279"/>
    </row>
    <row r="702" ht="15.75" customHeight="1">
      <c r="C702" s="277"/>
      <c r="E702" s="278"/>
      <c r="G702" s="279"/>
    </row>
    <row r="703" ht="15.75" customHeight="1">
      <c r="C703" s="277"/>
      <c r="E703" s="278"/>
      <c r="G703" s="279"/>
    </row>
    <row r="704" ht="15.75" customHeight="1">
      <c r="C704" s="277"/>
      <c r="E704" s="278"/>
      <c r="G704" s="279"/>
    </row>
    <row r="705" ht="15.75" customHeight="1">
      <c r="C705" s="277"/>
      <c r="E705" s="278"/>
      <c r="G705" s="279"/>
    </row>
    <row r="706" ht="15.75" customHeight="1">
      <c r="C706" s="277"/>
      <c r="E706" s="278"/>
      <c r="G706" s="279"/>
    </row>
    <row r="707" ht="15.75" customHeight="1">
      <c r="C707" s="277"/>
      <c r="E707" s="278"/>
      <c r="G707" s="279"/>
    </row>
    <row r="708" ht="15.75" customHeight="1">
      <c r="C708" s="277"/>
      <c r="E708" s="278"/>
      <c r="G708" s="279"/>
    </row>
    <row r="709" ht="15.75" customHeight="1">
      <c r="C709" s="277"/>
      <c r="E709" s="278"/>
      <c r="G709" s="279"/>
    </row>
    <row r="710" ht="15.75" customHeight="1">
      <c r="C710" s="277"/>
      <c r="E710" s="278"/>
      <c r="G710" s="279"/>
    </row>
    <row r="711" ht="15.75" customHeight="1">
      <c r="C711" s="277"/>
      <c r="E711" s="278"/>
      <c r="G711" s="279"/>
    </row>
    <row r="712" ht="15.75" customHeight="1">
      <c r="C712" s="277"/>
      <c r="E712" s="278"/>
      <c r="G712" s="279"/>
    </row>
    <row r="713" ht="15.75" customHeight="1">
      <c r="C713" s="277"/>
      <c r="E713" s="278"/>
      <c r="G713" s="279"/>
    </row>
    <row r="714" ht="15.75" customHeight="1">
      <c r="C714" s="277"/>
      <c r="E714" s="278"/>
      <c r="G714" s="279"/>
    </row>
    <row r="715" ht="15.75" customHeight="1">
      <c r="C715" s="277"/>
      <c r="E715" s="278"/>
      <c r="G715" s="279"/>
    </row>
    <row r="716" ht="15.75" customHeight="1">
      <c r="C716" s="277"/>
      <c r="E716" s="278"/>
      <c r="G716" s="279"/>
    </row>
    <row r="717" ht="15.75" customHeight="1">
      <c r="C717" s="277"/>
      <c r="E717" s="278"/>
      <c r="G717" s="279"/>
    </row>
    <row r="718" ht="15.75" customHeight="1">
      <c r="C718" s="277"/>
      <c r="E718" s="278"/>
      <c r="G718" s="279"/>
    </row>
    <row r="719" ht="15.75" customHeight="1">
      <c r="C719" s="277"/>
      <c r="E719" s="278"/>
      <c r="G719" s="279"/>
    </row>
    <row r="720" ht="15.75" customHeight="1">
      <c r="C720" s="277"/>
      <c r="E720" s="278"/>
      <c r="G720" s="279"/>
    </row>
    <row r="721" ht="15.75" customHeight="1">
      <c r="C721" s="277"/>
      <c r="E721" s="278"/>
      <c r="G721" s="279"/>
    </row>
    <row r="722" ht="15.75" customHeight="1">
      <c r="C722" s="277"/>
      <c r="E722" s="278"/>
      <c r="G722" s="279"/>
    </row>
    <row r="723" ht="15.75" customHeight="1">
      <c r="C723" s="277"/>
      <c r="E723" s="278"/>
      <c r="G723" s="279"/>
    </row>
    <row r="724" ht="15.75" customHeight="1">
      <c r="C724" s="277"/>
      <c r="E724" s="278"/>
      <c r="G724" s="279"/>
    </row>
    <row r="725" ht="15.75" customHeight="1">
      <c r="C725" s="277"/>
      <c r="E725" s="278"/>
      <c r="G725" s="279"/>
    </row>
    <row r="726" ht="15.75" customHeight="1">
      <c r="C726" s="277"/>
      <c r="E726" s="278"/>
      <c r="G726" s="279"/>
    </row>
    <row r="727" ht="15.75" customHeight="1">
      <c r="C727" s="277"/>
      <c r="E727" s="278"/>
      <c r="G727" s="279"/>
    </row>
    <row r="728" ht="15.75" customHeight="1">
      <c r="C728" s="277"/>
      <c r="E728" s="278"/>
      <c r="G728" s="279"/>
    </row>
    <row r="729" ht="15.75" customHeight="1">
      <c r="C729" s="277"/>
      <c r="E729" s="278"/>
      <c r="G729" s="279"/>
    </row>
    <row r="730" ht="15.75" customHeight="1">
      <c r="C730" s="277"/>
      <c r="E730" s="278"/>
      <c r="G730" s="279"/>
    </row>
    <row r="731" ht="15.75" customHeight="1">
      <c r="C731" s="277"/>
      <c r="E731" s="278"/>
      <c r="G731" s="279"/>
    </row>
    <row r="732" ht="15.75" customHeight="1">
      <c r="C732" s="277"/>
      <c r="E732" s="278"/>
      <c r="G732" s="279"/>
    </row>
    <row r="733" ht="15.75" customHeight="1">
      <c r="C733" s="277"/>
      <c r="E733" s="278"/>
      <c r="G733" s="279"/>
    </row>
    <row r="734" ht="15.75" customHeight="1">
      <c r="C734" s="277"/>
      <c r="E734" s="278"/>
      <c r="G734" s="279"/>
    </row>
    <row r="735" ht="15.75" customHeight="1">
      <c r="C735" s="277"/>
      <c r="E735" s="278"/>
      <c r="G735" s="279"/>
    </row>
    <row r="736" ht="15.75" customHeight="1">
      <c r="C736" s="277"/>
      <c r="E736" s="278"/>
      <c r="G736" s="279"/>
    </row>
    <row r="737" ht="15.75" customHeight="1">
      <c r="C737" s="277"/>
      <c r="E737" s="278"/>
      <c r="G737" s="279"/>
    </row>
    <row r="738" ht="15.75" customHeight="1">
      <c r="C738" s="277"/>
      <c r="E738" s="278"/>
      <c r="G738" s="279"/>
    </row>
    <row r="739" ht="15.75" customHeight="1">
      <c r="C739" s="277"/>
      <c r="E739" s="278"/>
      <c r="G739" s="279"/>
    </row>
    <row r="740" ht="15.75" customHeight="1">
      <c r="C740" s="277"/>
      <c r="E740" s="278"/>
      <c r="G740" s="279"/>
    </row>
    <row r="741" ht="15.75" customHeight="1">
      <c r="C741" s="277"/>
      <c r="E741" s="278"/>
      <c r="G741" s="279"/>
    </row>
    <row r="742" ht="15.75" customHeight="1">
      <c r="C742" s="277"/>
      <c r="E742" s="278"/>
      <c r="G742" s="279"/>
    </row>
    <row r="743" ht="15.75" customHeight="1">
      <c r="C743" s="277"/>
      <c r="E743" s="278"/>
      <c r="G743" s="279"/>
    </row>
    <row r="744" ht="15.75" customHeight="1">
      <c r="C744" s="277"/>
      <c r="E744" s="278"/>
      <c r="G744" s="279"/>
    </row>
    <row r="745" ht="15.75" customHeight="1">
      <c r="C745" s="277"/>
      <c r="E745" s="278"/>
      <c r="G745" s="279"/>
    </row>
    <row r="746" ht="15.75" customHeight="1">
      <c r="C746" s="277"/>
      <c r="E746" s="278"/>
      <c r="G746" s="279"/>
    </row>
    <row r="747" ht="15.75" customHeight="1">
      <c r="C747" s="277"/>
      <c r="E747" s="278"/>
      <c r="G747" s="279"/>
    </row>
    <row r="748" ht="15.75" customHeight="1">
      <c r="C748" s="277"/>
      <c r="E748" s="278"/>
      <c r="G748" s="279"/>
    </row>
    <row r="749" ht="15.75" customHeight="1">
      <c r="C749" s="277"/>
      <c r="E749" s="278"/>
      <c r="G749" s="279"/>
    </row>
    <row r="750" ht="15.75" customHeight="1">
      <c r="C750" s="277"/>
      <c r="E750" s="278"/>
      <c r="G750" s="279"/>
    </row>
    <row r="751" ht="15.75" customHeight="1">
      <c r="C751" s="277"/>
      <c r="E751" s="278"/>
      <c r="G751" s="279"/>
    </row>
    <row r="752" ht="15.75" customHeight="1">
      <c r="C752" s="277"/>
      <c r="E752" s="278"/>
      <c r="G752" s="279"/>
    </row>
    <row r="753" ht="15.75" customHeight="1">
      <c r="C753" s="277"/>
      <c r="E753" s="278"/>
      <c r="G753" s="279"/>
    </row>
    <row r="754" ht="15.75" customHeight="1">
      <c r="C754" s="277"/>
      <c r="E754" s="278"/>
      <c r="G754" s="279"/>
    </row>
    <row r="755" ht="15.75" customHeight="1">
      <c r="C755" s="277"/>
      <c r="E755" s="278"/>
      <c r="G755" s="279"/>
    </row>
    <row r="756" ht="15.75" customHeight="1">
      <c r="C756" s="277"/>
      <c r="E756" s="278"/>
      <c r="G756" s="279"/>
    </row>
    <row r="757" ht="15.75" customHeight="1">
      <c r="C757" s="277"/>
      <c r="E757" s="278"/>
      <c r="G757" s="279"/>
    </row>
    <row r="758" ht="15.75" customHeight="1">
      <c r="C758" s="277"/>
      <c r="E758" s="278"/>
      <c r="G758" s="279"/>
    </row>
    <row r="759" ht="15.75" customHeight="1">
      <c r="C759" s="277"/>
      <c r="E759" s="278"/>
      <c r="G759" s="279"/>
    </row>
    <row r="760" ht="15.75" customHeight="1">
      <c r="C760" s="277"/>
      <c r="E760" s="278"/>
      <c r="G760" s="279"/>
    </row>
    <row r="761" ht="15.75" customHeight="1">
      <c r="C761" s="277"/>
      <c r="E761" s="278"/>
      <c r="G761" s="279"/>
    </row>
    <row r="762" ht="15.75" customHeight="1">
      <c r="C762" s="277"/>
      <c r="E762" s="278"/>
      <c r="G762" s="279"/>
    </row>
    <row r="763" ht="15.75" customHeight="1">
      <c r="C763" s="277"/>
      <c r="E763" s="278"/>
      <c r="G763" s="279"/>
    </row>
    <row r="764" ht="15.75" customHeight="1">
      <c r="C764" s="277"/>
      <c r="E764" s="278"/>
      <c r="G764" s="279"/>
    </row>
    <row r="765" ht="15.75" customHeight="1">
      <c r="C765" s="277"/>
      <c r="E765" s="278"/>
      <c r="G765" s="279"/>
    </row>
    <row r="766" ht="15.75" customHeight="1">
      <c r="C766" s="277"/>
      <c r="E766" s="278"/>
      <c r="G766" s="279"/>
    </row>
    <row r="767" ht="15.75" customHeight="1">
      <c r="C767" s="277"/>
      <c r="E767" s="278"/>
      <c r="G767" s="279"/>
    </row>
    <row r="768" ht="15.75" customHeight="1">
      <c r="C768" s="277"/>
      <c r="E768" s="278"/>
      <c r="G768" s="279"/>
    </row>
    <row r="769" ht="15.75" customHeight="1">
      <c r="C769" s="277"/>
      <c r="E769" s="278"/>
      <c r="G769" s="279"/>
    </row>
    <row r="770" ht="15.75" customHeight="1">
      <c r="C770" s="277"/>
      <c r="E770" s="278"/>
      <c r="G770" s="279"/>
    </row>
    <row r="771" ht="15.75" customHeight="1">
      <c r="C771" s="277"/>
      <c r="E771" s="278"/>
      <c r="G771" s="279"/>
    </row>
    <row r="772" ht="15.75" customHeight="1">
      <c r="C772" s="277"/>
      <c r="E772" s="278"/>
      <c r="G772" s="279"/>
    </row>
    <row r="773" ht="15.75" customHeight="1">
      <c r="C773" s="277"/>
      <c r="E773" s="278"/>
      <c r="G773" s="279"/>
    </row>
    <row r="774" ht="15.75" customHeight="1">
      <c r="C774" s="277"/>
      <c r="E774" s="278"/>
      <c r="G774" s="279"/>
    </row>
    <row r="775" ht="15.75" customHeight="1">
      <c r="C775" s="277"/>
      <c r="E775" s="278"/>
      <c r="G775" s="279"/>
    </row>
    <row r="776" ht="15.75" customHeight="1">
      <c r="C776" s="277"/>
      <c r="E776" s="278"/>
      <c r="G776" s="279"/>
    </row>
    <row r="777" ht="15.75" customHeight="1">
      <c r="C777" s="277"/>
      <c r="E777" s="278"/>
      <c r="G777" s="279"/>
    </row>
    <row r="778" ht="15.75" customHeight="1">
      <c r="C778" s="277"/>
      <c r="E778" s="278"/>
      <c r="G778" s="279"/>
    </row>
    <row r="779" ht="15.75" customHeight="1">
      <c r="C779" s="277"/>
      <c r="E779" s="278"/>
      <c r="G779" s="279"/>
    </row>
    <row r="780" ht="15.75" customHeight="1">
      <c r="C780" s="277"/>
      <c r="E780" s="278"/>
      <c r="G780" s="279"/>
    </row>
    <row r="781" ht="15.75" customHeight="1">
      <c r="C781" s="277"/>
      <c r="E781" s="278"/>
      <c r="G781" s="279"/>
    </row>
    <row r="782" ht="15.75" customHeight="1">
      <c r="C782" s="277"/>
      <c r="E782" s="278"/>
      <c r="G782" s="279"/>
    </row>
    <row r="783" ht="15.75" customHeight="1">
      <c r="C783" s="277"/>
      <c r="E783" s="278"/>
      <c r="G783" s="279"/>
    </row>
    <row r="784" ht="15.75" customHeight="1">
      <c r="C784" s="277"/>
      <c r="E784" s="278"/>
      <c r="G784" s="279"/>
    </row>
    <row r="785" ht="15.75" customHeight="1">
      <c r="C785" s="277"/>
      <c r="E785" s="278"/>
      <c r="G785" s="279"/>
    </row>
    <row r="786" ht="15.75" customHeight="1">
      <c r="C786" s="277"/>
      <c r="E786" s="278"/>
      <c r="G786" s="279"/>
    </row>
    <row r="787" ht="15.75" customHeight="1">
      <c r="C787" s="277"/>
      <c r="E787" s="278"/>
      <c r="G787" s="279"/>
    </row>
    <row r="788" ht="15.75" customHeight="1">
      <c r="C788" s="277"/>
      <c r="E788" s="278"/>
      <c r="G788" s="279"/>
    </row>
    <row r="789" ht="15.75" customHeight="1">
      <c r="C789" s="277"/>
      <c r="E789" s="278"/>
      <c r="G789" s="279"/>
    </row>
    <row r="790" ht="15.75" customHeight="1">
      <c r="C790" s="277"/>
      <c r="E790" s="278"/>
      <c r="G790" s="279"/>
    </row>
    <row r="791" ht="15.75" customHeight="1">
      <c r="C791" s="277"/>
      <c r="E791" s="278"/>
      <c r="G791" s="279"/>
    </row>
    <row r="792" ht="15.75" customHeight="1">
      <c r="C792" s="277"/>
      <c r="E792" s="278"/>
      <c r="G792" s="279"/>
    </row>
    <row r="793" ht="15.75" customHeight="1">
      <c r="C793" s="277"/>
      <c r="E793" s="278"/>
      <c r="G793" s="279"/>
    </row>
    <row r="794" ht="15.75" customHeight="1">
      <c r="C794" s="277"/>
      <c r="E794" s="278"/>
      <c r="G794" s="279"/>
    </row>
    <row r="795" ht="15.75" customHeight="1">
      <c r="C795" s="277"/>
      <c r="E795" s="278"/>
      <c r="G795" s="279"/>
    </row>
    <row r="796" ht="15.75" customHeight="1">
      <c r="C796" s="277"/>
      <c r="E796" s="278"/>
      <c r="G796" s="279"/>
    </row>
    <row r="797" ht="15.75" customHeight="1">
      <c r="C797" s="277"/>
      <c r="E797" s="278"/>
      <c r="G797" s="279"/>
    </row>
    <row r="798" ht="15.75" customHeight="1">
      <c r="C798" s="277"/>
      <c r="E798" s="278"/>
      <c r="G798" s="279"/>
    </row>
    <row r="799" ht="15.75" customHeight="1">
      <c r="C799" s="277"/>
      <c r="E799" s="278"/>
      <c r="G799" s="279"/>
    </row>
    <row r="800" ht="15.75" customHeight="1">
      <c r="C800" s="277"/>
      <c r="E800" s="278"/>
      <c r="G800" s="279"/>
    </row>
    <row r="801" ht="15.75" customHeight="1">
      <c r="C801" s="277"/>
      <c r="E801" s="278"/>
      <c r="G801" s="279"/>
    </row>
    <row r="802" ht="15.75" customHeight="1">
      <c r="C802" s="277"/>
      <c r="E802" s="278"/>
      <c r="G802" s="279"/>
    </row>
    <row r="803" ht="15.75" customHeight="1">
      <c r="C803" s="277"/>
      <c r="E803" s="278"/>
      <c r="G803" s="279"/>
    </row>
    <row r="804" ht="15.75" customHeight="1">
      <c r="C804" s="277"/>
      <c r="E804" s="278"/>
      <c r="G804" s="279"/>
    </row>
    <row r="805" ht="15.75" customHeight="1">
      <c r="C805" s="277"/>
      <c r="E805" s="278"/>
      <c r="G805" s="279"/>
    </row>
    <row r="806" ht="15.75" customHeight="1">
      <c r="C806" s="277"/>
      <c r="E806" s="278"/>
      <c r="G806" s="279"/>
    </row>
    <row r="807" ht="15.75" customHeight="1">
      <c r="C807" s="277"/>
      <c r="E807" s="278"/>
      <c r="G807" s="279"/>
    </row>
    <row r="808" ht="15.75" customHeight="1">
      <c r="C808" s="277"/>
      <c r="E808" s="278"/>
      <c r="G808" s="279"/>
    </row>
    <row r="809" ht="15.75" customHeight="1">
      <c r="C809" s="277"/>
      <c r="E809" s="278"/>
      <c r="G809" s="279"/>
    </row>
    <row r="810" ht="15.75" customHeight="1">
      <c r="C810" s="277"/>
      <c r="E810" s="278"/>
      <c r="G810" s="279"/>
    </row>
    <row r="811" ht="15.75" customHeight="1">
      <c r="C811" s="277"/>
      <c r="E811" s="278"/>
      <c r="G811" s="279"/>
    </row>
    <row r="812" ht="15.75" customHeight="1">
      <c r="C812" s="277"/>
      <c r="E812" s="278"/>
      <c r="G812" s="279"/>
    </row>
    <row r="813" ht="15.75" customHeight="1">
      <c r="C813" s="277"/>
      <c r="E813" s="278"/>
      <c r="G813" s="279"/>
    </row>
    <row r="814" ht="15.75" customHeight="1">
      <c r="C814" s="277"/>
      <c r="E814" s="278"/>
      <c r="G814" s="279"/>
    </row>
    <row r="815" ht="15.75" customHeight="1">
      <c r="C815" s="277"/>
      <c r="E815" s="278"/>
      <c r="G815" s="279"/>
    </row>
    <row r="816" ht="15.75" customHeight="1">
      <c r="C816" s="277"/>
      <c r="E816" s="278"/>
      <c r="G816" s="279"/>
    </row>
    <row r="817" ht="15.75" customHeight="1">
      <c r="C817" s="277"/>
      <c r="E817" s="278"/>
      <c r="G817" s="279"/>
    </row>
    <row r="818" ht="15.75" customHeight="1">
      <c r="C818" s="277"/>
      <c r="E818" s="278"/>
      <c r="G818" s="279"/>
    </row>
    <row r="819" ht="15.75" customHeight="1">
      <c r="C819" s="277"/>
      <c r="E819" s="278"/>
      <c r="G819" s="279"/>
    </row>
    <row r="820" ht="15.75" customHeight="1">
      <c r="C820" s="277"/>
      <c r="E820" s="278"/>
      <c r="G820" s="279"/>
    </row>
    <row r="821" ht="15.75" customHeight="1">
      <c r="C821" s="277"/>
      <c r="E821" s="278"/>
      <c r="G821" s="279"/>
    </row>
    <row r="822" ht="15.75" customHeight="1">
      <c r="C822" s="277"/>
      <c r="E822" s="278"/>
      <c r="G822" s="279"/>
    </row>
    <row r="823" ht="15.75" customHeight="1">
      <c r="C823" s="277"/>
      <c r="E823" s="278"/>
      <c r="G823" s="279"/>
    </row>
    <row r="824" ht="15.75" customHeight="1">
      <c r="C824" s="277"/>
      <c r="E824" s="278"/>
      <c r="G824" s="279"/>
    </row>
    <row r="825" ht="15.75" customHeight="1">
      <c r="C825" s="277"/>
      <c r="E825" s="278"/>
      <c r="G825" s="279"/>
    </row>
    <row r="826" ht="15.75" customHeight="1">
      <c r="C826" s="277"/>
      <c r="E826" s="278"/>
      <c r="G826" s="279"/>
    </row>
    <row r="827" ht="15.75" customHeight="1">
      <c r="C827" s="277"/>
      <c r="E827" s="278"/>
      <c r="G827" s="279"/>
    </row>
    <row r="828" ht="15.75" customHeight="1">
      <c r="C828" s="277"/>
      <c r="E828" s="278"/>
      <c r="G828" s="279"/>
    </row>
    <row r="829" ht="15.75" customHeight="1">
      <c r="C829" s="277"/>
      <c r="E829" s="278"/>
      <c r="G829" s="279"/>
    </row>
    <row r="830" ht="15.75" customHeight="1">
      <c r="C830" s="277"/>
      <c r="E830" s="278"/>
      <c r="G830" s="279"/>
    </row>
    <row r="831" ht="15.75" customHeight="1">
      <c r="C831" s="277"/>
      <c r="E831" s="278"/>
      <c r="G831" s="279"/>
    </row>
    <row r="832" ht="15.75" customHeight="1">
      <c r="C832" s="277"/>
      <c r="E832" s="278"/>
      <c r="G832" s="279"/>
    </row>
    <row r="833" ht="15.75" customHeight="1">
      <c r="C833" s="277"/>
      <c r="E833" s="278"/>
      <c r="G833" s="279"/>
    </row>
    <row r="834" ht="15.75" customHeight="1">
      <c r="C834" s="277"/>
      <c r="E834" s="278"/>
      <c r="G834" s="279"/>
    </row>
    <row r="835" ht="15.75" customHeight="1">
      <c r="C835" s="277"/>
      <c r="E835" s="278"/>
      <c r="G835" s="279"/>
    </row>
    <row r="836" ht="15.75" customHeight="1">
      <c r="C836" s="277"/>
      <c r="E836" s="278"/>
      <c r="G836" s="279"/>
    </row>
    <row r="837" ht="15.75" customHeight="1">
      <c r="C837" s="277"/>
      <c r="E837" s="278"/>
      <c r="G837" s="279"/>
    </row>
    <row r="838" ht="15.75" customHeight="1">
      <c r="C838" s="277"/>
      <c r="E838" s="278"/>
      <c r="G838" s="279"/>
    </row>
    <row r="839" ht="15.75" customHeight="1">
      <c r="C839" s="277"/>
      <c r="E839" s="278"/>
      <c r="G839" s="279"/>
    </row>
    <row r="840" ht="15.75" customHeight="1">
      <c r="C840" s="277"/>
      <c r="E840" s="278"/>
      <c r="G840" s="279"/>
    </row>
    <row r="841" ht="15.75" customHeight="1">
      <c r="C841" s="277"/>
      <c r="E841" s="278"/>
      <c r="G841" s="279"/>
    </row>
    <row r="842" ht="15.75" customHeight="1">
      <c r="C842" s="277"/>
      <c r="E842" s="278"/>
      <c r="G842" s="279"/>
    </row>
    <row r="843" ht="15.75" customHeight="1">
      <c r="C843" s="277"/>
      <c r="E843" s="278"/>
      <c r="G843" s="279"/>
    </row>
    <row r="844" ht="15.75" customHeight="1">
      <c r="C844" s="277"/>
      <c r="E844" s="278"/>
      <c r="G844" s="279"/>
    </row>
    <row r="845" ht="15.75" customHeight="1">
      <c r="C845" s="277"/>
      <c r="E845" s="278"/>
      <c r="G845" s="279"/>
    </row>
    <row r="846" ht="15.75" customHeight="1">
      <c r="C846" s="277"/>
      <c r="E846" s="278"/>
      <c r="G846" s="279"/>
    </row>
    <row r="847" ht="15.75" customHeight="1">
      <c r="C847" s="277"/>
      <c r="E847" s="278"/>
      <c r="G847" s="279"/>
    </row>
    <row r="848" ht="15.75" customHeight="1">
      <c r="C848" s="277"/>
      <c r="E848" s="278"/>
      <c r="G848" s="279"/>
    </row>
    <row r="849" ht="15.75" customHeight="1">
      <c r="C849" s="277"/>
      <c r="E849" s="278"/>
      <c r="G849" s="279"/>
    </row>
    <row r="850" ht="15.75" customHeight="1">
      <c r="C850" s="277"/>
      <c r="E850" s="278"/>
      <c r="G850" s="279"/>
    </row>
    <row r="851" ht="15.75" customHeight="1">
      <c r="C851" s="277"/>
      <c r="E851" s="278"/>
      <c r="G851" s="279"/>
    </row>
    <row r="852" ht="15.75" customHeight="1">
      <c r="C852" s="277"/>
      <c r="E852" s="278"/>
      <c r="G852" s="279"/>
    </row>
    <row r="853" ht="15.75" customHeight="1">
      <c r="C853" s="277"/>
      <c r="E853" s="278"/>
      <c r="G853" s="279"/>
    </row>
    <row r="854" ht="15.75" customHeight="1">
      <c r="C854" s="277"/>
      <c r="E854" s="278"/>
      <c r="G854" s="279"/>
    </row>
    <row r="855" ht="15.75" customHeight="1">
      <c r="C855" s="277"/>
      <c r="E855" s="278"/>
      <c r="G855" s="279"/>
    </row>
    <row r="856" ht="15.75" customHeight="1">
      <c r="C856" s="277"/>
      <c r="E856" s="278"/>
      <c r="G856" s="279"/>
    </row>
    <row r="857" ht="15.75" customHeight="1">
      <c r="C857" s="277"/>
      <c r="E857" s="278"/>
      <c r="G857" s="279"/>
    </row>
    <row r="858" ht="15.75" customHeight="1">
      <c r="C858" s="277"/>
      <c r="E858" s="278"/>
      <c r="G858" s="279"/>
    </row>
    <row r="859" ht="15.75" customHeight="1">
      <c r="C859" s="277"/>
      <c r="E859" s="278"/>
      <c r="G859" s="279"/>
    </row>
    <row r="860" ht="15.75" customHeight="1">
      <c r="C860" s="277"/>
      <c r="E860" s="278"/>
      <c r="G860" s="279"/>
    </row>
    <row r="861" ht="15.75" customHeight="1">
      <c r="C861" s="277"/>
      <c r="E861" s="278"/>
      <c r="G861" s="279"/>
    </row>
    <row r="862" ht="15.75" customHeight="1">
      <c r="C862" s="277"/>
      <c r="E862" s="278"/>
      <c r="G862" s="279"/>
    </row>
    <row r="863" ht="15.75" customHeight="1">
      <c r="C863" s="277"/>
      <c r="E863" s="278"/>
      <c r="G863" s="279"/>
    </row>
    <row r="864" ht="15.75" customHeight="1">
      <c r="C864" s="277"/>
      <c r="E864" s="278"/>
      <c r="G864" s="279"/>
    </row>
    <row r="865" ht="15.75" customHeight="1">
      <c r="C865" s="277"/>
      <c r="E865" s="278"/>
      <c r="G865" s="279"/>
    </row>
    <row r="866" ht="15.75" customHeight="1">
      <c r="C866" s="277"/>
      <c r="E866" s="278"/>
      <c r="G866" s="279"/>
    </row>
    <row r="867" ht="15.75" customHeight="1">
      <c r="C867" s="277"/>
      <c r="E867" s="278"/>
      <c r="G867" s="279"/>
    </row>
    <row r="868" ht="15.75" customHeight="1">
      <c r="C868" s="277"/>
      <c r="E868" s="278"/>
      <c r="G868" s="279"/>
    </row>
    <row r="869" ht="15.75" customHeight="1">
      <c r="C869" s="277"/>
      <c r="E869" s="278"/>
      <c r="G869" s="279"/>
    </row>
    <row r="870" ht="15.75" customHeight="1">
      <c r="C870" s="277"/>
      <c r="E870" s="278"/>
      <c r="G870" s="279"/>
    </row>
    <row r="871" ht="15.75" customHeight="1">
      <c r="C871" s="277"/>
      <c r="E871" s="278"/>
      <c r="G871" s="279"/>
    </row>
    <row r="872" ht="15.75" customHeight="1">
      <c r="C872" s="277"/>
      <c r="E872" s="278"/>
      <c r="G872" s="279"/>
    </row>
    <row r="873" ht="15.75" customHeight="1">
      <c r="C873" s="277"/>
      <c r="E873" s="278"/>
      <c r="G873" s="279"/>
    </row>
    <row r="874" ht="15.75" customHeight="1">
      <c r="C874" s="277"/>
      <c r="E874" s="278"/>
      <c r="G874" s="279"/>
    </row>
    <row r="875" ht="15.75" customHeight="1">
      <c r="C875" s="277"/>
      <c r="E875" s="278"/>
      <c r="G875" s="279"/>
    </row>
    <row r="876" ht="15.75" customHeight="1">
      <c r="C876" s="277"/>
      <c r="E876" s="278"/>
      <c r="G876" s="279"/>
    </row>
    <row r="877" ht="15.75" customHeight="1">
      <c r="C877" s="277"/>
      <c r="E877" s="278"/>
      <c r="G877" s="279"/>
    </row>
    <row r="878" ht="15.75" customHeight="1">
      <c r="C878" s="277"/>
      <c r="E878" s="278"/>
      <c r="G878" s="279"/>
    </row>
    <row r="879" ht="15.75" customHeight="1">
      <c r="C879" s="277"/>
      <c r="E879" s="278"/>
      <c r="G879" s="279"/>
    </row>
    <row r="880" ht="15.75" customHeight="1">
      <c r="C880" s="277"/>
      <c r="E880" s="278"/>
      <c r="G880" s="279"/>
    </row>
    <row r="881" ht="15.75" customHeight="1">
      <c r="C881" s="277"/>
      <c r="E881" s="278"/>
      <c r="G881" s="279"/>
    </row>
    <row r="882" ht="15.75" customHeight="1">
      <c r="C882" s="277"/>
      <c r="E882" s="278"/>
      <c r="G882" s="279"/>
    </row>
    <row r="883" ht="15.75" customHeight="1">
      <c r="C883" s="277"/>
      <c r="E883" s="278"/>
      <c r="G883" s="279"/>
    </row>
    <row r="884" ht="15.75" customHeight="1">
      <c r="C884" s="277"/>
      <c r="E884" s="278"/>
      <c r="G884" s="279"/>
    </row>
    <row r="885" ht="15.75" customHeight="1">
      <c r="C885" s="277"/>
      <c r="E885" s="278"/>
      <c r="G885" s="279"/>
    </row>
    <row r="886" ht="15.75" customHeight="1">
      <c r="C886" s="277"/>
      <c r="E886" s="278"/>
      <c r="G886" s="279"/>
    </row>
    <row r="887" ht="15.75" customHeight="1">
      <c r="C887" s="277"/>
      <c r="E887" s="278"/>
      <c r="G887" s="279"/>
    </row>
    <row r="888" ht="15.75" customHeight="1">
      <c r="C888" s="277"/>
      <c r="E888" s="278"/>
      <c r="G888" s="279"/>
    </row>
    <row r="889" ht="15.75" customHeight="1">
      <c r="C889" s="277"/>
      <c r="E889" s="278"/>
      <c r="G889" s="279"/>
    </row>
    <row r="890" ht="15.75" customHeight="1">
      <c r="C890" s="277"/>
      <c r="E890" s="278"/>
      <c r="G890" s="279"/>
    </row>
    <row r="891" ht="15.75" customHeight="1">
      <c r="C891" s="277"/>
      <c r="E891" s="278"/>
      <c r="G891" s="279"/>
    </row>
    <row r="892" ht="15.75" customHeight="1">
      <c r="C892" s="277"/>
      <c r="E892" s="278"/>
      <c r="G892" s="279"/>
    </row>
    <row r="893" ht="15.75" customHeight="1">
      <c r="C893" s="277"/>
      <c r="E893" s="278"/>
      <c r="G893" s="279"/>
    </row>
    <row r="894" ht="15.75" customHeight="1">
      <c r="C894" s="277"/>
      <c r="E894" s="278"/>
      <c r="G894" s="279"/>
    </row>
    <row r="895" ht="15.75" customHeight="1">
      <c r="C895" s="277"/>
      <c r="E895" s="278"/>
      <c r="G895" s="279"/>
    </row>
    <row r="896" ht="15.75" customHeight="1">
      <c r="C896" s="277"/>
      <c r="E896" s="278"/>
      <c r="G896" s="279"/>
    </row>
    <row r="897" ht="15.75" customHeight="1">
      <c r="C897" s="277"/>
      <c r="E897" s="278"/>
      <c r="G897" s="279"/>
    </row>
    <row r="898" ht="15.75" customHeight="1">
      <c r="C898" s="277"/>
      <c r="E898" s="278"/>
      <c r="G898" s="279"/>
    </row>
    <row r="899" ht="15.75" customHeight="1">
      <c r="C899" s="277"/>
      <c r="E899" s="278"/>
      <c r="G899" s="279"/>
    </row>
    <row r="900" ht="15.75" customHeight="1">
      <c r="C900" s="277"/>
      <c r="E900" s="278"/>
      <c r="G900" s="279"/>
    </row>
    <row r="901" ht="15.75" customHeight="1">
      <c r="C901" s="277"/>
      <c r="E901" s="278"/>
      <c r="G901" s="279"/>
    </row>
    <row r="902" ht="15.75" customHeight="1">
      <c r="C902" s="277"/>
      <c r="E902" s="278"/>
      <c r="G902" s="279"/>
    </row>
    <row r="903" ht="15.75" customHeight="1">
      <c r="C903" s="277"/>
      <c r="E903" s="278"/>
      <c r="G903" s="279"/>
    </row>
    <row r="904" ht="15.75" customHeight="1">
      <c r="C904" s="277"/>
      <c r="E904" s="278"/>
      <c r="G904" s="279"/>
    </row>
    <row r="905" ht="15.75" customHeight="1">
      <c r="C905" s="277"/>
      <c r="E905" s="278"/>
      <c r="G905" s="279"/>
    </row>
    <row r="906" ht="15.75" customHeight="1">
      <c r="C906" s="277"/>
      <c r="E906" s="278"/>
      <c r="G906" s="279"/>
    </row>
    <row r="907" ht="15.75" customHeight="1">
      <c r="C907" s="277"/>
      <c r="E907" s="278"/>
      <c r="G907" s="279"/>
    </row>
    <row r="908" ht="15.75" customHeight="1">
      <c r="C908" s="277"/>
      <c r="E908" s="278"/>
      <c r="G908" s="279"/>
    </row>
    <row r="909" ht="15.75" customHeight="1">
      <c r="C909" s="277"/>
      <c r="E909" s="278"/>
      <c r="G909" s="279"/>
    </row>
    <row r="910" ht="15.75" customHeight="1">
      <c r="C910" s="277"/>
      <c r="E910" s="278"/>
      <c r="G910" s="279"/>
    </row>
    <row r="911" ht="15.75" customHeight="1">
      <c r="C911" s="277"/>
      <c r="E911" s="278"/>
      <c r="G911" s="279"/>
    </row>
    <row r="912" ht="15.75" customHeight="1">
      <c r="C912" s="277"/>
      <c r="E912" s="278"/>
      <c r="G912" s="279"/>
    </row>
    <row r="913" ht="15.75" customHeight="1">
      <c r="C913" s="277"/>
      <c r="E913" s="278"/>
      <c r="G913" s="279"/>
    </row>
    <row r="914" ht="15.75" customHeight="1">
      <c r="C914" s="277"/>
      <c r="E914" s="278"/>
      <c r="G914" s="279"/>
    </row>
    <row r="915" ht="15.75" customHeight="1">
      <c r="C915" s="277"/>
      <c r="E915" s="278"/>
      <c r="G915" s="279"/>
    </row>
    <row r="916" ht="15.75" customHeight="1">
      <c r="C916" s="277"/>
      <c r="E916" s="278"/>
      <c r="G916" s="279"/>
    </row>
    <row r="917" ht="15.75" customHeight="1">
      <c r="C917" s="277"/>
      <c r="E917" s="278"/>
      <c r="G917" s="279"/>
    </row>
    <row r="918" ht="15.75" customHeight="1">
      <c r="C918" s="277"/>
      <c r="E918" s="278"/>
      <c r="G918" s="279"/>
    </row>
    <row r="919" ht="15.75" customHeight="1">
      <c r="C919" s="277"/>
      <c r="E919" s="278"/>
      <c r="G919" s="279"/>
    </row>
    <row r="920" ht="15.75" customHeight="1">
      <c r="C920" s="277"/>
      <c r="E920" s="278"/>
      <c r="G920" s="279"/>
    </row>
    <row r="921" ht="15.75" customHeight="1">
      <c r="C921" s="277"/>
      <c r="E921" s="278"/>
      <c r="G921" s="279"/>
    </row>
    <row r="922" ht="15.75" customHeight="1">
      <c r="C922" s="277"/>
      <c r="E922" s="278"/>
      <c r="G922" s="279"/>
    </row>
    <row r="923" ht="15.75" customHeight="1">
      <c r="C923" s="277"/>
      <c r="E923" s="278"/>
      <c r="G923" s="279"/>
    </row>
    <row r="924" ht="15.75" customHeight="1">
      <c r="C924" s="277"/>
      <c r="E924" s="278"/>
      <c r="G924" s="279"/>
    </row>
    <row r="925" ht="15.75" customHeight="1">
      <c r="C925" s="277"/>
      <c r="E925" s="278"/>
      <c r="G925" s="279"/>
    </row>
    <row r="926" ht="15.75" customHeight="1">
      <c r="C926" s="277"/>
      <c r="E926" s="278"/>
      <c r="G926" s="279"/>
    </row>
    <row r="927" ht="15.75" customHeight="1">
      <c r="C927" s="277"/>
      <c r="E927" s="278"/>
      <c r="G927" s="279"/>
    </row>
    <row r="928" ht="15.75" customHeight="1">
      <c r="C928" s="277"/>
      <c r="E928" s="278"/>
      <c r="G928" s="279"/>
    </row>
    <row r="929" ht="15.75" customHeight="1">
      <c r="C929" s="277"/>
      <c r="E929" s="278"/>
      <c r="G929" s="279"/>
    </row>
    <row r="930" ht="15.75" customHeight="1">
      <c r="C930" s="277"/>
      <c r="E930" s="278"/>
      <c r="G930" s="279"/>
    </row>
    <row r="931" ht="15.75" customHeight="1">
      <c r="C931" s="277"/>
      <c r="E931" s="278"/>
      <c r="G931" s="279"/>
    </row>
    <row r="932" ht="15.75" customHeight="1">
      <c r="C932" s="277"/>
      <c r="E932" s="278"/>
      <c r="G932" s="279"/>
    </row>
    <row r="933" ht="15.75" customHeight="1">
      <c r="C933" s="277"/>
      <c r="E933" s="278"/>
      <c r="G933" s="279"/>
    </row>
    <row r="934" ht="15.75" customHeight="1">
      <c r="C934" s="277"/>
      <c r="E934" s="278"/>
      <c r="G934" s="279"/>
    </row>
    <row r="935" ht="15.75" customHeight="1">
      <c r="C935" s="277"/>
      <c r="E935" s="278"/>
      <c r="G935" s="279"/>
    </row>
    <row r="936" ht="15.75" customHeight="1">
      <c r="C936" s="277"/>
      <c r="E936" s="278"/>
      <c r="G936" s="279"/>
    </row>
    <row r="937" ht="15.75" customHeight="1">
      <c r="C937" s="277"/>
      <c r="E937" s="278"/>
      <c r="G937" s="279"/>
    </row>
    <row r="938" ht="15.75" customHeight="1">
      <c r="C938" s="277"/>
      <c r="E938" s="278"/>
      <c r="G938" s="279"/>
    </row>
    <row r="939" ht="15.75" customHeight="1">
      <c r="C939" s="277"/>
      <c r="E939" s="278"/>
      <c r="G939" s="279"/>
    </row>
    <row r="940" ht="15.75" customHeight="1">
      <c r="C940" s="277"/>
      <c r="E940" s="278"/>
      <c r="G940" s="279"/>
    </row>
    <row r="941" ht="15.75" customHeight="1">
      <c r="C941" s="277"/>
      <c r="E941" s="278"/>
      <c r="G941" s="279"/>
    </row>
    <row r="942" ht="15.75" customHeight="1">
      <c r="C942" s="277"/>
      <c r="E942" s="278"/>
      <c r="G942" s="279"/>
    </row>
    <row r="943" ht="15.75" customHeight="1">
      <c r="C943" s="277"/>
      <c r="E943" s="278"/>
      <c r="G943" s="279"/>
    </row>
    <row r="944" ht="15.75" customHeight="1">
      <c r="C944" s="277"/>
      <c r="E944" s="278"/>
      <c r="G944" s="279"/>
    </row>
    <row r="945" ht="15.75" customHeight="1">
      <c r="C945" s="277"/>
      <c r="E945" s="278"/>
      <c r="G945" s="279"/>
    </row>
    <row r="946" ht="15.75" customHeight="1">
      <c r="C946" s="277"/>
      <c r="E946" s="278"/>
      <c r="G946" s="279"/>
    </row>
    <row r="947" ht="15.75" customHeight="1">
      <c r="C947" s="277"/>
      <c r="E947" s="278"/>
      <c r="G947" s="279"/>
    </row>
    <row r="948" ht="15.75" customHeight="1">
      <c r="C948" s="277"/>
      <c r="E948" s="278"/>
      <c r="G948" s="279"/>
    </row>
    <row r="949" ht="15.75" customHeight="1">
      <c r="C949" s="277"/>
      <c r="E949" s="278"/>
      <c r="G949" s="279"/>
    </row>
    <row r="950" ht="15.75" customHeight="1">
      <c r="C950" s="277"/>
      <c r="E950" s="278"/>
      <c r="G950" s="279"/>
    </row>
    <row r="951" ht="15.75" customHeight="1">
      <c r="C951" s="277"/>
      <c r="E951" s="278"/>
      <c r="G951" s="279"/>
    </row>
    <row r="952" ht="15.75" customHeight="1">
      <c r="C952" s="277"/>
      <c r="E952" s="278"/>
      <c r="G952" s="279"/>
    </row>
    <row r="953" ht="15.75" customHeight="1">
      <c r="C953" s="277"/>
      <c r="E953" s="278"/>
      <c r="G953" s="279"/>
    </row>
    <row r="954" ht="15.75" customHeight="1">
      <c r="C954" s="277"/>
      <c r="E954" s="278"/>
      <c r="G954" s="279"/>
    </row>
    <row r="955" ht="15.75" customHeight="1">
      <c r="C955" s="277"/>
      <c r="E955" s="278"/>
      <c r="G955" s="279"/>
    </row>
    <row r="956" ht="15.75" customHeight="1">
      <c r="C956" s="277"/>
      <c r="E956" s="278"/>
      <c r="G956" s="279"/>
    </row>
    <row r="957" ht="15.75" customHeight="1">
      <c r="C957" s="277"/>
      <c r="E957" s="278"/>
      <c r="G957" s="279"/>
    </row>
    <row r="958" ht="15.75" customHeight="1">
      <c r="C958" s="277"/>
      <c r="E958" s="278"/>
      <c r="G958" s="279"/>
    </row>
    <row r="959" ht="15.75" customHeight="1">
      <c r="C959" s="277"/>
      <c r="E959" s="278"/>
      <c r="G959" s="279"/>
    </row>
    <row r="960" ht="15.75" customHeight="1">
      <c r="C960" s="277"/>
      <c r="E960" s="278"/>
      <c r="G960" s="279"/>
    </row>
    <row r="961" ht="15.75" customHeight="1">
      <c r="C961" s="277"/>
      <c r="E961" s="278"/>
      <c r="G961" s="279"/>
    </row>
    <row r="962" ht="15.75" customHeight="1">
      <c r="C962" s="277"/>
      <c r="E962" s="278"/>
      <c r="G962" s="279"/>
    </row>
    <row r="963" ht="15.75" customHeight="1">
      <c r="C963" s="277"/>
      <c r="E963" s="278"/>
      <c r="G963" s="279"/>
    </row>
    <row r="964" ht="15.75" customHeight="1">
      <c r="C964" s="277"/>
      <c r="E964" s="278"/>
      <c r="G964" s="279"/>
    </row>
    <row r="965" ht="15.75" customHeight="1">
      <c r="C965" s="277"/>
      <c r="E965" s="278"/>
      <c r="G965" s="279"/>
    </row>
    <row r="966" ht="15.75" customHeight="1">
      <c r="C966" s="277"/>
      <c r="E966" s="278"/>
      <c r="G966" s="279"/>
    </row>
    <row r="967" ht="15.75" customHeight="1">
      <c r="C967" s="277"/>
      <c r="E967" s="278"/>
      <c r="G967" s="279"/>
    </row>
    <row r="968" ht="15.75" customHeight="1">
      <c r="C968" s="277"/>
      <c r="E968" s="278"/>
      <c r="G968" s="279"/>
    </row>
    <row r="969" ht="15.75" customHeight="1">
      <c r="C969" s="277"/>
      <c r="E969" s="278"/>
      <c r="G969" s="279"/>
    </row>
    <row r="970" ht="15.75" customHeight="1">
      <c r="C970" s="277"/>
      <c r="E970" s="278"/>
      <c r="G970" s="279"/>
    </row>
    <row r="971" ht="15.75" customHeight="1">
      <c r="C971" s="277"/>
      <c r="E971" s="278"/>
      <c r="G971" s="279"/>
    </row>
    <row r="972" ht="15.75" customHeight="1">
      <c r="C972" s="277"/>
      <c r="E972" s="278"/>
      <c r="G972" s="279"/>
    </row>
    <row r="973" ht="15.75" customHeight="1">
      <c r="C973" s="277"/>
      <c r="E973" s="278"/>
      <c r="G973" s="279"/>
    </row>
    <row r="974" ht="15.75" customHeight="1">
      <c r="C974" s="277"/>
      <c r="E974" s="278"/>
      <c r="G974" s="279"/>
    </row>
    <row r="975" ht="15.75" customHeight="1">
      <c r="C975" s="277"/>
      <c r="E975" s="278"/>
      <c r="G975" s="279"/>
    </row>
    <row r="976" ht="15.75" customHeight="1">
      <c r="C976" s="277"/>
      <c r="E976" s="278"/>
      <c r="G976" s="279"/>
    </row>
    <row r="977" ht="15.75" customHeight="1">
      <c r="C977" s="277"/>
      <c r="E977" s="278"/>
      <c r="G977" s="279"/>
    </row>
    <row r="978" ht="15.75" customHeight="1">
      <c r="C978" s="277"/>
      <c r="E978" s="278"/>
      <c r="G978" s="279"/>
    </row>
    <row r="979" ht="15.75" customHeight="1">
      <c r="C979" s="277"/>
      <c r="E979" s="278"/>
      <c r="G979" s="279"/>
    </row>
    <row r="980" ht="15.75" customHeight="1">
      <c r="C980" s="277"/>
      <c r="E980" s="278"/>
      <c r="G980" s="279"/>
    </row>
    <row r="981" ht="15.75" customHeight="1">
      <c r="C981" s="277"/>
      <c r="E981" s="278"/>
      <c r="G981" s="279"/>
    </row>
    <row r="982" ht="15.75" customHeight="1">
      <c r="C982" s="277"/>
      <c r="E982" s="278"/>
      <c r="G982" s="279"/>
    </row>
    <row r="983" ht="15.75" customHeight="1">
      <c r="C983" s="277"/>
      <c r="E983" s="278"/>
      <c r="G983" s="279"/>
    </row>
    <row r="984" ht="15.75" customHeight="1">
      <c r="C984" s="277"/>
      <c r="E984" s="278"/>
      <c r="G984" s="279"/>
    </row>
    <row r="985" ht="15.75" customHeight="1">
      <c r="C985" s="277"/>
      <c r="E985" s="278"/>
      <c r="G985" s="279"/>
    </row>
    <row r="986" ht="15.75" customHeight="1">
      <c r="C986" s="277"/>
      <c r="E986" s="278"/>
      <c r="G986" s="279"/>
    </row>
    <row r="987" ht="15.75" customHeight="1">
      <c r="C987" s="277"/>
      <c r="E987" s="278"/>
      <c r="G987" s="279"/>
    </row>
    <row r="988" ht="15.75" customHeight="1">
      <c r="C988" s="277"/>
      <c r="E988" s="278"/>
      <c r="G988" s="279"/>
    </row>
    <row r="989" ht="15.75" customHeight="1">
      <c r="C989" s="277"/>
      <c r="E989" s="278"/>
      <c r="G989" s="279"/>
    </row>
    <row r="990" ht="15.75" customHeight="1">
      <c r="C990" s="277"/>
      <c r="E990" s="278"/>
      <c r="G990" s="279"/>
    </row>
    <row r="991" ht="15.75" customHeight="1">
      <c r="C991" s="277"/>
      <c r="E991" s="278"/>
      <c r="G991" s="279"/>
    </row>
    <row r="992" ht="15.75" customHeight="1">
      <c r="C992" s="277"/>
      <c r="E992" s="278"/>
      <c r="G992" s="279"/>
    </row>
    <row r="993" ht="15.75" customHeight="1">
      <c r="C993" s="277"/>
      <c r="E993" s="278"/>
      <c r="G993" s="279"/>
    </row>
    <row r="994" ht="15.75" customHeight="1">
      <c r="C994" s="277"/>
      <c r="E994" s="278"/>
      <c r="G994" s="279"/>
    </row>
    <row r="995" ht="15.75" customHeight="1">
      <c r="C995" s="277"/>
      <c r="E995" s="278"/>
      <c r="G995" s="279"/>
    </row>
    <row r="996" ht="15.75" customHeight="1">
      <c r="C996" s="277"/>
      <c r="E996" s="278"/>
      <c r="G996" s="279"/>
    </row>
    <row r="997" ht="15.75" customHeight="1">
      <c r="C997" s="277"/>
      <c r="E997" s="278"/>
      <c r="G997" s="279"/>
    </row>
    <row r="998" ht="15.75" customHeight="1">
      <c r="C998" s="277"/>
      <c r="E998" s="278"/>
      <c r="G998" s="279"/>
    </row>
    <row r="999" ht="15.75" customHeight="1">
      <c r="C999" s="277"/>
      <c r="E999" s="278"/>
      <c r="G999" s="279"/>
    </row>
    <row r="1000" ht="15.75" customHeight="1">
      <c r="C1000" s="277"/>
      <c r="E1000" s="278"/>
      <c r="G1000" s="279"/>
    </row>
    <row r="1001" ht="15.75" customHeight="1">
      <c r="C1001" s="277"/>
      <c r="E1001" s="278"/>
      <c r="G1001" s="279"/>
    </row>
  </sheetData>
  <mergeCells count="11">
    <mergeCell ref="H1:I1"/>
    <mergeCell ref="J1:K1"/>
    <mergeCell ref="L1:M1"/>
    <mergeCell ref="N1:N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14"/>
    <col customWidth="1" min="2" max="2" width="28.14"/>
    <col customWidth="1" min="3" max="3" width="24.86"/>
    <col customWidth="1" min="4" max="4" width="81.57"/>
    <col customWidth="1" min="5" max="6" width="16.71"/>
    <col customWidth="1" min="7" max="7" width="11.14"/>
    <col customWidth="1" min="8" max="13" width="13.0"/>
    <col customWidth="1" min="14" max="14" width="29.14"/>
    <col customWidth="1" min="15" max="15" width="13.57"/>
    <col customWidth="1" min="16" max="16" width="15.14"/>
    <col customWidth="1" min="17" max="17" width="43.0"/>
    <col customWidth="1" min="18" max="26" width="9.86"/>
  </cols>
  <sheetData>
    <row r="1">
      <c r="A1" s="280" t="s">
        <v>0</v>
      </c>
      <c r="B1" s="281" t="s">
        <v>1</v>
      </c>
      <c r="C1" s="282" t="s">
        <v>2</v>
      </c>
      <c r="D1" s="283" t="s">
        <v>464</v>
      </c>
      <c r="E1" s="284" t="s">
        <v>4</v>
      </c>
      <c r="F1" s="285" t="s">
        <v>141</v>
      </c>
      <c r="G1" s="286" t="s">
        <v>6</v>
      </c>
      <c r="H1" s="287" t="s">
        <v>142</v>
      </c>
      <c r="I1" s="172"/>
      <c r="J1" s="288" t="s">
        <v>143</v>
      </c>
      <c r="K1" s="172"/>
      <c r="L1" s="289" t="s">
        <v>144</v>
      </c>
      <c r="M1" s="172"/>
      <c r="N1" s="290" t="s">
        <v>10</v>
      </c>
      <c r="O1" s="291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</row>
    <row r="2" ht="31.5" customHeight="1">
      <c r="A2" s="178"/>
      <c r="B2" s="178"/>
      <c r="C2" s="179"/>
      <c r="D2" s="179"/>
      <c r="E2" s="179"/>
      <c r="F2" s="179"/>
      <c r="G2" s="36"/>
      <c r="H2" s="293" t="s">
        <v>465</v>
      </c>
      <c r="I2" s="294" t="s">
        <v>466</v>
      </c>
      <c r="J2" s="295" t="s">
        <v>467</v>
      </c>
      <c r="K2" s="296" t="s">
        <v>468</v>
      </c>
      <c r="L2" s="297" t="s">
        <v>469</v>
      </c>
      <c r="M2" s="298" t="s">
        <v>470</v>
      </c>
      <c r="N2" s="186"/>
      <c r="O2" s="291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</row>
    <row r="3">
      <c r="A3" s="299" t="s">
        <v>471</v>
      </c>
      <c r="B3" s="300"/>
      <c r="C3" s="301" t="s">
        <v>249</v>
      </c>
      <c r="D3" s="302" t="s">
        <v>250</v>
      </c>
      <c r="E3" s="303">
        <v>94.0</v>
      </c>
      <c r="F3" s="304">
        <f t="shared" ref="F3:F5" si="1">E3*60</f>
        <v>5640</v>
      </c>
      <c r="G3" s="305"/>
      <c r="H3" s="306">
        <f t="shared" ref="H3:H7" si="2">F3*0.5+F3</f>
        <v>8460</v>
      </c>
      <c r="I3" s="307">
        <f t="shared" ref="I3:I7" si="3">F3*0.3+F3</f>
        <v>7332</v>
      </c>
      <c r="J3" s="308">
        <f t="shared" ref="J3:J7" si="4">F3*0.3+F3</f>
        <v>7332</v>
      </c>
      <c r="K3" s="309">
        <f t="shared" ref="K3:K7" si="5">F3*0.2+F3</f>
        <v>6768</v>
      </c>
      <c r="L3" s="308">
        <f t="shared" ref="L3:L7" si="6">F3*0.15+F3</f>
        <v>6486</v>
      </c>
      <c r="M3" s="309">
        <f t="shared" ref="M3:M7" si="7">F3*0.1+F3</f>
        <v>6204</v>
      </c>
      <c r="N3" s="276"/>
      <c r="O3" s="232"/>
    </row>
    <row r="4">
      <c r="A4" s="310"/>
      <c r="B4" s="300"/>
      <c r="C4" s="311" t="s">
        <v>187</v>
      </c>
      <c r="D4" s="312" t="s">
        <v>188</v>
      </c>
      <c r="E4" s="303">
        <v>87.0</v>
      </c>
      <c r="F4" s="304">
        <f t="shared" si="1"/>
        <v>5220</v>
      </c>
      <c r="G4" s="305"/>
      <c r="H4" s="306">
        <f t="shared" si="2"/>
        <v>7830</v>
      </c>
      <c r="I4" s="307">
        <f t="shared" si="3"/>
        <v>6786</v>
      </c>
      <c r="J4" s="308">
        <f t="shared" si="4"/>
        <v>6786</v>
      </c>
      <c r="K4" s="309">
        <f t="shared" si="5"/>
        <v>6264</v>
      </c>
      <c r="L4" s="308">
        <f t="shared" si="6"/>
        <v>6003</v>
      </c>
      <c r="M4" s="309">
        <f t="shared" si="7"/>
        <v>5742</v>
      </c>
      <c r="N4" s="276"/>
      <c r="O4" s="232"/>
    </row>
    <row r="5">
      <c r="A5" s="310"/>
      <c r="B5" s="300"/>
      <c r="C5" s="301" t="s">
        <v>252</v>
      </c>
      <c r="D5" s="302" t="s">
        <v>253</v>
      </c>
      <c r="E5" s="303">
        <v>44.0</v>
      </c>
      <c r="F5" s="304">
        <f t="shared" si="1"/>
        <v>2640</v>
      </c>
      <c r="G5" s="305"/>
      <c r="H5" s="306">
        <f t="shared" si="2"/>
        <v>3960</v>
      </c>
      <c r="I5" s="307">
        <f t="shared" si="3"/>
        <v>3432</v>
      </c>
      <c r="J5" s="308">
        <f t="shared" si="4"/>
        <v>3432</v>
      </c>
      <c r="K5" s="309">
        <f t="shared" si="5"/>
        <v>3168</v>
      </c>
      <c r="L5" s="308">
        <f t="shared" si="6"/>
        <v>3036</v>
      </c>
      <c r="M5" s="309">
        <f t="shared" si="7"/>
        <v>2904</v>
      </c>
      <c r="N5" s="276"/>
      <c r="O5" s="232"/>
    </row>
    <row r="6">
      <c r="A6" s="310"/>
      <c r="B6" s="300"/>
      <c r="C6" s="313" t="s">
        <v>472</v>
      </c>
      <c r="D6" s="314" t="s">
        <v>473</v>
      </c>
      <c r="E6" s="303"/>
      <c r="F6" s="304"/>
      <c r="G6" s="305"/>
      <c r="H6" s="306">
        <f t="shared" si="2"/>
        <v>0</v>
      </c>
      <c r="I6" s="307">
        <f t="shared" si="3"/>
        <v>0</v>
      </c>
      <c r="J6" s="308">
        <f t="shared" si="4"/>
        <v>0</v>
      </c>
      <c r="K6" s="309">
        <f t="shared" si="5"/>
        <v>0</v>
      </c>
      <c r="L6" s="308">
        <f t="shared" si="6"/>
        <v>0</v>
      </c>
      <c r="M6" s="309">
        <f t="shared" si="7"/>
        <v>0</v>
      </c>
      <c r="N6" s="276"/>
      <c r="O6" s="232"/>
    </row>
    <row r="7">
      <c r="A7" s="310"/>
      <c r="B7" s="300"/>
      <c r="C7" s="315" t="s">
        <v>454</v>
      </c>
      <c r="D7" s="316" t="s">
        <v>455</v>
      </c>
      <c r="E7" s="303">
        <v>12.0</v>
      </c>
      <c r="F7" s="304">
        <f t="shared" ref="F7:F8" si="8">E7*60</f>
        <v>720</v>
      </c>
      <c r="G7" s="305"/>
      <c r="H7" s="306">
        <f t="shared" si="2"/>
        <v>1080</v>
      </c>
      <c r="I7" s="307">
        <f t="shared" si="3"/>
        <v>936</v>
      </c>
      <c r="J7" s="308">
        <f t="shared" si="4"/>
        <v>936</v>
      </c>
      <c r="K7" s="309">
        <f t="shared" si="5"/>
        <v>864</v>
      </c>
      <c r="L7" s="308">
        <f t="shared" si="6"/>
        <v>828</v>
      </c>
      <c r="M7" s="309">
        <f t="shared" si="7"/>
        <v>792</v>
      </c>
      <c r="N7" s="276"/>
      <c r="O7" s="232"/>
    </row>
    <row r="8">
      <c r="A8" s="310"/>
      <c r="B8" s="300"/>
      <c r="C8" s="315" t="s">
        <v>458</v>
      </c>
      <c r="D8" s="316" t="s">
        <v>459</v>
      </c>
      <c r="E8" s="303">
        <v>7.0</v>
      </c>
      <c r="F8" s="304">
        <f t="shared" si="8"/>
        <v>420</v>
      </c>
      <c r="G8" s="305"/>
      <c r="H8" s="272"/>
      <c r="I8" s="273"/>
      <c r="J8" s="274"/>
      <c r="K8" s="275"/>
      <c r="L8" s="274"/>
      <c r="M8" s="275"/>
      <c r="N8" s="276"/>
      <c r="O8" s="232"/>
    </row>
    <row r="9">
      <c r="A9" s="317"/>
      <c r="B9" s="300"/>
      <c r="C9" s="318"/>
      <c r="D9" s="319" t="s">
        <v>474</v>
      </c>
      <c r="E9" s="303"/>
      <c r="F9" s="304"/>
      <c r="G9" s="305"/>
      <c r="H9" s="306">
        <f t="shared" ref="H9:H37" si="9">F9*0.5+F9</f>
        <v>0</v>
      </c>
      <c r="I9" s="307">
        <f t="shared" ref="I9:I37" si="10">F9*0.3+F9</f>
        <v>0</v>
      </c>
      <c r="J9" s="308">
        <f t="shared" ref="J9:J37" si="11">F9*0.3+F9</f>
        <v>0</v>
      </c>
      <c r="K9" s="309">
        <f t="shared" ref="K9:K37" si="12">F9*0.2+F9</f>
        <v>0</v>
      </c>
      <c r="L9" s="308">
        <f t="shared" ref="L9:L37" si="13">F9*0.15+F9</f>
        <v>0</v>
      </c>
      <c r="M9" s="309">
        <f t="shared" ref="M9:M37" si="14">F9*0.1+F9</f>
        <v>0</v>
      </c>
      <c r="N9" s="276"/>
      <c r="O9" s="232"/>
    </row>
    <row r="10">
      <c r="A10" s="268"/>
      <c r="B10" s="300"/>
      <c r="C10" s="315"/>
      <c r="D10" s="316"/>
      <c r="E10" s="303"/>
      <c r="F10" s="304"/>
      <c r="G10" s="305"/>
      <c r="H10" s="306">
        <f t="shared" si="9"/>
        <v>0</v>
      </c>
      <c r="I10" s="307">
        <f t="shared" si="10"/>
        <v>0</v>
      </c>
      <c r="J10" s="308">
        <f t="shared" si="11"/>
        <v>0</v>
      </c>
      <c r="K10" s="309">
        <f t="shared" si="12"/>
        <v>0</v>
      </c>
      <c r="L10" s="308">
        <f t="shared" si="13"/>
        <v>0</v>
      </c>
      <c r="M10" s="309">
        <f t="shared" si="14"/>
        <v>0</v>
      </c>
      <c r="N10" s="276"/>
      <c r="O10" s="232"/>
    </row>
    <row r="11">
      <c r="A11" s="299" t="s">
        <v>475</v>
      </c>
      <c r="B11" s="320"/>
      <c r="C11" s="321" t="s">
        <v>322</v>
      </c>
      <c r="D11" s="322" t="s">
        <v>323</v>
      </c>
      <c r="E11" s="323">
        <v>74.5</v>
      </c>
      <c r="F11" s="324">
        <v>4470.0</v>
      </c>
      <c r="G11" s="305"/>
      <c r="H11" s="306">
        <f t="shared" si="9"/>
        <v>6705</v>
      </c>
      <c r="I11" s="307">
        <f t="shared" si="10"/>
        <v>5811</v>
      </c>
      <c r="J11" s="308">
        <f t="shared" si="11"/>
        <v>5811</v>
      </c>
      <c r="K11" s="309">
        <f t="shared" si="12"/>
        <v>5364</v>
      </c>
      <c r="L11" s="308">
        <f t="shared" si="13"/>
        <v>5140.5</v>
      </c>
      <c r="M11" s="309">
        <f t="shared" si="14"/>
        <v>4917</v>
      </c>
      <c r="N11" s="276"/>
      <c r="O11" s="232"/>
    </row>
    <row r="12">
      <c r="A12" s="310"/>
      <c r="B12" s="320"/>
      <c r="C12" s="321" t="s">
        <v>193</v>
      </c>
      <c r="D12" s="322" t="s">
        <v>194</v>
      </c>
      <c r="E12" s="323">
        <v>161.0</v>
      </c>
      <c r="F12" s="324">
        <v>9660.0</v>
      </c>
      <c r="G12" s="305"/>
      <c r="H12" s="306">
        <f t="shared" si="9"/>
        <v>14490</v>
      </c>
      <c r="I12" s="307">
        <f t="shared" si="10"/>
        <v>12558</v>
      </c>
      <c r="J12" s="308">
        <f t="shared" si="11"/>
        <v>12558</v>
      </c>
      <c r="K12" s="309">
        <f t="shared" si="12"/>
        <v>11592</v>
      </c>
      <c r="L12" s="308">
        <f t="shared" si="13"/>
        <v>11109</v>
      </c>
      <c r="M12" s="309">
        <f t="shared" si="14"/>
        <v>10626</v>
      </c>
      <c r="N12" s="276"/>
      <c r="O12" s="232"/>
    </row>
    <row r="13">
      <c r="A13" s="310"/>
      <c r="B13" s="320"/>
      <c r="C13" s="321" t="s">
        <v>340</v>
      </c>
      <c r="D13" s="322" t="s">
        <v>341</v>
      </c>
      <c r="E13" s="323">
        <v>31.0</v>
      </c>
      <c r="F13" s="324">
        <v>1860.0</v>
      </c>
      <c r="G13" s="305"/>
      <c r="H13" s="306">
        <f t="shared" si="9"/>
        <v>2790</v>
      </c>
      <c r="I13" s="307">
        <f t="shared" si="10"/>
        <v>2418</v>
      </c>
      <c r="J13" s="308">
        <f t="shared" si="11"/>
        <v>2418</v>
      </c>
      <c r="K13" s="309">
        <f t="shared" si="12"/>
        <v>2232</v>
      </c>
      <c r="L13" s="308">
        <f t="shared" si="13"/>
        <v>2139</v>
      </c>
      <c r="M13" s="309">
        <f t="shared" si="14"/>
        <v>2046</v>
      </c>
      <c r="N13" s="276"/>
      <c r="O13" s="232"/>
    </row>
    <row r="14">
      <c r="A14" s="310"/>
      <c r="B14" s="320"/>
      <c r="C14" s="313" t="s">
        <v>472</v>
      </c>
      <c r="D14" s="314" t="s">
        <v>473</v>
      </c>
      <c r="E14" s="303"/>
      <c r="F14" s="304"/>
      <c r="G14" s="305"/>
      <c r="H14" s="306">
        <f t="shared" si="9"/>
        <v>0</v>
      </c>
      <c r="I14" s="307">
        <f t="shared" si="10"/>
        <v>0</v>
      </c>
      <c r="J14" s="308">
        <f t="shared" si="11"/>
        <v>0</v>
      </c>
      <c r="K14" s="309">
        <f t="shared" si="12"/>
        <v>0</v>
      </c>
      <c r="L14" s="308">
        <f t="shared" si="13"/>
        <v>0</v>
      </c>
      <c r="M14" s="309">
        <f t="shared" si="14"/>
        <v>0</v>
      </c>
      <c r="N14" s="276"/>
      <c r="O14" s="232"/>
    </row>
    <row r="15">
      <c r="A15" s="310"/>
      <c r="B15" s="320"/>
      <c r="C15" s="315" t="s">
        <v>454</v>
      </c>
      <c r="D15" s="316" t="s">
        <v>455</v>
      </c>
      <c r="E15" s="303">
        <v>12.0</v>
      </c>
      <c r="F15" s="304">
        <f>E15*60</f>
        <v>720</v>
      </c>
      <c r="G15" s="305"/>
      <c r="H15" s="306">
        <f t="shared" si="9"/>
        <v>1080</v>
      </c>
      <c r="I15" s="307">
        <f t="shared" si="10"/>
        <v>936</v>
      </c>
      <c r="J15" s="308">
        <f t="shared" si="11"/>
        <v>936</v>
      </c>
      <c r="K15" s="309">
        <f t="shared" si="12"/>
        <v>864</v>
      </c>
      <c r="L15" s="308">
        <f t="shared" si="13"/>
        <v>828</v>
      </c>
      <c r="M15" s="309">
        <f t="shared" si="14"/>
        <v>792</v>
      </c>
      <c r="N15" s="276"/>
      <c r="O15" s="232"/>
    </row>
    <row r="16">
      <c r="A16" s="310"/>
      <c r="B16" s="320"/>
      <c r="C16" s="321" t="s">
        <v>460</v>
      </c>
      <c r="D16" s="322" t="s">
        <v>461</v>
      </c>
      <c r="E16" s="323">
        <v>15.0</v>
      </c>
      <c r="F16" s="324">
        <v>900.0</v>
      </c>
      <c r="G16" s="305"/>
      <c r="H16" s="306">
        <f t="shared" si="9"/>
        <v>1350</v>
      </c>
      <c r="I16" s="307">
        <f t="shared" si="10"/>
        <v>1170</v>
      </c>
      <c r="J16" s="308">
        <f t="shared" si="11"/>
        <v>1170</v>
      </c>
      <c r="K16" s="309">
        <f t="shared" si="12"/>
        <v>1080</v>
      </c>
      <c r="L16" s="308">
        <f t="shared" si="13"/>
        <v>1035</v>
      </c>
      <c r="M16" s="309">
        <f t="shared" si="14"/>
        <v>990</v>
      </c>
      <c r="N16" s="276"/>
      <c r="O16" s="232"/>
    </row>
    <row r="17">
      <c r="A17" s="317"/>
      <c r="B17" s="320"/>
      <c r="C17" s="325"/>
      <c r="D17" s="319" t="s">
        <v>474</v>
      </c>
      <c r="E17" s="303"/>
      <c r="F17" s="304"/>
      <c r="G17" s="305"/>
      <c r="H17" s="306">
        <f t="shared" si="9"/>
        <v>0</v>
      </c>
      <c r="I17" s="307">
        <f t="shared" si="10"/>
        <v>0</v>
      </c>
      <c r="J17" s="308">
        <f t="shared" si="11"/>
        <v>0</v>
      </c>
      <c r="K17" s="309">
        <f t="shared" si="12"/>
        <v>0</v>
      </c>
      <c r="L17" s="308">
        <f t="shared" si="13"/>
        <v>0</v>
      </c>
      <c r="M17" s="309">
        <f t="shared" si="14"/>
        <v>0</v>
      </c>
      <c r="N17" s="276"/>
      <c r="O17" s="232"/>
    </row>
    <row r="18">
      <c r="A18" s="268"/>
      <c r="B18" s="320"/>
      <c r="C18" s="325"/>
      <c r="D18" s="326"/>
      <c r="E18" s="303"/>
      <c r="F18" s="304"/>
      <c r="G18" s="305"/>
      <c r="H18" s="306">
        <f t="shared" si="9"/>
        <v>0</v>
      </c>
      <c r="I18" s="307">
        <f t="shared" si="10"/>
        <v>0</v>
      </c>
      <c r="J18" s="308">
        <f t="shared" si="11"/>
        <v>0</v>
      </c>
      <c r="K18" s="309">
        <f t="shared" si="12"/>
        <v>0</v>
      </c>
      <c r="L18" s="308">
        <f t="shared" si="13"/>
        <v>0</v>
      </c>
      <c r="M18" s="309">
        <f t="shared" si="14"/>
        <v>0</v>
      </c>
      <c r="N18" s="276"/>
      <c r="O18" s="232"/>
    </row>
    <row r="19">
      <c r="A19" s="299" t="s">
        <v>476</v>
      </c>
      <c r="B19" s="320"/>
      <c r="C19" s="321" t="s">
        <v>152</v>
      </c>
      <c r="D19" s="322" t="s">
        <v>153</v>
      </c>
      <c r="E19" s="323">
        <v>45.0</v>
      </c>
      <c r="F19" s="324">
        <v>2700.0</v>
      </c>
      <c r="G19" s="305"/>
      <c r="H19" s="306">
        <f t="shared" si="9"/>
        <v>4050</v>
      </c>
      <c r="I19" s="307">
        <f t="shared" si="10"/>
        <v>3510</v>
      </c>
      <c r="J19" s="308">
        <f t="shared" si="11"/>
        <v>3510</v>
      </c>
      <c r="K19" s="309">
        <f t="shared" si="12"/>
        <v>3240</v>
      </c>
      <c r="L19" s="308">
        <f t="shared" si="13"/>
        <v>3105</v>
      </c>
      <c r="M19" s="309">
        <f t="shared" si="14"/>
        <v>2970</v>
      </c>
      <c r="N19" s="276"/>
      <c r="O19" s="232"/>
    </row>
    <row r="20">
      <c r="A20" s="310"/>
      <c r="B20" s="320"/>
      <c r="C20" s="321" t="s">
        <v>177</v>
      </c>
      <c r="D20" s="322" t="s">
        <v>477</v>
      </c>
      <c r="E20" s="327">
        <v>39.5</v>
      </c>
      <c r="F20" s="324">
        <v>2370.0</v>
      </c>
      <c r="G20" s="305"/>
      <c r="H20" s="306">
        <f t="shared" si="9"/>
        <v>3555</v>
      </c>
      <c r="I20" s="307">
        <f t="shared" si="10"/>
        <v>3081</v>
      </c>
      <c r="J20" s="308">
        <f t="shared" si="11"/>
        <v>3081</v>
      </c>
      <c r="K20" s="309">
        <f t="shared" si="12"/>
        <v>2844</v>
      </c>
      <c r="L20" s="308">
        <f t="shared" si="13"/>
        <v>2725.5</v>
      </c>
      <c r="M20" s="309">
        <f t="shared" si="14"/>
        <v>2607</v>
      </c>
      <c r="N20" s="276"/>
      <c r="O20" s="232"/>
    </row>
    <row r="21">
      <c r="A21" s="310"/>
      <c r="B21" s="320"/>
      <c r="C21" s="321" t="s">
        <v>391</v>
      </c>
      <c r="D21" s="322" t="s">
        <v>392</v>
      </c>
      <c r="E21" s="323">
        <v>15.0</v>
      </c>
      <c r="F21" s="324">
        <v>900.0</v>
      </c>
      <c r="G21" s="305"/>
      <c r="H21" s="306">
        <f t="shared" si="9"/>
        <v>1350</v>
      </c>
      <c r="I21" s="307">
        <f t="shared" si="10"/>
        <v>1170</v>
      </c>
      <c r="J21" s="308">
        <f t="shared" si="11"/>
        <v>1170</v>
      </c>
      <c r="K21" s="309">
        <f t="shared" si="12"/>
        <v>1080</v>
      </c>
      <c r="L21" s="308">
        <f t="shared" si="13"/>
        <v>1035</v>
      </c>
      <c r="M21" s="309">
        <f t="shared" si="14"/>
        <v>990</v>
      </c>
      <c r="N21" s="276"/>
      <c r="O21" s="232"/>
    </row>
    <row r="22">
      <c r="A22" s="310"/>
      <c r="B22" s="320"/>
      <c r="C22" s="313" t="s">
        <v>472</v>
      </c>
      <c r="D22" s="314" t="s">
        <v>473</v>
      </c>
      <c r="E22" s="303"/>
      <c r="F22" s="304"/>
      <c r="G22" s="305"/>
      <c r="H22" s="306">
        <f t="shared" si="9"/>
        <v>0</v>
      </c>
      <c r="I22" s="307">
        <f t="shared" si="10"/>
        <v>0</v>
      </c>
      <c r="J22" s="308">
        <f t="shared" si="11"/>
        <v>0</v>
      </c>
      <c r="K22" s="309">
        <f t="shared" si="12"/>
        <v>0</v>
      </c>
      <c r="L22" s="308">
        <f t="shared" si="13"/>
        <v>0</v>
      </c>
      <c r="M22" s="309">
        <f t="shared" si="14"/>
        <v>0</v>
      </c>
      <c r="N22" s="276"/>
      <c r="O22" s="232"/>
    </row>
    <row r="23">
      <c r="A23" s="310"/>
      <c r="B23" s="320"/>
      <c r="C23" s="315" t="s">
        <v>454</v>
      </c>
      <c r="D23" s="316" t="s">
        <v>455</v>
      </c>
      <c r="E23" s="303">
        <v>12.0</v>
      </c>
      <c r="F23" s="304">
        <f t="shared" ref="F23:F24" si="15">E23*60</f>
        <v>720</v>
      </c>
      <c r="G23" s="305"/>
      <c r="H23" s="306">
        <f t="shared" si="9"/>
        <v>1080</v>
      </c>
      <c r="I23" s="307">
        <f t="shared" si="10"/>
        <v>936</v>
      </c>
      <c r="J23" s="308">
        <f t="shared" si="11"/>
        <v>936</v>
      </c>
      <c r="K23" s="309">
        <f t="shared" si="12"/>
        <v>864</v>
      </c>
      <c r="L23" s="308">
        <f t="shared" si="13"/>
        <v>828</v>
      </c>
      <c r="M23" s="309">
        <f t="shared" si="14"/>
        <v>792</v>
      </c>
      <c r="N23" s="276"/>
      <c r="O23" s="232"/>
    </row>
    <row r="24">
      <c r="A24" s="310"/>
      <c r="B24" s="320"/>
      <c r="C24" s="315" t="s">
        <v>458</v>
      </c>
      <c r="D24" s="316" t="s">
        <v>459</v>
      </c>
      <c r="E24" s="303">
        <v>7.0</v>
      </c>
      <c r="F24" s="304">
        <f t="shared" si="15"/>
        <v>420</v>
      </c>
      <c r="G24" s="305"/>
      <c r="H24" s="306">
        <f t="shared" si="9"/>
        <v>630</v>
      </c>
      <c r="I24" s="307">
        <f t="shared" si="10"/>
        <v>546</v>
      </c>
      <c r="J24" s="308">
        <f t="shared" si="11"/>
        <v>546</v>
      </c>
      <c r="K24" s="309">
        <f t="shared" si="12"/>
        <v>504</v>
      </c>
      <c r="L24" s="308">
        <f t="shared" si="13"/>
        <v>483</v>
      </c>
      <c r="M24" s="309">
        <f t="shared" si="14"/>
        <v>462</v>
      </c>
      <c r="N24" s="276"/>
      <c r="O24" s="232"/>
    </row>
    <row r="25">
      <c r="A25" s="317"/>
      <c r="B25" s="320"/>
      <c r="C25" s="325"/>
      <c r="D25" s="319" t="s">
        <v>474</v>
      </c>
      <c r="E25" s="303"/>
      <c r="F25" s="304"/>
      <c r="G25" s="305"/>
      <c r="H25" s="306">
        <f t="shared" si="9"/>
        <v>0</v>
      </c>
      <c r="I25" s="307">
        <f t="shared" si="10"/>
        <v>0</v>
      </c>
      <c r="J25" s="308">
        <f t="shared" si="11"/>
        <v>0</v>
      </c>
      <c r="K25" s="309">
        <f t="shared" si="12"/>
        <v>0</v>
      </c>
      <c r="L25" s="308">
        <f t="shared" si="13"/>
        <v>0</v>
      </c>
      <c r="M25" s="309">
        <f t="shared" si="14"/>
        <v>0</v>
      </c>
      <c r="N25" s="276"/>
      <c r="O25" s="232"/>
    </row>
    <row r="26" ht="15.75" customHeight="1">
      <c r="A26" s="268"/>
      <c r="B26" s="320"/>
      <c r="C26" s="315"/>
      <c r="D26" s="316"/>
      <c r="E26" s="303"/>
      <c r="F26" s="304"/>
      <c r="G26" s="305"/>
      <c r="H26" s="306">
        <f t="shared" si="9"/>
        <v>0</v>
      </c>
      <c r="I26" s="307">
        <f t="shared" si="10"/>
        <v>0</v>
      </c>
      <c r="J26" s="308">
        <f t="shared" si="11"/>
        <v>0</v>
      </c>
      <c r="K26" s="309">
        <f t="shared" si="12"/>
        <v>0</v>
      </c>
      <c r="L26" s="308">
        <f t="shared" si="13"/>
        <v>0</v>
      </c>
      <c r="M26" s="309">
        <f t="shared" si="14"/>
        <v>0</v>
      </c>
      <c r="N26" s="276"/>
      <c r="O26" s="232"/>
    </row>
    <row r="27">
      <c r="A27" s="299" t="s">
        <v>478</v>
      </c>
      <c r="B27" s="320"/>
      <c r="C27" s="321" t="s">
        <v>158</v>
      </c>
      <c r="D27" s="322" t="s">
        <v>159</v>
      </c>
      <c r="E27" s="323">
        <v>69.5</v>
      </c>
      <c r="F27" s="324">
        <v>4170.0</v>
      </c>
      <c r="G27" s="305"/>
      <c r="H27" s="306">
        <f t="shared" si="9"/>
        <v>6255</v>
      </c>
      <c r="I27" s="307">
        <f t="shared" si="10"/>
        <v>5421</v>
      </c>
      <c r="J27" s="308">
        <f t="shared" si="11"/>
        <v>5421</v>
      </c>
      <c r="K27" s="309">
        <f t="shared" si="12"/>
        <v>5004</v>
      </c>
      <c r="L27" s="308">
        <f t="shared" si="13"/>
        <v>4795.5</v>
      </c>
      <c r="M27" s="309">
        <f t="shared" si="14"/>
        <v>4587</v>
      </c>
      <c r="N27" s="276"/>
      <c r="O27" s="232"/>
    </row>
    <row r="28">
      <c r="A28" s="310"/>
      <c r="B28" s="320"/>
      <c r="C28" s="321" t="s">
        <v>179</v>
      </c>
      <c r="D28" s="322" t="s">
        <v>180</v>
      </c>
      <c r="E28" s="327">
        <v>46.0</v>
      </c>
      <c r="F28" s="324">
        <v>2760.0</v>
      </c>
      <c r="G28" s="305"/>
      <c r="H28" s="306">
        <f t="shared" si="9"/>
        <v>4140</v>
      </c>
      <c r="I28" s="307">
        <f t="shared" si="10"/>
        <v>3588</v>
      </c>
      <c r="J28" s="308">
        <f t="shared" si="11"/>
        <v>3588</v>
      </c>
      <c r="K28" s="309">
        <f t="shared" si="12"/>
        <v>3312</v>
      </c>
      <c r="L28" s="308">
        <f t="shared" si="13"/>
        <v>3174</v>
      </c>
      <c r="M28" s="309">
        <f t="shared" si="14"/>
        <v>3036</v>
      </c>
      <c r="N28" s="276"/>
      <c r="O28" s="232"/>
    </row>
    <row r="29">
      <c r="A29" s="310"/>
      <c r="B29" s="320"/>
      <c r="C29" s="321" t="s">
        <v>391</v>
      </c>
      <c r="D29" s="322" t="s">
        <v>392</v>
      </c>
      <c r="E29" s="323">
        <v>15.0</v>
      </c>
      <c r="F29" s="324">
        <v>900.0</v>
      </c>
      <c r="G29" s="305"/>
      <c r="H29" s="306">
        <f t="shared" si="9"/>
        <v>1350</v>
      </c>
      <c r="I29" s="307">
        <f t="shared" si="10"/>
        <v>1170</v>
      </c>
      <c r="J29" s="308">
        <f t="shared" si="11"/>
        <v>1170</v>
      </c>
      <c r="K29" s="309">
        <f t="shared" si="12"/>
        <v>1080</v>
      </c>
      <c r="L29" s="308">
        <f t="shared" si="13"/>
        <v>1035</v>
      </c>
      <c r="M29" s="309">
        <f t="shared" si="14"/>
        <v>990</v>
      </c>
      <c r="N29" s="276"/>
      <c r="O29" s="232"/>
    </row>
    <row r="30">
      <c r="A30" s="310"/>
      <c r="B30" s="320"/>
      <c r="C30" s="313" t="s">
        <v>472</v>
      </c>
      <c r="D30" s="314" t="s">
        <v>473</v>
      </c>
      <c r="E30" s="303"/>
      <c r="F30" s="304"/>
      <c r="G30" s="305"/>
      <c r="H30" s="306">
        <f t="shared" si="9"/>
        <v>0</v>
      </c>
      <c r="I30" s="307">
        <f t="shared" si="10"/>
        <v>0</v>
      </c>
      <c r="J30" s="308">
        <f t="shared" si="11"/>
        <v>0</v>
      </c>
      <c r="K30" s="309">
        <f t="shared" si="12"/>
        <v>0</v>
      </c>
      <c r="L30" s="308">
        <f t="shared" si="13"/>
        <v>0</v>
      </c>
      <c r="M30" s="309">
        <f t="shared" si="14"/>
        <v>0</v>
      </c>
      <c r="N30" s="276"/>
      <c r="O30" s="232"/>
    </row>
    <row r="31">
      <c r="A31" s="310"/>
      <c r="B31" s="320"/>
      <c r="C31" s="315" t="s">
        <v>454</v>
      </c>
      <c r="D31" s="316" t="s">
        <v>455</v>
      </c>
      <c r="E31" s="303">
        <v>12.0</v>
      </c>
      <c r="F31" s="304">
        <f t="shared" ref="F31:F32" si="16">E31*60</f>
        <v>720</v>
      </c>
      <c r="G31" s="305"/>
      <c r="H31" s="306">
        <f t="shared" si="9"/>
        <v>1080</v>
      </c>
      <c r="I31" s="307">
        <f t="shared" si="10"/>
        <v>936</v>
      </c>
      <c r="J31" s="308">
        <f t="shared" si="11"/>
        <v>936</v>
      </c>
      <c r="K31" s="309">
        <f t="shared" si="12"/>
        <v>864</v>
      </c>
      <c r="L31" s="308">
        <f t="shared" si="13"/>
        <v>828</v>
      </c>
      <c r="M31" s="309">
        <f t="shared" si="14"/>
        <v>792</v>
      </c>
      <c r="N31" s="276"/>
      <c r="O31" s="232"/>
    </row>
    <row r="32">
      <c r="A32" s="310"/>
      <c r="B32" s="320"/>
      <c r="C32" s="315" t="s">
        <v>458</v>
      </c>
      <c r="D32" s="316" t="s">
        <v>459</v>
      </c>
      <c r="E32" s="303">
        <v>7.0</v>
      </c>
      <c r="F32" s="304">
        <f t="shared" si="16"/>
        <v>420</v>
      </c>
      <c r="G32" s="305"/>
      <c r="H32" s="306">
        <f t="shared" si="9"/>
        <v>630</v>
      </c>
      <c r="I32" s="307">
        <f t="shared" si="10"/>
        <v>546</v>
      </c>
      <c r="J32" s="308">
        <f t="shared" si="11"/>
        <v>546</v>
      </c>
      <c r="K32" s="309">
        <f t="shared" si="12"/>
        <v>504</v>
      </c>
      <c r="L32" s="308">
        <f t="shared" si="13"/>
        <v>483</v>
      </c>
      <c r="M32" s="309">
        <f t="shared" si="14"/>
        <v>462</v>
      </c>
      <c r="N32" s="276"/>
      <c r="O32" s="232"/>
    </row>
    <row r="33">
      <c r="A33" s="317"/>
      <c r="B33" s="320"/>
      <c r="C33" s="325"/>
      <c r="D33" s="319" t="s">
        <v>474</v>
      </c>
      <c r="E33" s="303"/>
      <c r="F33" s="304"/>
      <c r="G33" s="305"/>
      <c r="H33" s="306">
        <f t="shared" si="9"/>
        <v>0</v>
      </c>
      <c r="I33" s="307">
        <f t="shared" si="10"/>
        <v>0</v>
      </c>
      <c r="J33" s="308">
        <f t="shared" si="11"/>
        <v>0</v>
      </c>
      <c r="K33" s="309">
        <f t="shared" si="12"/>
        <v>0</v>
      </c>
      <c r="L33" s="308">
        <f t="shared" si="13"/>
        <v>0</v>
      </c>
      <c r="M33" s="309">
        <f t="shared" si="14"/>
        <v>0</v>
      </c>
      <c r="N33" s="276"/>
      <c r="O33" s="232"/>
    </row>
    <row r="34" ht="15.75" customHeight="1">
      <c r="A34" s="268"/>
      <c r="B34" s="320"/>
      <c r="C34" s="328"/>
      <c r="D34" s="329"/>
      <c r="E34" s="330"/>
      <c r="F34" s="331"/>
      <c r="G34" s="305"/>
      <c r="H34" s="306">
        <f t="shared" si="9"/>
        <v>0</v>
      </c>
      <c r="I34" s="307">
        <f t="shared" si="10"/>
        <v>0</v>
      </c>
      <c r="J34" s="308">
        <f t="shared" si="11"/>
        <v>0</v>
      </c>
      <c r="K34" s="309">
        <f t="shared" si="12"/>
        <v>0</v>
      </c>
      <c r="L34" s="308">
        <f t="shared" si="13"/>
        <v>0</v>
      </c>
      <c r="M34" s="309">
        <f t="shared" si="14"/>
        <v>0</v>
      </c>
      <c r="N34" s="276"/>
      <c r="O34" s="232"/>
    </row>
    <row r="35" ht="15.75" customHeight="1">
      <c r="A35" s="268"/>
      <c r="B35" s="320"/>
      <c r="C35" s="328"/>
      <c r="D35" s="329"/>
      <c r="E35" s="330"/>
      <c r="F35" s="331"/>
      <c r="G35" s="305"/>
      <c r="H35" s="306">
        <f t="shared" si="9"/>
        <v>0</v>
      </c>
      <c r="I35" s="307">
        <f t="shared" si="10"/>
        <v>0</v>
      </c>
      <c r="J35" s="308">
        <f t="shared" si="11"/>
        <v>0</v>
      </c>
      <c r="K35" s="309">
        <f t="shared" si="12"/>
        <v>0</v>
      </c>
      <c r="L35" s="308">
        <f t="shared" si="13"/>
        <v>0</v>
      </c>
      <c r="M35" s="309">
        <f t="shared" si="14"/>
        <v>0</v>
      </c>
      <c r="N35" s="276"/>
      <c r="O35" s="232"/>
    </row>
    <row r="36" ht="15.75" customHeight="1">
      <c r="A36" s="268"/>
      <c r="B36" s="320"/>
      <c r="C36" s="328"/>
      <c r="D36" s="329"/>
      <c r="E36" s="330"/>
      <c r="F36" s="331"/>
      <c r="G36" s="305"/>
      <c r="H36" s="306">
        <f t="shared" si="9"/>
        <v>0</v>
      </c>
      <c r="I36" s="307">
        <f t="shared" si="10"/>
        <v>0</v>
      </c>
      <c r="J36" s="308">
        <f t="shared" si="11"/>
        <v>0</v>
      </c>
      <c r="K36" s="309">
        <f t="shared" si="12"/>
        <v>0</v>
      </c>
      <c r="L36" s="308">
        <f t="shared" si="13"/>
        <v>0</v>
      </c>
      <c r="M36" s="309">
        <f t="shared" si="14"/>
        <v>0</v>
      </c>
      <c r="N36" s="276"/>
      <c r="O36" s="232"/>
    </row>
    <row r="37" ht="15.75" customHeight="1">
      <c r="A37" s="268"/>
      <c r="B37" s="320"/>
      <c r="C37" s="332"/>
      <c r="D37" s="333"/>
      <c r="E37" s="330"/>
      <c r="F37" s="331"/>
      <c r="G37" s="305"/>
      <c r="H37" s="306">
        <f t="shared" si="9"/>
        <v>0</v>
      </c>
      <c r="I37" s="307">
        <f t="shared" si="10"/>
        <v>0</v>
      </c>
      <c r="J37" s="308">
        <f t="shared" si="11"/>
        <v>0</v>
      </c>
      <c r="K37" s="309">
        <f t="shared" si="12"/>
        <v>0</v>
      </c>
      <c r="L37" s="308">
        <f t="shared" si="13"/>
        <v>0</v>
      </c>
      <c r="M37" s="309">
        <f t="shared" si="14"/>
        <v>0</v>
      </c>
      <c r="N37" s="276"/>
      <c r="O37" s="232"/>
    </row>
    <row r="38" ht="15.75" customHeight="1">
      <c r="A38" s="268"/>
      <c r="B38" s="320"/>
      <c r="C38" s="328"/>
      <c r="D38" s="334"/>
      <c r="E38" s="330"/>
      <c r="F38" s="335"/>
      <c r="G38" s="305"/>
      <c r="H38" s="272"/>
      <c r="I38" s="273"/>
      <c r="J38" s="274"/>
      <c r="K38" s="275"/>
      <c r="L38" s="274"/>
      <c r="M38" s="275"/>
      <c r="N38" s="276"/>
      <c r="O38" s="232"/>
    </row>
    <row r="39" ht="15.75" customHeight="1">
      <c r="A39" s="268"/>
      <c r="B39" s="320"/>
      <c r="C39" s="328"/>
      <c r="D39" s="329"/>
      <c r="E39" s="330"/>
      <c r="F39" s="331"/>
      <c r="G39" s="305"/>
      <c r="H39" s="306">
        <f t="shared" ref="H39:H45" si="17">F39*0.5+F39</f>
        <v>0</v>
      </c>
      <c r="I39" s="307">
        <f t="shared" ref="I39:I45" si="18">F39*0.3+F39</f>
        <v>0</v>
      </c>
      <c r="J39" s="308">
        <f t="shared" ref="J39:J45" si="19">F39*0.3+F39</f>
        <v>0</v>
      </c>
      <c r="K39" s="309">
        <f t="shared" ref="K39:K45" si="20">F39*0.2+F39</f>
        <v>0</v>
      </c>
      <c r="L39" s="308">
        <f t="shared" ref="L39:L45" si="21">F39*0.15+F39</f>
        <v>0</v>
      </c>
      <c r="M39" s="309">
        <f t="shared" ref="M39:M45" si="22">F39*0.1+F39</f>
        <v>0</v>
      </c>
      <c r="N39" s="276"/>
      <c r="O39" s="232"/>
    </row>
    <row r="40" ht="15.75" customHeight="1">
      <c r="A40" s="268"/>
      <c r="B40" s="320"/>
      <c r="C40" s="328"/>
      <c r="D40" s="329"/>
      <c r="E40" s="330"/>
      <c r="F40" s="331"/>
      <c r="G40" s="305"/>
      <c r="H40" s="306">
        <f t="shared" si="17"/>
        <v>0</v>
      </c>
      <c r="I40" s="307">
        <f t="shared" si="18"/>
        <v>0</v>
      </c>
      <c r="J40" s="308">
        <f t="shared" si="19"/>
        <v>0</v>
      </c>
      <c r="K40" s="309">
        <f t="shared" si="20"/>
        <v>0</v>
      </c>
      <c r="L40" s="308">
        <f t="shared" si="21"/>
        <v>0</v>
      </c>
      <c r="M40" s="309">
        <f t="shared" si="22"/>
        <v>0</v>
      </c>
      <c r="N40" s="276"/>
      <c r="O40" s="232"/>
    </row>
    <row r="41" ht="15.75" customHeight="1">
      <c r="A41" s="268"/>
      <c r="B41" s="300"/>
      <c r="C41" s="332"/>
      <c r="D41" s="333"/>
      <c r="E41" s="330"/>
      <c r="F41" s="331"/>
      <c r="G41" s="305"/>
      <c r="H41" s="306">
        <f t="shared" si="17"/>
        <v>0</v>
      </c>
      <c r="I41" s="307">
        <f t="shared" si="18"/>
        <v>0</v>
      </c>
      <c r="J41" s="308">
        <f t="shared" si="19"/>
        <v>0</v>
      </c>
      <c r="K41" s="309">
        <f t="shared" si="20"/>
        <v>0</v>
      </c>
      <c r="L41" s="308">
        <f t="shared" si="21"/>
        <v>0</v>
      </c>
      <c r="M41" s="309">
        <f t="shared" si="22"/>
        <v>0</v>
      </c>
      <c r="N41" s="276"/>
      <c r="O41" s="232"/>
    </row>
    <row r="42" ht="15.75" customHeight="1">
      <c r="A42" s="268"/>
      <c r="B42" s="300"/>
      <c r="C42" s="332"/>
      <c r="D42" s="333"/>
      <c r="E42" s="330"/>
      <c r="F42" s="331"/>
      <c r="G42" s="305"/>
      <c r="H42" s="306">
        <f t="shared" si="17"/>
        <v>0</v>
      </c>
      <c r="I42" s="307">
        <f t="shared" si="18"/>
        <v>0</v>
      </c>
      <c r="J42" s="308">
        <f t="shared" si="19"/>
        <v>0</v>
      </c>
      <c r="K42" s="309">
        <f t="shared" si="20"/>
        <v>0</v>
      </c>
      <c r="L42" s="308">
        <f t="shared" si="21"/>
        <v>0</v>
      </c>
      <c r="M42" s="309">
        <f t="shared" si="22"/>
        <v>0</v>
      </c>
      <c r="N42" s="276"/>
      <c r="O42" s="232"/>
    </row>
    <row r="43" ht="15.75" customHeight="1">
      <c r="A43" s="268"/>
      <c r="B43" s="300"/>
      <c r="C43" s="332"/>
      <c r="D43" s="333"/>
      <c r="E43" s="330"/>
      <c r="F43" s="331"/>
      <c r="G43" s="305"/>
      <c r="H43" s="306">
        <f t="shared" si="17"/>
        <v>0</v>
      </c>
      <c r="I43" s="307">
        <f t="shared" si="18"/>
        <v>0</v>
      </c>
      <c r="J43" s="308">
        <f t="shared" si="19"/>
        <v>0</v>
      </c>
      <c r="K43" s="309">
        <f t="shared" si="20"/>
        <v>0</v>
      </c>
      <c r="L43" s="308">
        <f t="shared" si="21"/>
        <v>0</v>
      </c>
      <c r="M43" s="309">
        <f t="shared" si="22"/>
        <v>0</v>
      </c>
      <c r="N43" s="276"/>
      <c r="O43" s="232"/>
    </row>
    <row r="44" ht="15.75" customHeight="1">
      <c r="A44" s="268"/>
      <c r="B44" s="300"/>
      <c r="C44" s="332"/>
      <c r="D44" s="333"/>
      <c r="E44" s="330"/>
      <c r="F44" s="331"/>
      <c r="G44" s="305"/>
      <c r="H44" s="306">
        <f t="shared" si="17"/>
        <v>0</v>
      </c>
      <c r="I44" s="307">
        <f t="shared" si="18"/>
        <v>0</v>
      </c>
      <c r="J44" s="308">
        <f t="shared" si="19"/>
        <v>0</v>
      </c>
      <c r="K44" s="309">
        <f t="shared" si="20"/>
        <v>0</v>
      </c>
      <c r="L44" s="308">
        <f t="shared" si="21"/>
        <v>0</v>
      </c>
      <c r="M44" s="309">
        <f t="shared" si="22"/>
        <v>0</v>
      </c>
      <c r="N44" s="276"/>
      <c r="O44" s="232"/>
    </row>
    <row r="45" ht="15.75" customHeight="1">
      <c r="A45" s="268"/>
      <c r="B45" s="300"/>
      <c r="C45" s="332"/>
      <c r="D45" s="333"/>
      <c r="E45" s="330"/>
      <c r="F45" s="331"/>
      <c r="G45" s="305"/>
      <c r="H45" s="306">
        <f t="shared" si="17"/>
        <v>0</v>
      </c>
      <c r="I45" s="307">
        <f t="shared" si="18"/>
        <v>0</v>
      </c>
      <c r="J45" s="308">
        <f t="shared" si="19"/>
        <v>0</v>
      </c>
      <c r="K45" s="309">
        <f t="shared" si="20"/>
        <v>0</v>
      </c>
      <c r="L45" s="308">
        <f t="shared" si="21"/>
        <v>0</v>
      </c>
      <c r="M45" s="309">
        <f t="shared" si="22"/>
        <v>0</v>
      </c>
      <c r="N45" s="276"/>
      <c r="O45" s="232"/>
    </row>
    <row r="46" ht="15.75" customHeight="1">
      <c r="A46" s="268"/>
      <c r="B46" s="300"/>
      <c r="C46" s="332"/>
      <c r="D46" s="333"/>
      <c r="E46" s="330"/>
      <c r="F46" s="335"/>
      <c r="G46" s="305"/>
      <c r="H46" s="272"/>
      <c r="I46" s="273"/>
      <c r="J46" s="274"/>
      <c r="K46" s="275"/>
      <c r="L46" s="274"/>
      <c r="M46" s="275"/>
      <c r="N46" s="276"/>
      <c r="O46" s="232"/>
    </row>
    <row r="47" ht="15.75" customHeight="1">
      <c r="A47" s="268"/>
      <c r="B47" s="300"/>
      <c r="C47" s="332"/>
      <c r="D47" s="333"/>
      <c r="E47" s="330"/>
      <c r="F47" s="331"/>
      <c r="G47" s="305"/>
      <c r="H47" s="306">
        <f t="shared" ref="H47:H76" si="23">F47*0.5+F47</f>
        <v>0</v>
      </c>
      <c r="I47" s="307">
        <f t="shared" ref="I47:I76" si="24">F47*0.3+F47</f>
        <v>0</v>
      </c>
      <c r="J47" s="308">
        <f t="shared" ref="J47:J76" si="25">F47*0.3+F47</f>
        <v>0</v>
      </c>
      <c r="K47" s="309">
        <f t="shared" ref="K47:K76" si="26">F47*0.2+F47</f>
        <v>0</v>
      </c>
      <c r="L47" s="308">
        <f t="shared" ref="L47:L76" si="27">F47*0.15+F47</f>
        <v>0</v>
      </c>
      <c r="M47" s="309">
        <f t="shared" ref="M47:M76" si="28">F47*0.1+F47</f>
        <v>0</v>
      </c>
      <c r="N47" s="276"/>
      <c r="O47" s="232"/>
    </row>
    <row r="48" ht="15.75" customHeight="1">
      <c r="A48" s="268"/>
      <c r="B48" s="300"/>
      <c r="C48" s="332"/>
      <c r="D48" s="333"/>
      <c r="E48" s="330"/>
      <c r="F48" s="331"/>
      <c r="G48" s="305"/>
      <c r="H48" s="306">
        <f t="shared" si="23"/>
        <v>0</v>
      </c>
      <c r="I48" s="307">
        <f t="shared" si="24"/>
        <v>0</v>
      </c>
      <c r="J48" s="308">
        <f t="shared" si="25"/>
        <v>0</v>
      </c>
      <c r="K48" s="309">
        <f t="shared" si="26"/>
        <v>0</v>
      </c>
      <c r="L48" s="308">
        <f t="shared" si="27"/>
        <v>0</v>
      </c>
      <c r="M48" s="309">
        <f t="shared" si="28"/>
        <v>0</v>
      </c>
      <c r="N48" s="276"/>
      <c r="O48" s="232"/>
    </row>
    <row r="49" ht="15.75" customHeight="1">
      <c r="A49" s="268"/>
      <c r="B49" s="320"/>
      <c r="C49" s="332"/>
      <c r="D49" s="333"/>
      <c r="E49" s="330"/>
      <c r="F49" s="331"/>
      <c r="G49" s="305"/>
      <c r="H49" s="306">
        <f t="shared" si="23"/>
        <v>0</v>
      </c>
      <c r="I49" s="307">
        <f t="shared" si="24"/>
        <v>0</v>
      </c>
      <c r="J49" s="308">
        <f t="shared" si="25"/>
        <v>0</v>
      </c>
      <c r="K49" s="309">
        <f t="shared" si="26"/>
        <v>0</v>
      </c>
      <c r="L49" s="308">
        <f t="shared" si="27"/>
        <v>0</v>
      </c>
      <c r="M49" s="309">
        <f t="shared" si="28"/>
        <v>0</v>
      </c>
      <c r="N49" s="276"/>
      <c r="O49" s="232"/>
    </row>
    <row r="50" ht="15.75" customHeight="1">
      <c r="A50" s="268"/>
      <c r="B50" s="320"/>
      <c r="C50" s="332"/>
      <c r="D50" s="333"/>
      <c r="E50" s="330"/>
      <c r="F50" s="331"/>
      <c r="G50" s="305"/>
      <c r="H50" s="306">
        <f t="shared" si="23"/>
        <v>0</v>
      </c>
      <c r="I50" s="307">
        <f t="shared" si="24"/>
        <v>0</v>
      </c>
      <c r="J50" s="308">
        <f t="shared" si="25"/>
        <v>0</v>
      </c>
      <c r="K50" s="309">
        <f t="shared" si="26"/>
        <v>0</v>
      </c>
      <c r="L50" s="308">
        <f t="shared" si="27"/>
        <v>0</v>
      </c>
      <c r="M50" s="309">
        <f t="shared" si="28"/>
        <v>0</v>
      </c>
      <c r="N50" s="276"/>
      <c r="O50" s="232"/>
    </row>
    <row r="51" ht="15.75" customHeight="1">
      <c r="A51" s="268"/>
      <c r="B51" s="320"/>
      <c r="C51" s="332"/>
      <c r="D51" s="333"/>
      <c r="E51" s="330"/>
      <c r="F51" s="331"/>
      <c r="G51" s="305"/>
      <c r="H51" s="306">
        <f t="shared" si="23"/>
        <v>0</v>
      </c>
      <c r="I51" s="307">
        <f t="shared" si="24"/>
        <v>0</v>
      </c>
      <c r="J51" s="308">
        <f t="shared" si="25"/>
        <v>0</v>
      </c>
      <c r="K51" s="309">
        <f t="shared" si="26"/>
        <v>0</v>
      </c>
      <c r="L51" s="308">
        <f t="shared" si="27"/>
        <v>0</v>
      </c>
      <c r="M51" s="309">
        <f t="shared" si="28"/>
        <v>0</v>
      </c>
      <c r="N51" s="276"/>
      <c r="O51" s="232"/>
    </row>
    <row r="52" ht="15.75" customHeight="1">
      <c r="A52" s="268"/>
      <c r="B52" s="320"/>
      <c r="C52" s="332"/>
      <c r="D52" s="333"/>
      <c r="E52" s="330"/>
      <c r="F52" s="331"/>
      <c r="G52" s="305"/>
      <c r="H52" s="306">
        <f t="shared" si="23"/>
        <v>0</v>
      </c>
      <c r="I52" s="307">
        <f t="shared" si="24"/>
        <v>0</v>
      </c>
      <c r="J52" s="308">
        <f t="shared" si="25"/>
        <v>0</v>
      </c>
      <c r="K52" s="309">
        <f t="shared" si="26"/>
        <v>0</v>
      </c>
      <c r="L52" s="308">
        <f t="shared" si="27"/>
        <v>0</v>
      </c>
      <c r="M52" s="309">
        <f t="shared" si="28"/>
        <v>0</v>
      </c>
      <c r="N52" s="276"/>
      <c r="O52" s="232"/>
    </row>
    <row r="53" ht="15.75" customHeight="1">
      <c r="A53" s="268"/>
      <c r="B53" s="320"/>
      <c r="C53" s="332"/>
      <c r="D53" s="333"/>
      <c r="E53" s="330"/>
      <c r="F53" s="331"/>
      <c r="G53" s="305"/>
      <c r="H53" s="306">
        <f t="shared" si="23"/>
        <v>0</v>
      </c>
      <c r="I53" s="307">
        <f t="shared" si="24"/>
        <v>0</v>
      </c>
      <c r="J53" s="308">
        <f t="shared" si="25"/>
        <v>0</v>
      </c>
      <c r="K53" s="309">
        <f t="shared" si="26"/>
        <v>0</v>
      </c>
      <c r="L53" s="308">
        <f t="shared" si="27"/>
        <v>0</v>
      </c>
      <c r="M53" s="309">
        <f t="shared" si="28"/>
        <v>0</v>
      </c>
      <c r="N53" s="276"/>
      <c r="O53" s="232"/>
    </row>
    <row r="54" ht="15.75" customHeight="1">
      <c r="A54" s="268"/>
      <c r="B54" s="320"/>
      <c r="C54" s="332"/>
      <c r="D54" s="333"/>
      <c r="E54" s="330"/>
      <c r="F54" s="331"/>
      <c r="G54" s="305"/>
      <c r="H54" s="306">
        <f t="shared" si="23"/>
        <v>0</v>
      </c>
      <c r="I54" s="307">
        <f t="shared" si="24"/>
        <v>0</v>
      </c>
      <c r="J54" s="308">
        <f t="shared" si="25"/>
        <v>0</v>
      </c>
      <c r="K54" s="309">
        <f t="shared" si="26"/>
        <v>0</v>
      </c>
      <c r="L54" s="308">
        <f t="shared" si="27"/>
        <v>0</v>
      </c>
      <c r="M54" s="309">
        <f t="shared" si="28"/>
        <v>0</v>
      </c>
      <c r="N54" s="276"/>
      <c r="O54" s="232"/>
    </row>
    <row r="55" ht="15.75" customHeight="1">
      <c r="A55" s="268"/>
      <c r="B55" s="320"/>
      <c r="C55" s="332"/>
      <c r="D55" s="333"/>
      <c r="E55" s="330"/>
      <c r="F55" s="331"/>
      <c r="G55" s="305"/>
      <c r="H55" s="306">
        <f t="shared" si="23"/>
        <v>0</v>
      </c>
      <c r="I55" s="307">
        <f t="shared" si="24"/>
        <v>0</v>
      </c>
      <c r="J55" s="308">
        <f t="shared" si="25"/>
        <v>0</v>
      </c>
      <c r="K55" s="309">
        <f t="shared" si="26"/>
        <v>0</v>
      </c>
      <c r="L55" s="308">
        <f t="shared" si="27"/>
        <v>0</v>
      </c>
      <c r="M55" s="309">
        <f t="shared" si="28"/>
        <v>0</v>
      </c>
      <c r="N55" s="276"/>
      <c r="O55" s="232"/>
    </row>
    <row r="56" ht="15.75" customHeight="1">
      <c r="A56" s="268"/>
      <c r="B56" s="320"/>
      <c r="C56" s="332"/>
      <c r="D56" s="333"/>
      <c r="E56" s="330"/>
      <c r="F56" s="331"/>
      <c r="G56" s="305"/>
      <c r="H56" s="306">
        <f t="shared" si="23"/>
        <v>0</v>
      </c>
      <c r="I56" s="307">
        <f t="shared" si="24"/>
        <v>0</v>
      </c>
      <c r="J56" s="308">
        <f t="shared" si="25"/>
        <v>0</v>
      </c>
      <c r="K56" s="309">
        <f t="shared" si="26"/>
        <v>0</v>
      </c>
      <c r="L56" s="308">
        <f t="shared" si="27"/>
        <v>0</v>
      </c>
      <c r="M56" s="309">
        <f t="shared" si="28"/>
        <v>0</v>
      </c>
      <c r="N56" s="276"/>
      <c r="O56" s="232"/>
    </row>
    <row r="57" ht="14.25" customHeight="1">
      <c r="A57" s="268"/>
      <c r="B57" s="320"/>
      <c r="C57" s="328"/>
      <c r="D57" s="329"/>
      <c r="E57" s="330"/>
      <c r="F57" s="331"/>
      <c r="G57" s="305"/>
      <c r="H57" s="306">
        <f t="shared" si="23"/>
        <v>0</v>
      </c>
      <c r="I57" s="307">
        <f t="shared" si="24"/>
        <v>0</v>
      </c>
      <c r="J57" s="308">
        <f t="shared" si="25"/>
        <v>0</v>
      </c>
      <c r="K57" s="309">
        <f t="shared" si="26"/>
        <v>0</v>
      </c>
      <c r="L57" s="308">
        <f t="shared" si="27"/>
        <v>0</v>
      </c>
      <c r="M57" s="309">
        <f t="shared" si="28"/>
        <v>0</v>
      </c>
      <c r="N57" s="276"/>
      <c r="O57" s="232"/>
    </row>
    <row r="58" ht="15.75" customHeight="1">
      <c r="A58" s="268"/>
      <c r="B58" s="320"/>
      <c r="C58" s="328"/>
      <c r="D58" s="329"/>
      <c r="E58" s="330"/>
      <c r="F58" s="331"/>
      <c r="G58" s="305"/>
      <c r="H58" s="306">
        <f t="shared" si="23"/>
        <v>0</v>
      </c>
      <c r="I58" s="307">
        <f t="shared" si="24"/>
        <v>0</v>
      </c>
      <c r="J58" s="308">
        <f t="shared" si="25"/>
        <v>0</v>
      </c>
      <c r="K58" s="309">
        <f t="shared" si="26"/>
        <v>0</v>
      </c>
      <c r="L58" s="308">
        <f t="shared" si="27"/>
        <v>0</v>
      </c>
      <c r="M58" s="309">
        <f t="shared" si="28"/>
        <v>0</v>
      </c>
      <c r="N58" s="276"/>
      <c r="O58" s="232"/>
    </row>
    <row r="59" ht="15.75" customHeight="1">
      <c r="A59" s="268"/>
      <c r="B59" s="320"/>
      <c r="C59" s="328"/>
      <c r="D59" s="329"/>
      <c r="E59" s="330"/>
      <c r="F59" s="331"/>
      <c r="G59" s="305"/>
      <c r="H59" s="306">
        <f t="shared" si="23"/>
        <v>0</v>
      </c>
      <c r="I59" s="307">
        <f t="shared" si="24"/>
        <v>0</v>
      </c>
      <c r="J59" s="308">
        <f t="shared" si="25"/>
        <v>0</v>
      </c>
      <c r="K59" s="309">
        <f t="shared" si="26"/>
        <v>0</v>
      </c>
      <c r="L59" s="308">
        <f t="shared" si="27"/>
        <v>0</v>
      </c>
      <c r="M59" s="309">
        <f t="shared" si="28"/>
        <v>0</v>
      </c>
      <c r="N59" s="276"/>
      <c r="O59" s="232"/>
    </row>
    <row r="60" ht="14.25" customHeight="1">
      <c r="A60" s="268"/>
      <c r="B60" s="320"/>
      <c r="C60" s="328"/>
      <c r="D60" s="329"/>
      <c r="E60" s="330"/>
      <c r="F60" s="331"/>
      <c r="G60" s="305"/>
      <c r="H60" s="306">
        <f t="shared" si="23"/>
        <v>0</v>
      </c>
      <c r="I60" s="307">
        <f t="shared" si="24"/>
        <v>0</v>
      </c>
      <c r="J60" s="308">
        <f t="shared" si="25"/>
        <v>0</v>
      </c>
      <c r="K60" s="309">
        <f t="shared" si="26"/>
        <v>0</v>
      </c>
      <c r="L60" s="308">
        <f t="shared" si="27"/>
        <v>0</v>
      </c>
      <c r="M60" s="309">
        <f t="shared" si="28"/>
        <v>0</v>
      </c>
      <c r="N60" s="276"/>
      <c r="O60" s="232"/>
    </row>
    <row r="61" ht="15.75" customHeight="1">
      <c r="A61" s="268"/>
      <c r="B61" s="320"/>
      <c r="C61" s="328"/>
      <c r="D61" s="329"/>
      <c r="E61" s="330"/>
      <c r="F61" s="331"/>
      <c r="G61" s="305"/>
      <c r="H61" s="306">
        <f t="shared" si="23"/>
        <v>0</v>
      </c>
      <c r="I61" s="307">
        <f t="shared" si="24"/>
        <v>0</v>
      </c>
      <c r="J61" s="308">
        <f t="shared" si="25"/>
        <v>0</v>
      </c>
      <c r="K61" s="309">
        <f t="shared" si="26"/>
        <v>0</v>
      </c>
      <c r="L61" s="308">
        <f t="shared" si="27"/>
        <v>0</v>
      </c>
      <c r="M61" s="309">
        <f t="shared" si="28"/>
        <v>0</v>
      </c>
      <c r="N61" s="276"/>
      <c r="O61" s="232"/>
    </row>
    <row r="62" ht="15.75" customHeight="1">
      <c r="A62" s="268"/>
      <c r="B62" s="320"/>
      <c r="C62" s="336"/>
      <c r="D62" s="329"/>
      <c r="E62" s="330"/>
      <c r="F62" s="331"/>
      <c r="G62" s="305"/>
      <c r="H62" s="306">
        <f t="shared" si="23"/>
        <v>0</v>
      </c>
      <c r="I62" s="307">
        <f t="shared" si="24"/>
        <v>0</v>
      </c>
      <c r="J62" s="308">
        <f t="shared" si="25"/>
        <v>0</v>
      </c>
      <c r="K62" s="309">
        <f t="shared" si="26"/>
        <v>0</v>
      </c>
      <c r="L62" s="308">
        <f t="shared" si="27"/>
        <v>0</v>
      </c>
      <c r="M62" s="309">
        <f t="shared" si="28"/>
        <v>0</v>
      </c>
      <c r="N62" s="276"/>
      <c r="O62" s="232"/>
    </row>
    <row r="63" ht="15.75" customHeight="1">
      <c r="A63" s="268"/>
      <c r="B63" s="320"/>
      <c r="C63" s="332"/>
      <c r="D63" s="333"/>
      <c r="E63" s="330"/>
      <c r="F63" s="331"/>
      <c r="G63" s="305"/>
      <c r="H63" s="306">
        <f t="shared" si="23"/>
        <v>0</v>
      </c>
      <c r="I63" s="307">
        <f t="shared" si="24"/>
        <v>0</v>
      </c>
      <c r="J63" s="308">
        <f t="shared" si="25"/>
        <v>0</v>
      </c>
      <c r="K63" s="309">
        <f t="shared" si="26"/>
        <v>0</v>
      </c>
      <c r="L63" s="308">
        <f t="shared" si="27"/>
        <v>0</v>
      </c>
      <c r="M63" s="309">
        <f t="shared" si="28"/>
        <v>0</v>
      </c>
      <c r="N63" s="276"/>
      <c r="O63" s="232"/>
    </row>
    <row r="64" ht="15.75" customHeight="1">
      <c r="A64" s="268"/>
      <c r="B64" s="320"/>
      <c r="C64" s="332"/>
      <c r="D64" s="333"/>
      <c r="E64" s="330"/>
      <c r="F64" s="331"/>
      <c r="G64" s="305"/>
      <c r="H64" s="306">
        <f t="shared" si="23"/>
        <v>0</v>
      </c>
      <c r="I64" s="307">
        <f t="shared" si="24"/>
        <v>0</v>
      </c>
      <c r="J64" s="308">
        <f t="shared" si="25"/>
        <v>0</v>
      </c>
      <c r="K64" s="309">
        <f t="shared" si="26"/>
        <v>0</v>
      </c>
      <c r="L64" s="308">
        <f t="shared" si="27"/>
        <v>0</v>
      </c>
      <c r="M64" s="309">
        <f t="shared" si="28"/>
        <v>0</v>
      </c>
      <c r="N64" s="276"/>
      <c r="O64" s="232"/>
    </row>
    <row r="65" ht="15.75" customHeight="1">
      <c r="A65" s="268"/>
      <c r="B65" s="320"/>
      <c r="C65" s="332"/>
      <c r="D65" s="333"/>
      <c r="E65" s="330"/>
      <c r="F65" s="331"/>
      <c r="G65" s="305"/>
      <c r="H65" s="306">
        <f t="shared" si="23"/>
        <v>0</v>
      </c>
      <c r="I65" s="307">
        <f t="shared" si="24"/>
        <v>0</v>
      </c>
      <c r="J65" s="308">
        <f t="shared" si="25"/>
        <v>0</v>
      </c>
      <c r="K65" s="309">
        <f t="shared" si="26"/>
        <v>0</v>
      </c>
      <c r="L65" s="308">
        <f t="shared" si="27"/>
        <v>0</v>
      </c>
      <c r="M65" s="309">
        <f t="shared" si="28"/>
        <v>0</v>
      </c>
      <c r="N65" s="276"/>
      <c r="O65" s="232"/>
    </row>
    <row r="66" ht="15.75" customHeight="1">
      <c r="A66" s="268"/>
      <c r="B66" s="320"/>
      <c r="C66" s="332"/>
      <c r="D66" s="333"/>
      <c r="E66" s="330"/>
      <c r="F66" s="331"/>
      <c r="G66" s="305"/>
      <c r="H66" s="306">
        <f t="shared" si="23"/>
        <v>0</v>
      </c>
      <c r="I66" s="307">
        <f t="shared" si="24"/>
        <v>0</v>
      </c>
      <c r="J66" s="308">
        <f t="shared" si="25"/>
        <v>0</v>
      </c>
      <c r="K66" s="309">
        <f t="shared" si="26"/>
        <v>0</v>
      </c>
      <c r="L66" s="308">
        <f t="shared" si="27"/>
        <v>0</v>
      </c>
      <c r="M66" s="309">
        <f t="shared" si="28"/>
        <v>0</v>
      </c>
      <c r="N66" s="276"/>
      <c r="O66" s="232"/>
    </row>
    <row r="67" ht="15.75" customHeight="1">
      <c r="A67" s="268"/>
      <c r="B67" s="320"/>
      <c r="C67" s="332"/>
      <c r="D67" s="333"/>
      <c r="E67" s="330"/>
      <c r="F67" s="331"/>
      <c r="G67" s="305"/>
      <c r="H67" s="306">
        <f t="shared" si="23"/>
        <v>0</v>
      </c>
      <c r="I67" s="307">
        <f t="shared" si="24"/>
        <v>0</v>
      </c>
      <c r="J67" s="308">
        <f t="shared" si="25"/>
        <v>0</v>
      </c>
      <c r="K67" s="309">
        <f t="shared" si="26"/>
        <v>0</v>
      </c>
      <c r="L67" s="308">
        <f t="shared" si="27"/>
        <v>0</v>
      </c>
      <c r="M67" s="309">
        <f t="shared" si="28"/>
        <v>0</v>
      </c>
      <c r="N67" s="276"/>
      <c r="O67" s="232"/>
    </row>
    <row r="68" ht="15.75" customHeight="1">
      <c r="A68" s="268"/>
      <c r="B68" s="320"/>
      <c r="C68" s="332"/>
      <c r="D68" s="333"/>
      <c r="E68" s="330"/>
      <c r="F68" s="331"/>
      <c r="G68" s="305"/>
      <c r="H68" s="306">
        <f t="shared" si="23"/>
        <v>0</v>
      </c>
      <c r="I68" s="307">
        <f t="shared" si="24"/>
        <v>0</v>
      </c>
      <c r="J68" s="308">
        <f t="shared" si="25"/>
        <v>0</v>
      </c>
      <c r="K68" s="309">
        <f t="shared" si="26"/>
        <v>0</v>
      </c>
      <c r="L68" s="308">
        <f t="shared" si="27"/>
        <v>0</v>
      </c>
      <c r="M68" s="309">
        <f t="shared" si="28"/>
        <v>0</v>
      </c>
      <c r="N68" s="276"/>
      <c r="O68" s="232"/>
    </row>
    <row r="69" ht="15.75" customHeight="1">
      <c r="A69" s="268"/>
      <c r="B69" s="320"/>
      <c r="C69" s="332"/>
      <c r="D69" s="333"/>
      <c r="E69" s="330"/>
      <c r="F69" s="331"/>
      <c r="G69" s="305"/>
      <c r="H69" s="306">
        <f t="shared" si="23"/>
        <v>0</v>
      </c>
      <c r="I69" s="307">
        <f t="shared" si="24"/>
        <v>0</v>
      </c>
      <c r="J69" s="308">
        <f t="shared" si="25"/>
        <v>0</v>
      </c>
      <c r="K69" s="309">
        <f t="shared" si="26"/>
        <v>0</v>
      </c>
      <c r="L69" s="308">
        <f t="shared" si="27"/>
        <v>0</v>
      </c>
      <c r="M69" s="309">
        <f t="shared" si="28"/>
        <v>0</v>
      </c>
      <c r="N69" s="276"/>
      <c r="O69" s="232"/>
      <c r="Q69" s="337"/>
      <c r="R69" s="337"/>
      <c r="S69" s="337"/>
      <c r="T69" s="337"/>
      <c r="U69" s="337"/>
      <c r="V69" s="337"/>
      <c r="W69" s="337"/>
      <c r="X69" s="337"/>
      <c r="Y69" s="337"/>
      <c r="Z69" s="337"/>
    </row>
    <row r="70" ht="15.75" customHeight="1">
      <c r="A70" s="268"/>
      <c r="B70" s="320"/>
      <c r="C70" s="332"/>
      <c r="D70" s="333"/>
      <c r="E70" s="330"/>
      <c r="F70" s="331"/>
      <c r="G70" s="305"/>
      <c r="H70" s="306">
        <f t="shared" si="23"/>
        <v>0</v>
      </c>
      <c r="I70" s="307">
        <f t="shared" si="24"/>
        <v>0</v>
      </c>
      <c r="J70" s="308">
        <f t="shared" si="25"/>
        <v>0</v>
      </c>
      <c r="K70" s="309">
        <f t="shared" si="26"/>
        <v>0</v>
      </c>
      <c r="L70" s="308">
        <f t="shared" si="27"/>
        <v>0</v>
      </c>
      <c r="M70" s="309">
        <f t="shared" si="28"/>
        <v>0</v>
      </c>
      <c r="N70" s="276"/>
      <c r="O70" s="232"/>
    </row>
    <row r="71" ht="15.75" customHeight="1">
      <c r="A71" s="268"/>
      <c r="B71" s="320"/>
      <c r="C71" s="332"/>
      <c r="D71" s="333"/>
      <c r="E71" s="330"/>
      <c r="F71" s="331"/>
      <c r="G71" s="305"/>
      <c r="H71" s="306">
        <f t="shared" si="23"/>
        <v>0</v>
      </c>
      <c r="I71" s="307">
        <f t="shared" si="24"/>
        <v>0</v>
      </c>
      <c r="J71" s="308">
        <f t="shared" si="25"/>
        <v>0</v>
      </c>
      <c r="K71" s="309">
        <f t="shared" si="26"/>
        <v>0</v>
      </c>
      <c r="L71" s="308">
        <f t="shared" si="27"/>
        <v>0</v>
      </c>
      <c r="M71" s="309">
        <f t="shared" si="28"/>
        <v>0</v>
      </c>
      <c r="N71" s="276"/>
      <c r="O71" s="232"/>
      <c r="Q71" s="337"/>
      <c r="R71" s="337"/>
      <c r="S71" s="337"/>
      <c r="T71" s="337"/>
      <c r="U71" s="337"/>
      <c r="V71" s="337"/>
      <c r="W71" s="337"/>
      <c r="X71" s="337"/>
      <c r="Y71" s="337"/>
      <c r="Z71" s="337"/>
    </row>
    <row r="72" ht="15.75" customHeight="1">
      <c r="A72" s="268"/>
      <c r="B72" s="320"/>
      <c r="C72" s="332"/>
      <c r="D72" s="333"/>
      <c r="E72" s="330"/>
      <c r="F72" s="331"/>
      <c r="G72" s="305"/>
      <c r="H72" s="306">
        <f t="shared" si="23"/>
        <v>0</v>
      </c>
      <c r="I72" s="307">
        <f t="shared" si="24"/>
        <v>0</v>
      </c>
      <c r="J72" s="308">
        <f t="shared" si="25"/>
        <v>0</v>
      </c>
      <c r="K72" s="309">
        <f t="shared" si="26"/>
        <v>0</v>
      </c>
      <c r="L72" s="308">
        <f t="shared" si="27"/>
        <v>0</v>
      </c>
      <c r="M72" s="309">
        <f t="shared" si="28"/>
        <v>0</v>
      </c>
      <c r="N72" s="276"/>
      <c r="O72" s="232"/>
    </row>
    <row r="73" ht="15.75" customHeight="1">
      <c r="A73" s="268"/>
      <c r="B73" s="320"/>
      <c r="C73" s="332"/>
      <c r="D73" s="333"/>
      <c r="E73" s="330"/>
      <c r="F73" s="331"/>
      <c r="G73" s="305"/>
      <c r="H73" s="306">
        <f t="shared" si="23"/>
        <v>0</v>
      </c>
      <c r="I73" s="307">
        <f t="shared" si="24"/>
        <v>0</v>
      </c>
      <c r="J73" s="308">
        <f t="shared" si="25"/>
        <v>0</v>
      </c>
      <c r="K73" s="309">
        <f t="shared" si="26"/>
        <v>0</v>
      </c>
      <c r="L73" s="308">
        <f t="shared" si="27"/>
        <v>0</v>
      </c>
      <c r="M73" s="309">
        <f t="shared" si="28"/>
        <v>0</v>
      </c>
      <c r="N73" s="276"/>
      <c r="O73" s="232"/>
    </row>
    <row r="74" ht="15.75" customHeight="1">
      <c r="A74" s="268"/>
      <c r="B74" s="320"/>
      <c r="C74" s="332"/>
      <c r="D74" s="333"/>
      <c r="E74" s="330"/>
      <c r="F74" s="331"/>
      <c r="G74" s="305"/>
      <c r="H74" s="306">
        <f t="shared" si="23"/>
        <v>0</v>
      </c>
      <c r="I74" s="307">
        <f t="shared" si="24"/>
        <v>0</v>
      </c>
      <c r="J74" s="308">
        <f t="shared" si="25"/>
        <v>0</v>
      </c>
      <c r="K74" s="309">
        <f t="shared" si="26"/>
        <v>0</v>
      </c>
      <c r="L74" s="308">
        <f t="shared" si="27"/>
        <v>0</v>
      </c>
      <c r="M74" s="309">
        <f t="shared" si="28"/>
        <v>0</v>
      </c>
      <c r="N74" s="276"/>
      <c r="O74" s="232"/>
    </row>
    <row r="75" ht="15.75" customHeight="1">
      <c r="A75" s="268"/>
      <c r="B75" s="320"/>
      <c r="C75" s="332"/>
      <c r="D75" s="333"/>
      <c r="E75" s="330"/>
      <c r="F75" s="331"/>
      <c r="G75" s="305"/>
      <c r="H75" s="306">
        <f t="shared" si="23"/>
        <v>0</v>
      </c>
      <c r="I75" s="307">
        <f t="shared" si="24"/>
        <v>0</v>
      </c>
      <c r="J75" s="308">
        <f t="shared" si="25"/>
        <v>0</v>
      </c>
      <c r="K75" s="309">
        <f t="shared" si="26"/>
        <v>0</v>
      </c>
      <c r="L75" s="308">
        <f t="shared" si="27"/>
        <v>0</v>
      </c>
      <c r="M75" s="309">
        <f t="shared" si="28"/>
        <v>0</v>
      </c>
      <c r="N75" s="276"/>
      <c r="O75" s="232"/>
    </row>
    <row r="76" ht="15.75" customHeight="1">
      <c r="A76" s="268"/>
      <c r="B76" s="320"/>
      <c r="C76" s="328"/>
      <c r="D76" s="329"/>
      <c r="E76" s="330"/>
      <c r="F76" s="331"/>
      <c r="G76" s="305"/>
      <c r="H76" s="306">
        <f t="shared" si="23"/>
        <v>0</v>
      </c>
      <c r="I76" s="307">
        <f t="shared" si="24"/>
        <v>0</v>
      </c>
      <c r="J76" s="308">
        <f t="shared" si="25"/>
        <v>0</v>
      </c>
      <c r="K76" s="309">
        <f t="shared" si="26"/>
        <v>0</v>
      </c>
      <c r="L76" s="308">
        <f t="shared" si="27"/>
        <v>0</v>
      </c>
      <c r="M76" s="309">
        <f t="shared" si="28"/>
        <v>0</v>
      </c>
      <c r="N76" s="276"/>
      <c r="O76" s="232"/>
    </row>
    <row r="77" ht="15.75" customHeight="1">
      <c r="A77" s="268"/>
      <c r="B77" s="320"/>
      <c r="C77" s="328"/>
      <c r="D77" s="329"/>
      <c r="E77" s="330"/>
      <c r="F77" s="335"/>
      <c r="G77" s="305"/>
      <c r="H77" s="272"/>
      <c r="I77" s="273"/>
      <c r="J77" s="274"/>
      <c r="K77" s="275"/>
      <c r="L77" s="274"/>
      <c r="M77" s="275"/>
      <c r="N77" s="276"/>
      <c r="O77" s="232"/>
    </row>
    <row r="78" ht="15.75" customHeight="1">
      <c r="A78" s="268"/>
      <c r="B78" s="320"/>
      <c r="C78" s="328"/>
      <c r="D78" s="329"/>
      <c r="E78" s="330"/>
      <c r="F78" s="331"/>
      <c r="G78" s="305"/>
      <c r="H78" s="306">
        <f t="shared" ref="H78:H80" si="29">F78*0.5+F78</f>
        <v>0</v>
      </c>
      <c r="I78" s="307">
        <f t="shared" ref="I78:I80" si="30">F78*0.3+F78</f>
        <v>0</v>
      </c>
      <c r="J78" s="308">
        <f t="shared" ref="J78:J80" si="31">F78*0.3+F78</f>
        <v>0</v>
      </c>
      <c r="K78" s="309">
        <f t="shared" ref="K78:K80" si="32">F78*0.2+F78</f>
        <v>0</v>
      </c>
      <c r="L78" s="308">
        <f t="shared" ref="L78:L80" si="33">F78*0.15+F78</f>
        <v>0</v>
      </c>
      <c r="M78" s="309">
        <f t="shared" ref="M78:M80" si="34">F78*0.1+F78</f>
        <v>0</v>
      </c>
      <c r="N78" s="276"/>
      <c r="O78" s="232"/>
    </row>
    <row r="79" ht="15.75" customHeight="1">
      <c r="A79" s="268"/>
      <c r="B79" s="320"/>
      <c r="C79" s="328"/>
      <c r="D79" s="329"/>
      <c r="E79" s="330"/>
      <c r="F79" s="331"/>
      <c r="G79" s="305"/>
      <c r="H79" s="306">
        <f t="shared" si="29"/>
        <v>0</v>
      </c>
      <c r="I79" s="307">
        <f t="shared" si="30"/>
        <v>0</v>
      </c>
      <c r="J79" s="308">
        <f t="shared" si="31"/>
        <v>0</v>
      </c>
      <c r="K79" s="309">
        <f t="shared" si="32"/>
        <v>0</v>
      </c>
      <c r="L79" s="308">
        <f t="shared" si="33"/>
        <v>0</v>
      </c>
      <c r="M79" s="309">
        <f t="shared" si="34"/>
        <v>0</v>
      </c>
      <c r="N79" s="276"/>
      <c r="O79" s="232"/>
    </row>
    <row r="80" ht="15.75" customHeight="1">
      <c r="A80" s="268"/>
      <c r="B80" s="320"/>
      <c r="C80" s="332"/>
      <c r="D80" s="333"/>
      <c r="E80" s="330"/>
      <c r="F80" s="331"/>
      <c r="G80" s="305"/>
      <c r="H80" s="306">
        <f t="shared" si="29"/>
        <v>0</v>
      </c>
      <c r="I80" s="307">
        <f t="shared" si="30"/>
        <v>0</v>
      </c>
      <c r="J80" s="308">
        <f t="shared" si="31"/>
        <v>0</v>
      </c>
      <c r="K80" s="309">
        <f t="shared" si="32"/>
        <v>0</v>
      </c>
      <c r="L80" s="308">
        <f t="shared" si="33"/>
        <v>0</v>
      </c>
      <c r="M80" s="309">
        <f t="shared" si="34"/>
        <v>0</v>
      </c>
      <c r="N80" s="276"/>
      <c r="O80" s="232"/>
    </row>
    <row r="81" ht="15.75" customHeight="1">
      <c r="A81" s="268"/>
      <c r="B81" s="320"/>
      <c r="C81" s="328"/>
      <c r="D81" s="329"/>
      <c r="E81" s="330"/>
      <c r="F81" s="335"/>
      <c r="G81" s="305"/>
      <c r="H81" s="272"/>
      <c r="I81" s="273"/>
      <c r="J81" s="274"/>
      <c r="K81" s="275"/>
      <c r="L81" s="274"/>
      <c r="M81" s="275"/>
      <c r="N81" s="276"/>
      <c r="O81" s="232"/>
    </row>
    <row r="82" ht="15.75" customHeight="1">
      <c r="A82" s="268"/>
      <c r="B82" s="320"/>
      <c r="C82" s="328"/>
      <c r="D82" s="329"/>
      <c r="E82" s="330"/>
      <c r="F82" s="331"/>
      <c r="G82" s="305"/>
      <c r="H82" s="306">
        <f t="shared" ref="H82:H106" si="35">F82*0.5+F82</f>
        <v>0</v>
      </c>
      <c r="I82" s="307">
        <f t="shared" ref="I82:I106" si="36">F82*0.3+F82</f>
        <v>0</v>
      </c>
      <c r="J82" s="308">
        <f t="shared" ref="J82:J106" si="37">F82*0.3+F82</f>
        <v>0</v>
      </c>
      <c r="K82" s="309">
        <f t="shared" ref="K82:K106" si="38">F82*0.2+F82</f>
        <v>0</v>
      </c>
      <c r="L82" s="308">
        <f t="shared" ref="L82:L106" si="39">F82*0.15+F82</f>
        <v>0</v>
      </c>
      <c r="M82" s="309">
        <f t="shared" ref="M82:M106" si="40">F82*0.1+F82</f>
        <v>0</v>
      </c>
      <c r="N82" s="276"/>
      <c r="O82" s="232"/>
    </row>
    <row r="83" ht="15.75" customHeight="1">
      <c r="A83" s="268"/>
      <c r="B83" s="320"/>
      <c r="C83" s="328"/>
      <c r="D83" s="329"/>
      <c r="E83" s="330"/>
      <c r="F83" s="331"/>
      <c r="G83" s="305"/>
      <c r="H83" s="306">
        <f t="shared" si="35"/>
        <v>0</v>
      </c>
      <c r="I83" s="307">
        <f t="shared" si="36"/>
        <v>0</v>
      </c>
      <c r="J83" s="308">
        <f t="shared" si="37"/>
        <v>0</v>
      </c>
      <c r="K83" s="309">
        <f t="shared" si="38"/>
        <v>0</v>
      </c>
      <c r="L83" s="308">
        <f t="shared" si="39"/>
        <v>0</v>
      </c>
      <c r="M83" s="309">
        <f t="shared" si="40"/>
        <v>0</v>
      </c>
      <c r="N83" s="276"/>
      <c r="O83" s="232"/>
    </row>
    <row r="84" ht="15.75" customHeight="1">
      <c r="A84" s="268"/>
      <c r="B84" s="320"/>
      <c r="C84" s="332"/>
      <c r="D84" s="333"/>
      <c r="E84" s="330"/>
      <c r="F84" s="331"/>
      <c r="G84" s="305"/>
      <c r="H84" s="306">
        <f t="shared" si="35"/>
        <v>0</v>
      </c>
      <c r="I84" s="307">
        <f t="shared" si="36"/>
        <v>0</v>
      </c>
      <c r="J84" s="308">
        <f t="shared" si="37"/>
        <v>0</v>
      </c>
      <c r="K84" s="309">
        <f t="shared" si="38"/>
        <v>0</v>
      </c>
      <c r="L84" s="308">
        <f t="shared" si="39"/>
        <v>0</v>
      </c>
      <c r="M84" s="309">
        <f t="shared" si="40"/>
        <v>0</v>
      </c>
      <c r="N84" s="276"/>
      <c r="O84" s="232"/>
    </row>
    <row r="85" ht="15.75" customHeight="1">
      <c r="A85" s="268"/>
      <c r="B85" s="320"/>
      <c r="C85" s="332"/>
      <c r="D85" s="333"/>
      <c r="E85" s="330"/>
      <c r="F85" s="331"/>
      <c r="G85" s="305"/>
      <c r="H85" s="306">
        <f t="shared" si="35"/>
        <v>0</v>
      </c>
      <c r="I85" s="307">
        <f t="shared" si="36"/>
        <v>0</v>
      </c>
      <c r="J85" s="308">
        <f t="shared" si="37"/>
        <v>0</v>
      </c>
      <c r="K85" s="309">
        <f t="shared" si="38"/>
        <v>0</v>
      </c>
      <c r="L85" s="308">
        <f t="shared" si="39"/>
        <v>0</v>
      </c>
      <c r="M85" s="309">
        <f t="shared" si="40"/>
        <v>0</v>
      </c>
      <c r="N85" s="276"/>
      <c r="O85" s="232"/>
    </row>
    <row r="86" ht="15.75" customHeight="1">
      <c r="A86" s="268"/>
      <c r="B86" s="320"/>
      <c r="C86" s="332"/>
      <c r="D86" s="333"/>
      <c r="E86" s="330"/>
      <c r="F86" s="331"/>
      <c r="G86" s="305"/>
      <c r="H86" s="306">
        <f t="shared" si="35"/>
        <v>0</v>
      </c>
      <c r="I86" s="307">
        <f t="shared" si="36"/>
        <v>0</v>
      </c>
      <c r="J86" s="308">
        <f t="shared" si="37"/>
        <v>0</v>
      </c>
      <c r="K86" s="309">
        <f t="shared" si="38"/>
        <v>0</v>
      </c>
      <c r="L86" s="308">
        <f t="shared" si="39"/>
        <v>0</v>
      </c>
      <c r="M86" s="309">
        <f t="shared" si="40"/>
        <v>0</v>
      </c>
      <c r="N86" s="276"/>
      <c r="O86" s="225"/>
      <c r="P86" s="337"/>
      <c r="Q86" s="337"/>
      <c r="R86" s="337"/>
      <c r="S86" s="337"/>
      <c r="T86" s="337"/>
      <c r="U86" s="337"/>
      <c r="V86" s="337"/>
      <c r="W86" s="337"/>
      <c r="X86" s="337"/>
      <c r="Y86" s="337"/>
      <c r="Z86" s="337"/>
    </row>
    <row r="87" ht="15.75" customHeight="1">
      <c r="A87" s="268"/>
      <c r="B87" s="320"/>
      <c r="C87" s="332"/>
      <c r="D87" s="338"/>
      <c r="E87" s="330"/>
      <c r="F87" s="331"/>
      <c r="G87" s="305"/>
      <c r="H87" s="306">
        <f t="shared" si="35"/>
        <v>0</v>
      </c>
      <c r="I87" s="307">
        <f t="shared" si="36"/>
        <v>0</v>
      </c>
      <c r="J87" s="308">
        <f t="shared" si="37"/>
        <v>0</v>
      </c>
      <c r="K87" s="309">
        <f t="shared" si="38"/>
        <v>0</v>
      </c>
      <c r="L87" s="308">
        <f t="shared" si="39"/>
        <v>0</v>
      </c>
      <c r="M87" s="309">
        <f t="shared" si="40"/>
        <v>0</v>
      </c>
      <c r="N87" s="276"/>
      <c r="O87" s="225"/>
    </row>
    <row r="88" ht="15.75" customHeight="1">
      <c r="A88" s="268"/>
      <c r="B88" s="320"/>
      <c r="C88" s="332"/>
      <c r="D88" s="338"/>
      <c r="E88" s="330"/>
      <c r="F88" s="331"/>
      <c r="G88" s="305"/>
      <c r="H88" s="306">
        <f t="shared" si="35"/>
        <v>0</v>
      </c>
      <c r="I88" s="307">
        <f t="shared" si="36"/>
        <v>0</v>
      </c>
      <c r="J88" s="308">
        <f t="shared" si="37"/>
        <v>0</v>
      </c>
      <c r="K88" s="309">
        <f t="shared" si="38"/>
        <v>0</v>
      </c>
      <c r="L88" s="308">
        <f t="shared" si="39"/>
        <v>0</v>
      </c>
      <c r="M88" s="309">
        <f t="shared" si="40"/>
        <v>0</v>
      </c>
      <c r="N88" s="276"/>
      <c r="O88" s="225"/>
    </row>
    <row r="89" ht="15.75" customHeight="1">
      <c r="A89" s="268"/>
      <c r="B89" s="320"/>
      <c r="C89" s="328"/>
      <c r="D89" s="339"/>
      <c r="E89" s="330"/>
      <c r="F89" s="331"/>
      <c r="G89" s="305"/>
      <c r="H89" s="306">
        <f t="shared" si="35"/>
        <v>0</v>
      </c>
      <c r="I89" s="307">
        <f t="shared" si="36"/>
        <v>0</v>
      </c>
      <c r="J89" s="308">
        <f t="shared" si="37"/>
        <v>0</v>
      </c>
      <c r="K89" s="309">
        <f t="shared" si="38"/>
        <v>0</v>
      </c>
      <c r="L89" s="308">
        <f t="shared" si="39"/>
        <v>0</v>
      </c>
      <c r="M89" s="309">
        <f t="shared" si="40"/>
        <v>0</v>
      </c>
      <c r="N89" s="276"/>
      <c r="O89" s="232"/>
    </row>
    <row r="90" ht="15.75" customHeight="1">
      <c r="A90" s="268"/>
      <c r="B90" s="320"/>
      <c r="C90" s="328"/>
      <c r="D90" s="339"/>
      <c r="E90" s="330"/>
      <c r="F90" s="331"/>
      <c r="G90" s="305"/>
      <c r="H90" s="306">
        <f t="shared" si="35"/>
        <v>0</v>
      </c>
      <c r="I90" s="307">
        <f t="shared" si="36"/>
        <v>0</v>
      </c>
      <c r="J90" s="308">
        <f t="shared" si="37"/>
        <v>0</v>
      </c>
      <c r="K90" s="309">
        <f t="shared" si="38"/>
        <v>0</v>
      </c>
      <c r="L90" s="308">
        <f t="shared" si="39"/>
        <v>0</v>
      </c>
      <c r="M90" s="309">
        <f t="shared" si="40"/>
        <v>0</v>
      </c>
      <c r="N90" s="276"/>
      <c r="O90" s="225"/>
    </row>
    <row r="91" ht="15.75" customHeight="1">
      <c r="A91" s="268"/>
      <c r="B91" s="320"/>
      <c r="C91" s="332"/>
      <c r="D91" s="333"/>
      <c r="E91" s="330"/>
      <c r="F91" s="331"/>
      <c r="G91" s="305"/>
      <c r="H91" s="306">
        <f t="shared" si="35"/>
        <v>0</v>
      </c>
      <c r="I91" s="307">
        <f t="shared" si="36"/>
        <v>0</v>
      </c>
      <c r="J91" s="308">
        <f t="shared" si="37"/>
        <v>0</v>
      </c>
      <c r="K91" s="309">
        <f t="shared" si="38"/>
        <v>0</v>
      </c>
      <c r="L91" s="308">
        <f t="shared" si="39"/>
        <v>0</v>
      </c>
      <c r="M91" s="309">
        <f t="shared" si="40"/>
        <v>0</v>
      </c>
      <c r="N91" s="276"/>
      <c r="O91" s="232"/>
    </row>
    <row r="92" ht="15.75" customHeight="1">
      <c r="A92" s="268"/>
      <c r="B92" s="320"/>
      <c r="C92" s="332"/>
      <c r="D92" s="333"/>
      <c r="E92" s="330"/>
      <c r="F92" s="331"/>
      <c r="G92" s="305"/>
      <c r="H92" s="306">
        <f t="shared" si="35"/>
        <v>0</v>
      </c>
      <c r="I92" s="307">
        <f t="shared" si="36"/>
        <v>0</v>
      </c>
      <c r="J92" s="308">
        <f t="shared" si="37"/>
        <v>0</v>
      </c>
      <c r="K92" s="309">
        <f t="shared" si="38"/>
        <v>0</v>
      </c>
      <c r="L92" s="308">
        <f t="shared" si="39"/>
        <v>0</v>
      </c>
      <c r="M92" s="309">
        <f t="shared" si="40"/>
        <v>0</v>
      </c>
      <c r="N92" s="276"/>
      <c r="O92" s="225"/>
    </row>
    <row r="93" ht="15.75" customHeight="1">
      <c r="A93" s="268"/>
      <c r="B93" s="320"/>
      <c r="C93" s="332"/>
      <c r="D93" s="333"/>
      <c r="E93" s="330"/>
      <c r="F93" s="331"/>
      <c r="G93" s="305"/>
      <c r="H93" s="306">
        <f t="shared" si="35"/>
        <v>0</v>
      </c>
      <c r="I93" s="307">
        <f t="shared" si="36"/>
        <v>0</v>
      </c>
      <c r="J93" s="308">
        <f t="shared" si="37"/>
        <v>0</v>
      </c>
      <c r="K93" s="309">
        <f t="shared" si="38"/>
        <v>0</v>
      </c>
      <c r="L93" s="308">
        <f t="shared" si="39"/>
        <v>0</v>
      </c>
      <c r="M93" s="309">
        <f t="shared" si="40"/>
        <v>0</v>
      </c>
      <c r="N93" s="276"/>
      <c r="O93" s="225"/>
    </row>
    <row r="94" ht="15.75" customHeight="1">
      <c r="A94" s="268"/>
      <c r="B94" s="320"/>
      <c r="C94" s="328"/>
      <c r="D94" s="329"/>
      <c r="E94" s="330"/>
      <c r="F94" s="331"/>
      <c r="G94" s="305"/>
      <c r="H94" s="306">
        <f t="shared" si="35"/>
        <v>0</v>
      </c>
      <c r="I94" s="307">
        <f t="shared" si="36"/>
        <v>0</v>
      </c>
      <c r="J94" s="308">
        <f t="shared" si="37"/>
        <v>0</v>
      </c>
      <c r="K94" s="309">
        <f t="shared" si="38"/>
        <v>0</v>
      </c>
      <c r="L94" s="308">
        <f t="shared" si="39"/>
        <v>0</v>
      </c>
      <c r="M94" s="309">
        <f t="shared" si="40"/>
        <v>0</v>
      </c>
      <c r="N94" s="276"/>
      <c r="O94" s="225"/>
    </row>
    <row r="95" ht="15.75" customHeight="1">
      <c r="A95" s="268"/>
      <c r="B95" s="320"/>
      <c r="C95" s="328"/>
      <c r="D95" s="329"/>
      <c r="E95" s="330"/>
      <c r="F95" s="331"/>
      <c r="G95" s="305"/>
      <c r="H95" s="306">
        <f t="shared" si="35"/>
        <v>0</v>
      </c>
      <c r="I95" s="307">
        <f t="shared" si="36"/>
        <v>0</v>
      </c>
      <c r="J95" s="308">
        <f t="shared" si="37"/>
        <v>0</v>
      </c>
      <c r="K95" s="309">
        <f t="shared" si="38"/>
        <v>0</v>
      </c>
      <c r="L95" s="308">
        <f t="shared" si="39"/>
        <v>0</v>
      </c>
      <c r="M95" s="309">
        <f t="shared" si="40"/>
        <v>0</v>
      </c>
      <c r="N95" s="276"/>
      <c r="O95" s="232"/>
    </row>
    <row r="96" ht="15.75" customHeight="1">
      <c r="A96" s="268"/>
      <c r="B96" s="320"/>
      <c r="C96" s="332"/>
      <c r="D96" s="333"/>
      <c r="E96" s="330"/>
      <c r="F96" s="331"/>
      <c r="G96" s="305"/>
      <c r="H96" s="306">
        <f t="shared" si="35"/>
        <v>0</v>
      </c>
      <c r="I96" s="307">
        <f t="shared" si="36"/>
        <v>0</v>
      </c>
      <c r="J96" s="308">
        <f t="shared" si="37"/>
        <v>0</v>
      </c>
      <c r="K96" s="309">
        <f t="shared" si="38"/>
        <v>0</v>
      </c>
      <c r="L96" s="308">
        <f t="shared" si="39"/>
        <v>0</v>
      </c>
      <c r="M96" s="309">
        <f t="shared" si="40"/>
        <v>0</v>
      </c>
      <c r="N96" s="276"/>
      <c r="O96" s="232"/>
    </row>
    <row r="97" ht="15.75" customHeight="1">
      <c r="A97" s="268"/>
      <c r="B97" s="320"/>
      <c r="C97" s="332"/>
      <c r="D97" s="333"/>
      <c r="E97" s="330"/>
      <c r="F97" s="331"/>
      <c r="G97" s="305"/>
      <c r="H97" s="306">
        <f t="shared" si="35"/>
        <v>0</v>
      </c>
      <c r="I97" s="307">
        <f t="shared" si="36"/>
        <v>0</v>
      </c>
      <c r="J97" s="308">
        <f t="shared" si="37"/>
        <v>0</v>
      </c>
      <c r="K97" s="309">
        <f t="shared" si="38"/>
        <v>0</v>
      </c>
      <c r="L97" s="308">
        <f t="shared" si="39"/>
        <v>0</v>
      </c>
      <c r="M97" s="309">
        <f t="shared" si="40"/>
        <v>0</v>
      </c>
      <c r="N97" s="276"/>
      <c r="O97" s="232"/>
    </row>
    <row r="98" ht="15.75" customHeight="1">
      <c r="A98" s="268"/>
      <c r="B98" s="320"/>
      <c r="C98" s="328"/>
      <c r="D98" s="329"/>
      <c r="E98" s="330"/>
      <c r="F98" s="331"/>
      <c r="G98" s="305"/>
      <c r="H98" s="306">
        <f t="shared" si="35"/>
        <v>0</v>
      </c>
      <c r="I98" s="307">
        <f t="shared" si="36"/>
        <v>0</v>
      </c>
      <c r="J98" s="308">
        <f t="shared" si="37"/>
        <v>0</v>
      </c>
      <c r="K98" s="309">
        <f t="shared" si="38"/>
        <v>0</v>
      </c>
      <c r="L98" s="308">
        <f t="shared" si="39"/>
        <v>0</v>
      </c>
      <c r="M98" s="309">
        <f t="shared" si="40"/>
        <v>0</v>
      </c>
      <c r="N98" s="276"/>
      <c r="O98" s="232"/>
    </row>
    <row r="99" ht="15.75" customHeight="1">
      <c r="A99" s="268"/>
      <c r="B99" s="320"/>
      <c r="C99" s="328"/>
      <c r="D99" s="329"/>
      <c r="E99" s="330"/>
      <c r="F99" s="331"/>
      <c r="G99" s="305"/>
      <c r="H99" s="306">
        <f t="shared" si="35"/>
        <v>0</v>
      </c>
      <c r="I99" s="307">
        <f t="shared" si="36"/>
        <v>0</v>
      </c>
      <c r="J99" s="308">
        <f t="shared" si="37"/>
        <v>0</v>
      </c>
      <c r="K99" s="309">
        <f t="shared" si="38"/>
        <v>0</v>
      </c>
      <c r="L99" s="308">
        <f t="shared" si="39"/>
        <v>0</v>
      </c>
      <c r="M99" s="309">
        <f t="shared" si="40"/>
        <v>0</v>
      </c>
      <c r="N99" s="276"/>
      <c r="O99" s="232"/>
    </row>
    <row r="100" ht="15.75" customHeight="1">
      <c r="A100" s="268"/>
      <c r="B100" s="320"/>
      <c r="C100" s="328"/>
      <c r="D100" s="329"/>
      <c r="E100" s="330"/>
      <c r="F100" s="331"/>
      <c r="G100" s="305"/>
      <c r="H100" s="306">
        <f t="shared" si="35"/>
        <v>0</v>
      </c>
      <c r="I100" s="307">
        <f t="shared" si="36"/>
        <v>0</v>
      </c>
      <c r="J100" s="308">
        <f t="shared" si="37"/>
        <v>0</v>
      </c>
      <c r="K100" s="309">
        <f t="shared" si="38"/>
        <v>0</v>
      </c>
      <c r="L100" s="308">
        <f t="shared" si="39"/>
        <v>0</v>
      </c>
      <c r="M100" s="309">
        <f t="shared" si="40"/>
        <v>0</v>
      </c>
      <c r="N100" s="276"/>
      <c r="O100" s="232"/>
    </row>
    <row r="101" ht="15.75" customHeight="1">
      <c r="A101" s="268"/>
      <c r="B101" s="320"/>
      <c r="C101" s="332"/>
      <c r="D101" s="333"/>
      <c r="E101" s="330"/>
      <c r="F101" s="331"/>
      <c r="G101" s="305"/>
      <c r="H101" s="306">
        <f t="shared" si="35"/>
        <v>0</v>
      </c>
      <c r="I101" s="307">
        <f t="shared" si="36"/>
        <v>0</v>
      </c>
      <c r="J101" s="308">
        <f t="shared" si="37"/>
        <v>0</v>
      </c>
      <c r="K101" s="309">
        <f t="shared" si="38"/>
        <v>0</v>
      </c>
      <c r="L101" s="308">
        <f t="shared" si="39"/>
        <v>0</v>
      </c>
      <c r="M101" s="309">
        <f t="shared" si="40"/>
        <v>0</v>
      </c>
      <c r="N101" s="276"/>
      <c r="O101" s="232"/>
    </row>
    <row r="102" ht="15.75" customHeight="1">
      <c r="A102" s="268"/>
      <c r="B102" s="320"/>
      <c r="C102" s="332"/>
      <c r="D102" s="333"/>
      <c r="E102" s="330"/>
      <c r="F102" s="331"/>
      <c r="G102" s="305"/>
      <c r="H102" s="306">
        <f t="shared" si="35"/>
        <v>0</v>
      </c>
      <c r="I102" s="307">
        <f t="shared" si="36"/>
        <v>0</v>
      </c>
      <c r="J102" s="308">
        <f t="shared" si="37"/>
        <v>0</v>
      </c>
      <c r="K102" s="309">
        <f t="shared" si="38"/>
        <v>0</v>
      </c>
      <c r="L102" s="308">
        <f t="shared" si="39"/>
        <v>0</v>
      </c>
      <c r="M102" s="309">
        <f t="shared" si="40"/>
        <v>0</v>
      </c>
      <c r="N102" s="276"/>
      <c r="O102" s="225"/>
    </row>
    <row r="103" ht="15.75" customHeight="1">
      <c r="A103" s="268"/>
      <c r="B103" s="320"/>
      <c r="C103" s="328"/>
      <c r="D103" s="329"/>
      <c r="E103" s="330"/>
      <c r="F103" s="331"/>
      <c r="G103" s="305"/>
      <c r="H103" s="306">
        <f t="shared" si="35"/>
        <v>0</v>
      </c>
      <c r="I103" s="307">
        <f t="shared" si="36"/>
        <v>0</v>
      </c>
      <c r="J103" s="308">
        <f t="shared" si="37"/>
        <v>0</v>
      </c>
      <c r="K103" s="309">
        <f t="shared" si="38"/>
        <v>0</v>
      </c>
      <c r="L103" s="308">
        <f t="shared" si="39"/>
        <v>0</v>
      </c>
      <c r="M103" s="309">
        <f t="shared" si="40"/>
        <v>0</v>
      </c>
      <c r="N103" s="276"/>
      <c r="O103" s="225"/>
    </row>
    <row r="104" ht="15.75" customHeight="1">
      <c r="A104" s="268"/>
      <c r="B104" s="320"/>
      <c r="C104" s="328"/>
      <c r="D104" s="329"/>
      <c r="E104" s="330"/>
      <c r="F104" s="331"/>
      <c r="G104" s="305"/>
      <c r="H104" s="306">
        <f t="shared" si="35"/>
        <v>0</v>
      </c>
      <c r="I104" s="307">
        <f t="shared" si="36"/>
        <v>0</v>
      </c>
      <c r="J104" s="308">
        <f t="shared" si="37"/>
        <v>0</v>
      </c>
      <c r="K104" s="309">
        <f t="shared" si="38"/>
        <v>0</v>
      </c>
      <c r="L104" s="308">
        <f t="shared" si="39"/>
        <v>0</v>
      </c>
      <c r="M104" s="309">
        <f t="shared" si="40"/>
        <v>0</v>
      </c>
      <c r="N104" s="276"/>
      <c r="O104" s="225"/>
    </row>
    <row r="105" ht="15.75" customHeight="1">
      <c r="A105" s="268"/>
      <c r="B105" s="320"/>
      <c r="C105" s="328"/>
      <c r="D105" s="329"/>
      <c r="E105" s="330"/>
      <c r="F105" s="331"/>
      <c r="G105" s="305"/>
      <c r="H105" s="306">
        <f t="shared" si="35"/>
        <v>0</v>
      </c>
      <c r="I105" s="307">
        <f t="shared" si="36"/>
        <v>0</v>
      </c>
      <c r="J105" s="308">
        <f t="shared" si="37"/>
        <v>0</v>
      </c>
      <c r="K105" s="309">
        <f t="shared" si="38"/>
        <v>0</v>
      </c>
      <c r="L105" s="308">
        <f t="shared" si="39"/>
        <v>0</v>
      </c>
      <c r="M105" s="309">
        <f t="shared" si="40"/>
        <v>0</v>
      </c>
      <c r="N105" s="276"/>
      <c r="O105" s="225"/>
    </row>
    <row r="106" ht="15.75" customHeight="1">
      <c r="A106" s="268"/>
      <c r="B106" s="320"/>
      <c r="C106" s="328"/>
      <c r="D106" s="329"/>
      <c r="E106" s="330"/>
      <c r="F106" s="331"/>
      <c r="G106" s="305"/>
      <c r="H106" s="306">
        <f t="shared" si="35"/>
        <v>0</v>
      </c>
      <c r="I106" s="307">
        <f t="shared" si="36"/>
        <v>0</v>
      </c>
      <c r="J106" s="308">
        <f t="shared" si="37"/>
        <v>0</v>
      </c>
      <c r="K106" s="309">
        <f t="shared" si="38"/>
        <v>0</v>
      </c>
      <c r="L106" s="308">
        <f t="shared" si="39"/>
        <v>0</v>
      </c>
      <c r="M106" s="309">
        <f t="shared" si="40"/>
        <v>0</v>
      </c>
      <c r="N106" s="276"/>
      <c r="O106" s="225"/>
    </row>
    <row r="107" ht="15.75" customHeight="1">
      <c r="A107" s="268"/>
      <c r="B107" s="320"/>
      <c r="C107" s="328"/>
      <c r="D107" s="334"/>
      <c r="E107" s="330"/>
      <c r="F107" s="335"/>
      <c r="G107" s="305"/>
      <c r="H107" s="272"/>
      <c r="I107" s="273"/>
      <c r="J107" s="274"/>
      <c r="K107" s="275"/>
      <c r="L107" s="274"/>
      <c r="M107" s="275"/>
      <c r="N107" s="276"/>
      <c r="O107" s="225"/>
    </row>
    <row r="108" ht="15.75" customHeight="1">
      <c r="A108" s="268"/>
      <c r="B108" s="320"/>
      <c r="C108" s="328"/>
      <c r="D108" s="339"/>
      <c r="E108" s="330"/>
      <c r="F108" s="331"/>
      <c r="G108" s="305"/>
      <c r="H108" s="306">
        <f t="shared" ref="H108:H329" si="41">F108*0.5+F108</f>
        <v>0</v>
      </c>
      <c r="I108" s="307">
        <f t="shared" ref="I108:I329" si="42">F108*0.3+F108</f>
        <v>0</v>
      </c>
      <c r="J108" s="308">
        <f t="shared" ref="J108:J329" si="43">F108*0.3+F108</f>
        <v>0</v>
      </c>
      <c r="K108" s="309">
        <f t="shared" ref="K108:K329" si="44">F108*0.2+F108</f>
        <v>0</v>
      </c>
      <c r="L108" s="308">
        <f t="shared" ref="L108:L329" si="45">F108*0.15+F108</f>
        <v>0</v>
      </c>
      <c r="M108" s="309">
        <f t="shared" ref="M108:M329" si="46">F108*0.1+F108</f>
        <v>0</v>
      </c>
      <c r="N108" s="276"/>
      <c r="O108" s="225"/>
    </row>
    <row r="109" ht="15.75" customHeight="1">
      <c r="A109" s="268"/>
      <c r="B109" s="320"/>
      <c r="C109" s="332"/>
      <c r="D109" s="333"/>
      <c r="E109" s="330"/>
      <c r="F109" s="331"/>
      <c r="G109" s="305"/>
      <c r="H109" s="306">
        <f t="shared" si="41"/>
        <v>0</v>
      </c>
      <c r="I109" s="307">
        <f t="shared" si="42"/>
        <v>0</v>
      </c>
      <c r="J109" s="308">
        <f t="shared" si="43"/>
        <v>0</v>
      </c>
      <c r="K109" s="309">
        <f t="shared" si="44"/>
        <v>0</v>
      </c>
      <c r="L109" s="308">
        <f t="shared" si="45"/>
        <v>0</v>
      </c>
      <c r="M109" s="309">
        <f t="shared" si="46"/>
        <v>0</v>
      </c>
      <c r="N109" s="276"/>
      <c r="O109" s="225"/>
    </row>
    <row r="110" ht="15.75" customHeight="1">
      <c r="A110" s="268"/>
      <c r="B110" s="320"/>
      <c r="C110" s="332"/>
      <c r="D110" s="333"/>
      <c r="E110" s="330"/>
      <c r="F110" s="331"/>
      <c r="G110" s="305"/>
      <c r="H110" s="306">
        <f t="shared" si="41"/>
        <v>0</v>
      </c>
      <c r="I110" s="307">
        <f t="shared" si="42"/>
        <v>0</v>
      </c>
      <c r="J110" s="308">
        <f t="shared" si="43"/>
        <v>0</v>
      </c>
      <c r="K110" s="309">
        <f t="shared" si="44"/>
        <v>0</v>
      </c>
      <c r="L110" s="308">
        <f t="shared" si="45"/>
        <v>0</v>
      </c>
      <c r="M110" s="309">
        <f t="shared" si="46"/>
        <v>0</v>
      </c>
      <c r="N110" s="276"/>
      <c r="O110" s="225"/>
    </row>
    <row r="111" ht="15.75" customHeight="1">
      <c r="A111" s="268"/>
      <c r="B111" s="320"/>
      <c r="C111" s="332"/>
      <c r="D111" s="340"/>
      <c r="E111" s="330"/>
      <c r="F111" s="331"/>
      <c r="G111" s="305"/>
      <c r="H111" s="306">
        <f t="shared" si="41"/>
        <v>0</v>
      </c>
      <c r="I111" s="307">
        <f t="shared" si="42"/>
        <v>0</v>
      </c>
      <c r="J111" s="308">
        <f t="shared" si="43"/>
        <v>0</v>
      </c>
      <c r="K111" s="309">
        <f t="shared" si="44"/>
        <v>0</v>
      </c>
      <c r="L111" s="308">
        <f t="shared" si="45"/>
        <v>0</v>
      </c>
      <c r="M111" s="309">
        <f t="shared" si="46"/>
        <v>0</v>
      </c>
      <c r="N111" s="276"/>
      <c r="O111" s="225"/>
    </row>
    <row r="112" ht="15.75" customHeight="1">
      <c r="A112" s="268"/>
      <c r="B112" s="320"/>
      <c r="C112" s="332"/>
      <c r="D112" s="333"/>
      <c r="E112" s="341"/>
      <c r="F112" s="331"/>
      <c r="G112" s="305"/>
      <c r="H112" s="306">
        <f t="shared" si="41"/>
        <v>0</v>
      </c>
      <c r="I112" s="307">
        <f t="shared" si="42"/>
        <v>0</v>
      </c>
      <c r="J112" s="308">
        <f t="shared" si="43"/>
        <v>0</v>
      </c>
      <c r="K112" s="309">
        <f t="shared" si="44"/>
        <v>0</v>
      </c>
      <c r="L112" s="308">
        <f t="shared" si="45"/>
        <v>0</v>
      </c>
      <c r="M112" s="309">
        <f t="shared" si="46"/>
        <v>0</v>
      </c>
      <c r="N112" s="276"/>
      <c r="O112" s="225"/>
    </row>
    <row r="113" ht="15.75" customHeight="1">
      <c r="A113" s="268"/>
      <c r="B113" s="320"/>
      <c r="C113" s="332"/>
      <c r="D113" s="333"/>
      <c r="E113" s="341"/>
      <c r="F113" s="331"/>
      <c r="G113" s="305"/>
      <c r="H113" s="306">
        <f t="shared" si="41"/>
        <v>0</v>
      </c>
      <c r="I113" s="307">
        <f t="shared" si="42"/>
        <v>0</v>
      </c>
      <c r="J113" s="308">
        <f t="shared" si="43"/>
        <v>0</v>
      </c>
      <c r="K113" s="309">
        <f t="shared" si="44"/>
        <v>0</v>
      </c>
      <c r="L113" s="308">
        <f t="shared" si="45"/>
        <v>0</v>
      </c>
      <c r="M113" s="309">
        <f t="shared" si="46"/>
        <v>0</v>
      </c>
      <c r="N113" s="276"/>
      <c r="O113" s="225"/>
    </row>
    <row r="114" ht="15.75" customHeight="1">
      <c r="A114" s="268"/>
      <c r="B114" s="300"/>
      <c r="C114" s="332"/>
      <c r="D114" s="333"/>
      <c r="E114" s="330"/>
      <c r="F114" s="331"/>
      <c r="G114" s="305"/>
      <c r="H114" s="306">
        <f t="shared" si="41"/>
        <v>0</v>
      </c>
      <c r="I114" s="307">
        <f t="shared" si="42"/>
        <v>0</v>
      </c>
      <c r="J114" s="308">
        <f t="shared" si="43"/>
        <v>0</v>
      </c>
      <c r="K114" s="309">
        <f t="shared" si="44"/>
        <v>0</v>
      </c>
      <c r="L114" s="308">
        <f t="shared" si="45"/>
        <v>0</v>
      </c>
      <c r="M114" s="309">
        <f t="shared" si="46"/>
        <v>0</v>
      </c>
      <c r="N114" s="276"/>
      <c r="O114" s="225"/>
    </row>
    <row r="115" ht="15.75" customHeight="1">
      <c r="A115" s="268"/>
      <c r="B115" s="300"/>
      <c r="C115" s="332"/>
      <c r="D115" s="340"/>
      <c r="E115" s="330"/>
      <c r="F115" s="331"/>
      <c r="G115" s="305"/>
      <c r="H115" s="306">
        <f t="shared" si="41"/>
        <v>0</v>
      </c>
      <c r="I115" s="307">
        <f t="shared" si="42"/>
        <v>0</v>
      </c>
      <c r="J115" s="308">
        <f t="shared" si="43"/>
        <v>0</v>
      </c>
      <c r="K115" s="309">
        <f t="shared" si="44"/>
        <v>0</v>
      </c>
      <c r="L115" s="308">
        <f t="shared" si="45"/>
        <v>0</v>
      </c>
      <c r="M115" s="309">
        <f t="shared" si="46"/>
        <v>0</v>
      </c>
      <c r="N115" s="276"/>
      <c r="O115" s="225"/>
    </row>
    <row r="116" ht="15.75" customHeight="1">
      <c r="A116" s="268"/>
      <c r="B116" s="300"/>
      <c r="C116" s="332"/>
      <c r="D116" s="333"/>
      <c r="E116" s="330"/>
      <c r="F116" s="331"/>
      <c r="G116" s="305"/>
      <c r="H116" s="306">
        <f t="shared" si="41"/>
        <v>0</v>
      </c>
      <c r="I116" s="307">
        <f t="shared" si="42"/>
        <v>0</v>
      </c>
      <c r="J116" s="308">
        <f t="shared" si="43"/>
        <v>0</v>
      </c>
      <c r="K116" s="309">
        <f t="shared" si="44"/>
        <v>0</v>
      </c>
      <c r="L116" s="308">
        <f t="shared" si="45"/>
        <v>0</v>
      </c>
      <c r="M116" s="309">
        <f t="shared" si="46"/>
        <v>0</v>
      </c>
      <c r="N116" s="276"/>
      <c r="O116" s="225"/>
    </row>
    <row r="117" ht="15.75" customHeight="1">
      <c r="A117" s="268"/>
      <c r="B117" s="320"/>
      <c r="C117" s="332"/>
      <c r="D117" s="333"/>
      <c r="E117" s="330"/>
      <c r="F117" s="331"/>
      <c r="G117" s="305"/>
      <c r="H117" s="306">
        <f t="shared" si="41"/>
        <v>0</v>
      </c>
      <c r="I117" s="307">
        <f t="shared" si="42"/>
        <v>0</v>
      </c>
      <c r="J117" s="308">
        <f t="shared" si="43"/>
        <v>0</v>
      </c>
      <c r="K117" s="309">
        <f t="shared" si="44"/>
        <v>0</v>
      </c>
      <c r="L117" s="308">
        <f t="shared" si="45"/>
        <v>0</v>
      </c>
      <c r="M117" s="309">
        <f t="shared" si="46"/>
        <v>0</v>
      </c>
      <c r="N117" s="276"/>
      <c r="O117" s="225"/>
    </row>
    <row r="118" ht="15.75" customHeight="1">
      <c r="A118" s="268"/>
      <c r="B118" s="320"/>
      <c r="C118" s="332"/>
      <c r="D118" s="333"/>
      <c r="E118" s="330"/>
      <c r="F118" s="331"/>
      <c r="G118" s="305"/>
      <c r="H118" s="306">
        <f t="shared" si="41"/>
        <v>0</v>
      </c>
      <c r="I118" s="307">
        <f t="shared" si="42"/>
        <v>0</v>
      </c>
      <c r="J118" s="308">
        <f t="shared" si="43"/>
        <v>0</v>
      </c>
      <c r="K118" s="309">
        <f t="shared" si="44"/>
        <v>0</v>
      </c>
      <c r="L118" s="308">
        <f t="shared" si="45"/>
        <v>0</v>
      </c>
      <c r="M118" s="309">
        <f t="shared" si="46"/>
        <v>0</v>
      </c>
      <c r="N118" s="276"/>
      <c r="O118" s="225"/>
    </row>
    <row r="119" ht="15.75" customHeight="1">
      <c r="A119" s="268"/>
      <c r="B119" s="320"/>
      <c r="C119" s="332"/>
      <c r="D119" s="333"/>
      <c r="E119" s="330"/>
      <c r="F119" s="331"/>
      <c r="G119" s="305"/>
      <c r="H119" s="306">
        <f t="shared" si="41"/>
        <v>0</v>
      </c>
      <c r="I119" s="307">
        <f t="shared" si="42"/>
        <v>0</v>
      </c>
      <c r="J119" s="308">
        <f t="shared" si="43"/>
        <v>0</v>
      </c>
      <c r="K119" s="309">
        <f t="shared" si="44"/>
        <v>0</v>
      </c>
      <c r="L119" s="308">
        <f t="shared" si="45"/>
        <v>0</v>
      </c>
      <c r="M119" s="309">
        <f t="shared" si="46"/>
        <v>0</v>
      </c>
      <c r="N119" s="276"/>
      <c r="O119" s="225"/>
    </row>
    <row r="120" ht="15.75" customHeight="1">
      <c r="A120" s="268"/>
      <c r="B120" s="320"/>
      <c r="C120" s="332"/>
      <c r="D120" s="333"/>
      <c r="E120" s="330"/>
      <c r="F120" s="331"/>
      <c r="G120" s="305"/>
      <c r="H120" s="306">
        <f t="shared" si="41"/>
        <v>0</v>
      </c>
      <c r="I120" s="307">
        <f t="shared" si="42"/>
        <v>0</v>
      </c>
      <c r="J120" s="308">
        <f t="shared" si="43"/>
        <v>0</v>
      </c>
      <c r="K120" s="309">
        <f t="shared" si="44"/>
        <v>0</v>
      </c>
      <c r="L120" s="308">
        <f t="shared" si="45"/>
        <v>0</v>
      </c>
      <c r="M120" s="309">
        <f t="shared" si="46"/>
        <v>0</v>
      </c>
      <c r="N120" s="276"/>
      <c r="O120" s="225"/>
    </row>
    <row r="121" ht="15.75" customHeight="1">
      <c r="A121" s="268"/>
      <c r="B121" s="320"/>
      <c r="C121" s="332"/>
      <c r="D121" s="333"/>
      <c r="E121" s="330"/>
      <c r="F121" s="331"/>
      <c r="G121" s="305"/>
      <c r="H121" s="306">
        <f t="shared" si="41"/>
        <v>0</v>
      </c>
      <c r="I121" s="307">
        <f t="shared" si="42"/>
        <v>0</v>
      </c>
      <c r="J121" s="308">
        <f t="shared" si="43"/>
        <v>0</v>
      </c>
      <c r="K121" s="309">
        <f t="shared" si="44"/>
        <v>0</v>
      </c>
      <c r="L121" s="308">
        <f t="shared" si="45"/>
        <v>0</v>
      </c>
      <c r="M121" s="309">
        <f t="shared" si="46"/>
        <v>0</v>
      </c>
      <c r="N121" s="276"/>
      <c r="O121" s="225"/>
    </row>
    <row r="122" ht="15.75" customHeight="1">
      <c r="A122" s="268"/>
      <c r="B122" s="320"/>
      <c r="C122" s="332"/>
      <c r="D122" s="333"/>
      <c r="E122" s="330"/>
      <c r="F122" s="331"/>
      <c r="G122" s="305"/>
      <c r="H122" s="306">
        <f t="shared" si="41"/>
        <v>0</v>
      </c>
      <c r="I122" s="307">
        <f t="shared" si="42"/>
        <v>0</v>
      </c>
      <c r="J122" s="308">
        <f t="shared" si="43"/>
        <v>0</v>
      </c>
      <c r="K122" s="309">
        <f t="shared" si="44"/>
        <v>0</v>
      </c>
      <c r="L122" s="308">
        <f t="shared" si="45"/>
        <v>0</v>
      </c>
      <c r="M122" s="309">
        <f t="shared" si="46"/>
        <v>0</v>
      </c>
      <c r="N122" s="276"/>
      <c r="O122" s="225"/>
    </row>
    <row r="123" ht="15.75" customHeight="1">
      <c r="A123" s="268"/>
      <c r="B123" s="320"/>
      <c r="C123" s="332"/>
      <c r="D123" s="333"/>
      <c r="E123" s="330"/>
      <c r="F123" s="331"/>
      <c r="G123" s="305"/>
      <c r="H123" s="306">
        <f t="shared" si="41"/>
        <v>0</v>
      </c>
      <c r="I123" s="307">
        <f t="shared" si="42"/>
        <v>0</v>
      </c>
      <c r="J123" s="308">
        <f t="shared" si="43"/>
        <v>0</v>
      </c>
      <c r="K123" s="309">
        <f t="shared" si="44"/>
        <v>0</v>
      </c>
      <c r="L123" s="308">
        <f t="shared" si="45"/>
        <v>0</v>
      </c>
      <c r="M123" s="309">
        <f t="shared" si="46"/>
        <v>0</v>
      </c>
      <c r="N123" s="276"/>
      <c r="O123" s="225"/>
    </row>
    <row r="124" ht="15.75" customHeight="1">
      <c r="A124" s="268"/>
      <c r="B124" s="320"/>
      <c r="C124" s="332"/>
      <c r="D124" s="333"/>
      <c r="E124" s="330"/>
      <c r="F124" s="331"/>
      <c r="G124" s="305"/>
      <c r="H124" s="306">
        <f t="shared" si="41"/>
        <v>0</v>
      </c>
      <c r="I124" s="307">
        <f t="shared" si="42"/>
        <v>0</v>
      </c>
      <c r="J124" s="308">
        <f t="shared" si="43"/>
        <v>0</v>
      </c>
      <c r="K124" s="309">
        <f t="shared" si="44"/>
        <v>0</v>
      </c>
      <c r="L124" s="308">
        <f t="shared" si="45"/>
        <v>0</v>
      </c>
      <c r="M124" s="309">
        <f t="shared" si="46"/>
        <v>0</v>
      </c>
      <c r="N124" s="276"/>
      <c r="O124" s="225"/>
    </row>
    <row r="125" ht="15.75" customHeight="1">
      <c r="A125" s="268"/>
      <c r="B125" s="320"/>
      <c r="C125" s="328"/>
      <c r="D125" s="329"/>
      <c r="E125" s="330"/>
      <c r="F125" s="331"/>
      <c r="G125" s="305"/>
      <c r="H125" s="306">
        <f t="shared" si="41"/>
        <v>0</v>
      </c>
      <c r="I125" s="307">
        <f t="shared" si="42"/>
        <v>0</v>
      </c>
      <c r="J125" s="308">
        <f t="shared" si="43"/>
        <v>0</v>
      </c>
      <c r="K125" s="309">
        <f t="shared" si="44"/>
        <v>0</v>
      </c>
      <c r="L125" s="308">
        <f t="shared" si="45"/>
        <v>0</v>
      </c>
      <c r="M125" s="309">
        <f t="shared" si="46"/>
        <v>0</v>
      </c>
      <c r="N125" s="276"/>
      <c r="O125" s="225"/>
    </row>
    <row r="126" ht="15.75" customHeight="1">
      <c r="A126" s="268"/>
      <c r="B126" s="320"/>
      <c r="C126" s="328"/>
      <c r="D126" s="329"/>
      <c r="E126" s="330"/>
      <c r="F126" s="331"/>
      <c r="G126" s="305"/>
      <c r="H126" s="306">
        <f t="shared" si="41"/>
        <v>0</v>
      </c>
      <c r="I126" s="307">
        <f t="shared" si="42"/>
        <v>0</v>
      </c>
      <c r="J126" s="308">
        <f t="shared" si="43"/>
        <v>0</v>
      </c>
      <c r="K126" s="309">
        <f t="shared" si="44"/>
        <v>0</v>
      </c>
      <c r="L126" s="308">
        <f t="shared" si="45"/>
        <v>0</v>
      </c>
      <c r="M126" s="309">
        <f t="shared" si="46"/>
        <v>0</v>
      </c>
      <c r="N126" s="276"/>
      <c r="O126" s="225"/>
    </row>
    <row r="127" ht="15.75" customHeight="1">
      <c r="A127" s="268"/>
      <c r="B127" s="320"/>
      <c r="C127" s="332"/>
      <c r="D127" s="333"/>
      <c r="E127" s="330"/>
      <c r="F127" s="331"/>
      <c r="G127" s="305"/>
      <c r="H127" s="306">
        <f t="shared" si="41"/>
        <v>0</v>
      </c>
      <c r="I127" s="307">
        <f t="shared" si="42"/>
        <v>0</v>
      </c>
      <c r="J127" s="308">
        <f t="shared" si="43"/>
        <v>0</v>
      </c>
      <c r="K127" s="309">
        <f t="shared" si="44"/>
        <v>0</v>
      </c>
      <c r="L127" s="308">
        <f t="shared" si="45"/>
        <v>0</v>
      </c>
      <c r="M127" s="309">
        <f t="shared" si="46"/>
        <v>0</v>
      </c>
      <c r="N127" s="276"/>
      <c r="O127" s="225"/>
    </row>
    <row r="128" ht="15.75" customHeight="1">
      <c r="A128" s="268"/>
      <c r="B128" s="320"/>
      <c r="C128" s="332"/>
      <c r="D128" s="333"/>
      <c r="E128" s="330"/>
      <c r="F128" s="331"/>
      <c r="G128" s="305"/>
      <c r="H128" s="306">
        <f t="shared" si="41"/>
        <v>0</v>
      </c>
      <c r="I128" s="307">
        <f t="shared" si="42"/>
        <v>0</v>
      </c>
      <c r="J128" s="308">
        <f t="shared" si="43"/>
        <v>0</v>
      </c>
      <c r="K128" s="309">
        <f t="shared" si="44"/>
        <v>0</v>
      </c>
      <c r="L128" s="308">
        <f t="shared" si="45"/>
        <v>0</v>
      </c>
      <c r="M128" s="309">
        <f t="shared" si="46"/>
        <v>0</v>
      </c>
      <c r="N128" s="276"/>
      <c r="O128" s="225"/>
    </row>
    <row r="129" ht="15.75" customHeight="1">
      <c r="A129" s="268"/>
      <c r="B129" s="320"/>
      <c r="C129" s="332"/>
      <c r="D129" s="333"/>
      <c r="E129" s="330"/>
      <c r="F129" s="331"/>
      <c r="G129" s="305"/>
      <c r="H129" s="306">
        <f t="shared" si="41"/>
        <v>0</v>
      </c>
      <c r="I129" s="307">
        <f t="shared" si="42"/>
        <v>0</v>
      </c>
      <c r="J129" s="308">
        <f t="shared" si="43"/>
        <v>0</v>
      </c>
      <c r="K129" s="309">
        <f t="shared" si="44"/>
        <v>0</v>
      </c>
      <c r="L129" s="308">
        <f t="shared" si="45"/>
        <v>0</v>
      </c>
      <c r="M129" s="309">
        <f t="shared" si="46"/>
        <v>0</v>
      </c>
      <c r="N129" s="276"/>
      <c r="O129" s="225"/>
    </row>
    <row r="130" ht="15.75" customHeight="1">
      <c r="A130" s="268"/>
      <c r="B130" s="320"/>
      <c r="C130" s="328"/>
      <c r="D130" s="329"/>
      <c r="E130" s="330"/>
      <c r="F130" s="331"/>
      <c r="G130" s="305"/>
      <c r="H130" s="306">
        <f t="shared" si="41"/>
        <v>0</v>
      </c>
      <c r="I130" s="307">
        <f t="shared" si="42"/>
        <v>0</v>
      </c>
      <c r="J130" s="308">
        <f t="shared" si="43"/>
        <v>0</v>
      </c>
      <c r="K130" s="309">
        <f t="shared" si="44"/>
        <v>0</v>
      </c>
      <c r="L130" s="308">
        <f t="shared" si="45"/>
        <v>0</v>
      </c>
      <c r="M130" s="309">
        <f t="shared" si="46"/>
        <v>0</v>
      </c>
      <c r="N130" s="276"/>
      <c r="O130" s="225"/>
    </row>
    <row r="131" ht="15.75" customHeight="1">
      <c r="A131" s="268"/>
      <c r="B131" s="320"/>
      <c r="C131" s="328"/>
      <c r="D131" s="329"/>
      <c r="E131" s="330"/>
      <c r="F131" s="331"/>
      <c r="G131" s="305"/>
      <c r="H131" s="306">
        <f t="shared" si="41"/>
        <v>0</v>
      </c>
      <c r="I131" s="307">
        <f t="shared" si="42"/>
        <v>0</v>
      </c>
      <c r="J131" s="308">
        <f t="shared" si="43"/>
        <v>0</v>
      </c>
      <c r="K131" s="309">
        <f t="shared" si="44"/>
        <v>0</v>
      </c>
      <c r="L131" s="308">
        <f t="shared" si="45"/>
        <v>0</v>
      </c>
      <c r="M131" s="309">
        <f t="shared" si="46"/>
        <v>0</v>
      </c>
      <c r="N131" s="276"/>
      <c r="O131" s="225"/>
    </row>
    <row r="132" ht="15.75" customHeight="1">
      <c r="A132" s="268"/>
      <c r="B132" s="320"/>
      <c r="C132" s="332"/>
      <c r="D132" s="333"/>
      <c r="E132" s="341"/>
      <c r="F132" s="331"/>
      <c r="G132" s="305"/>
      <c r="H132" s="306">
        <f t="shared" si="41"/>
        <v>0</v>
      </c>
      <c r="I132" s="307">
        <f t="shared" si="42"/>
        <v>0</v>
      </c>
      <c r="J132" s="308">
        <f t="shared" si="43"/>
        <v>0</v>
      </c>
      <c r="K132" s="309">
        <f t="shared" si="44"/>
        <v>0</v>
      </c>
      <c r="L132" s="308">
        <f t="shared" si="45"/>
        <v>0</v>
      </c>
      <c r="M132" s="309">
        <f t="shared" si="46"/>
        <v>0</v>
      </c>
      <c r="N132" s="276"/>
      <c r="O132" s="225"/>
    </row>
    <row r="133" ht="15.75" customHeight="1">
      <c r="A133" s="268"/>
      <c r="B133" s="320"/>
      <c r="C133" s="328"/>
      <c r="D133" s="329"/>
      <c r="E133" s="330"/>
      <c r="F133" s="331"/>
      <c r="G133" s="305"/>
      <c r="H133" s="306">
        <f t="shared" si="41"/>
        <v>0</v>
      </c>
      <c r="I133" s="307">
        <f t="shared" si="42"/>
        <v>0</v>
      </c>
      <c r="J133" s="308">
        <f t="shared" si="43"/>
        <v>0</v>
      </c>
      <c r="K133" s="309">
        <f t="shared" si="44"/>
        <v>0</v>
      </c>
      <c r="L133" s="308">
        <f t="shared" si="45"/>
        <v>0</v>
      </c>
      <c r="M133" s="309">
        <f t="shared" si="46"/>
        <v>0</v>
      </c>
      <c r="N133" s="276"/>
      <c r="O133" s="225"/>
    </row>
    <row r="134" ht="15.75" customHeight="1">
      <c r="A134" s="268"/>
      <c r="B134" s="320"/>
      <c r="C134" s="328"/>
      <c r="D134" s="329"/>
      <c r="E134" s="330"/>
      <c r="F134" s="331"/>
      <c r="G134" s="305"/>
      <c r="H134" s="306">
        <f t="shared" si="41"/>
        <v>0</v>
      </c>
      <c r="I134" s="307">
        <f t="shared" si="42"/>
        <v>0</v>
      </c>
      <c r="J134" s="308">
        <f t="shared" si="43"/>
        <v>0</v>
      </c>
      <c r="K134" s="309">
        <f t="shared" si="44"/>
        <v>0</v>
      </c>
      <c r="L134" s="308">
        <f t="shared" si="45"/>
        <v>0</v>
      </c>
      <c r="M134" s="309">
        <f t="shared" si="46"/>
        <v>0</v>
      </c>
      <c r="N134" s="276"/>
      <c r="O134" s="225"/>
    </row>
    <row r="135" ht="15.75" customHeight="1">
      <c r="A135" s="268"/>
      <c r="B135" s="320"/>
      <c r="C135" s="328"/>
      <c r="D135" s="329"/>
      <c r="E135" s="330"/>
      <c r="F135" s="331"/>
      <c r="G135" s="305"/>
      <c r="H135" s="306">
        <f t="shared" si="41"/>
        <v>0</v>
      </c>
      <c r="I135" s="307">
        <f t="shared" si="42"/>
        <v>0</v>
      </c>
      <c r="J135" s="308">
        <f t="shared" si="43"/>
        <v>0</v>
      </c>
      <c r="K135" s="309">
        <f t="shared" si="44"/>
        <v>0</v>
      </c>
      <c r="L135" s="308">
        <f t="shared" si="45"/>
        <v>0</v>
      </c>
      <c r="M135" s="309">
        <f t="shared" si="46"/>
        <v>0</v>
      </c>
      <c r="N135" s="276"/>
      <c r="O135" s="225"/>
    </row>
    <row r="136" ht="15.75" customHeight="1">
      <c r="A136" s="268"/>
      <c r="B136" s="320"/>
      <c r="C136" s="328"/>
      <c r="D136" s="329"/>
      <c r="E136" s="330"/>
      <c r="F136" s="331"/>
      <c r="G136" s="305"/>
      <c r="H136" s="306">
        <f t="shared" si="41"/>
        <v>0</v>
      </c>
      <c r="I136" s="307">
        <f t="shared" si="42"/>
        <v>0</v>
      </c>
      <c r="J136" s="308">
        <f t="shared" si="43"/>
        <v>0</v>
      </c>
      <c r="K136" s="309">
        <f t="shared" si="44"/>
        <v>0</v>
      </c>
      <c r="L136" s="308">
        <f t="shared" si="45"/>
        <v>0</v>
      </c>
      <c r="M136" s="309">
        <f t="shared" si="46"/>
        <v>0</v>
      </c>
      <c r="N136" s="276"/>
      <c r="O136" s="225"/>
    </row>
    <row r="137" ht="15.75" customHeight="1">
      <c r="A137" s="268"/>
      <c r="B137" s="320"/>
      <c r="C137" s="328"/>
      <c r="D137" s="329"/>
      <c r="E137" s="330"/>
      <c r="F137" s="331"/>
      <c r="G137" s="305"/>
      <c r="H137" s="306">
        <f t="shared" si="41"/>
        <v>0</v>
      </c>
      <c r="I137" s="307">
        <f t="shared" si="42"/>
        <v>0</v>
      </c>
      <c r="J137" s="308">
        <f t="shared" si="43"/>
        <v>0</v>
      </c>
      <c r="K137" s="309">
        <f t="shared" si="44"/>
        <v>0</v>
      </c>
      <c r="L137" s="308">
        <f t="shared" si="45"/>
        <v>0</v>
      </c>
      <c r="M137" s="309">
        <f t="shared" si="46"/>
        <v>0</v>
      </c>
      <c r="N137" s="276"/>
      <c r="O137" s="225"/>
    </row>
    <row r="138" ht="15.75" customHeight="1">
      <c r="A138" s="268"/>
      <c r="B138" s="320"/>
      <c r="C138" s="332"/>
      <c r="D138" s="333"/>
      <c r="E138" s="330"/>
      <c r="F138" s="331"/>
      <c r="G138" s="305"/>
      <c r="H138" s="306">
        <f t="shared" si="41"/>
        <v>0</v>
      </c>
      <c r="I138" s="307">
        <f t="shared" si="42"/>
        <v>0</v>
      </c>
      <c r="J138" s="308">
        <f t="shared" si="43"/>
        <v>0</v>
      </c>
      <c r="K138" s="309">
        <f t="shared" si="44"/>
        <v>0</v>
      </c>
      <c r="L138" s="308">
        <f t="shared" si="45"/>
        <v>0</v>
      </c>
      <c r="M138" s="309">
        <f t="shared" si="46"/>
        <v>0</v>
      </c>
      <c r="N138" s="276"/>
      <c r="O138" s="225"/>
    </row>
    <row r="139" ht="15.75" customHeight="1">
      <c r="A139" s="268"/>
      <c r="B139" s="320"/>
      <c r="C139" s="332"/>
      <c r="D139" s="340"/>
      <c r="E139" s="330"/>
      <c r="F139" s="331"/>
      <c r="G139" s="305"/>
      <c r="H139" s="306">
        <f t="shared" si="41"/>
        <v>0</v>
      </c>
      <c r="I139" s="307">
        <f t="shared" si="42"/>
        <v>0</v>
      </c>
      <c r="J139" s="308">
        <f t="shared" si="43"/>
        <v>0</v>
      </c>
      <c r="K139" s="309">
        <f t="shared" si="44"/>
        <v>0</v>
      </c>
      <c r="L139" s="308">
        <f t="shared" si="45"/>
        <v>0</v>
      </c>
      <c r="M139" s="309">
        <f t="shared" si="46"/>
        <v>0</v>
      </c>
      <c r="N139" s="276"/>
      <c r="O139" s="225"/>
    </row>
    <row r="140" ht="15.75" customHeight="1">
      <c r="A140" s="268"/>
      <c r="B140" s="320"/>
      <c r="C140" s="332"/>
      <c r="D140" s="333"/>
      <c r="E140" s="330"/>
      <c r="F140" s="331"/>
      <c r="G140" s="305"/>
      <c r="H140" s="306">
        <f t="shared" si="41"/>
        <v>0</v>
      </c>
      <c r="I140" s="307">
        <f t="shared" si="42"/>
        <v>0</v>
      </c>
      <c r="J140" s="308">
        <f t="shared" si="43"/>
        <v>0</v>
      </c>
      <c r="K140" s="309">
        <f t="shared" si="44"/>
        <v>0</v>
      </c>
      <c r="L140" s="308">
        <f t="shared" si="45"/>
        <v>0</v>
      </c>
      <c r="M140" s="309">
        <f t="shared" si="46"/>
        <v>0</v>
      </c>
      <c r="N140" s="276"/>
      <c r="O140" s="225"/>
    </row>
    <row r="141" ht="15.75" customHeight="1">
      <c r="A141" s="268"/>
      <c r="B141" s="320"/>
      <c r="C141" s="332"/>
      <c r="D141" s="340"/>
      <c r="E141" s="330"/>
      <c r="F141" s="331"/>
      <c r="G141" s="305"/>
      <c r="H141" s="306">
        <f t="shared" si="41"/>
        <v>0</v>
      </c>
      <c r="I141" s="307">
        <f t="shared" si="42"/>
        <v>0</v>
      </c>
      <c r="J141" s="308">
        <f t="shared" si="43"/>
        <v>0</v>
      </c>
      <c r="K141" s="309">
        <f t="shared" si="44"/>
        <v>0</v>
      </c>
      <c r="L141" s="308">
        <f t="shared" si="45"/>
        <v>0</v>
      </c>
      <c r="M141" s="309">
        <f t="shared" si="46"/>
        <v>0</v>
      </c>
      <c r="N141" s="276"/>
      <c r="O141" s="225"/>
    </row>
    <row r="142" ht="15.75" customHeight="1">
      <c r="A142" s="268"/>
      <c r="B142" s="320"/>
      <c r="C142" s="332"/>
      <c r="D142" s="333"/>
      <c r="E142" s="330"/>
      <c r="F142" s="331"/>
      <c r="G142" s="305"/>
      <c r="H142" s="306">
        <f t="shared" si="41"/>
        <v>0</v>
      </c>
      <c r="I142" s="307">
        <f t="shared" si="42"/>
        <v>0</v>
      </c>
      <c r="J142" s="308">
        <f t="shared" si="43"/>
        <v>0</v>
      </c>
      <c r="K142" s="309">
        <f t="shared" si="44"/>
        <v>0</v>
      </c>
      <c r="L142" s="308">
        <f t="shared" si="45"/>
        <v>0</v>
      </c>
      <c r="M142" s="309">
        <f t="shared" si="46"/>
        <v>0</v>
      </c>
      <c r="N142" s="276"/>
      <c r="O142" s="225"/>
    </row>
    <row r="143" ht="15.75" customHeight="1">
      <c r="A143" s="268"/>
      <c r="B143" s="320"/>
      <c r="C143" s="332"/>
      <c r="D143" s="333"/>
      <c r="E143" s="330"/>
      <c r="F143" s="331"/>
      <c r="G143" s="305"/>
      <c r="H143" s="306">
        <f t="shared" si="41"/>
        <v>0</v>
      </c>
      <c r="I143" s="307">
        <f t="shared" si="42"/>
        <v>0</v>
      </c>
      <c r="J143" s="308">
        <f t="shared" si="43"/>
        <v>0</v>
      </c>
      <c r="K143" s="309">
        <f t="shared" si="44"/>
        <v>0</v>
      </c>
      <c r="L143" s="308">
        <f t="shared" si="45"/>
        <v>0</v>
      </c>
      <c r="M143" s="309">
        <f t="shared" si="46"/>
        <v>0</v>
      </c>
      <c r="N143" s="276"/>
      <c r="O143" s="225"/>
    </row>
    <row r="144" ht="15.75" customHeight="1">
      <c r="A144" s="268"/>
      <c r="B144" s="320"/>
      <c r="C144" s="332"/>
      <c r="D144" s="333"/>
      <c r="E144" s="330"/>
      <c r="F144" s="331"/>
      <c r="G144" s="305"/>
      <c r="H144" s="306">
        <f t="shared" si="41"/>
        <v>0</v>
      </c>
      <c r="I144" s="307">
        <f t="shared" si="42"/>
        <v>0</v>
      </c>
      <c r="J144" s="308">
        <f t="shared" si="43"/>
        <v>0</v>
      </c>
      <c r="K144" s="309">
        <f t="shared" si="44"/>
        <v>0</v>
      </c>
      <c r="L144" s="308">
        <f t="shared" si="45"/>
        <v>0</v>
      </c>
      <c r="M144" s="309">
        <f t="shared" si="46"/>
        <v>0</v>
      </c>
      <c r="N144" s="276"/>
      <c r="O144" s="225"/>
    </row>
    <row r="145" ht="15.75" customHeight="1">
      <c r="A145" s="268"/>
      <c r="B145" s="320"/>
      <c r="C145" s="332"/>
      <c r="D145" s="333"/>
      <c r="E145" s="330"/>
      <c r="F145" s="331"/>
      <c r="G145" s="305"/>
      <c r="H145" s="306">
        <f t="shared" si="41"/>
        <v>0</v>
      </c>
      <c r="I145" s="307">
        <f t="shared" si="42"/>
        <v>0</v>
      </c>
      <c r="J145" s="308">
        <f t="shared" si="43"/>
        <v>0</v>
      </c>
      <c r="K145" s="309">
        <f t="shared" si="44"/>
        <v>0</v>
      </c>
      <c r="L145" s="308">
        <f t="shared" si="45"/>
        <v>0</v>
      </c>
      <c r="M145" s="309">
        <f t="shared" si="46"/>
        <v>0</v>
      </c>
      <c r="N145" s="276"/>
      <c r="O145" s="232"/>
    </row>
    <row r="146" ht="15.75" customHeight="1">
      <c r="A146" s="268"/>
      <c r="B146" s="320"/>
      <c r="C146" s="332"/>
      <c r="D146" s="333"/>
      <c r="E146" s="330"/>
      <c r="F146" s="331"/>
      <c r="G146" s="305"/>
      <c r="H146" s="306">
        <f t="shared" si="41"/>
        <v>0</v>
      </c>
      <c r="I146" s="307">
        <f t="shared" si="42"/>
        <v>0</v>
      </c>
      <c r="J146" s="308">
        <f t="shared" si="43"/>
        <v>0</v>
      </c>
      <c r="K146" s="309">
        <f t="shared" si="44"/>
        <v>0</v>
      </c>
      <c r="L146" s="308">
        <f t="shared" si="45"/>
        <v>0</v>
      </c>
      <c r="M146" s="309">
        <f t="shared" si="46"/>
        <v>0</v>
      </c>
      <c r="N146" s="276"/>
      <c r="O146" s="232"/>
    </row>
    <row r="147" ht="15.75" customHeight="1">
      <c r="A147" s="268"/>
      <c r="B147" s="320"/>
      <c r="C147" s="332"/>
      <c r="D147" s="333"/>
      <c r="E147" s="330"/>
      <c r="F147" s="331"/>
      <c r="G147" s="305"/>
      <c r="H147" s="306">
        <f t="shared" si="41"/>
        <v>0</v>
      </c>
      <c r="I147" s="307">
        <f t="shared" si="42"/>
        <v>0</v>
      </c>
      <c r="J147" s="308">
        <f t="shared" si="43"/>
        <v>0</v>
      </c>
      <c r="K147" s="309">
        <f t="shared" si="44"/>
        <v>0</v>
      </c>
      <c r="L147" s="308">
        <f t="shared" si="45"/>
        <v>0</v>
      </c>
      <c r="M147" s="309">
        <f t="shared" si="46"/>
        <v>0</v>
      </c>
      <c r="N147" s="276"/>
      <c r="O147" s="232"/>
    </row>
    <row r="148" ht="15.75" customHeight="1">
      <c r="A148" s="268"/>
      <c r="B148" s="320"/>
      <c r="C148" s="342"/>
      <c r="D148" s="329"/>
      <c r="E148" s="343"/>
      <c r="F148" s="331"/>
      <c r="G148" s="305"/>
      <c r="H148" s="306">
        <f t="shared" si="41"/>
        <v>0</v>
      </c>
      <c r="I148" s="307">
        <f t="shared" si="42"/>
        <v>0</v>
      </c>
      <c r="J148" s="308">
        <f t="shared" si="43"/>
        <v>0</v>
      </c>
      <c r="K148" s="309">
        <f t="shared" si="44"/>
        <v>0</v>
      </c>
      <c r="L148" s="308">
        <f t="shared" si="45"/>
        <v>0</v>
      </c>
      <c r="M148" s="309">
        <f t="shared" si="46"/>
        <v>0</v>
      </c>
      <c r="N148" s="276"/>
      <c r="O148" s="232"/>
    </row>
    <row r="149" ht="15.75" customHeight="1">
      <c r="A149" s="268"/>
      <c r="B149" s="320"/>
      <c r="C149" s="332"/>
      <c r="D149" s="333"/>
      <c r="E149" s="330"/>
      <c r="F149" s="331"/>
      <c r="G149" s="305"/>
      <c r="H149" s="306">
        <f t="shared" si="41"/>
        <v>0</v>
      </c>
      <c r="I149" s="307">
        <f t="shared" si="42"/>
        <v>0</v>
      </c>
      <c r="J149" s="308">
        <f t="shared" si="43"/>
        <v>0</v>
      </c>
      <c r="K149" s="309">
        <f t="shared" si="44"/>
        <v>0</v>
      </c>
      <c r="L149" s="308">
        <f t="shared" si="45"/>
        <v>0</v>
      </c>
      <c r="M149" s="309">
        <f t="shared" si="46"/>
        <v>0</v>
      </c>
      <c r="N149" s="276"/>
      <c r="O149" s="232"/>
    </row>
    <row r="150" ht="15.75" customHeight="1">
      <c r="A150" s="268"/>
      <c r="B150" s="320"/>
      <c r="C150" s="332"/>
      <c r="D150" s="333"/>
      <c r="E150" s="330"/>
      <c r="F150" s="331"/>
      <c r="G150" s="305"/>
      <c r="H150" s="306">
        <f t="shared" si="41"/>
        <v>0</v>
      </c>
      <c r="I150" s="307">
        <f t="shared" si="42"/>
        <v>0</v>
      </c>
      <c r="J150" s="308">
        <f t="shared" si="43"/>
        <v>0</v>
      </c>
      <c r="K150" s="309">
        <f t="shared" si="44"/>
        <v>0</v>
      </c>
      <c r="L150" s="308">
        <f t="shared" si="45"/>
        <v>0</v>
      </c>
      <c r="M150" s="309">
        <f t="shared" si="46"/>
        <v>0</v>
      </c>
      <c r="N150" s="276"/>
      <c r="O150" s="232"/>
    </row>
    <row r="151" ht="15.75" customHeight="1">
      <c r="A151" s="268"/>
      <c r="B151" s="320"/>
      <c r="C151" s="332"/>
      <c r="D151" s="333"/>
      <c r="E151" s="330"/>
      <c r="F151" s="331"/>
      <c r="G151" s="305"/>
      <c r="H151" s="306">
        <f t="shared" si="41"/>
        <v>0</v>
      </c>
      <c r="I151" s="307">
        <f t="shared" si="42"/>
        <v>0</v>
      </c>
      <c r="J151" s="308">
        <f t="shared" si="43"/>
        <v>0</v>
      </c>
      <c r="K151" s="309">
        <f t="shared" si="44"/>
        <v>0</v>
      </c>
      <c r="L151" s="308">
        <f t="shared" si="45"/>
        <v>0</v>
      </c>
      <c r="M151" s="309">
        <f t="shared" si="46"/>
        <v>0</v>
      </c>
      <c r="N151" s="276"/>
      <c r="O151" s="225"/>
    </row>
    <row r="152" ht="15.75" customHeight="1">
      <c r="A152" s="268"/>
      <c r="B152" s="320"/>
      <c r="C152" s="332"/>
      <c r="D152" s="333"/>
      <c r="E152" s="330"/>
      <c r="F152" s="331"/>
      <c r="G152" s="305"/>
      <c r="H152" s="306">
        <f t="shared" si="41"/>
        <v>0</v>
      </c>
      <c r="I152" s="307">
        <f t="shared" si="42"/>
        <v>0</v>
      </c>
      <c r="J152" s="308">
        <f t="shared" si="43"/>
        <v>0</v>
      </c>
      <c r="K152" s="309">
        <f t="shared" si="44"/>
        <v>0</v>
      </c>
      <c r="L152" s="308">
        <f t="shared" si="45"/>
        <v>0</v>
      </c>
      <c r="M152" s="309">
        <f t="shared" si="46"/>
        <v>0</v>
      </c>
      <c r="N152" s="276"/>
      <c r="O152" s="225"/>
    </row>
    <row r="153" ht="15.75" customHeight="1">
      <c r="A153" s="268"/>
      <c r="B153" s="320"/>
      <c r="C153" s="332"/>
      <c r="D153" s="333"/>
      <c r="E153" s="330"/>
      <c r="F153" s="331"/>
      <c r="G153" s="305"/>
      <c r="H153" s="306">
        <f t="shared" si="41"/>
        <v>0</v>
      </c>
      <c r="I153" s="307">
        <f t="shared" si="42"/>
        <v>0</v>
      </c>
      <c r="J153" s="308">
        <f t="shared" si="43"/>
        <v>0</v>
      </c>
      <c r="K153" s="309">
        <f t="shared" si="44"/>
        <v>0</v>
      </c>
      <c r="L153" s="308">
        <f t="shared" si="45"/>
        <v>0</v>
      </c>
      <c r="M153" s="309">
        <f t="shared" si="46"/>
        <v>0</v>
      </c>
      <c r="N153" s="276"/>
      <c r="O153" s="225"/>
    </row>
    <row r="154" ht="15.75" customHeight="1">
      <c r="A154" s="268"/>
      <c r="B154" s="344"/>
      <c r="C154" s="345"/>
      <c r="D154" s="346"/>
      <c r="E154" s="347"/>
      <c r="F154" s="331">
        <f t="shared" ref="F154:F329" si="47">E154*60</f>
        <v>0</v>
      </c>
      <c r="G154" s="305"/>
      <c r="H154" s="272">
        <f t="shared" si="41"/>
        <v>0</v>
      </c>
      <c r="I154" s="273">
        <f t="shared" si="42"/>
        <v>0</v>
      </c>
      <c r="J154" s="274">
        <f t="shared" si="43"/>
        <v>0</v>
      </c>
      <c r="K154" s="275">
        <f t="shared" si="44"/>
        <v>0</v>
      </c>
      <c r="L154" s="274">
        <f t="shared" si="45"/>
        <v>0</v>
      </c>
      <c r="M154" s="275">
        <f t="shared" si="46"/>
        <v>0</v>
      </c>
      <c r="N154" s="276"/>
      <c r="O154" s="225"/>
    </row>
    <row r="155" ht="15.75" customHeight="1">
      <c r="A155" s="268"/>
      <c r="B155" s="344"/>
      <c r="C155" s="345"/>
      <c r="D155" s="348"/>
      <c r="E155" s="347"/>
      <c r="F155" s="331">
        <f t="shared" si="47"/>
        <v>0</v>
      </c>
      <c r="G155" s="305"/>
      <c r="H155" s="272">
        <f t="shared" si="41"/>
        <v>0</v>
      </c>
      <c r="I155" s="273">
        <f t="shared" si="42"/>
        <v>0</v>
      </c>
      <c r="J155" s="274">
        <f t="shared" si="43"/>
        <v>0</v>
      </c>
      <c r="K155" s="275">
        <f t="shared" si="44"/>
        <v>0</v>
      </c>
      <c r="L155" s="274">
        <f t="shared" si="45"/>
        <v>0</v>
      </c>
      <c r="M155" s="275">
        <f t="shared" si="46"/>
        <v>0</v>
      </c>
      <c r="N155" s="276"/>
      <c r="O155" s="225"/>
    </row>
    <row r="156" ht="15.75" customHeight="1">
      <c r="A156" s="268"/>
      <c r="B156" s="344"/>
      <c r="C156" s="345"/>
      <c r="D156" s="348"/>
      <c r="E156" s="347"/>
      <c r="F156" s="331">
        <f t="shared" si="47"/>
        <v>0</v>
      </c>
      <c r="G156" s="305"/>
      <c r="H156" s="272">
        <f t="shared" si="41"/>
        <v>0</v>
      </c>
      <c r="I156" s="273">
        <f t="shared" si="42"/>
        <v>0</v>
      </c>
      <c r="J156" s="274">
        <f t="shared" si="43"/>
        <v>0</v>
      </c>
      <c r="K156" s="275">
        <f t="shared" si="44"/>
        <v>0</v>
      </c>
      <c r="L156" s="274">
        <f t="shared" si="45"/>
        <v>0</v>
      </c>
      <c r="M156" s="275">
        <f t="shared" si="46"/>
        <v>0</v>
      </c>
      <c r="N156" s="276"/>
      <c r="O156" s="225"/>
    </row>
    <row r="157" ht="15.75" customHeight="1">
      <c r="A157" s="268"/>
      <c r="B157" s="344"/>
      <c r="C157" s="345"/>
      <c r="D157" s="348"/>
      <c r="E157" s="347"/>
      <c r="F157" s="331">
        <f t="shared" si="47"/>
        <v>0</v>
      </c>
      <c r="G157" s="305"/>
      <c r="H157" s="272">
        <f t="shared" si="41"/>
        <v>0</v>
      </c>
      <c r="I157" s="273">
        <f t="shared" si="42"/>
        <v>0</v>
      </c>
      <c r="J157" s="274">
        <f t="shared" si="43"/>
        <v>0</v>
      </c>
      <c r="K157" s="275">
        <f t="shared" si="44"/>
        <v>0</v>
      </c>
      <c r="L157" s="274">
        <f t="shared" si="45"/>
        <v>0</v>
      </c>
      <c r="M157" s="275">
        <f t="shared" si="46"/>
        <v>0</v>
      </c>
      <c r="N157" s="276"/>
      <c r="O157" s="225"/>
    </row>
    <row r="158" ht="15.75" customHeight="1">
      <c r="A158" s="268"/>
      <c r="B158" s="344"/>
      <c r="C158" s="345"/>
      <c r="D158" s="348"/>
      <c r="E158" s="347"/>
      <c r="F158" s="331">
        <f t="shared" si="47"/>
        <v>0</v>
      </c>
      <c r="G158" s="305"/>
      <c r="H158" s="272">
        <f t="shared" si="41"/>
        <v>0</v>
      </c>
      <c r="I158" s="273">
        <f t="shared" si="42"/>
        <v>0</v>
      </c>
      <c r="J158" s="274">
        <f t="shared" si="43"/>
        <v>0</v>
      </c>
      <c r="K158" s="275">
        <f t="shared" si="44"/>
        <v>0</v>
      </c>
      <c r="L158" s="274">
        <f t="shared" si="45"/>
        <v>0</v>
      </c>
      <c r="M158" s="275">
        <f t="shared" si="46"/>
        <v>0</v>
      </c>
      <c r="N158" s="276"/>
      <c r="O158" s="225"/>
    </row>
    <row r="159" ht="15.75" customHeight="1">
      <c r="A159" s="268"/>
      <c r="B159" s="344"/>
      <c r="C159" s="345"/>
      <c r="D159" s="348"/>
      <c r="E159" s="347"/>
      <c r="F159" s="331">
        <f t="shared" si="47"/>
        <v>0</v>
      </c>
      <c r="G159" s="305"/>
      <c r="H159" s="272">
        <f t="shared" si="41"/>
        <v>0</v>
      </c>
      <c r="I159" s="273">
        <f t="shared" si="42"/>
        <v>0</v>
      </c>
      <c r="J159" s="274">
        <f t="shared" si="43"/>
        <v>0</v>
      </c>
      <c r="K159" s="275">
        <f t="shared" si="44"/>
        <v>0</v>
      </c>
      <c r="L159" s="274">
        <f t="shared" si="45"/>
        <v>0</v>
      </c>
      <c r="M159" s="275">
        <f t="shared" si="46"/>
        <v>0</v>
      </c>
      <c r="N159" s="276"/>
      <c r="O159" s="225"/>
    </row>
    <row r="160" ht="15.75" customHeight="1">
      <c r="A160" s="268"/>
      <c r="B160" s="344"/>
      <c r="C160" s="345"/>
      <c r="D160" s="348"/>
      <c r="E160" s="347"/>
      <c r="F160" s="331">
        <f t="shared" si="47"/>
        <v>0</v>
      </c>
      <c r="G160" s="305"/>
      <c r="H160" s="272">
        <f t="shared" si="41"/>
        <v>0</v>
      </c>
      <c r="I160" s="273">
        <f t="shared" si="42"/>
        <v>0</v>
      </c>
      <c r="J160" s="274">
        <f t="shared" si="43"/>
        <v>0</v>
      </c>
      <c r="K160" s="275">
        <f t="shared" si="44"/>
        <v>0</v>
      </c>
      <c r="L160" s="274">
        <f t="shared" si="45"/>
        <v>0</v>
      </c>
      <c r="M160" s="275">
        <f t="shared" si="46"/>
        <v>0</v>
      </c>
      <c r="N160" s="276"/>
      <c r="O160" s="225"/>
    </row>
    <row r="161" ht="15.75" customHeight="1">
      <c r="A161" s="268"/>
      <c r="B161" s="344"/>
      <c r="C161" s="349"/>
      <c r="D161" s="350"/>
      <c r="E161" s="351"/>
      <c r="F161" s="331">
        <f t="shared" si="47"/>
        <v>0</v>
      </c>
      <c r="G161" s="305"/>
      <c r="H161" s="272">
        <f t="shared" si="41"/>
        <v>0</v>
      </c>
      <c r="I161" s="273">
        <f t="shared" si="42"/>
        <v>0</v>
      </c>
      <c r="J161" s="274">
        <f t="shared" si="43"/>
        <v>0</v>
      </c>
      <c r="K161" s="275">
        <f t="shared" si="44"/>
        <v>0</v>
      </c>
      <c r="L161" s="274">
        <f t="shared" si="45"/>
        <v>0</v>
      </c>
      <c r="M161" s="275">
        <f t="shared" si="46"/>
        <v>0</v>
      </c>
      <c r="N161" s="276"/>
      <c r="O161" s="225"/>
    </row>
    <row r="162" ht="15.75" customHeight="1">
      <c r="A162" s="268"/>
      <c r="B162" s="344"/>
      <c r="C162" s="349"/>
      <c r="D162" s="350"/>
      <c r="E162" s="351"/>
      <c r="F162" s="331">
        <f t="shared" si="47"/>
        <v>0</v>
      </c>
      <c r="G162" s="305"/>
      <c r="H162" s="272">
        <f t="shared" si="41"/>
        <v>0</v>
      </c>
      <c r="I162" s="273">
        <f t="shared" si="42"/>
        <v>0</v>
      </c>
      <c r="J162" s="274">
        <f t="shared" si="43"/>
        <v>0</v>
      </c>
      <c r="K162" s="275">
        <f t="shared" si="44"/>
        <v>0</v>
      </c>
      <c r="L162" s="274">
        <f t="shared" si="45"/>
        <v>0</v>
      </c>
      <c r="M162" s="275">
        <f t="shared" si="46"/>
        <v>0</v>
      </c>
      <c r="N162" s="276"/>
      <c r="O162" s="225"/>
    </row>
    <row r="163" ht="15.75" customHeight="1">
      <c r="A163" s="268"/>
      <c r="B163" s="344"/>
      <c r="C163" s="349"/>
      <c r="D163" s="350"/>
      <c r="E163" s="351"/>
      <c r="F163" s="331">
        <f t="shared" si="47"/>
        <v>0</v>
      </c>
      <c r="G163" s="305"/>
      <c r="H163" s="272">
        <f t="shared" si="41"/>
        <v>0</v>
      </c>
      <c r="I163" s="273">
        <f t="shared" si="42"/>
        <v>0</v>
      </c>
      <c r="J163" s="274">
        <f t="shared" si="43"/>
        <v>0</v>
      </c>
      <c r="K163" s="275">
        <f t="shared" si="44"/>
        <v>0</v>
      </c>
      <c r="L163" s="274">
        <f t="shared" si="45"/>
        <v>0</v>
      </c>
      <c r="M163" s="275">
        <f t="shared" si="46"/>
        <v>0</v>
      </c>
      <c r="N163" s="276"/>
      <c r="O163" s="225"/>
    </row>
    <row r="164" ht="15.75" customHeight="1">
      <c r="A164" s="268"/>
      <c r="B164" s="344"/>
      <c r="C164" s="352"/>
      <c r="D164" s="350"/>
      <c r="E164" s="351"/>
      <c r="F164" s="331">
        <f t="shared" si="47"/>
        <v>0</v>
      </c>
      <c r="G164" s="305"/>
      <c r="H164" s="272">
        <f t="shared" si="41"/>
        <v>0</v>
      </c>
      <c r="I164" s="273">
        <f t="shared" si="42"/>
        <v>0</v>
      </c>
      <c r="J164" s="274">
        <f t="shared" si="43"/>
        <v>0</v>
      </c>
      <c r="K164" s="275">
        <f t="shared" si="44"/>
        <v>0</v>
      </c>
      <c r="L164" s="274">
        <f t="shared" si="45"/>
        <v>0</v>
      </c>
      <c r="M164" s="275">
        <f t="shared" si="46"/>
        <v>0</v>
      </c>
      <c r="N164" s="276"/>
      <c r="O164" s="225"/>
    </row>
    <row r="165" ht="15.75" customHeight="1">
      <c r="A165" s="268"/>
      <c r="B165" s="344"/>
      <c r="C165" s="352"/>
      <c r="D165" s="350"/>
      <c r="E165" s="351"/>
      <c r="F165" s="331">
        <f t="shared" si="47"/>
        <v>0</v>
      </c>
      <c r="G165" s="305"/>
      <c r="H165" s="272">
        <f t="shared" si="41"/>
        <v>0</v>
      </c>
      <c r="I165" s="273">
        <f t="shared" si="42"/>
        <v>0</v>
      </c>
      <c r="J165" s="274">
        <f t="shared" si="43"/>
        <v>0</v>
      </c>
      <c r="K165" s="275">
        <f t="shared" si="44"/>
        <v>0</v>
      </c>
      <c r="L165" s="274">
        <f t="shared" si="45"/>
        <v>0</v>
      </c>
      <c r="M165" s="275">
        <f t="shared" si="46"/>
        <v>0</v>
      </c>
      <c r="N165" s="276"/>
      <c r="O165" s="225"/>
    </row>
    <row r="166" ht="15.75" customHeight="1">
      <c r="A166" s="268"/>
      <c r="B166" s="344"/>
      <c r="C166" s="352"/>
      <c r="D166" s="350"/>
      <c r="E166" s="351"/>
      <c r="F166" s="331">
        <f t="shared" si="47"/>
        <v>0</v>
      </c>
      <c r="G166" s="305"/>
      <c r="H166" s="272">
        <f t="shared" si="41"/>
        <v>0</v>
      </c>
      <c r="I166" s="273">
        <f t="shared" si="42"/>
        <v>0</v>
      </c>
      <c r="J166" s="274">
        <f t="shared" si="43"/>
        <v>0</v>
      </c>
      <c r="K166" s="275">
        <f t="shared" si="44"/>
        <v>0</v>
      </c>
      <c r="L166" s="274">
        <f t="shared" si="45"/>
        <v>0</v>
      </c>
      <c r="M166" s="275">
        <f t="shared" si="46"/>
        <v>0</v>
      </c>
      <c r="N166" s="276"/>
      <c r="O166" s="225"/>
    </row>
    <row r="167" ht="15.75" customHeight="1">
      <c r="A167" s="268"/>
      <c r="B167" s="344"/>
      <c r="C167" s="349"/>
      <c r="D167" s="350"/>
      <c r="E167" s="351"/>
      <c r="F167" s="331">
        <f t="shared" si="47"/>
        <v>0</v>
      </c>
      <c r="G167" s="305"/>
      <c r="H167" s="272">
        <f t="shared" si="41"/>
        <v>0</v>
      </c>
      <c r="I167" s="273">
        <f t="shared" si="42"/>
        <v>0</v>
      </c>
      <c r="J167" s="274">
        <f t="shared" si="43"/>
        <v>0</v>
      </c>
      <c r="K167" s="275">
        <f t="shared" si="44"/>
        <v>0</v>
      </c>
      <c r="L167" s="274">
        <f t="shared" si="45"/>
        <v>0</v>
      </c>
      <c r="M167" s="275">
        <f t="shared" si="46"/>
        <v>0</v>
      </c>
      <c r="N167" s="276"/>
      <c r="O167" s="225"/>
    </row>
    <row r="168" ht="15.75" customHeight="1">
      <c r="A168" s="268"/>
      <c r="B168" s="344"/>
      <c r="C168" s="349"/>
      <c r="D168" s="350"/>
      <c r="E168" s="351"/>
      <c r="F168" s="331">
        <f t="shared" si="47"/>
        <v>0</v>
      </c>
      <c r="G168" s="305"/>
      <c r="H168" s="272">
        <f t="shared" si="41"/>
        <v>0</v>
      </c>
      <c r="I168" s="273">
        <f t="shared" si="42"/>
        <v>0</v>
      </c>
      <c r="J168" s="274">
        <f t="shared" si="43"/>
        <v>0</v>
      </c>
      <c r="K168" s="275">
        <f t="shared" si="44"/>
        <v>0</v>
      </c>
      <c r="L168" s="274">
        <f t="shared" si="45"/>
        <v>0</v>
      </c>
      <c r="M168" s="275">
        <f t="shared" si="46"/>
        <v>0</v>
      </c>
      <c r="N168" s="276"/>
      <c r="O168" s="225"/>
    </row>
    <row r="169" ht="15.75" customHeight="1">
      <c r="A169" s="268"/>
      <c r="B169" s="344"/>
      <c r="C169" s="353"/>
      <c r="D169" s="350"/>
      <c r="E169" s="351"/>
      <c r="F169" s="331">
        <f t="shared" si="47"/>
        <v>0</v>
      </c>
      <c r="G169" s="305"/>
      <c r="H169" s="272">
        <f t="shared" si="41"/>
        <v>0</v>
      </c>
      <c r="I169" s="273">
        <f t="shared" si="42"/>
        <v>0</v>
      </c>
      <c r="J169" s="274">
        <f t="shared" si="43"/>
        <v>0</v>
      </c>
      <c r="K169" s="275">
        <f t="shared" si="44"/>
        <v>0</v>
      </c>
      <c r="L169" s="274">
        <f t="shared" si="45"/>
        <v>0</v>
      </c>
      <c r="M169" s="275">
        <f t="shared" si="46"/>
        <v>0</v>
      </c>
      <c r="N169" s="276"/>
      <c r="O169" s="232"/>
      <c r="P169" s="233"/>
      <c r="Q169" s="233"/>
    </row>
    <row r="170" ht="15.75" customHeight="1">
      <c r="A170" s="268"/>
      <c r="B170" s="344"/>
      <c r="C170" s="349"/>
      <c r="D170" s="350"/>
      <c r="E170" s="351"/>
      <c r="F170" s="331">
        <f t="shared" si="47"/>
        <v>0</v>
      </c>
      <c r="G170" s="305"/>
      <c r="H170" s="272">
        <f t="shared" si="41"/>
        <v>0</v>
      </c>
      <c r="I170" s="273">
        <f t="shared" si="42"/>
        <v>0</v>
      </c>
      <c r="J170" s="274">
        <f t="shared" si="43"/>
        <v>0</v>
      </c>
      <c r="K170" s="275">
        <f t="shared" si="44"/>
        <v>0</v>
      </c>
      <c r="L170" s="274">
        <f t="shared" si="45"/>
        <v>0</v>
      </c>
      <c r="M170" s="275">
        <f t="shared" si="46"/>
        <v>0</v>
      </c>
      <c r="N170" s="276"/>
      <c r="O170" s="232"/>
      <c r="P170" s="233"/>
      <c r="Q170" s="233"/>
    </row>
    <row r="171" ht="15.75" customHeight="1">
      <c r="A171" s="268"/>
      <c r="B171" s="344"/>
      <c r="C171" s="349"/>
      <c r="D171" s="350"/>
      <c r="E171" s="351"/>
      <c r="F171" s="331">
        <f t="shared" si="47"/>
        <v>0</v>
      </c>
      <c r="G171" s="305"/>
      <c r="H171" s="272">
        <f t="shared" si="41"/>
        <v>0</v>
      </c>
      <c r="I171" s="273">
        <f t="shared" si="42"/>
        <v>0</v>
      </c>
      <c r="J171" s="274">
        <f t="shared" si="43"/>
        <v>0</v>
      </c>
      <c r="K171" s="275">
        <f t="shared" si="44"/>
        <v>0</v>
      </c>
      <c r="L171" s="274">
        <f t="shared" si="45"/>
        <v>0</v>
      </c>
      <c r="M171" s="275">
        <f t="shared" si="46"/>
        <v>0</v>
      </c>
      <c r="N171" s="276"/>
      <c r="O171" s="232"/>
      <c r="P171" s="233"/>
      <c r="Q171" s="233"/>
    </row>
    <row r="172" ht="15.75" customHeight="1">
      <c r="A172" s="268"/>
      <c r="B172" s="344"/>
      <c r="C172" s="349"/>
      <c r="D172" s="350"/>
      <c r="E172" s="351"/>
      <c r="F172" s="331">
        <f t="shared" si="47"/>
        <v>0</v>
      </c>
      <c r="G172" s="305"/>
      <c r="H172" s="272">
        <f t="shared" si="41"/>
        <v>0</v>
      </c>
      <c r="I172" s="273">
        <f t="shared" si="42"/>
        <v>0</v>
      </c>
      <c r="J172" s="274">
        <f t="shared" si="43"/>
        <v>0</v>
      </c>
      <c r="K172" s="275">
        <f t="shared" si="44"/>
        <v>0</v>
      </c>
      <c r="L172" s="274">
        <f t="shared" si="45"/>
        <v>0</v>
      </c>
      <c r="M172" s="275">
        <f t="shared" si="46"/>
        <v>0</v>
      </c>
      <c r="N172" s="276"/>
      <c r="O172" s="232"/>
      <c r="P172" s="233"/>
      <c r="Q172" s="233"/>
    </row>
    <row r="173" ht="15.75" customHeight="1">
      <c r="A173" s="268"/>
      <c r="B173" s="344"/>
      <c r="C173" s="349"/>
      <c r="D173" s="350"/>
      <c r="E173" s="351"/>
      <c r="F173" s="331">
        <f t="shared" si="47"/>
        <v>0</v>
      </c>
      <c r="G173" s="305"/>
      <c r="H173" s="272">
        <f t="shared" si="41"/>
        <v>0</v>
      </c>
      <c r="I173" s="273">
        <f t="shared" si="42"/>
        <v>0</v>
      </c>
      <c r="J173" s="274">
        <f t="shared" si="43"/>
        <v>0</v>
      </c>
      <c r="K173" s="275">
        <f t="shared" si="44"/>
        <v>0</v>
      </c>
      <c r="L173" s="274">
        <f t="shared" si="45"/>
        <v>0</v>
      </c>
      <c r="M173" s="275">
        <f t="shared" si="46"/>
        <v>0</v>
      </c>
      <c r="N173" s="276"/>
      <c r="O173" s="232"/>
      <c r="P173" s="233"/>
      <c r="Q173" s="233"/>
    </row>
    <row r="174" ht="15.75" customHeight="1">
      <c r="A174" s="268"/>
      <c r="B174" s="344"/>
      <c r="C174" s="349"/>
      <c r="D174" s="350"/>
      <c r="E174" s="351"/>
      <c r="F174" s="331">
        <f t="shared" si="47"/>
        <v>0</v>
      </c>
      <c r="G174" s="305"/>
      <c r="H174" s="272">
        <f t="shared" si="41"/>
        <v>0</v>
      </c>
      <c r="I174" s="273">
        <f t="shared" si="42"/>
        <v>0</v>
      </c>
      <c r="J174" s="274">
        <f t="shared" si="43"/>
        <v>0</v>
      </c>
      <c r="K174" s="275">
        <f t="shared" si="44"/>
        <v>0</v>
      </c>
      <c r="L174" s="274">
        <f t="shared" si="45"/>
        <v>0</v>
      </c>
      <c r="M174" s="275">
        <f t="shared" si="46"/>
        <v>0</v>
      </c>
      <c r="N174" s="276"/>
      <c r="O174" s="232"/>
      <c r="P174" s="233"/>
      <c r="Q174" s="233"/>
    </row>
    <row r="175" ht="15.75" customHeight="1">
      <c r="A175" s="268"/>
      <c r="B175" s="344"/>
      <c r="C175" s="352"/>
      <c r="D175" s="350"/>
      <c r="E175" s="351"/>
      <c r="F175" s="331">
        <f t="shared" si="47"/>
        <v>0</v>
      </c>
      <c r="G175" s="305"/>
      <c r="H175" s="272">
        <f t="shared" si="41"/>
        <v>0</v>
      </c>
      <c r="I175" s="273">
        <f t="shared" si="42"/>
        <v>0</v>
      </c>
      <c r="J175" s="274">
        <f t="shared" si="43"/>
        <v>0</v>
      </c>
      <c r="K175" s="275">
        <f t="shared" si="44"/>
        <v>0</v>
      </c>
      <c r="L175" s="274">
        <f t="shared" si="45"/>
        <v>0</v>
      </c>
      <c r="M175" s="275">
        <f t="shared" si="46"/>
        <v>0</v>
      </c>
      <c r="N175" s="276"/>
      <c r="O175" s="232"/>
      <c r="P175" s="233"/>
      <c r="Q175" s="233"/>
    </row>
    <row r="176" ht="15.75" customHeight="1">
      <c r="A176" s="268"/>
      <c r="B176" s="344"/>
      <c r="C176" s="349"/>
      <c r="D176" s="350"/>
      <c r="E176" s="351"/>
      <c r="F176" s="331">
        <f t="shared" si="47"/>
        <v>0</v>
      </c>
      <c r="G176" s="305"/>
      <c r="H176" s="272">
        <f t="shared" si="41"/>
        <v>0</v>
      </c>
      <c r="I176" s="273">
        <f t="shared" si="42"/>
        <v>0</v>
      </c>
      <c r="J176" s="274">
        <f t="shared" si="43"/>
        <v>0</v>
      </c>
      <c r="K176" s="275">
        <f t="shared" si="44"/>
        <v>0</v>
      </c>
      <c r="L176" s="274">
        <f t="shared" si="45"/>
        <v>0</v>
      </c>
      <c r="M176" s="275">
        <f t="shared" si="46"/>
        <v>0</v>
      </c>
      <c r="N176" s="276"/>
      <c r="O176" s="232"/>
      <c r="P176" s="233"/>
      <c r="Q176" s="233"/>
    </row>
    <row r="177" ht="15.75" customHeight="1">
      <c r="A177" s="268"/>
      <c r="B177" s="344"/>
      <c r="C177" s="353"/>
      <c r="D177" s="354"/>
      <c r="E177" s="351"/>
      <c r="F177" s="331">
        <f t="shared" si="47"/>
        <v>0</v>
      </c>
      <c r="G177" s="305"/>
      <c r="H177" s="272">
        <f t="shared" si="41"/>
        <v>0</v>
      </c>
      <c r="I177" s="273">
        <f t="shared" si="42"/>
        <v>0</v>
      </c>
      <c r="J177" s="274">
        <f t="shared" si="43"/>
        <v>0</v>
      </c>
      <c r="K177" s="275">
        <f t="shared" si="44"/>
        <v>0</v>
      </c>
      <c r="L177" s="274">
        <f t="shared" si="45"/>
        <v>0</v>
      </c>
      <c r="M177" s="275">
        <f t="shared" si="46"/>
        <v>0</v>
      </c>
      <c r="N177" s="276"/>
      <c r="O177" s="232"/>
      <c r="P177" s="233"/>
      <c r="Q177" s="233"/>
    </row>
    <row r="178" ht="15.75" customHeight="1">
      <c r="A178" s="268"/>
      <c r="B178" s="344"/>
      <c r="C178" s="352"/>
      <c r="D178" s="350"/>
      <c r="E178" s="355"/>
      <c r="F178" s="331">
        <f t="shared" si="47"/>
        <v>0</v>
      </c>
      <c r="G178" s="305"/>
      <c r="H178" s="272">
        <f t="shared" si="41"/>
        <v>0</v>
      </c>
      <c r="I178" s="273">
        <f t="shared" si="42"/>
        <v>0</v>
      </c>
      <c r="J178" s="274">
        <f t="shared" si="43"/>
        <v>0</v>
      </c>
      <c r="K178" s="275">
        <f t="shared" si="44"/>
        <v>0</v>
      </c>
      <c r="L178" s="274">
        <f t="shared" si="45"/>
        <v>0</v>
      </c>
      <c r="M178" s="275">
        <f t="shared" si="46"/>
        <v>0</v>
      </c>
      <c r="N178" s="276"/>
      <c r="O178" s="232"/>
      <c r="P178" s="233"/>
      <c r="Q178" s="233"/>
    </row>
    <row r="179" ht="15.75" customHeight="1">
      <c r="A179" s="268"/>
      <c r="B179" s="344"/>
      <c r="C179" s="352"/>
      <c r="D179" s="350"/>
      <c r="E179" s="355"/>
      <c r="F179" s="331">
        <f t="shared" si="47"/>
        <v>0</v>
      </c>
      <c r="G179" s="305"/>
      <c r="H179" s="272">
        <f t="shared" si="41"/>
        <v>0</v>
      </c>
      <c r="I179" s="273">
        <f t="shared" si="42"/>
        <v>0</v>
      </c>
      <c r="J179" s="274">
        <f t="shared" si="43"/>
        <v>0</v>
      </c>
      <c r="K179" s="275">
        <f t="shared" si="44"/>
        <v>0</v>
      </c>
      <c r="L179" s="274">
        <f t="shared" si="45"/>
        <v>0</v>
      </c>
      <c r="M179" s="275">
        <f t="shared" si="46"/>
        <v>0</v>
      </c>
      <c r="N179" s="276"/>
      <c r="O179" s="232"/>
      <c r="P179" s="233"/>
      <c r="Q179" s="233"/>
    </row>
    <row r="180" ht="15.75" customHeight="1">
      <c r="A180" s="268"/>
      <c r="B180" s="344"/>
      <c r="C180" s="352"/>
      <c r="D180" s="350"/>
      <c r="E180" s="355"/>
      <c r="F180" s="331">
        <f t="shared" si="47"/>
        <v>0</v>
      </c>
      <c r="G180" s="305"/>
      <c r="H180" s="272">
        <f t="shared" si="41"/>
        <v>0</v>
      </c>
      <c r="I180" s="273">
        <f t="shared" si="42"/>
        <v>0</v>
      </c>
      <c r="J180" s="274">
        <f t="shared" si="43"/>
        <v>0</v>
      </c>
      <c r="K180" s="275">
        <f t="shared" si="44"/>
        <v>0</v>
      </c>
      <c r="L180" s="274">
        <f t="shared" si="45"/>
        <v>0</v>
      </c>
      <c r="M180" s="275">
        <f t="shared" si="46"/>
        <v>0</v>
      </c>
      <c r="N180" s="276"/>
      <c r="O180" s="232"/>
      <c r="P180" s="233"/>
      <c r="Q180" s="233"/>
    </row>
    <row r="181" ht="15.75" customHeight="1">
      <c r="A181" s="268"/>
      <c r="B181" s="344"/>
      <c r="C181" s="349"/>
      <c r="D181" s="350"/>
      <c r="E181" s="355"/>
      <c r="F181" s="331">
        <f t="shared" si="47"/>
        <v>0</v>
      </c>
      <c r="G181" s="305"/>
      <c r="H181" s="272">
        <f t="shared" si="41"/>
        <v>0</v>
      </c>
      <c r="I181" s="273">
        <f t="shared" si="42"/>
        <v>0</v>
      </c>
      <c r="J181" s="274">
        <f t="shared" si="43"/>
        <v>0</v>
      </c>
      <c r="K181" s="275">
        <f t="shared" si="44"/>
        <v>0</v>
      </c>
      <c r="L181" s="274">
        <f t="shared" si="45"/>
        <v>0</v>
      </c>
      <c r="M181" s="275">
        <f t="shared" si="46"/>
        <v>0</v>
      </c>
      <c r="N181" s="276"/>
      <c r="O181" s="232"/>
      <c r="P181" s="233"/>
      <c r="Q181" s="233"/>
    </row>
    <row r="182" ht="15.75" customHeight="1">
      <c r="A182" s="268"/>
      <c r="B182" s="344"/>
      <c r="C182" s="349"/>
      <c r="D182" s="350"/>
      <c r="E182" s="355"/>
      <c r="F182" s="331">
        <f t="shared" si="47"/>
        <v>0</v>
      </c>
      <c r="G182" s="305"/>
      <c r="H182" s="272">
        <f t="shared" si="41"/>
        <v>0</v>
      </c>
      <c r="I182" s="273">
        <f t="shared" si="42"/>
        <v>0</v>
      </c>
      <c r="J182" s="274">
        <f t="shared" si="43"/>
        <v>0</v>
      </c>
      <c r="K182" s="275">
        <f t="shared" si="44"/>
        <v>0</v>
      </c>
      <c r="L182" s="274">
        <f t="shared" si="45"/>
        <v>0</v>
      </c>
      <c r="M182" s="275">
        <f t="shared" si="46"/>
        <v>0</v>
      </c>
      <c r="N182" s="276"/>
      <c r="O182" s="232"/>
      <c r="P182" s="233"/>
      <c r="Q182" s="233"/>
    </row>
    <row r="183" ht="15.75" customHeight="1">
      <c r="A183" s="268"/>
      <c r="B183" s="344"/>
      <c r="C183" s="349"/>
      <c r="D183" s="350"/>
      <c r="E183" s="355"/>
      <c r="F183" s="331">
        <f t="shared" si="47"/>
        <v>0</v>
      </c>
      <c r="G183" s="305"/>
      <c r="H183" s="272">
        <f t="shared" si="41"/>
        <v>0</v>
      </c>
      <c r="I183" s="273">
        <f t="shared" si="42"/>
        <v>0</v>
      </c>
      <c r="J183" s="274">
        <f t="shared" si="43"/>
        <v>0</v>
      </c>
      <c r="K183" s="275">
        <f t="shared" si="44"/>
        <v>0</v>
      </c>
      <c r="L183" s="274">
        <f t="shared" si="45"/>
        <v>0</v>
      </c>
      <c r="M183" s="275">
        <f t="shared" si="46"/>
        <v>0</v>
      </c>
      <c r="N183" s="276"/>
      <c r="O183" s="232"/>
      <c r="P183" s="233"/>
      <c r="Q183" s="233"/>
    </row>
    <row r="184" ht="15.75" customHeight="1">
      <c r="A184" s="268"/>
      <c r="B184" s="344"/>
      <c r="C184" s="352"/>
      <c r="D184" s="350"/>
      <c r="E184" s="355"/>
      <c r="F184" s="331">
        <f t="shared" si="47"/>
        <v>0</v>
      </c>
      <c r="G184" s="305"/>
      <c r="H184" s="272">
        <f t="shared" si="41"/>
        <v>0</v>
      </c>
      <c r="I184" s="273">
        <f t="shared" si="42"/>
        <v>0</v>
      </c>
      <c r="J184" s="274">
        <f t="shared" si="43"/>
        <v>0</v>
      </c>
      <c r="K184" s="275">
        <f t="shared" si="44"/>
        <v>0</v>
      </c>
      <c r="L184" s="274">
        <f t="shared" si="45"/>
        <v>0</v>
      </c>
      <c r="M184" s="275">
        <f t="shared" si="46"/>
        <v>0</v>
      </c>
      <c r="N184" s="276"/>
      <c r="O184" s="232"/>
      <c r="P184" s="233"/>
      <c r="Q184" s="233"/>
    </row>
    <row r="185" ht="15.75" customHeight="1">
      <c r="A185" s="268"/>
      <c r="B185" s="344"/>
      <c r="C185" s="349"/>
      <c r="D185" s="350"/>
      <c r="E185" s="355"/>
      <c r="F185" s="331">
        <f t="shared" si="47"/>
        <v>0</v>
      </c>
      <c r="G185" s="305"/>
      <c r="H185" s="272">
        <f t="shared" si="41"/>
        <v>0</v>
      </c>
      <c r="I185" s="273">
        <f t="shared" si="42"/>
        <v>0</v>
      </c>
      <c r="J185" s="274">
        <f t="shared" si="43"/>
        <v>0</v>
      </c>
      <c r="K185" s="275">
        <f t="shared" si="44"/>
        <v>0</v>
      </c>
      <c r="L185" s="274">
        <f t="shared" si="45"/>
        <v>0</v>
      </c>
      <c r="M185" s="275">
        <f t="shared" si="46"/>
        <v>0</v>
      </c>
      <c r="N185" s="276"/>
      <c r="O185" s="232"/>
      <c r="P185" s="233"/>
      <c r="Q185" s="233"/>
    </row>
    <row r="186" ht="15.75" customHeight="1">
      <c r="A186" s="268"/>
      <c r="B186" s="344"/>
      <c r="C186" s="349"/>
      <c r="D186" s="350"/>
      <c r="E186" s="355"/>
      <c r="F186" s="331">
        <f t="shared" si="47"/>
        <v>0</v>
      </c>
      <c r="G186" s="305"/>
      <c r="H186" s="272">
        <f t="shared" si="41"/>
        <v>0</v>
      </c>
      <c r="I186" s="273">
        <f t="shared" si="42"/>
        <v>0</v>
      </c>
      <c r="J186" s="274">
        <f t="shared" si="43"/>
        <v>0</v>
      </c>
      <c r="K186" s="275">
        <f t="shared" si="44"/>
        <v>0</v>
      </c>
      <c r="L186" s="274">
        <f t="shared" si="45"/>
        <v>0</v>
      </c>
      <c r="M186" s="275">
        <f t="shared" si="46"/>
        <v>0</v>
      </c>
      <c r="N186" s="276"/>
      <c r="O186" s="232"/>
      <c r="P186" s="233"/>
      <c r="Q186" s="233"/>
    </row>
    <row r="187" ht="15.75" customHeight="1">
      <c r="A187" s="268"/>
      <c r="B187" s="344"/>
      <c r="C187" s="349"/>
      <c r="D187" s="350"/>
      <c r="E187" s="355"/>
      <c r="F187" s="331">
        <f t="shared" si="47"/>
        <v>0</v>
      </c>
      <c r="G187" s="305"/>
      <c r="H187" s="272">
        <f t="shared" si="41"/>
        <v>0</v>
      </c>
      <c r="I187" s="273">
        <f t="shared" si="42"/>
        <v>0</v>
      </c>
      <c r="J187" s="274">
        <f t="shared" si="43"/>
        <v>0</v>
      </c>
      <c r="K187" s="275">
        <f t="shared" si="44"/>
        <v>0</v>
      </c>
      <c r="L187" s="274">
        <f t="shared" si="45"/>
        <v>0</v>
      </c>
      <c r="M187" s="275">
        <f t="shared" si="46"/>
        <v>0</v>
      </c>
      <c r="N187" s="276"/>
      <c r="O187" s="232"/>
      <c r="P187" s="233"/>
      <c r="Q187" s="233"/>
    </row>
    <row r="188" ht="15.75" customHeight="1">
      <c r="A188" s="268"/>
      <c r="B188" s="344"/>
      <c r="C188" s="349"/>
      <c r="D188" s="350"/>
      <c r="E188" s="355"/>
      <c r="F188" s="331">
        <f t="shared" si="47"/>
        <v>0</v>
      </c>
      <c r="G188" s="305"/>
      <c r="H188" s="272">
        <f t="shared" si="41"/>
        <v>0</v>
      </c>
      <c r="I188" s="273">
        <f t="shared" si="42"/>
        <v>0</v>
      </c>
      <c r="J188" s="274">
        <f t="shared" si="43"/>
        <v>0</v>
      </c>
      <c r="K188" s="275">
        <f t="shared" si="44"/>
        <v>0</v>
      </c>
      <c r="L188" s="274">
        <f t="shared" si="45"/>
        <v>0</v>
      </c>
      <c r="M188" s="275">
        <f t="shared" si="46"/>
        <v>0</v>
      </c>
      <c r="N188" s="276"/>
      <c r="O188" s="232"/>
      <c r="P188" s="233"/>
      <c r="Q188" s="233"/>
    </row>
    <row r="189" ht="15.75" customHeight="1">
      <c r="A189" s="268"/>
      <c r="B189" s="344"/>
      <c r="C189" s="349"/>
      <c r="D189" s="350"/>
      <c r="E189" s="355"/>
      <c r="F189" s="331">
        <f t="shared" si="47"/>
        <v>0</v>
      </c>
      <c r="G189" s="305"/>
      <c r="H189" s="272">
        <f t="shared" si="41"/>
        <v>0</v>
      </c>
      <c r="I189" s="273">
        <f t="shared" si="42"/>
        <v>0</v>
      </c>
      <c r="J189" s="274">
        <f t="shared" si="43"/>
        <v>0</v>
      </c>
      <c r="K189" s="275">
        <f t="shared" si="44"/>
        <v>0</v>
      </c>
      <c r="L189" s="274">
        <f t="shared" si="45"/>
        <v>0</v>
      </c>
      <c r="M189" s="275">
        <f t="shared" si="46"/>
        <v>0</v>
      </c>
      <c r="N189" s="276"/>
      <c r="O189" s="232"/>
      <c r="P189" s="233"/>
      <c r="Q189" s="233"/>
    </row>
    <row r="190" ht="15.75" customHeight="1">
      <c r="A190" s="268"/>
      <c r="B190" s="344"/>
      <c r="C190" s="349"/>
      <c r="D190" s="350"/>
      <c r="E190" s="355"/>
      <c r="F190" s="331">
        <f t="shared" si="47"/>
        <v>0</v>
      </c>
      <c r="G190" s="305"/>
      <c r="H190" s="272">
        <f t="shared" si="41"/>
        <v>0</v>
      </c>
      <c r="I190" s="273">
        <f t="shared" si="42"/>
        <v>0</v>
      </c>
      <c r="J190" s="274">
        <f t="shared" si="43"/>
        <v>0</v>
      </c>
      <c r="K190" s="275">
        <f t="shared" si="44"/>
        <v>0</v>
      </c>
      <c r="L190" s="274">
        <f t="shared" si="45"/>
        <v>0</v>
      </c>
      <c r="M190" s="275">
        <f t="shared" si="46"/>
        <v>0</v>
      </c>
      <c r="N190" s="276"/>
      <c r="O190" s="232"/>
      <c r="P190" s="233"/>
      <c r="Q190" s="233"/>
    </row>
    <row r="191" ht="15.75" customHeight="1">
      <c r="A191" s="268"/>
      <c r="B191" s="344"/>
      <c r="C191" s="349"/>
      <c r="D191" s="350"/>
      <c r="E191" s="355"/>
      <c r="F191" s="331">
        <f t="shared" si="47"/>
        <v>0</v>
      </c>
      <c r="G191" s="305"/>
      <c r="H191" s="272">
        <f t="shared" si="41"/>
        <v>0</v>
      </c>
      <c r="I191" s="273">
        <f t="shared" si="42"/>
        <v>0</v>
      </c>
      <c r="J191" s="274">
        <f t="shared" si="43"/>
        <v>0</v>
      </c>
      <c r="K191" s="275">
        <f t="shared" si="44"/>
        <v>0</v>
      </c>
      <c r="L191" s="274">
        <f t="shared" si="45"/>
        <v>0</v>
      </c>
      <c r="M191" s="275">
        <f t="shared" si="46"/>
        <v>0</v>
      </c>
      <c r="N191" s="276"/>
      <c r="O191" s="232"/>
      <c r="P191" s="233"/>
      <c r="Q191" s="233"/>
    </row>
    <row r="192" ht="15.75" customHeight="1">
      <c r="A192" s="268"/>
      <c r="B192" s="344"/>
      <c r="C192" s="349"/>
      <c r="D192" s="350"/>
      <c r="E192" s="355"/>
      <c r="F192" s="331">
        <f t="shared" si="47"/>
        <v>0</v>
      </c>
      <c r="G192" s="305"/>
      <c r="H192" s="272">
        <f t="shared" si="41"/>
        <v>0</v>
      </c>
      <c r="I192" s="273">
        <f t="shared" si="42"/>
        <v>0</v>
      </c>
      <c r="J192" s="274">
        <f t="shared" si="43"/>
        <v>0</v>
      </c>
      <c r="K192" s="275">
        <f t="shared" si="44"/>
        <v>0</v>
      </c>
      <c r="L192" s="274">
        <f t="shared" si="45"/>
        <v>0</v>
      </c>
      <c r="M192" s="275">
        <f t="shared" si="46"/>
        <v>0</v>
      </c>
      <c r="N192" s="276"/>
      <c r="O192" s="232"/>
      <c r="P192" s="233"/>
      <c r="Q192" s="233"/>
    </row>
    <row r="193" ht="15.75" customHeight="1">
      <c r="A193" s="268"/>
      <c r="B193" s="344"/>
      <c r="C193" s="353"/>
      <c r="D193" s="354"/>
      <c r="E193" s="355"/>
      <c r="F193" s="331">
        <f t="shared" si="47"/>
        <v>0</v>
      </c>
      <c r="G193" s="305"/>
      <c r="H193" s="272">
        <f t="shared" si="41"/>
        <v>0</v>
      </c>
      <c r="I193" s="273">
        <f t="shared" si="42"/>
        <v>0</v>
      </c>
      <c r="J193" s="274">
        <f t="shared" si="43"/>
        <v>0</v>
      </c>
      <c r="K193" s="275">
        <f t="shared" si="44"/>
        <v>0</v>
      </c>
      <c r="L193" s="274">
        <f t="shared" si="45"/>
        <v>0</v>
      </c>
      <c r="M193" s="275">
        <f t="shared" si="46"/>
        <v>0</v>
      </c>
      <c r="N193" s="276"/>
      <c r="O193" s="232"/>
      <c r="P193" s="233"/>
      <c r="Q193" s="233"/>
    </row>
    <row r="194" ht="15.75" customHeight="1">
      <c r="A194" s="268"/>
      <c r="B194" s="344"/>
      <c r="C194" s="353"/>
      <c r="D194" s="354"/>
      <c r="E194" s="355"/>
      <c r="F194" s="331">
        <f t="shared" si="47"/>
        <v>0</v>
      </c>
      <c r="G194" s="305"/>
      <c r="H194" s="272">
        <f t="shared" si="41"/>
        <v>0</v>
      </c>
      <c r="I194" s="273">
        <f t="shared" si="42"/>
        <v>0</v>
      </c>
      <c r="J194" s="274">
        <f t="shared" si="43"/>
        <v>0</v>
      </c>
      <c r="K194" s="275">
        <f t="shared" si="44"/>
        <v>0</v>
      </c>
      <c r="L194" s="274">
        <f t="shared" si="45"/>
        <v>0</v>
      </c>
      <c r="M194" s="275">
        <f t="shared" si="46"/>
        <v>0</v>
      </c>
      <c r="N194" s="276"/>
      <c r="O194" s="232"/>
      <c r="P194" s="233"/>
      <c r="Q194" s="233"/>
    </row>
    <row r="195" ht="15.75" customHeight="1">
      <c r="A195" s="268"/>
      <c r="B195" s="344"/>
      <c r="C195" s="349"/>
      <c r="D195" s="350"/>
      <c r="E195" s="355"/>
      <c r="F195" s="331">
        <f t="shared" si="47"/>
        <v>0</v>
      </c>
      <c r="G195" s="305"/>
      <c r="H195" s="272">
        <f t="shared" si="41"/>
        <v>0</v>
      </c>
      <c r="I195" s="273">
        <f t="shared" si="42"/>
        <v>0</v>
      </c>
      <c r="J195" s="274">
        <f t="shared" si="43"/>
        <v>0</v>
      </c>
      <c r="K195" s="275">
        <f t="shared" si="44"/>
        <v>0</v>
      </c>
      <c r="L195" s="274">
        <f t="shared" si="45"/>
        <v>0</v>
      </c>
      <c r="M195" s="275">
        <f t="shared" si="46"/>
        <v>0</v>
      </c>
      <c r="N195" s="276"/>
      <c r="O195" s="232"/>
      <c r="P195" s="233"/>
      <c r="Q195" s="233"/>
    </row>
    <row r="196" ht="15.75" customHeight="1">
      <c r="A196" s="268"/>
      <c r="B196" s="344"/>
      <c r="C196" s="349"/>
      <c r="D196" s="350"/>
      <c r="E196" s="355"/>
      <c r="F196" s="331">
        <f t="shared" si="47"/>
        <v>0</v>
      </c>
      <c r="G196" s="305"/>
      <c r="H196" s="272">
        <f t="shared" si="41"/>
        <v>0</v>
      </c>
      <c r="I196" s="273">
        <f t="shared" si="42"/>
        <v>0</v>
      </c>
      <c r="J196" s="274">
        <f t="shared" si="43"/>
        <v>0</v>
      </c>
      <c r="K196" s="275">
        <f t="shared" si="44"/>
        <v>0</v>
      </c>
      <c r="L196" s="274">
        <f t="shared" si="45"/>
        <v>0</v>
      </c>
      <c r="M196" s="275">
        <f t="shared" si="46"/>
        <v>0</v>
      </c>
      <c r="N196" s="276"/>
      <c r="O196" s="232"/>
      <c r="P196" s="233"/>
      <c r="Q196" s="233"/>
    </row>
    <row r="197" ht="15.75" customHeight="1">
      <c r="A197" s="268"/>
      <c r="B197" s="344"/>
      <c r="C197" s="349"/>
      <c r="D197" s="350"/>
      <c r="E197" s="355"/>
      <c r="F197" s="331">
        <f t="shared" si="47"/>
        <v>0</v>
      </c>
      <c r="G197" s="305"/>
      <c r="H197" s="272">
        <f t="shared" si="41"/>
        <v>0</v>
      </c>
      <c r="I197" s="273">
        <f t="shared" si="42"/>
        <v>0</v>
      </c>
      <c r="J197" s="274">
        <f t="shared" si="43"/>
        <v>0</v>
      </c>
      <c r="K197" s="275">
        <f t="shared" si="44"/>
        <v>0</v>
      </c>
      <c r="L197" s="274">
        <f t="shared" si="45"/>
        <v>0</v>
      </c>
      <c r="M197" s="275">
        <f t="shared" si="46"/>
        <v>0</v>
      </c>
      <c r="N197" s="276"/>
      <c r="O197" s="232"/>
      <c r="P197" s="233"/>
      <c r="Q197" s="233"/>
    </row>
    <row r="198" ht="15.75" customHeight="1">
      <c r="A198" s="268"/>
      <c r="B198" s="344"/>
      <c r="C198" s="349"/>
      <c r="D198" s="350"/>
      <c r="E198" s="355"/>
      <c r="F198" s="331">
        <f t="shared" si="47"/>
        <v>0</v>
      </c>
      <c r="G198" s="305"/>
      <c r="H198" s="272">
        <f t="shared" si="41"/>
        <v>0</v>
      </c>
      <c r="I198" s="273">
        <f t="shared" si="42"/>
        <v>0</v>
      </c>
      <c r="J198" s="274">
        <f t="shared" si="43"/>
        <v>0</v>
      </c>
      <c r="K198" s="275">
        <f t="shared" si="44"/>
        <v>0</v>
      </c>
      <c r="L198" s="274">
        <f t="shared" si="45"/>
        <v>0</v>
      </c>
      <c r="M198" s="275">
        <f t="shared" si="46"/>
        <v>0</v>
      </c>
      <c r="N198" s="276"/>
      <c r="O198" s="232"/>
      <c r="P198" s="233"/>
      <c r="Q198" s="233"/>
    </row>
    <row r="199" ht="15.75" customHeight="1">
      <c r="A199" s="268"/>
      <c r="B199" s="344"/>
      <c r="C199" s="349"/>
      <c r="D199" s="350"/>
      <c r="E199" s="355"/>
      <c r="F199" s="331">
        <f t="shared" si="47"/>
        <v>0</v>
      </c>
      <c r="G199" s="305"/>
      <c r="H199" s="272">
        <f t="shared" si="41"/>
        <v>0</v>
      </c>
      <c r="I199" s="273">
        <f t="shared" si="42"/>
        <v>0</v>
      </c>
      <c r="J199" s="274">
        <f t="shared" si="43"/>
        <v>0</v>
      </c>
      <c r="K199" s="275">
        <f t="shared" si="44"/>
        <v>0</v>
      </c>
      <c r="L199" s="274">
        <f t="shared" si="45"/>
        <v>0</v>
      </c>
      <c r="M199" s="275">
        <f t="shared" si="46"/>
        <v>0</v>
      </c>
      <c r="N199" s="276"/>
      <c r="O199" s="232"/>
      <c r="P199" s="233"/>
      <c r="Q199" s="233"/>
    </row>
    <row r="200" ht="15.75" customHeight="1">
      <c r="A200" s="268"/>
      <c r="B200" s="344"/>
      <c r="C200" s="353"/>
      <c r="D200" s="350"/>
      <c r="E200" s="355"/>
      <c r="F200" s="331">
        <f t="shared" si="47"/>
        <v>0</v>
      </c>
      <c r="G200" s="305"/>
      <c r="H200" s="272">
        <f t="shared" si="41"/>
        <v>0</v>
      </c>
      <c r="I200" s="273">
        <f t="shared" si="42"/>
        <v>0</v>
      </c>
      <c r="J200" s="274">
        <f t="shared" si="43"/>
        <v>0</v>
      </c>
      <c r="K200" s="275">
        <f t="shared" si="44"/>
        <v>0</v>
      </c>
      <c r="L200" s="274">
        <f t="shared" si="45"/>
        <v>0</v>
      </c>
      <c r="M200" s="275">
        <f t="shared" si="46"/>
        <v>0</v>
      </c>
      <c r="N200" s="276"/>
      <c r="O200" s="232"/>
      <c r="P200" s="233"/>
      <c r="Q200" s="233"/>
    </row>
    <row r="201" ht="15.75" customHeight="1">
      <c r="A201" s="268"/>
      <c r="B201" s="344"/>
      <c r="C201" s="349"/>
      <c r="D201" s="356"/>
      <c r="E201" s="355"/>
      <c r="F201" s="331">
        <f t="shared" si="47"/>
        <v>0</v>
      </c>
      <c r="G201" s="305"/>
      <c r="H201" s="272">
        <f t="shared" si="41"/>
        <v>0</v>
      </c>
      <c r="I201" s="273">
        <f t="shared" si="42"/>
        <v>0</v>
      </c>
      <c r="J201" s="274">
        <f t="shared" si="43"/>
        <v>0</v>
      </c>
      <c r="K201" s="275">
        <f t="shared" si="44"/>
        <v>0</v>
      </c>
      <c r="L201" s="274">
        <f t="shared" si="45"/>
        <v>0</v>
      </c>
      <c r="M201" s="275">
        <f t="shared" si="46"/>
        <v>0</v>
      </c>
      <c r="N201" s="276"/>
      <c r="O201" s="232"/>
      <c r="P201" s="233"/>
      <c r="Q201" s="233"/>
    </row>
    <row r="202" ht="15.75" customHeight="1">
      <c r="A202" s="268"/>
      <c r="B202" s="344"/>
      <c r="C202" s="349"/>
      <c r="D202" s="356"/>
      <c r="E202" s="355"/>
      <c r="F202" s="331">
        <f t="shared" si="47"/>
        <v>0</v>
      </c>
      <c r="G202" s="305"/>
      <c r="H202" s="272">
        <f t="shared" si="41"/>
        <v>0</v>
      </c>
      <c r="I202" s="273">
        <f t="shared" si="42"/>
        <v>0</v>
      </c>
      <c r="J202" s="274">
        <f t="shared" si="43"/>
        <v>0</v>
      </c>
      <c r="K202" s="275">
        <f t="shared" si="44"/>
        <v>0</v>
      </c>
      <c r="L202" s="274">
        <f t="shared" si="45"/>
        <v>0</v>
      </c>
      <c r="M202" s="275">
        <f t="shared" si="46"/>
        <v>0</v>
      </c>
      <c r="N202" s="276"/>
      <c r="O202" s="232"/>
      <c r="P202" s="233"/>
      <c r="Q202" s="233"/>
    </row>
    <row r="203" ht="15.75" customHeight="1">
      <c r="A203" s="268"/>
      <c r="B203" s="344"/>
      <c r="C203" s="349"/>
      <c r="D203" s="354"/>
      <c r="E203" s="355"/>
      <c r="F203" s="331">
        <f t="shared" si="47"/>
        <v>0</v>
      </c>
      <c r="G203" s="305"/>
      <c r="H203" s="272">
        <f t="shared" si="41"/>
        <v>0</v>
      </c>
      <c r="I203" s="273">
        <f t="shared" si="42"/>
        <v>0</v>
      </c>
      <c r="J203" s="274">
        <f t="shared" si="43"/>
        <v>0</v>
      </c>
      <c r="K203" s="275">
        <f t="shared" si="44"/>
        <v>0</v>
      </c>
      <c r="L203" s="274">
        <f t="shared" si="45"/>
        <v>0</v>
      </c>
      <c r="M203" s="275">
        <f t="shared" si="46"/>
        <v>0</v>
      </c>
      <c r="N203" s="276"/>
      <c r="O203" s="232"/>
      <c r="P203" s="233"/>
      <c r="Q203" s="233"/>
    </row>
    <row r="204" ht="15.75" customHeight="1">
      <c r="A204" s="268"/>
      <c r="B204" s="344"/>
      <c r="C204" s="353"/>
      <c r="D204" s="354"/>
      <c r="E204" s="355"/>
      <c r="F204" s="331">
        <f t="shared" si="47"/>
        <v>0</v>
      </c>
      <c r="G204" s="305"/>
      <c r="H204" s="272">
        <f t="shared" si="41"/>
        <v>0</v>
      </c>
      <c r="I204" s="273">
        <f t="shared" si="42"/>
        <v>0</v>
      </c>
      <c r="J204" s="274">
        <f t="shared" si="43"/>
        <v>0</v>
      </c>
      <c r="K204" s="275">
        <f t="shared" si="44"/>
        <v>0</v>
      </c>
      <c r="L204" s="274">
        <f t="shared" si="45"/>
        <v>0</v>
      </c>
      <c r="M204" s="275">
        <f t="shared" si="46"/>
        <v>0</v>
      </c>
      <c r="N204" s="276"/>
      <c r="O204" s="232"/>
      <c r="P204" s="233"/>
      <c r="Q204" s="233"/>
    </row>
    <row r="205" ht="15.75" customHeight="1">
      <c r="A205" s="268"/>
      <c r="B205" s="344"/>
      <c r="C205" s="353"/>
      <c r="D205" s="354"/>
      <c r="E205" s="355"/>
      <c r="F205" s="331">
        <f t="shared" si="47"/>
        <v>0</v>
      </c>
      <c r="G205" s="305"/>
      <c r="H205" s="272">
        <f t="shared" si="41"/>
        <v>0</v>
      </c>
      <c r="I205" s="273">
        <f t="shared" si="42"/>
        <v>0</v>
      </c>
      <c r="J205" s="274">
        <f t="shared" si="43"/>
        <v>0</v>
      </c>
      <c r="K205" s="275">
        <f t="shared" si="44"/>
        <v>0</v>
      </c>
      <c r="L205" s="274">
        <f t="shared" si="45"/>
        <v>0</v>
      </c>
      <c r="M205" s="275">
        <f t="shared" si="46"/>
        <v>0</v>
      </c>
      <c r="N205" s="276"/>
      <c r="O205" s="232"/>
      <c r="P205" s="233"/>
      <c r="Q205" s="233"/>
    </row>
    <row r="206" ht="15.75" customHeight="1">
      <c r="A206" s="268"/>
      <c r="B206" s="344"/>
      <c r="C206" s="357"/>
      <c r="D206" s="358"/>
      <c r="E206" s="355"/>
      <c r="F206" s="331">
        <f t="shared" si="47"/>
        <v>0</v>
      </c>
      <c r="G206" s="305"/>
      <c r="H206" s="272">
        <f t="shared" si="41"/>
        <v>0</v>
      </c>
      <c r="I206" s="273">
        <f t="shared" si="42"/>
        <v>0</v>
      </c>
      <c r="J206" s="274">
        <f t="shared" si="43"/>
        <v>0</v>
      </c>
      <c r="K206" s="275">
        <f t="shared" si="44"/>
        <v>0</v>
      </c>
      <c r="L206" s="274">
        <f t="shared" si="45"/>
        <v>0</v>
      </c>
      <c r="M206" s="275">
        <f t="shared" si="46"/>
        <v>0</v>
      </c>
      <c r="N206" s="276"/>
      <c r="O206" s="232"/>
    </row>
    <row r="207" ht="15.75" customHeight="1">
      <c r="A207" s="268"/>
      <c r="B207" s="344"/>
      <c r="C207" s="357"/>
      <c r="D207" s="358"/>
      <c r="E207" s="355"/>
      <c r="F207" s="331">
        <f t="shared" si="47"/>
        <v>0</v>
      </c>
      <c r="G207" s="305"/>
      <c r="H207" s="272">
        <f t="shared" si="41"/>
        <v>0</v>
      </c>
      <c r="I207" s="273">
        <f t="shared" si="42"/>
        <v>0</v>
      </c>
      <c r="J207" s="274">
        <f t="shared" si="43"/>
        <v>0</v>
      </c>
      <c r="K207" s="275">
        <f t="shared" si="44"/>
        <v>0</v>
      </c>
      <c r="L207" s="274">
        <f t="shared" si="45"/>
        <v>0</v>
      </c>
      <c r="M207" s="275">
        <f t="shared" si="46"/>
        <v>0</v>
      </c>
      <c r="N207" s="276"/>
      <c r="O207" s="232"/>
    </row>
    <row r="208" ht="15.75" customHeight="1">
      <c r="A208" s="268"/>
      <c r="B208" s="344"/>
      <c r="C208" s="357"/>
      <c r="D208" s="358"/>
      <c r="E208" s="355"/>
      <c r="F208" s="331">
        <f t="shared" si="47"/>
        <v>0</v>
      </c>
      <c r="G208" s="305"/>
      <c r="H208" s="272">
        <f t="shared" si="41"/>
        <v>0</v>
      </c>
      <c r="I208" s="273">
        <f t="shared" si="42"/>
        <v>0</v>
      </c>
      <c r="J208" s="274">
        <f t="shared" si="43"/>
        <v>0</v>
      </c>
      <c r="K208" s="275">
        <f t="shared" si="44"/>
        <v>0</v>
      </c>
      <c r="L208" s="274">
        <f t="shared" si="45"/>
        <v>0</v>
      </c>
      <c r="M208" s="275">
        <f t="shared" si="46"/>
        <v>0</v>
      </c>
      <c r="N208" s="276"/>
      <c r="O208" s="232"/>
    </row>
    <row r="209" ht="15.75" customHeight="1">
      <c r="A209" s="268"/>
      <c r="B209" s="344"/>
      <c r="C209" s="357"/>
      <c r="D209" s="358"/>
      <c r="E209" s="355"/>
      <c r="F209" s="331">
        <f t="shared" si="47"/>
        <v>0</v>
      </c>
      <c r="G209" s="305"/>
      <c r="H209" s="272">
        <f t="shared" si="41"/>
        <v>0</v>
      </c>
      <c r="I209" s="273">
        <f t="shared" si="42"/>
        <v>0</v>
      </c>
      <c r="J209" s="274">
        <f t="shared" si="43"/>
        <v>0</v>
      </c>
      <c r="K209" s="275">
        <f t="shared" si="44"/>
        <v>0</v>
      </c>
      <c r="L209" s="274">
        <f t="shared" si="45"/>
        <v>0</v>
      </c>
      <c r="M209" s="275">
        <f t="shared" si="46"/>
        <v>0</v>
      </c>
      <c r="N209" s="276"/>
      <c r="O209" s="232"/>
    </row>
    <row r="210" ht="15.75" customHeight="1">
      <c r="A210" s="268"/>
      <c r="B210" s="344"/>
      <c r="C210" s="357"/>
      <c r="D210" s="358"/>
      <c r="E210" s="355"/>
      <c r="F210" s="331">
        <f t="shared" si="47"/>
        <v>0</v>
      </c>
      <c r="G210" s="305"/>
      <c r="H210" s="272">
        <f t="shared" si="41"/>
        <v>0</v>
      </c>
      <c r="I210" s="273">
        <f t="shared" si="42"/>
        <v>0</v>
      </c>
      <c r="J210" s="274">
        <f t="shared" si="43"/>
        <v>0</v>
      </c>
      <c r="K210" s="275">
        <f t="shared" si="44"/>
        <v>0</v>
      </c>
      <c r="L210" s="274">
        <f t="shared" si="45"/>
        <v>0</v>
      </c>
      <c r="M210" s="275">
        <f t="shared" si="46"/>
        <v>0</v>
      </c>
      <c r="N210" s="276"/>
      <c r="O210" s="232"/>
    </row>
    <row r="211" ht="15.75" customHeight="1">
      <c r="A211" s="268"/>
      <c r="B211" s="344"/>
      <c r="C211" s="357"/>
      <c r="D211" s="358"/>
      <c r="E211" s="355"/>
      <c r="F211" s="331">
        <f t="shared" si="47"/>
        <v>0</v>
      </c>
      <c r="G211" s="305"/>
      <c r="H211" s="272">
        <f t="shared" si="41"/>
        <v>0</v>
      </c>
      <c r="I211" s="273">
        <f t="shared" si="42"/>
        <v>0</v>
      </c>
      <c r="J211" s="274">
        <f t="shared" si="43"/>
        <v>0</v>
      </c>
      <c r="K211" s="275">
        <f t="shared" si="44"/>
        <v>0</v>
      </c>
      <c r="L211" s="274">
        <f t="shared" si="45"/>
        <v>0</v>
      </c>
      <c r="M211" s="275">
        <f t="shared" si="46"/>
        <v>0</v>
      </c>
      <c r="N211" s="276"/>
      <c r="O211" s="232"/>
    </row>
    <row r="212" ht="15.75" customHeight="1">
      <c r="A212" s="268"/>
      <c r="B212" s="344"/>
      <c r="C212" s="357"/>
      <c r="D212" s="358"/>
      <c r="E212" s="355"/>
      <c r="F212" s="331">
        <f t="shared" si="47"/>
        <v>0</v>
      </c>
      <c r="G212" s="305"/>
      <c r="H212" s="272">
        <f t="shared" si="41"/>
        <v>0</v>
      </c>
      <c r="I212" s="273">
        <f t="shared" si="42"/>
        <v>0</v>
      </c>
      <c r="J212" s="274">
        <f t="shared" si="43"/>
        <v>0</v>
      </c>
      <c r="K212" s="275">
        <f t="shared" si="44"/>
        <v>0</v>
      </c>
      <c r="L212" s="274">
        <f t="shared" si="45"/>
        <v>0</v>
      </c>
      <c r="M212" s="275">
        <f t="shared" si="46"/>
        <v>0</v>
      </c>
      <c r="N212" s="276"/>
      <c r="O212" s="232"/>
    </row>
    <row r="213" ht="15.75" customHeight="1">
      <c r="A213" s="268"/>
      <c r="B213" s="344"/>
      <c r="C213" s="357"/>
      <c r="D213" s="358"/>
      <c r="E213" s="355"/>
      <c r="F213" s="331">
        <f t="shared" si="47"/>
        <v>0</v>
      </c>
      <c r="G213" s="305"/>
      <c r="H213" s="272">
        <f t="shared" si="41"/>
        <v>0</v>
      </c>
      <c r="I213" s="273">
        <f t="shared" si="42"/>
        <v>0</v>
      </c>
      <c r="J213" s="274">
        <f t="shared" si="43"/>
        <v>0</v>
      </c>
      <c r="K213" s="275">
        <f t="shared" si="44"/>
        <v>0</v>
      </c>
      <c r="L213" s="274">
        <f t="shared" si="45"/>
        <v>0</v>
      </c>
      <c r="M213" s="275">
        <f t="shared" si="46"/>
        <v>0</v>
      </c>
      <c r="N213" s="276"/>
      <c r="O213" s="232"/>
    </row>
    <row r="214" ht="15.75" customHeight="1">
      <c r="A214" s="268"/>
      <c r="B214" s="344"/>
      <c r="C214" s="357"/>
      <c r="D214" s="358"/>
      <c r="E214" s="355"/>
      <c r="F214" s="331">
        <f t="shared" si="47"/>
        <v>0</v>
      </c>
      <c r="G214" s="305"/>
      <c r="H214" s="272">
        <f t="shared" si="41"/>
        <v>0</v>
      </c>
      <c r="I214" s="273">
        <f t="shared" si="42"/>
        <v>0</v>
      </c>
      <c r="J214" s="274">
        <f t="shared" si="43"/>
        <v>0</v>
      </c>
      <c r="K214" s="275">
        <f t="shared" si="44"/>
        <v>0</v>
      </c>
      <c r="L214" s="274">
        <f t="shared" si="45"/>
        <v>0</v>
      </c>
      <c r="M214" s="275">
        <f t="shared" si="46"/>
        <v>0</v>
      </c>
      <c r="N214" s="276"/>
      <c r="O214" s="232"/>
    </row>
    <row r="215" ht="15.75" customHeight="1">
      <c r="A215" s="268"/>
      <c r="B215" s="344"/>
      <c r="C215" s="357"/>
      <c r="D215" s="358"/>
      <c r="E215" s="355"/>
      <c r="F215" s="331">
        <f t="shared" si="47"/>
        <v>0</v>
      </c>
      <c r="G215" s="305"/>
      <c r="H215" s="272">
        <f t="shared" si="41"/>
        <v>0</v>
      </c>
      <c r="I215" s="273">
        <f t="shared" si="42"/>
        <v>0</v>
      </c>
      <c r="J215" s="274">
        <f t="shared" si="43"/>
        <v>0</v>
      </c>
      <c r="K215" s="275">
        <f t="shared" si="44"/>
        <v>0</v>
      </c>
      <c r="L215" s="274">
        <f t="shared" si="45"/>
        <v>0</v>
      </c>
      <c r="M215" s="275">
        <f t="shared" si="46"/>
        <v>0</v>
      </c>
      <c r="N215" s="276"/>
      <c r="O215" s="232"/>
    </row>
    <row r="216" ht="15.75" customHeight="1">
      <c r="A216" s="268"/>
      <c r="B216" s="344"/>
      <c r="C216" s="357"/>
      <c r="D216" s="358"/>
      <c r="E216" s="355"/>
      <c r="F216" s="331">
        <f t="shared" si="47"/>
        <v>0</v>
      </c>
      <c r="G216" s="305"/>
      <c r="H216" s="272">
        <f t="shared" si="41"/>
        <v>0</v>
      </c>
      <c r="I216" s="273">
        <f t="shared" si="42"/>
        <v>0</v>
      </c>
      <c r="J216" s="274">
        <f t="shared" si="43"/>
        <v>0</v>
      </c>
      <c r="K216" s="275">
        <f t="shared" si="44"/>
        <v>0</v>
      </c>
      <c r="L216" s="274">
        <f t="shared" si="45"/>
        <v>0</v>
      </c>
      <c r="M216" s="275">
        <f t="shared" si="46"/>
        <v>0</v>
      </c>
      <c r="N216" s="276"/>
      <c r="O216" s="232"/>
    </row>
    <row r="217" ht="15.75" customHeight="1">
      <c r="A217" s="268"/>
      <c r="B217" s="344"/>
      <c r="C217" s="357"/>
      <c r="D217" s="358"/>
      <c r="E217" s="355"/>
      <c r="F217" s="331">
        <f t="shared" si="47"/>
        <v>0</v>
      </c>
      <c r="G217" s="305"/>
      <c r="H217" s="272">
        <f t="shared" si="41"/>
        <v>0</v>
      </c>
      <c r="I217" s="273">
        <f t="shared" si="42"/>
        <v>0</v>
      </c>
      <c r="J217" s="274">
        <f t="shared" si="43"/>
        <v>0</v>
      </c>
      <c r="K217" s="275">
        <f t="shared" si="44"/>
        <v>0</v>
      </c>
      <c r="L217" s="274">
        <f t="shared" si="45"/>
        <v>0</v>
      </c>
      <c r="M217" s="275">
        <f t="shared" si="46"/>
        <v>0</v>
      </c>
      <c r="N217" s="276"/>
      <c r="O217" s="232"/>
    </row>
    <row r="218" ht="15.75" customHeight="1">
      <c r="A218" s="268"/>
      <c r="B218" s="344"/>
      <c r="C218" s="353"/>
      <c r="D218" s="358"/>
      <c r="E218" s="355"/>
      <c r="F218" s="331">
        <f t="shared" si="47"/>
        <v>0</v>
      </c>
      <c r="G218" s="305"/>
      <c r="H218" s="272">
        <f t="shared" si="41"/>
        <v>0</v>
      </c>
      <c r="I218" s="273">
        <f t="shared" si="42"/>
        <v>0</v>
      </c>
      <c r="J218" s="274">
        <f t="shared" si="43"/>
        <v>0</v>
      </c>
      <c r="K218" s="275">
        <f t="shared" si="44"/>
        <v>0</v>
      </c>
      <c r="L218" s="274">
        <f t="shared" si="45"/>
        <v>0</v>
      </c>
      <c r="M218" s="275">
        <f t="shared" si="46"/>
        <v>0</v>
      </c>
      <c r="N218" s="276"/>
      <c r="O218" s="232"/>
    </row>
    <row r="219" ht="15.75" customHeight="1">
      <c r="A219" s="268"/>
      <c r="B219" s="344"/>
      <c r="C219" s="353"/>
      <c r="D219" s="358"/>
      <c r="E219" s="355"/>
      <c r="F219" s="331">
        <f t="shared" si="47"/>
        <v>0</v>
      </c>
      <c r="G219" s="305"/>
      <c r="H219" s="272">
        <f t="shared" si="41"/>
        <v>0</v>
      </c>
      <c r="I219" s="273">
        <f t="shared" si="42"/>
        <v>0</v>
      </c>
      <c r="J219" s="274">
        <f t="shared" si="43"/>
        <v>0</v>
      </c>
      <c r="K219" s="275">
        <f t="shared" si="44"/>
        <v>0</v>
      </c>
      <c r="L219" s="274">
        <f t="shared" si="45"/>
        <v>0</v>
      </c>
      <c r="M219" s="275">
        <f t="shared" si="46"/>
        <v>0</v>
      </c>
      <c r="N219" s="276"/>
      <c r="O219" s="232"/>
    </row>
    <row r="220" ht="15.75" customHeight="1">
      <c r="A220" s="268"/>
      <c r="B220" s="344"/>
      <c r="C220" s="353"/>
      <c r="D220" s="358"/>
      <c r="E220" s="355"/>
      <c r="F220" s="331">
        <f t="shared" si="47"/>
        <v>0</v>
      </c>
      <c r="G220" s="305"/>
      <c r="H220" s="272">
        <f t="shared" si="41"/>
        <v>0</v>
      </c>
      <c r="I220" s="273">
        <f t="shared" si="42"/>
        <v>0</v>
      </c>
      <c r="J220" s="274">
        <f t="shared" si="43"/>
        <v>0</v>
      </c>
      <c r="K220" s="275">
        <f t="shared" si="44"/>
        <v>0</v>
      </c>
      <c r="L220" s="274">
        <f t="shared" si="45"/>
        <v>0</v>
      </c>
      <c r="M220" s="275">
        <f t="shared" si="46"/>
        <v>0</v>
      </c>
      <c r="N220" s="276"/>
      <c r="O220" s="232"/>
    </row>
    <row r="221" ht="15.75" customHeight="1">
      <c r="A221" s="268"/>
      <c r="B221" s="344"/>
      <c r="C221" s="353"/>
      <c r="D221" s="358"/>
      <c r="E221" s="355"/>
      <c r="F221" s="331">
        <f t="shared" si="47"/>
        <v>0</v>
      </c>
      <c r="G221" s="305"/>
      <c r="H221" s="272">
        <f t="shared" si="41"/>
        <v>0</v>
      </c>
      <c r="I221" s="273">
        <f t="shared" si="42"/>
        <v>0</v>
      </c>
      <c r="J221" s="274">
        <f t="shared" si="43"/>
        <v>0</v>
      </c>
      <c r="K221" s="275">
        <f t="shared" si="44"/>
        <v>0</v>
      </c>
      <c r="L221" s="274">
        <f t="shared" si="45"/>
        <v>0</v>
      </c>
      <c r="M221" s="275">
        <f t="shared" si="46"/>
        <v>0</v>
      </c>
      <c r="N221" s="276"/>
      <c r="O221" s="232"/>
    </row>
    <row r="222" ht="15.75" customHeight="1">
      <c r="A222" s="268"/>
      <c r="B222" s="344"/>
      <c r="C222" s="353"/>
      <c r="D222" s="358"/>
      <c r="E222" s="355"/>
      <c r="F222" s="331">
        <f t="shared" si="47"/>
        <v>0</v>
      </c>
      <c r="G222" s="305"/>
      <c r="H222" s="272">
        <f t="shared" si="41"/>
        <v>0</v>
      </c>
      <c r="I222" s="273">
        <f t="shared" si="42"/>
        <v>0</v>
      </c>
      <c r="J222" s="274">
        <f t="shared" si="43"/>
        <v>0</v>
      </c>
      <c r="K222" s="275">
        <f t="shared" si="44"/>
        <v>0</v>
      </c>
      <c r="L222" s="274">
        <f t="shared" si="45"/>
        <v>0</v>
      </c>
      <c r="M222" s="275">
        <f t="shared" si="46"/>
        <v>0</v>
      </c>
      <c r="N222" s="276"/>
      <c r="O222" s="232"/>
    </row>
    <row r="223" ht="15.75" customHeight="1">
      <c r="A223" s="268"/>
      <c r="B223" s="344"/>
      <c r="C223" s="352"/>
      <c r="D223" s="354"/>
      <c r="E223" s="355"/>
      <c r="F223" s="331">
        <f t="shared" si="47"/>
        <v>0</v>
      </c>
      <c r="G223" s="305"/>
      <c r="H223" s="272">
        <f t="shared" si="41"/>
        <v>0</v>
      </c>
      <c r="I223" s="273">
        <f t="shared" si="42"/>
        <v>0</v>
      </c>
      <c r="J223" s="274">
        <f t="shared" si="43"/>
        <v>0</v>
      </c>
      <c r="K223" s="275">
        <f t="shared" si="44"/>
        <v>0</v>
      </c>
      <c r="L223" s="274">
        <f t="shared" si="45"/>
        <v>0</v>
      </c>
      <c r="M223" s="275">
        <f t="shared" si="46"/>
        <v>0</v>
      </c>
      <c r="N223" s="276"/>
      <c r="O223" s="232"/>
    </row>
    <row r="224" ht="15.75" customHeight="1">
      <c r="A224" s="268"/>
      <c r="B224" s="344"/>
      <c r="C224" s="357"/>
      <c r="D224" s="354"/>
      <c r="E224" s="355"/>
      <c r="F224" s="331">
        <f t="shared" si="47"/>
        <v>0</v>
      </c>
      <c r="G224" s="305"/>
      <c r="H224" s="272">
        <f t="shared" si="41"/>
        <v>0</v>
      </c>
      <c r="I224" s="273">
        <f t="shared" si="42"/>
        <v>0</v>
      </c>
      <c r="J224" s="274">
        <f t="shared" si="43"/>
        <v>0</v>
      </c>
      <c r="K224" s="275">
        <f t="shared" si="44"/>
        <v>0</v>
      </c>
      <c r="L224" s="274">
        <f t="shared" si="45"/>
        <v>0</v>
      </c>
      <c r="M224" s="275">
        <f t="shared" si="46"/>
        <v>0</v>
      </c>
      <c r="N224" s="276"/>
      <c r="O224" s="232"/>
    </row>
    <row r="225" ht="15.75" customHeight="1">
      <c r="A225" s="268"/>
      <c r="B225" s="344"/>
      <c r="C225" s="357"/>
      <c r="D225" s="354"/>
      <c r="E225" s="355"/>
      <c r="F225" s="331">
        <f t="shared" si="47"/>
        <v>0</v>
      </c>
      <c r="G225" s="305"/>
      <c r="H225" s="272">
        <f t="shared" si="41"/>
        <v>0</v>
      </c>
      <c r="I225" s="273">
        <f t="shared" si="42"/>
        <v>0</v>
      </c>
      <c r="J225" s="274">
        <f t="shared" si="43"/>
        <v>0</v>
      </c>
      <c r="K225" s="275">
        <f t="shared" si="44"/>
        <v>0</v>
      </c>
      <c r="L225" s="274">
        <f t="shared" si="45"/>
        <v>0</v>
      </c>
      <c r="M225" s="275">
        <f t="shared" si="46"/>
        <v>0</v>
      </c>
      <c r="N225" s="276"/>
      <c r="O225" s="232"/>
    </row>
    <row r="226" ht="15.75" customHeight="1">
      <c r="A226" s="268"/>
      <c r="B226" s="344"/>
      <c r="C226" s="357"/>
      <c r="D226" s="354"/>
      <c r="E226" s="355"/>
      <c r="F226" s="331">
        <f t="shared" si="47"/>
        <v>0</v>
      </c>
      <c r="G226" s="305"/>
      <c r="H226" s="272">
        <f t="shared" si="41"/>
        <v>0</v>
      </c>
      <c r="I226" s="273">
        <f t="shared" si="42"/>
        <v>0</v>
      </c>
      <c r="J226" s="274">
        <f t="shared" si="43"/>
        <v>0</v>
      </c>
      <c r="K226" s="275">
        <f t="shared" si="44"/>
        <v>0</v>
      </c>
      <c r="L226" s="274">
        <f t="shared" si="45"/>
        <v>0</v>
      </c>
      <c r="M226" s="275">
        <f t="shared" si="46"/>
        <v>0</v>
      </c>
      <c r="N226" s="276"/>
      <c r="O226" s="232"/>
    </row>
    <row r="227" ht="15.75" customHeight="1">
      <c r="A227" s="268"/>
      <c r="B227" s="344"/>
      <c r="C227" s="352"/>
      <c r="D227" s="354"/>
      <c r="E227" s="355"/>
      <c r="F227" s="331">
        <f t="shared" si="47"/>
        <v>0</v>
      </c>
      <c r="G227" s="305"/>
      <c r="H227" s="272">
        <f t="shared" si="41"/>
        <v>0</v>
      </c>
      <c r="I227" s="273">
        <f t="shared" si="42"/>
        <v>0</v>
      </c>
      <c r="J227" s="274">
        <f t="shared" si="43"/>
        <v>0</v>
      </c>
      <c r="K227" s="275">
        <f t="shared" si="44"/>
        <v>0</v>
      </c>
      <c r="L227" s="274">
        <f t="shared" si="45"/>
        <v>0</v>
      </c>
      <c r="M227" s="275">
        <f t="shared" si="46"/>
        <v>0</v>
      </c>
      <c r="N227" s="276"/>
      <c r="O227" s="232"/>
    </row>
    <row r="228" ht="15.75" customHeight="1">
      <c r="A228" s="268"/>
      <c r="B228" s="344"/>
      <c r="C228" s="357"/>
      <c r="D228" s="354"/>
      <c r="E228" s="355"/>
      <c r="F228" s="331">
        <f t="shared" si="47"/>
        <v>0</v>
      </c>
      <c r="G228" s="305"/>
      <c r="H228" s="272">
        <f t="shared" si="41"/>
        <v>0</v>
      </c>
      <c r="I228" s="273">
        <f t="shared" si="42"/>
        <v>0</v>
      </c>
      <c r="J228" s="274">
        <f t="shared" si="43"/>
        <v>0</v>
      </c>
      <c r="K228" s="275">
        <f t="shared" si="44"/>
        <v>0</v>
      </c>
      <c r="L228" s="274">
        <f t="shared" si="45"/>
        <v>0</v>
      </c>
      <c r="M228" s="275">
        <f t="shared" si="46"/>
        <v>0</v>
      </c>
      <c r="N228" s="276"/>
      <c r="O228" s="232"/>
    </row>
    <row r="229" ht="15.75" customHeight="1">
      <c r="A229" s="268"/>
      <c r="B229" s="344"/>
      <c r="C229" s="357"/>
      <c r="D229" s="354"/>
      <c r="E229" s="355"/>
      <c r="F229" s="331">
        <f t="shared" si="47"/>
        <v>0</v>
      </c>
      <c r="G229" s="305"/>
      <c r="H229" s="272">
        <f t="shared" si="41"/>
        <v>0</v>
      </c>
      <c r="I229" s="273">
        <f t="shared" si="42"/>
        <v>0</v>
      </c>
      <c r="J229" s="274">
        <f t="shared" si="43"/>
        <v>0</v>
      </c>
      <c r="K229" s="275">
        <f t="shared" si="44"/>
        <v>0</v>
      </c>
      <c r="L229" s="274">
        <f t="shared" si="45"/>
        <v>0</v>
      </c>
      <c r="M229" s="275">
        <f t="shared" si="46"/>
        <v>0</v>
      </c>
      <c r="N229" s="276"/>
      <c r="O229" s="232"/>
    </row>
    <row r="230" ht="15.75" customHeight="1">
      <c r="A230" s="268"/>
      <c r="B230" s="344"/>
      <c r="C230" s="353"/>
      <c r="D230" s="354"/>
      <c r="E230" s="355"/>
      <c r="F230" s="331">
        <f t="shared" si="47"/>
        <v>0</v>
      </c>
      <c r="G230" s="305"/>
      <c r="H230" s="272">
        <f t="shared" si="41"/>
        <v>0</v>
      </c>
      <c r="I230" s="273">
        <f t="shared" si="42"/>
        <v>0</v>
      </c>
      <c r="J230" s="274">
        <f t="shared" si="43"/>
        <v>0</v>
      </c>
      <c r="K230" s="275">
        <f t="shared" si="44"/>
        <v>0</v>
      </c>
      <c r="L230" s="274">
        <f t="shared" si="45"/>
        <v>0</v>
      </c>
      <c r="M230" s="275">
        <f t="shared" si="46"/>
        <v>0</v>
      </c>
      <c r="N230" s="276"/>
      <c r="O230" s="232"/>
    </row>
    <row r="231" ht="15.75" customHeight="1">
      <c r="A231" s="268"/>
      <c r="B231" s="344"/>
      <c r="C231" s="353"/>
      <c r="D231" s="354"/>
      <c r="E231" s="355"/>
      <c r="F231" s="331">
        <f t="shared" si="47"/>
        <v>0</v>
      </c>
      <c r="G231" s="305"/>
      <c r="H231" s="272">
        <f t="shared" si="41"/>
        <v>0</v>
      </c>
      <c r="I231" s="273">
        <f t="shared" si="42"/>
        <v>0</v>
      </c>
      <c r="J231" s="274">
        <f t="shared" si="43"/>
        <v>0</v>
      </c>
      <c r="K231" s="275">
        <f t="shared" si="44"/>
        <v>0</v>
      </c>
      <c r="L231" s="274">
        <f t="shared" si="45"/>
        <v>0</v>
      </c>
      <c r="M231" s="275">
        <f t="shared" si="46"/>
        <v>0</v>
      </c>
      <c r="N231" s="276"/>
      <c r="O231" s="232"/>
    </row>
    <row r="232" ht="15.75" customHeight="1">
      <c r="A232" s="268"/>
      <c r="B232" s="344"/>
      <c r="C232" s="357"/>
      <c r="D232" s="354"/>
      <c r="E232" s="355"/>
      <c r="F232" s="331">
        <f t="shared" si="47"/>
        <v>0</v>
      </c>
      <c r="G232" s="305"/>
      <c r="H232" s="272">
        <f t="shared" si="41"/>
        <v>0</v>
      </c>
      <c r="I232" s="273">
        <f t="shared" si="42"/>
        <v>0</v>
      </c>
      <c r="J232" s="274">
        <f t="shared" si="43"/>
        <v>0</v>
      </c>
      <c r="K232" s="275">
        <f t="shared" si="44"/>
        <v>0</v>
      </c>
      <c r="L232" s="274">
        <f t="shared" si="45"/>
        <v>0</v>
      </c>
      <c r="M232" s="275">
        <f t="shared" si="46"/>
        <v>0</v>
      </c>
      <c r="N232" s="276"/>
      <c r="O232" s="232"/>
    </row>
    <row r="233" ht="15.75" customHeight="1">
      <c r="A233" s="268"/>
      <c r="B233" s="344"/>
      <c r="C233" s="353"/>
      <c r="D233" s="358"/>
      <c r="E233" s="355"/>
      <c r="F233" s="331">
        <f t="shared" si="47"/>
        <v>0</v>
      </c>
      <c r="G233" s="305"/>
      <c r="H233" s="272">
        <f t="shared" si="41"/>
        <v>0</v>
      </c>
      <c r="I233" s="273">
        <f t="shared" si="42"/>
        <v>0</v>
      </c>
      <c r="J233" s="274">
        <f t="shared" si="43"/>
        <v>0</v>
      </c>
      <c r="K233" s="275">
        <f t="shared" si="44"/>
        <v>0</v>
      </c>
      <c r="L233" s="274">
        <f t="shared" si="45"/>
        <v>0</v>
      </c>
      <c r="M233" s="275">
        <f t="shared" si="46"/>
        <v>0</v>
      </c>
      <c r="N233" s="276"/>
      <c r="O233" s="232"/>
    </row>
    <row r="234" ht="15.75" customHeight="1">
      <c r="A234" s="268"/>
      <c r="B234" s="344"/>
      <c r="C234" s="353"/>
      <c r="D234" s="358"/>
      <c r="E234" s="355"/>
      <c r="F234" s="331">
        <f t="shared" si="47"/>
        <v>0</v>
      </c>
      <c r="G234" s="305"/>
      <c r="H234" s="272">
        <f t="shared" si="41"/>
        <v>0</v>
      </c>
      <c r="I234" s="273">
        <f t="shared" si="42"/>
        <v>0</v>
      </c>
      <c r="J234" s="274">
        <f t="shared" si="43"/>
        <v>0</v>
      </c>
      <c r="K234" s="275">
        <f t="shared" si="44"/>
        <v>0</v>
      </c>
      <c r="L234" s="274">
        <f t="shared" si="45"/>
        <v>0</v>
      </c>
      <c r="M234" s="275">
        <f t="shared" si="46"/>
        <v>0</v>
      </c>
      <c r="N234" s="276"/>
      <c r="O234" s="232"/>
    </row>
    <row r="235" ht="15.75" customHeight="1">
      <c r="A235" s="359"/>
      <c r="B235" s="360"/>
      <c r="C235" s="361"/>
      <c r="D235" s="362"/>
      <c r="E235" s="363"/>
      <c r="F235" s="331">
        <f t="shared" si="47"/>
        <v>0</v>
      </c>
      <c r="G235" s="364"/>
      <c r="H235" s="272">
        <f t="shared" si="41"/>
        <v>0</v>
      </c>
      <c r="I235" s="273">
        <f t="shared" si="42"/>
        <v>0</v>
      </c>
      <c r="J235" s="274">
        <f t="shared" si="43"/>
        <v>0</v>
      </c>
      <c r="K235" s="275">
        <f t="shared" si="44"/>
        <v>0</v>
      </c>
      <c r="L235" s="274">
        <f t="shared" si="45"/>
        <v>0</v>
      </c>
      <c r="M235" s="275">
        <f t="shared" si="46"/>
        <v>0</v>
      </c>
      <c r="N235" s="276"/>
      <c r="O235" s="232"/>
    </row>
    <row r="236" ht="15.75" customHeight="1">
      <c r="A236" s="359"/>
      <c r="B236" s="365"/>
      <c r="C236" s="366"/>
      <c r="D236" s="367"/>
      <c r="E236" s="368"/>
      <c r="F236" s="331">
        <f t="shared" si="47"/>
        <v>0</v>
      </c>
      <c r="G236" s="364"/>
      <c r="H236" s="272">
        <f t="shared" si="41"/>
        <v>0</v>
      </c>
      <c r="I236" s="273">
        <f t="shared" si="42"/>
        <v>0</v>
      </c>
      <c r="J236" s="274">
        <f t="shared" si="43"/>
        <v>0</v>
      </c>
      <c r="K236" s="275">
        <f t="shared" si="44"/>
        <v>0</v>
      </c>
      <c r="L236" s="274">
        <f t="shared" si="45"/>
        <v>0</v>
      </c>
      <c r="M236" s="275">
        <f t="shared" si="46"/>
        <v>0</v>
      </c>
      <c r="N236" s="276"/>
      <c r="O236" s="232"/>
    </row>
    <row r="237" ht="15.75" customHeight="1">
      <c r="A237" s="359"/>
      <c r="B237" s="365"/>
      <c r="C237" s="366"/>
      <c r="D237" s="367"/>
      <c r="E237" s="368"/>
      <c r="F237" s="331">
        <f t="shared" si="47"/>
        <v>0</v>
      </c>
      <c r="G237" s="364"/>
      <c r="H237" s="272">
        <f t="shared" si="41"/>
        <v>0</v>
      </c>
      <c r="I237" s="273">
        <f t="shared" si="42"/>
        <v>0</v>
      </c>
      <c r="J237" s="274">
        <f t="shared" si="43"/>
        <v>0</v>
      </c>
      <c r="K237" s="275">
        <f t="shared" si="44"/>
        <v>0</v>
      </c>
      <c r="L237" s="274">
        <f t="shared" si="45"/>
        <v>0</v>
      </c>
      <c r="M237" s="275">
        <f t="shared" si="46"/>
        <v>0</v>
      </c>
      <c r="N237" s="276"/>
      <c r="O237" s="232"/>
    </row>
    <row r="238" ht="15.75" customHeight="1">
      <c r="A238" s="359"/>
      <c r="B238" s="365"/>
      <c r="C238" s="366"/>
      <c r="D238" s="367"/>
      <c r="E238" s="368"/>
      <c r="F238" s="331">
        <f t="shared" si="47"/>
        <v>0</v>
      </c>
      <c r="G238" s="364"/>
      <c r="H238" s="272">
        <f t="shared" si="41"/>
        <v>0</v>
      </c>
      <c r="I238" s="273">
        <f t="shared" si="42"/>
        <v>0</v>
      </c>
      <c r="J238" s="274">
        <f t="shared" si="43"/>
        <v>0</v>
      </c>
      <c r="K238" s="275">
        <f t="shared" si="44"/>
        <v>0</v>
      </c>
      <c r="L238" s="274">
        <f t="shared" si="45"/>
        <v>0</v>
      </c>
      <c r="M238" s="275">
        <f t="shared" si="46"/>
        <v>0</v>
      </c>
      <c r="N238" s="276"/>
      <c r="O238" s="232"/>
    </row>
    <row r="239" ht="15.75" customHeight="1">
      <c r="A239" s="359"/>
      <c r="B239" s="365"/>
      <c r="C239" s="366"/>
      <c r="D239" s="367"/>
      <c r="E239" s="368"/>
      <c r="F239" s="331">
        <f t="shared" si="47"/>
        <v>0</v>
      </c>
      <c r="G239" s="364"/>
      <c r="H239" s="272">
        <f t="shared" si="41"/>
        <v>0</v>
      </c>
      <c r="I239" s="273">
        <f t="shared" si="42"/>
        <v>0</v>
      </c>
      <c r="J239" s="274">
        <f t="shared" si="43"/>
        <v>0</v>
      </c>
      <c r="K239" s="275">
        <f t="shared" si="44"/>
        <v>0</v>
      </c>
      <c r="L239" s="274">
        <f t="shared" si="45"/>
        <v>0</v>
      </c>
      <c r="M239" s="275">
        <f t="shared" si="46"/>
        <v>0</v>
      </c>
      <c r="N239" s="276"/>
      <c r="O239" s="232"/>
    </row>
    <row r="240" ht="15.75" customHeight="1">
      <c r="A240" s="359"/>
      <c r="B240" s="365"/>
      <c r="C240" s="366"/>
      <c r="D240" s="367"/>
      <c r="E240" s="368"/>
      <c r="F240" s="331">
        <f t="shared" si="47"/>
        <v>0</v>
      </c>
      <c r="G240" s="364"/>
      <c r="H240" s="272">
        <f t="shared" si="41"/>
        <v>0</v>
      </c>
      <c r="I240" s="273">
        <f t="shared" si="42"/>
        <v>0</v>
      </c>
      <c r="J240" s="274">
        <f t="shared" si="43"/>
        <v>0</v>
      </c>
      <c r="K240" s="275">
        <f t="shared" si="44"/>
        <v>0</v>
      </c>
      <c r="L240" s="274">
        <f t="shared" si="45"/>
        <v>0</v>
      </c>
      <c r="M240" s="275">
        <f t="shared" si="46"/>
        <v>0</v>
      </c>
      <c r="N240" s="276"/>
      <c r="O240" s="232"/>
    </row>
    <row r="241" ht="15.75" customHeight="1">
      <c r="A241" s="359"/>
      <c r="B241" s="365"/>
      <c r="C241" s="366"/>
      <c r="D241" s="367"/>
      <c r="E241" s="368"/>
      <c r="F241" s="331">
        <f t="shared" si="47"/>
        <v>0</v>
      </c>
      <c r="G241" s="364"/>
      <c r="H241" s="272">
        <f t="shared" si="41"/>
        <v>0</v>
      </c>
      <c r="I241" s="273">
        <f t="shared" si="42"/>
        <v>0</v>
      </c>
      <c r="J241" s="274">
        <f t="shared" si="43"/>
        <v>0</v>
      </c>
      <c r="K241" s="275">
        <f t="shared" si="44"/>
        <v>0</v>
      </c>
      <c r="L241" s="274">
        <f t="shared" si="45"/>
        <v>0</v>
      </c>
      <c r="M241" s="275">
        <f t="shared" si="46"/>
        <v>0</v>
      </c>
      <c r="N241" s="276"/>
      <c r="O241" s="232"/>
    </row>
    <row r="242" ht="15.75" customHeight="1">
      <c r="A242" s="359"/>
      <c r="B242" s="365"/>
      <c r="C242" s="366"/>
      <c r="D242" s="367"/>
      <c r="E242" s="368"/>
      <c r="F242" s="331">
        <f t="shared" si="47"/>
        <v>0</v>
      </c>
      <c r="G242" s="364"/>
      <c r="H242" s="272">
        <f t="shared" si="41"/>
        <v>0</v>
      </c>
      <c r="I242" s="273">
        <f t="shared" si="42"/>
        <v>0</v>
      </c>
      <c r="J242" s="274">
        <f t="shared" si="43"/>
        <v>0</v>
      </c>
      <c r="K242" s="275">
        <f t="shared" si="44"/>
        <v>0</v>
      </c>
      <c r="L242" s="274">
        <f t="shared" si="45"/>
        <v>0</v>
      </c>
      <c r="M242" s="275">
        <f t="shared" si="46"/>
        <v>0</v>
      </c>
      <c r="N242" s="276"/>
      <c r="O242" s="232"/>
    </row>
    <row r="243" ht="15.75" customHeight="1">
      <c r="A243" s="359"/>
      <c r="B243" s="365"/>
      <c r="C243" s="369"/>
      <c r="D243" s="367"/>
      <c r="E243" s="368"/>
      <c r="F243" s="331">
        <f t="shared" si="47"/>
        <v>0</v>
      </c>
      <c r="G243" s="364"/>
      <c r="H243" s="272">
        <f t="shared" si="41"/>
        <v>0</v>
      </c>
      <c r="I243" s="273">
        <f t="shared" si="42"/>
        <v>0</v>
      </c>
      <c r="J243" s="274">
        <f t="shared" si="43"/>
        <v>0</v>
      </c>
      <c r="K243" s="275">
        <f t="shared" si="44"/>
        <v>0</v>
      </c>
      <c r="L243" s="274">
        <f t="shared" si="45"/>
        <v>0</v>
      </c>
      <c r="M243" s="275">
        <f t="shared" si="46"/>
        <v>0</v>
      </c>
      <c r="N243" s="276"/>
      <c r="O243" s="232"/>
    </row>
    <row r="244" ht="15.75" customHeight="1">
      <c r="A244" s="359"/>
      <c r="B244" s="365"/>
      <c r="C244" s="370"/>
      <c r="D244" s="367"/>
      <c r="E244" s="371"/>
      <c r="F244" s="331">
        <f t="shared" si="47"/>
        <v>0</v>
      </c>
      <c r="G244" s="364"/>
      <c r="H244" s="272">
        <f t="shared" si="41"/>
        <v>0</v>
      </c>
      <c r="I244" s="273">
        <f t="shared" si="42"/>
        <v>0</v>
      </c>
      <c r="J244" s="274">
        <f t="shared" si="43"/>
        <v>0</v>
      </c>
      <c r="K244" s="275">
        <f t="shared" si="44"/>
        <v>0</v>
      </c>
      <c r="L244" s="274">
        <f t="shared" si="45"/>
        <v>0</v>
      </c>
      <c r="M244" s="275">
        <f t="shared" si="46"/>
        <v>0</v>
      </c>
      <c r="N244" s="276"/>
      <c r="O244" s="232"/>
    </row>
    <row r="245" ht="15.75" customHeight="1">
      <c r="A245" s="359"/>
      <c r="B245" s="365"/>
      <c r="C245" s="370"/>
      <c r="D245" s="367"/>
      <c r="E245" s="371"/>
      <c r="F245" s="331">
        <f t="shared" si="47"/>
        <v>0</v>
      </c>
      <c r="G245" s="364"/>
      <c r="H245" s="272">
        <f t="shared" si="41"/>
        <v>0</v>
      </c>
      <c r="I245" s="273">
        <f t="shared" si="42"/>
        <v>0</v>
      </c>
      <c r="J245" s="274">
        <f t="shared" si="43"/>
        <v>0</v>
      </c>
      <c r="K245" s="275">
        <f t="shared" si="44"/>
        <v>0</v>
      </c>
      <c r="L245" s="274">
        <f t="shared" si="45"/>
        <v>0</v>
      </c>
      <c r="M245" s="275">
        <f t="shared" si="46"/>
        <v>0</v>
      </c>
      <c r="N245" s="276"/>
      <c r="O245" s="232"/>
    </row>
    <row r="246" ht="15.75" customHeight="1">
      <c r="A246" s="359"/>
      <c r="B246" s="365"/>
      <c r="C246" s="370"/>
      <c r="D246" s="367"/>
      <c r="E246" s="371"/>
      <c r="F246" s="331">
        <f t="shared" si="47"/>
        <v>0</v>
      </c>
      <c r="G246" s="364"/>
      <c r="H246" s="272">
        <f t="shared" si="41"/>
        <v>0</v>
      </c>
      <c r="I246" s="273">
        <f t="shared" si="42"/>
        <v>0</v>
      </c>
      <c r="J246" s="274">
        <f t="shared" si="43"/>
        <v>0</v>
      </c>
      <c r="K246" s="275">
        <f t="shared" si="44"/>
        <v>0</v>
      </c>
      <c r="L246" s="274">
        <f t="shared" si="45"/>
        <v>0</v>
      </c>
      <c r="M246" s="275">
        <f t="shared" si="46"/>
        <v>0</v>
      </c>
      <c r="N246" s="276"/>
      <c r="O246" s="232"/>
    </row>
    <row r="247" ht="15.75" customHeight="1">
      <c r="A247" s="359"/>
      <c r="B247" s="365"/>
      <c r="C247" s="370"/>
      <c r="D247" s="372"/>
      <c r="E247" s="371"/>
      <c r="F247" s="331">
        <f t="shared" si="47"/>
        <v>0</v>
      </c>
      <c r="G247" s="364"/>
      <c r="H247" s="272">
        <f t="shared" si="41"/>
        <v>0</v>
      </c>
      <c r="I247" s="273">
        <f t="shared" si="42"/>
        <v>0</v>
      </c>
      <c r="J247" s="274">
        <f t="shared" si="43"/>
        <v>0</v>
      </c>
      <c r="K247" s="275">
        <f t="shared" si="44"/>
        <v>0</v>
      </c>
      <c r="L247" s="274">
        <f t="shared" si="45"/>
        <v>0</v>
      </c>
      <c r="M247" s="275">
        <f t="shared" si="46"/>
        <v>0</v>
      </c>
      <c r="N247" s="276"/>
      <c r="O247" s="232"/>
    </row>
    <row r="248" ht="15.75" customHeight="1">
      <c r="A248" s="359"/>
      <c r="B248" s="365"/>
      <c r="C248" s="370"/>
      <c r="D248" s="367"/>
      <c r="E248" s="371"/>
      <c r="F248" s="331">
        <f t="shared" si="47"/>
        <v>0</v>
      </c>
      <c r="G248" s="364"/>
      <c r="H248" s="272">
        <f t="shared" si="41"/>
        <v>0</v>
      </c>
      <c r="I248" s="273">
        <f t="shared" si="42"/>
        <v>0</v>
      </c>
      <c r="J248" s="274">
        <f t="shared" si="43"/>
        <v>0</v>
      </c>
      <c r="K248" s="275">
        <f t="shared" si="44"/>
        <v>0</v>
      </c>
      <c r="L248" s="274">
        <f t="shared" si="45"/>
        <v>0</v>
      </c>
      <c r="M248" s="275">
        <f t="shared" si="46"/>
        <v>0</v>
      </c>
      <c r="N248" s="276"/>
      <c r="O248" s="232"/>
    </row>
    <row r="249" ht="15.75" customHeight="1">
      <c r="A249" s="359"/>
      <c r="B249" s="365"/>
      <c r="C249" s="370"/>
      <c r="D249" s="367"/>
      <c r="E249" s="371"/>
      <c r="F249" s="331">
        <f t="shared" si="47"/>
        <v>0</v>
      </c>
      <c r="G249" s="364"/>
      <c r="H249" s="272">
        <f t="shared" si="41"/>
        <v>0</v>
      </c>
      <c r="I249" s="273">
        <f t="shared" si="42"/>
        <v>0</v>
      </c>
      <c r="J249" s="274">
        <f t="shared" si="43"/>
        <v>0</v>
      </c>
      <c r="K249" s="275">
        <f t="shared" si="44"/>
        <v>0</v>
      </c>
      <c r="L249" s="274">
        <f t="shared" si="45"/>
        <v>0</v>
      </c>
      <c r="M249" s="275">
        <f t="shared" si="46"/>
        <v>0</v>
      </c>
      <c r="N249" s="276"/>
      <c r="O249" s="232"/>
    </row>
    <row r="250" ht="15.75" customHeight="1">
      <c r="A250" s="359"/>
      <c r="B250" s="365"/>
      <c r="C250" s="370"/>
      <c r="D250" s="367"/>
      <c r="E250" s="371"/>
      <c r="F250" s="331">
        <f t="shared" si="47"/>
        <v>0</v>
      </c>
      <c r="G250" s="364"/>
      <c r="H250" s="272">
        <f t="shared" si="41"/>
        <v>0</v>
      </c>
      <c r="I250" s="273">
        <f t="shared" si="42"/>
        <v>0</v>
      </c>
      <c r="J250" s="274">
        <f t="shared" si="43"/>
        <v>0</v>
      </c>
      <c r="K250" s="275">
        <f t="shared" si="44"/>
        <v>0</v>
      </c>
      <c r="L250" s="274">
        <f t="shared" si="45"/>
        <v>0</v>
      </c>
      <c r="M250" s="275">
        <f t="shared" si="46"/>
        <v>0</v>
      </c>
      <c r="N250" s="276"/>
      <c r="O250" s="232"/>
    </row>
    <row r="251" ht="15.75" customHeight="1">
      <c r="A251" s="359"/>
      <c r="B251" s="365"/>
      <c r="C251" s="370"/>
      <c r="D251" s="367"/>
      <c r="E251" s="371"/>
      <c r="F251" s="331">
        <f t="shared" si="47"/>
        <v>0</v>
      </c>
      <c r="G251" s="364"/>
      <c r="H251" s="272">
        <f t="shared" si="41"/>
        <v>0</v>
      </c>
      <c r="I251" s="273">
        <f t="shared" si="42"/>
        <v>0</v>
      </c>
      <c r="J251" s="274">
        <f t="shared" si="43"/>
        <v>0</v>
      </c>
      <c r="K251" s="275">
        <f t="shared" si="44"/>
        <v>0</v>
      </c>
      <c r="L251" s="274">
        <f t="shared" si="45"/>
        <v>0</v>
      </c>
      <c r="M251" s="275">
        <f t="shared" si="46"/>
        <v>0</v>
      </c>
      <c r="N251" s="276"/>
      <c r="O251" s="232"/>
    </row>
    <row r="252" ht="15.75" customHeight="1">
      <c r="A252" s="359"/>
      <c r="B252" s="365"/>
      <c r="C252" s="370"/>
      <c r="D252" s="367"/>
      <c r="E252" s="371"/>
      <c r="F252" s="331">
        <f t="shared" si="47"/>
        <v>0</v>
      </c>
      <c r="G252" s="364"/>
      <c r="H252" s="272">
        <f t="shared" si="41"/>
        <v>0</v>
      </c>
      <c r="I252" s="273">
        <f t="shared" si="42"/>
        <v>0</v>
      </c>
      <c r="J252" s="274">
        <f t="shared" si="43"/>
        <v>0</v>
      </c>
      <c r="K252" s="275">
        <f t="shared" si="44"/>
        <v>0</v>
      </c>
      <c r="L252" s="274">
        <f t="shared" si="45"/>
        <v>0</v>
      </c>
      <c r="M252" s="275">
        <f t="shared" si="46"/>
        <v>0</v>
      </c>
      <c r="N252" s="276"/>
      <c r="O252" s="232"/>
    </row>
    <row r="253" ht="15.75" customHeight="1">
      <c r="A253" s="359"/>
      <c r="B253" s="365"/>
      <c r="C253" s="370"/>
      <c r="D253" s="367"/>
      <c r="E253" s="371"/>
      <c r="F253" s="331">
        <f t="shared" si="47"/>
        <v>0</v>
      </c>
      <c r="G253" s="364"/>
      <c r="H253" s="272">
        <f t="shared" si="41"/>
        <v>0</v>
      </c>
      <c r="I253" s="273">
        <f t="shared" si="42"/>
        <v>0</v>
      </c>
      <c r="J253" s="274">
        <f t="shared" si="43"/>
        <v>0</v>
      </c>
      <c r="K253" s="275">
        <f t="shared" si="44"/>
        <v>0</v>
      </c>
      <c r="L253" s="274">
        <f t="shared" si="45"/>
        <v>0</v>
      </c>
      <c r="M253" s="275">
        <f t="shared" si="46"/>
        <v>0</v>
      </c>
      <c r="N253" s="276"/>
      <c r="O253" s="232"/>
    </row>
    <row r="254" ht="15.75" customHeight="1">
      <c r="A254" s="359"/>
      <c r="B254" s="365"/>
      <c r="C254" s="370"/>
      <c r="D254" s="367"/>
      <c r="E254" s="368"/>
      <c r="F254" s="331">
        <f t="shared" si="47"/>
        <v>0</v>
      </c>
      <c r="G254" s="364"/>
      <c r="H254" s="272">
        <f t="shared" si="41"/>
        <v>0</v>
      </c>
      <c r="I254" s="273">
        <f t="shared" si="42"/>
        <v>0</v>
      </c>
      <c r="J254" s="274">
        <f t="shared" si="43"/>
        <v>0</v>
      </c>
      <c r="K254" s="275">
        <f t="shared" si="44"/>
        <v>0</v>
      </c>
      <c r="L254" s="274">
        <f t="shared" si="45"/>
        <v>0</v>
      </c>
      <c r="M254" s="275">
        <f t="shared" si="46"/>
        <v>0</v>
      </c>
      <c r="N254" s="276"/>
      <c r="O254" s="232"/>
    </row>
    <row r="255" ht="15.75" customHeight="1">
      <c r="A255" s="359"/>
      <c r="B255" s="365"/>
      <c r="C255" s="370"/>
      <c r="D255" s="372"/>
      <c r="E255" s="373"/>
      <c r="F255" s="331">
        <f t="shared" si="47"/>
        <v>0</v>
      </c>
      <c r="G255" s="364"/>
      <c r="H255" s="272">
        <f t="shared" si="41"/>
        <v>0</v>
      </c>
      <c r="I255" s="273">
        <f t="shared" si="42"/>
        <v>0</v>
      </c>
      <c r="J255" s="274">
        <f t="shared" si="43"/>
        <v>0</v>
      </c>
      <c r="K255" s="275">
        <f t="shared" si="44"/>
        <v>0</v>
      </c>
      <c r="L255" s="274">
        <f t="shared" si="45"/>
        <v>0</v>
      </c>
      <c r="M255" s="275">
        <f t="shared" si="46"/>
        <v>0</v>
      </c>
      <c r="N255" s="276"/>
      <c r="O255" s="232"/>
    </row>
    <row r="256" ht="15.75" customHeight="1">
      <c r="A256" s="359"/>
      <c r="B256" s="365"/>
      <c r="C256" s="370"/>
      <c r="D256" s="374"/>
      <c r="E256" s="373"/>
      <c r="F256" s="331">
        <f t="shared" si="47"/>
        <v>0</v>
      </c>
      <c r="G256" s="364"/>
      <c r="H256" s="272">
        <f t="shared" si="41"/>
        <v>0</v>
      </c>
      <c r="I256" s="273">
        <f t="shared" si="42"/>
        <v>0</v>
      </c>
      <c r="J256" s="274">
        <f t="shared" si="43"/>
        <v>0</v>
      </c>
      <c r="K256" s="275">
        <f t="shared" si="44"/>
        <v>0</v>
      </c>
      <c r="L256" s="274">
        <f t="shared" si="45"/>
        <v>0</v>
      </c>
      <c r="M256" s="275">
        <f t="shared" si="46"/>
        <v>0</v>
      </c>
      <c r="N256" s="276"/>
      <c r="O256" s="232"/>
    </row>
    <row r="257" ht="15.75" customHeight="1">
      <c r="A257" s="359"/>
      <c r="B257" s="365"/>
      <c r="C257" s="370"/>
      <c r="D257" s="372"/>
      <c r="E257" s="373"/>
      <c r="F257" s="331">
        <f t="shared" si="47"/>
        <v>0</v>
      </c>
      <c r="G257" s="364"/>
      <c r="H257" s="272">
        <f t="shared" si="41"/>
        <v>0</v>
      </c>
      <c r="I257" s="273">
        <f t="shared" si="42"/>
        <v>0</v>
      </c>
      <c r="J257" s="274">
        <f t="shared" si="43"/>
        <v>0</v>
      </c>
      <c r="K257" s="275">
        <f t="shared" si="44"/>
        <v>0</v>
      </c>
      <c r="L257" s="274">
        <f t="shared" si="45"/>
        <v>0</v>
      </c>
      <c r="M257" s="275">
        <f t="shared" si="46"/>
        <v>0</v>
      </c>
      <c r="N257" s="276"/>
      <c r="O257" s="232"/>
    </row>
    <row r="258" ht="15.75" customHeight="1">
      <c r="A258" s="359"/>
      <c r="B258" s="365"/>
      <c r="C258" s="370"/>
      <c r="D258" s="372"/>
      <c r="E258" s="373"/>
      <c r="F258" s="331">
        <f t="shared" si="47"/>
        <v>0</v>
      </c>
      <c r="G258" s="364"/>
      <c r="H258" s="272">
        <f t="shared" si="41"/>
        <v>0</v>
      </c>
      <c r="I258" s="273">
        <f t="shared" si="42"/>
        <v>0</v>
      </c>
      <c r="J258" s="274">
        <f t="shared" si="43"/>
        <v>0</v>
      </c>
      <c r="K258" s="275">
        <f t="shared" si="44"/>
        <v>0</v>
      </c>
      <c r="L258" s="274">
        <f t="shared" si="45"/>
        <v>0</v>
      </c>
      <c r="M258" s="275">
        <f t="shared" si="46"/>
        <v>0</v>
      </c>
      <c r="N258" s="276"/>
      <c r="O258" s="232"/>
    </row>
    <row r="259" ht="15.75" customHeight="1">
      <c r="A259" s="359"/>
      <c r="B259" s="365"/>
      <c r="C259" s="370"/>
      <c r="D259" s="372"/>
      <c r="E259" s="373"/>
      <c r="F259" s="331">
        <f t="shared" si="47"/>
        <v>0</v>
      </c>
      <c r="G259" s="364"/>
      <c r="H259" s="272">
        <f t="shared" si="41"/>
        <v>0</v>
      </c>
      <c r="I259" s="273">
        <f t="shared" si="42"/>
        <v>0</v>
      </c>
      <c r="J259" s="274">
        <f t="shared" si="43"/>
        <v>0</v>
      </c>
      <c r="K259" s="275">
        <f t="shared" si="44"/>
        <v>0</v>
      </c>
      <c r="L259" s="274">
        <f t="shared" si="45"/>
        <v>0</v>
      </c>
      <c r="M259" s="275">
        <f t="shared" si="46"/>
        <v>0</v>
      </c>
      <c r="N259" s="276"/>
      <c r="O259" s="232"/>
    </row>
    <row r="260" ht="15.75" customHeight="1">
      <c r="A260" s="359"/>
      <c r="B260" s="365"/>
      <c r="C260" s="370"/>
      <c r="D260" s="372"/>
      <c r="E260" s="373"/>
      <c r="F260" s="331">
        <f t="shared" si="47"/>
        <v>0</v>
      </c>
      <c r="G260" s="364"/>
      <c r="H260" s="272">
        <f t="shared" si="41"/>
        <v>0</v>
      </c>
      <c r="I260" s="273">
        <f t="shared" si="42"/>
        <v>0</v>
      </c>
      <c r="J260" s="274">
        <f t="shared" si="43"/>
        <v>0</v>
      </c>
      <c r="K260" s="275">
        <f t="shared" si="44"/>
        <v>0</v>
      </c>
      <c r="L260" s="274">
        <f t="shared" si="45"/>
        <v>0</v>
      </c>
      <c r="M260" s="275">
        <f t="shared" si="46"/>
        <v>0</v>
      </c>
      <c r="N260" s="276"/>
      <c r="O260" s="232"/>
    </row>
    <row r="261" ht="15.75" customHeight="1">
      <c r="A261" s="359"/>
      <c r="B261" s="365"/>
      <c r="C261" s="370"/>
      <c r="D261" s="372"/>
      <c r="E261" s="371"/>
      <c r="F261" s="331">
        <f t="shared" si="47"/>
        <v>0</v>
      </c>
      <c r="G261" s="364"/>
      <c r="H261" s="272">
        <f t="shared" si="41"/>
        <v>0</v>
      </c>
      <c r="I261" s="273">
        <f t="shared" si="42"/>
        <v>0</v>
      </c>
      <c r="J261" s="274">
        <f t="shared" si="43"/>
        <v>0</v>
      </c>
      <c r="K261" s="275">
        <f t="shared" si="44"/>
        <v>0</v>
      </c>
      <c r="L261" s="274">
        <f t="shared" si="45"/>
        <v>0</v>
      </c>
      <c r="M261" s="275">
        <f t="shared" si="46"/>
        <v>0</v>
      </c>
      <c r="N261" s="276"/>
      <c r="O261" s="232"/>
    </row>
    <row r="262" ht="15.75" customHeight="1">
      <c r="A262" s="359"/>
      <c r="B262" s="365"/>
      <c r="C262" s="375"/>
      <c r="D262" s="372"/>
      <c r="E262" s="371"/>
      <c r="F262" s="331">
        <f t="shared" si="47"/>
        <v>0</v>
      </c>
      <c r="G262" s="364"/>
      <c r="H262" s="272">
        <f t="shared" si="41"/>
        <v>0</v>
      </c>
      <c r="I262" s="273">
        <f t="shared" si="42"/>
        <v>0</v>
      </c>
      <c r="J262" s="274">
        <f t="shared" si="43"/>
        <v>0</v>
      </c>
      <c r="K262" s="275">
        <f t="shared" si="44"/>
        <v>0</v>
      </c>
      <c r="L262" s="274">
        <f t="shared" si="45"/>
        <v>0</v>
      </c>
      <c r="M262" s="275">
        <f t="shared" si="46"/>
        <v>0</v>
      </c>
      <c r="N262" s="276"/>
      <c r="O262" s="232"/>
    </row>
    <row r="263" ht="15.75" customHeight="1">
      <c r="A263" s="359"/>
      <c r="B263" s="365"/>
      <c r="C263" s="369"/>
      <c r="D263" s="367"/>
      <c r="E263" s="371"/>
      <c r="F263" s="331">
        <f t="shared" si="47"/>
        <v>0</v>
      </c>
      <c r="G263" s="364"/>
      <c r="H263" s="272">
        <f t="shared" si="41"/>
        <v>0</v>
      </c>
      <c r="I263" s="273">
        <f t="shared" si="42"/>
        <v>0</v>
      </c>
      <c r="J263" s="274">
        <f t="shared" si="43"/>
        <v>0</v>
      </c>
      <c r="K263" s="275">
        <f t="shared" si="44"/>
        <v>0</v>
      </c>
      <c r="L263" s="274">
        <f t="shared" si="45"/>
        <v>0</v>
      </c>
      <c r="M263" s="275">
        <f t="shared" si="46"/>
        <v>0</v>
      </c>
      <c r="N263" s="276"/>
      <c r="O263" s="232"/>
    </row>
    <row r="264" ht="15.75" customHeight="1">
      <c r="A264" s="359"/>
      <c r="B264" s="365"/>
      <c r="C264" s="369"/>
      <c r="D264" s="367"/>
      <c r="E264" s="371"/>
      <c r="F264" s="331">
        <f t="shared" si="47"/>
        <v>0</v>
      </c>
      <c r="G264" s="364"/>
      <c r="H264" s="272">
        <f t="shared" si="41"/>
        <v>0</v>
      </c>
      <c r="I264" s="273">
        <f t="shared" si="42"/>
        <v>0</v>
      </c>
      <c r="J264" s="274">
        <f t="shared" si="43"/>
        <v>0</v>
      </c>
      <c r="K264" s="275">
        <f t="shared" si="44"/>
        <v>0</v>
      </c>
      <c r="L264" s="274">
        <f t="shared" si="45"/>
        <v>0</v>
      </c>
      <c r="M264" s="275">
        <f t="shared" si="46"/>
        <v>0</v>
      </c>
      <c r="N264" s="276"/>
      <c r="O264" s="232"/>
    </row>
    <row r="265" ht="15.75" customHeight="1">
      <c r="A265" s="359"/>
      <c r="B265" s="365"/>
      <c r="C265" s="369"/>
      <c r="D265" s="367"/>
      <c r="E265" s="371"/>
      <c r="F265" s="331">
        <f t="shared" si="47"/>
        <v>0</v>
      </c>
      <c r="G265" s="364"/>
      <c r="H265" s="272">
        <f t="shared" si="41"/>
        <v>0</v>
      </c>
      <c r="I265" s="273">
        <f t="shared" si="42"/>
        <v>0</v>
      </c>
      <c r="J265" s="274">
        <f t="shared" si="43"/>
        <v>0</v>
      </c>
      <c r="K265" s="275">
        <f t="shared" si="44"/>
        <v>0</v>
      </c>
      <c r="L265" s="274">
        <f t="shared" si="45"/>
        <v>0</v>
      </c>
      <c r="M265" s="275">
        <f t="shared" si="46"/>
        <v>0</v>
      </c>
      <c r="N265" s="276"/>
      <c r="O265" s="232"/>
    </row>
    <row r="266" ht="15.75" customHeight="1">
      <c r="A266" s="359"/>
      <c r="B266" s="365"/>
      <c r="C266" s="369"/>
      <c r="D266" s="367"/>
      <c r="E266" s="371"/>
      <c r="F266" s="331">
        <f t="shared" si="47"/>
        <v>0</v>
      </c>
      <c r="G266" s="364"/>
      <c r="H266" s="272">
        <f t="shared" si="41"/>
        <v>0</v>
      </c>
      <c r="I266" s="273">
        <f t="shared" si="42"/>
        <v>0</v>
      </c>
      <c r="J266" s="274">
        <f t="shared" si="43"/>
        <v>0</v>
      </c>
      <c r="K266" s="275">
        <f t="shared" si="44"/>
        <v>0</v>
      </c>
      <c r="L266" s="274">
        <f t="shared" si="45"/>
        <v>0</v>
      </c>
      <c r="M266" s="275">
        <f t="shared" si="46"/>
        <v>0</v>
      </c>
      <c r="N266" s="276"/>
      <c r="O266" s="232"/>
    </row>
    <row r="267" ht="15.75" customHeight="1">
      <c r="A267" s="359"/>
      <c r="B267" s="365"/>
      <c r="C267" s="370"/>
      <c r="D267" s="367"/>
      <c r="E267" s="371"/>
      <c r="F267" s="331">
        <f t="shared" si="47"/>
        <v>0</v>
      </c>
      <c r="G267" s="364"/>
      <c r="H267" s="272">
        <f t="shared" si="41"/>
        <v>0</v>
      </c>
      <c r="I267" s="273">
        <f t="shared" si="42"/>
        <v>0</v>
      </c>
      <c r="J267" s="274">
        <f t="shared" si="43"/>
        <v>0</v>
      </c>
      <c r="K267" s="275">
        <f t="shared" si="44"/>
        <v>0</v>
      </c>
      <c r="L267" s="274">
        <f t="shared" si="45"/>
        <v>0</v>
      </c>
      <c r="M267" s="275">
        <f t="shared" si="46"/>
        <v>0</v>
      </c>
      <c r="N267" s="276"/>
      <c r="O267" s="232"/>
    </row>
    <row r="268" ht="15.75" customHeight="1">
      <c r="A268" s="359"/>
      <c r="B268" s="365"/>
      <c r="C268" s="366"/>
      <c r="D268" s="367"/>
      <c r="E268" s="371"/>
      <c r="F268" s="331">
        <f t="shared" si="47"/>
        <v>0</v>
      </c>
      <c r="G268" s="364"/>
      <c r="H268" s="272">
        <f t="shared" si="41"/>
        <v>0</v>
      </c>
      <c r="I268" s="273">
        <f t="shared" si="42"/>
        <v>0</v>
      </c>
      <c r="J268" s="274">
        <f t="shared" si="43"/>
        <v>0</v>
      </c>
      <c r="K268" s="275">
        <f t="shared" si="44"/>
        <v>0</v>
      </c>
      <c r="L268" s="274">
        <f t="shared" si="45"/>
        <v>0</v>
      </c>
      <c r="M268" s="275">
        <f t="shared" si="46"/>
        <v>0</v>
      </c>
      <c r="N268" s="276"/>
      <c r="O268" s="232"/>
    </row>
    <row r="269" ht="15.75" customHeight="1">
      <c r="A269" s="359"/>
      <c r="B269" s="365"/>
      <c r="C269" s="376"/>
      <c r="D269" s="367"/>
      <c r="E269" s="371"/>
      <c r="F269" s="331">
        <f t="shared" si="47"/>
        <v>0</v>
      </c>
      <c r="G269" s="364"/>
      <c r="H269" s="272">
        <f t="shared" si="41"/>
        <v>0</v>
      </c>
      <c r="I269" s="273">
        <f t="shared" si="42"/>
        <v>0</v>
      </c>
      <c r="J269" s="274">
        <f t="shared" si="43"/>
        <v>0</v>
      </c>
      <c r="K269" s="275">
        <f t="shared" si="44"/>
        <v>0</v>
      </c>
      <c r="L269" s="274">
        <f t="shared" si="45"/>
        <v>0</v>
      </c>
      <c r="M269" s="275">
        <f t="shared" si="46"/>
        <v>0</v>
      </c>
      <c r="N269" s="276"/>
      <c r="O269" s="232"/>
    </row>
    <row r="270" ht="15.75" customHeight="1">
      <c r="A270" s="359"/>
      <c r="B270" s="365"/>
      <c r="C270" s="369"/>
      <c r="D270" s="367"/>
      <c r="E270" s="371"/>
      <c r="F270" s="331">
        <f t="shared" si="47"/>
        <v>0</v>
      </c>
      <c r="G270" s="364"/>
      <c r="H270" s="272">
        <f t="shared" si="41"/>
        <v>0</v>
      </c>
      <c r="I270" s="273">
        <f t="shared" si="42"/>
        <v>0</v>
      </c>
      <c r="J270" s="274">
        <f t="shared" si="43"/>
        <v>0</v>
      </c>
      <c r="K270" s="275">
        <f t="shared" si="44"/>
        <v>0</v>
      </c>
      <c r="L270" s="274">
        <f t="shared" si="45"/>
        <v>0</v>
      </c>
      <c r="M270" s="275">
        <f t="shared" si="46"/>
        <v>0</v>
      </c>
      <c r="N270" s="276"/>
      <c r="O270" s="232"/>
    </row>
    <row r="271" ht="15.75" customHeight="1">
      <c r="A271" s="359"/>
      <c r="B271" s="365"/>
      <c r="C271" s="366"/>
      <c r="D271" s="367"/>
      <c r="E271" s="371"/>
      <c r="F271" s="331">
        <f t="shared" si="47"/>
        <v>0</v>
      </c>
      <c r="G271" s="364"/>
      <c r="H271" s="272">
        <f t="shared" si="41"/>
        <v>0</v>
      </c>
      <c r="I271" s="273">
        <f t="shared" si="42"/>
        <v>0</v>
      </c>
      <c r="J271" s="274">
        <f t="shared" si="43"/>
        <v>0</v>
      </c>
      <c r="K271" s="275">
        <f t="shared" si="44"/>
        <v>0</v>
      </c>
      <c r="L271" s="274">
        <f t="shared" si="45"/>
        <v>0</v>
      </c>
      <c r="M271" s="275">
        <f t="shared" si="46"/>
        <v>0</v>
      </c>
      <c r="N271" s="276"/>
      <c r="O271" s="232"/>
    </row>
    <row r="272" ht="15.75" customHeight="1">
      <c r="A272" s="359"/>
      <c r="B272" s="365"/>
      <c r="C272" s="366"/>
      <c r="D272" s="367"/>
      <c r="E272" s="371"/>
      <c r="F272" s="331">
        <f t="shared" si="47"/>
        <v>0</v>
      </c>
      <c r="G272" s="364"/>
      <c r="H272" s="272">
        <f t="shared" si="41"/>
        <v>0</v>
      </c>
      <c r="I272" s="273">
        <f t="shared" si="42"/>
        <v>0</v>
      </c>
      <c r="J272" s="274">
        <f t="shared" si="43"/>
        <v>0</v>
      </c>
      <c r="K272" s="275">
        <f t="shared" si="44"/>
        <v>0</v>
      </c>
      <c r="L272" s="274">
        <f t="shared" si="45"/>
        <v>0</v>
      </c>
      <c r="M272" s="275">
        <f t="shared" si="46"/>
        <v>0</v>
      </c>
      <c r="N272" s="276"/>
      <c r="O272" s="232"/>
    </row>
    <row r="273" ht="15.75" customHeight="1">
      <c r="A273" s="359"/>
      <c r="B273" s="365"/>
      <c r="C273" s="366"/>
      <c r="D273" s="367"/>
      <c r="E273" s="371"/>
      <c r="F273" s="331">
        <f t="shared" si="47"/>
        <v>0</v>
      </c>
      <c r="G273" s="364"/>
      <c r="H273" s="272">
        <f t="shared" si="41"/>
        <v>0</v>
      </c>
      <c r="I273" s="273">
        <f t="shared" si="42"/>
        <v>0</v>
      </c>
      <c r="J273" s="274">
        <f t="shared" si="43"/>
        <v>0</v>
      </c>
      <c r="K273" s="275">
        <f t="shared" si="44"/>
        <v>0</v>
      </c>
      <c r="L273" s="274">
        <f t="shared" si="45"/>
        <v>0</v>
      </c>
      <c r="M273" s="275">
        <f t="shared" si="46"/>
        <v>0</v>
      </c>
      <c r="N273" s="276"/>
      <c r="O273" s="232"/>
    </row>
    <row r="274" ht="15.75" customHeight="1">
      <c r="A274" s="359"/>
      <c r="B274" s="365"/>
      <c r="C274" s="366"/>
      <c r="D274" s="367"/>
      <c r="E274" s="371"/>
      <c r="F274" s="331">
        <f t="shared" si="47"/>
        <v>0</v>
      </c>
      <c r="G274" s="364"/>
      <c r="H274" s="272">
        <f t="shared" si="41"/>
        <v>0</v>
      </c>
      <c r="I274" s="273">
        <f t="shared" si="42"/>
        <v>0</v>
      </c>
      <c r="J274" s="274">
        <f t="shared" si="43"/>
        <v>0</v>
      </c>
      <c r="K274" s="275">
        <f t="shared" si="44"/>
        <v>0</v>
      </c>
      <c r="L274" s="274">
        <f t="shared" si="45"/>
        <v>0</v>
      </c>
      <c r="M274" s="275">
        <f t="shared" si="46"/>
        <v>0</v>
      </c>
      <c r="N274" s="276"/>
      <c r="O274" s="232"/>
    </row>
    <row r="275" ht="15.75" customHeight="1">
      <c r="A275" s="359"/>
      <c r="B275" s="365"/>
      <c r="C275" s="366"/>
      <c r="D275" s="367"/>
      <c r="E275" s="371"/>
      <c r="F275" s="331">
        <f t="shared" si="47"/>
        <v>0</v>
      </c>
      <c r="G275" s="364"/>
      <c r="H275" s="272">
        <f t="shared" si="41"/>
        <v>0</v>
      </c>
      <c r="I275" s="273">
        <f t="shared" si="42"/>
        <v>0</v>
      </c>
      <c r="J275" s="274">
        <f t="shared" si="43"/>
        <v>0</v>
      </c>
      <c r="K275" s="275">
        <f t="shared" si="44"/>
        <v>0</v>
      </c>
      <c r="L275" s="274">
        <f t="shared" si="45"/>
        <v>0</v>
      </c>
      <c r="M275" s="275">
        <f t="shared" si="46"/>
        <v>0</v>
      </c>
      <c r="N275" s="276"/>
      <c r="O275" s="232"/>
    </row>
    <row r="276" ht="15.75" customHeight="1">
      <c r="A276" s="359"/>
      <c r="B276" s="365"/>
      <c r="C276" s="366"/>
      <c r="D276" s="367"/>
      <c r="E276" s="371"/>
      <c r="F276" s="331">
        <f t="shared" si="47"/>
        <v>0</v>
      </c>
      <c r="G276" s="364"/>
      <c r="H276" s="272">
        <f t="shared" si="41"/>
        <v>0</v>
      </c>
      <c r="I276" s="273">
        <f t="shared" si="42"/>
        <v>0</v>
      </c>
      <c r="J276" s="274">
        <f t="shared" si="43"/>
        <v>0</v>
      </c>
      <c r="K276" s="275">
        <f t="shared" si="44"/>
        <v>0</v>
      </c>
      <c r="L276" s="274">
        <f t="shared" si="45"/>
        <v>0</v>
      </c>
      <c r="M276" s="275">
        <f t="shared" si="46"/>
        <v>0</v>
      </c>
      <c r="N276" s="276"/>
      <c r="O276" s="232"/>
    </row>
    <row r="277" ht="15.75" customHeight="1">
      <c r="A277" s="359"/>
      <c r="B277" s="365"/>
      <c r="C277" s="366"/>
      <c r="D277" s="377"/>
      <c r="E277" s="371"/>
      <c r="F277" s="331">
        <f t="shared" si="47"/>
        <v>0</v>
      </c>
      <c r="G277" s="364"/>
      <c r="H277" s="272">
        <f t="shared" si="41"/>
        <v>0</v>
      </c>
      <c r="I277" s="273">
        <f t="shared" si="42"/>
        <v>0</v>
      </c>
      <c r="J277" s="274">
        <f t="shared" si="43"/>
        <v>0</v>
      </c>
      <c r="K277" s="275">
        <f t="shared" si="44"/>
        <v>0</v>
      </c>
      <c r="L277" s="274">
        <f t="shared" si="45"/>
        <v>0</v>
      </c>
      <c r="M277" s="275">
        <f t="shared" si="46"/>
        <v>0</v>
      </c>
      <c r="N277" s="276"/>
      <c r="O277" s="232"/>
    </row>
    <row r="278" ht="15.75" customHeight="1">
      <c r="A278" s="359"/>
      <c r="B278" s="365"/>
      <c r="C278" s="366"/>
      <c r="D278" s="377"/>
      <c r="E278" s="371"/>
      <c r="F278" s="331">
        <f t="shared" si="47"/>
        <v>0</v>
      </c>
      <c r="G278" s="364"/>
      <c r="H278" s="272">
        <f t="shared" si="41"/>
        <v>0</v>
      </c>
      <c r="I278" s="273">
        <f t="shared" si="42"/>
        <v>0</v>
      </c>
      <c r="J278" s="274">
        <f t="shared" si="43"/>
        <v>0</v>
      </c>
      <c r="K278" s="275">
        <f t="shared" si="44"/>
        <v>0</v>
      </c>
      <c r="L278" s="274">
        <f t="shared" si="45"/>
        <v>0</v>
      </c>
      <c r="M278" s="275">
        <f t="shared" si="46"/>
        <v>0</v>
      </c>
      <c r="N278" s="276"/>
      <c r="O278" s="232"/>
    </row>
    <row r="279" ht="15.75" customHeight="1">
      <c r="A279" s="359"/>
      <c r="B279" s="365"/>
      <c r="C279" s="366"/>
      <c r="D279" s="377"/>
      <c r="E279" s="371"/>
      <c r="F279" s="331">
        <f t="shared" si="47"/>
        <v>0</v>
      </c>
      <c r="G279" s="364"/>
      <c r="H279" s="272">
        <f t="shared" si="41"/>
        <v>0</v>
      </c>
      <c r="I279" s="273">
        <f t="shared" si="42"/>
        <v>0</v>
      </c>
      <c r="J279" s="274">
        <f t="shared" si="43"/>
        <v>0</v>
      </c>
      <c r="K279" s="275">
        <f t="shared" si="44"/>
        <v>0</v>
      </c>
      <c r="L279" s="274">
        <f t="shared" si="45"/>
        <v>0</v>
      </c>
      <c r="M279" s="275">
        <f t="shared" si="46"/>
        <v>0</v>
      </c>
      <c r="N279" s="276"/>
      <c r="O279" s="232"/>
    </row>
    <row r="280" ht="15.75" customHeight="1">
      <c r="A280" s="359"/>
      <c r="B280" s="365"/>
      <c r="C280" s="366"/>
      <c r="D280" s="377"/>
      <c r="E280" s="371"/>
      <c r="F280" s="331">
        <f t="shared" si="47"/>
        <v>0</v>
      </c>
      <c r="G280" s="364"/>
      <c r="H280" s="272">
        <f t="shared" si="41"/>
        <v>0</v>
      </c>
      <c r="I280" s="273">
        <f t="shared" si="42"/>
        <v>0</v>
      </c>
      <c r="J280" s="274">
        <f t="shared" si="43"/>
        <v>0</v>
      </c>
      <c r="K280" s="275">
        <f t="shared" si="44"/>
        <v>0</v>
      </c>
      <c r="L280" s="274">
        <f t="shared" si="45"/>
        <v>0</v>
      </c>
      <c r="M280" s="275">
        <f t="shared" si="46"/>
        <v>0</v>
      </c>
      <c r="N280" s="276"/>
      <c r="O280" s="232"/>
    </row>
    <row r="281" ht="15.75" customHeight="1">
      <c r="A281" s="359"/>
      <c r="B281" s="365"/>
      <c r="C281" s="366"/>
      <c r="D281" s="377"/>
      <c r="E281" s="371"/>
      <c r="F281" s="331">
        <f t="shared" si="47"/>
        <v>0</v>
      </c>
      <c r="G281" s="364"/>
      <c r="H281" s="272">
        <f t="shared" si="41"/>
        <v>0</v>
      </c>
      <c r="I281" s="273">
        <f t="shared" si="42"/>
        <v>0</v>
      </c>
      <c r="J281" s="274">
        <f t="shared" si="43"/>
        <v>0</v>
      </c>
      <c r="K281" s="275">
        <f t="shared" si="44"/>
        <v>0</v>
      </c>
      <c r="L281" s="274">
        <f t="shared" si="45"/>
        <v>0</v>
      </c>
      <c r="M281" s="275">
        <f t="shared" si="46"/>
        <v>0</v>
      </c>
      <c r="N281" s="276"/>
      <c r="O281" s="232"/>
    </row>
    <row r="282" ht="15.75" customHeight="1">
      <c r="A282" s="359"/>
      <c r="B282" s="365"/>
      <c r="C282" s="370"/>
      <c r="D282" s="377"/>
      <c r="E282" s="371"/>
      <c r="F282" s="331">
        <f t="shared" si="47"/>
        <v>0</v>
      </c>
      <c r="G282" s="364"/>
      <c r="H282" s="272">
        <f t="shared" si="41"/>
        <v>0</v>
      </c>
      <c r="I282" s="273">
        <f t="shared" si="42"/>
        <v>0</v>
      </c>
      <c r="J282" s="274">
        <f t="shared" si="43"/>
        <v>0</v>
      </c>
      <c r="K282" s="275">
        <f t="shared" si="44"/>
        <v>0</v>
      </c>
      <c r="L282" s="274">
        <f t="shared" si="45"/>
        <v>0</v>
      </c>
      <c r="M282" s="275">
        <f t="shared" si="46"/>
        <v>0</v>
      </c>
      <c r="N282" s="276"/>
      <c r="O282" s="232"/>
    </row>
    <row r="283" ht="15.75" customHeight="1">
      <c r="A283" s="359"/>
      <c r="B283" s="365"/>
      <c r="C283" s="370"/>
      <c r="D283" s="378"/>
      <c r="E283" s="371"/>
      <c r="F283" s="331">
        <f t="shared" si="47"/>
        <v>0</v>
      </c>
      <c r="G283" s="364"/>
      <c r="H283" s="272">
        <f t="shared" si="41"/>
        <v>0</v>
      </c>
      <c r="I283" s="273">
        <f t="shared" si="42"/>
        <v>0</v>
      </c>
      <c r="J283" s="274">
        <f t="shared" si="43"/>
        <v>0</v>
      </c>
      <c r="K283" s="275">
        <f t="shared" si="44"/>
        <v>0</v>
      </c>
      <c r="L283" s="274">
        <f t="shared" si="45"/>
        <v>0</v>
      </c>
      <c r="M283" s="275">
        <f t="shared" si="46"/>
        <v>0</v>
      </c>
      <c r="N283" s="276"/>
      <c r="O283" s="232"/>
    </row>
    <row r="284" ht="15.75" customHeight="1">
      <c r="A284" s="359"/>
      <c r="B284" s="365"/>
      <c r="C284" s="370"/>
      <c r="D284" s="378"/>
      <c r="E284" s="371"/>
      <c r="F284" s="331">
        <f t="shared" si="47"/>
        <v>0</v>
      </c>
      <c r="G284" s="364"/>
      <c r="H284" s="272">
        <f t="shared" si="41"/>
        <v>0</v>
      </c>
      <c r="I284" s="273">
        <f t="shared" si="42"/>
        <v>0</v>
      </c>
      <c r="J284" s="274">
        <f t="shared" si="43"/>
        <v>0</v>
      </c>
      <c r="K284" s="275">
        <f t="shared" si="44"/>
        <v>0</v>
      </c>
      <c r="L284" s="274">
        <f t="shared" si="45"/>
        <v>0</v>
      </c>
      <c r="M284" s="275">
        <f t="shared" si="46"/>
        <v>0</v>
      </c>
      <c r="N284" s="276"/>
      <c r="O284" s="232"/>
    </row>
    <row r="285" ht="15.75" customHeight="1">
      <c r="A285" s="359"/>
      <c r="B285" s="365"/>
      <c r="C285" s="370"/>
      <c r="D285" s="377"/>
      <c r="E285" s="371"/>
      <c r="F285" s="331">
        <f t="shared" si="47"/>
        <v>0</v>
      </c>
      <c r="G285" s="364"/>
      <c r="H285" s="272">
        <f t="shared" si="41"/>
        <v>0</v>
      </c>
      <c r="I285" s="273">
        <f t="shared" si="42"/>
        <v>0</v>
      </c>
      <c r="J285" s="274">
        <f t="shared" si="43"/>
        <v>0</v>
      </c>
      <c r="K285" s="275">
        <f t="shared" si="44"/>
        <v>0</v>
      </c>
      <c r="L285" s="274">
        <f t="shared" si="45"/>
        <v>0</v>
      </c>
      <c r="M285" s="275">
        <f t="shared" si="46"/>
        <v>0</v>
      </c>
      <c r="N285" s="276"/>
      <c r="O285" s="232"/>
    </row>
    <row r="286" ht="15.75" customHeight="1">
      <c r="A286" s="359"/>
      <c r="B286" s="365"/>
      <c r="C286" s="366"/>
      <c r="D286" s="377"/>
      <c r="E286" s="371"/>
      <c r="F286" s="331">
        <f t="shared" si="47"/>
        <v>0</v>
      </c>
      <c r="G286" s="364"/>
      <c r="H286" s="272">
        <f t="shared" si="41"/>
        <v>0</v>
      </c>
      <c r="I286" s="273">
        <f t="shared" si="42"/>
        <v>0</v>
      </c>
      <c r="J286" s="274">
        <f t="shared" si="43"/>
        <v>0</v>
      </c>
      <c r="K286" s="275">
        <f t="shared" si="44"/>
        <v>0</v>
      </c>
      <c r="L286" s="274">
        <f t="shared" si="45"/>
        <v>0</v>
      </c>
      <c r="M286" s="275">
        <f t="shared" si="46"/>
        <v>0</v>
      </c>
      <c r="N286" s="276"/>
      <c r="O286" s="232"/>
    </row>
    <row r="287" ht="15.75" customHeight="1">
      <c r="A287" s="359"/>
      <c r="B287" s="365"/>
      <c r="C287" s="366"/>
      <c r="D287" s="377"/>
      <c r="E287" s="371"/>
      <c r="F287" s="331">
        <f t="shared" si="47"/>
        <v>0</v>
      </c>
      <c r="G287" s="364"/>
      <c r="H287" s="272">
        <f t="shared" si="41"/>
        <v>0</v>
      </c>
      <c r="I287" s="273">
        <f t="shared" si="42"/>
        <v>0</v>
      </c>
      <c r="J287" s="274">
        <f t="shared" si="43"/>
        <v>0</v>
      </c>
      <c r="K287" s="275">
        <f t="shared" si="44"/>
        <v>0</v>
      </c>
      <c r="L287" s="274">
        <f t="shared" si="45"/>
        <v>0</v>
      </c>
      <c r="M287" s="275">
        <f t="shared" si="46"/>
        <v>0</v>
      </c>
      <c r="N287" s="276"/>
      <c r="O287" s="232"/>
    </row>
    <row r="288" ht="15.75" customHeight="1">
      <c r="A288" s="359"/>
      <c r="B288" s="365"/>
      <c r="C288" s="366"/>
      <c r="D288" s="377"/>
      <c r="E288" s="371"/>
      <c r="F288" s="331">
        <f t="shared" si="47"/>
        <v>0</v>
      </c>
      <c r="G288" s="364"/>
      <c r="H288" s="272">
        <f t="shared" si="41"/>
        <v>0</v>
      </c>
      <c r="I288" s="273">
        <f t="shared" si="42"/>
        <v>0</v>
      </c>
      <c r="J288" s="274">
        <f t="shared" si="43"/>
        <v>0</v>
      </c>
      <c r="K288" s="275">
        <f t="shared" si="44"/>
        <v>0</v>
      </c>
      <c r="L288" s="274">
        <f t="shared" si="45"/>
        <v>0</v>
      </c>
      <c r="M288" s="275">
        <f t="shared" si="46"/>
        <v>0</v>
      </c>
      <c r="N288" s="276"/>
      <c r="O288" s="232"/>
    </row>
    <row r="289" ht="15.75" customHeight="1">
      <c r="A289" s="359"/>
      <c r="B289" s="365"/>
      <c r="C289" s="366"/>
      <c r="D289" s="377"/>
      <c r="E289" s="371"/>
      <c r="F289" s="331">
        <f t="shared" si="47"/>
        <v>0</v>
      </c>
      <c r="G289" s="364"/>
      <c r="H289" s="272">
        <f t="shared" si="41"/>
        <v>0</v>
      </c>
      <c r="I289" s="273">
        <f t="shared" si="42"/>
        <v>0</v>
      </c>
      <c r="J289" s="274">
        <f t="shared" si="43"/>
        <v>0</v>
      </c>
      <c r="K289" s="275">
        <f t="shared" si="44"/>
        <v>0</v>
      </c>
      <c r="L289" s="274">
        <f t="shared" si="45"/>
        <v>0</v>
      </c>
      <c r="M289" s="275">
        <f t="shared" si="46"/>
        <v>0</v>
      </c>
      <c r="N289" s="276"/>
      <c r="O289" s="232"/>
    </row>
    <row r="290" ht="15.75" customHeight="1">
      <c r="A290" s="359"/>
      <c r="B290" s="365"/>
      <c r="C290" s="366"/>
      <c r="D290" s="377"/>
      <c r="E290" s="371"/>
      <c r="F290" s="331">
        <f t="shared" si="47"/>
        <v>0</v>
      </c>
      <c r="G290" s="364"/>
      <c r="H290" s="272">
        <f t="shared" si="41"/>
        <v>0</v>
      </c>
      <c r="I290" s="273">
        <f t="shared" si="42"/>
        <v>0</v>
      </c>
      <c r="J290" s="274">
        <f t="shared" si="43"/>
        <v>0</v>
      </c>
      <c r="K290" s="275">
        <f t="shared" si="44"/>
        <v>0</v>
      </c>
      <c r="L290" s="274">
        <f t="shared" si="45"/>
        <v>0</v>
      </c>
      <c r="M290" s="275">
        <f t="shared" si="46"/>
        <v>0</v>
      </c>
      <c r="N290" s="276"/>
      <c r="O290" s="232"/>
    </row>
    <row r="291" ht="15.75" customHeight="1">
      <c r="A291" s="359"/>
      <c r="B291" s="365"/>
      <c r="C291" s="366"/>
      <c r="D291" s="377"/>
      <c r="E291" s="371"/>
      <c r="F291" s="331">
        <f t="shared" si="47"/>
        <v>0</v>
      </c>
      <c r="G291" s="364"/>
      <c r="H291" s="272">
        <f t="shared" si="41"/>
        <v>0</v>
      </c>
      <c r="I291" s="273">
        <f t="shared" si="42"/>
        <v>0</v>
      </c>
      <c r="J291" s="274">
        <f t="shared" si="43"/>
        <v>0</v>
      </c>
      <c r="K291" s="275">
        <f t="shared" si="44"/>
        <v>0</v>
      </c>
      <c r="L291" s="274">
        <f t="shared" si="45"/>
        <v>0</v>
      </c>
      <c r="M291" s="275">
        <f t="shared" si="46"/>
        <v>0</v>
      </c>
      <c r="N291" s="276"/>
      <c r="O291" s="232"/>
    </row>
    <row r="292" ht="15.75" customHeight="1">
      <c r="A292" s="359"/>
      <c r="B292" s="365"/>
      <c r="C292" s="366"/>
      <c r="D292" s="377"/>
      <c r="E292" s="371"/>
      <c r="F292" s="331">
        <f t="shared" si="47"/>
        <v>0</v>
      </c>
      <c r="G292" s="364"/>
      <c r="H292" s="272">
        <f t="shared" si="41"/>
        <v>0</v>
      </c>
      <c r="I292" s="273">
        <f t="shared" si="42"/>
        <v>0</v>
      </c>
      <c r="J292" s="274">
        <f t="shared" si="43"/>
        <v>0</v>
      </c>
      <c r="K292" s="275">
        <f t="shared" si="44"/>
        <v>0</v>
      </c>
      <c r="L292" s="274">
        <f t="shared" si="45"/>
        <v>0</v>
      </c>
      <c r="M292" s="275">
        <f t="shared" si="46"/>
        <v>0</v>
      </c>
      <c r="N292" s="276"/>
      <c r="O292" s="232"/>
    </row>
    <row r="293" ht="15.75" customHeight="1">
      <c r="A293" s="359"/>
      <c r="B293" s="365"/>
      <c r="C293" s="366"/>
      <c r="D293" s="377"/>
      <c r="E293" s="371"/>
      <c r="F293" s="331">
        <f t="shared" si="47"/>
        <v>0</v>
      </c>
      <c r="G293" s="364"/>
      <c r="H293" s="272">
        <f t="shared" si="41"/>
        <v>0</v>
      </c>
      <c r="I293" s="273">
        <f t="shared" si="42"/>
        <v>0</v>
      </c>
      <c r="J293" s="274">
        <f t="shared" si="43"/>
        <v>0</v>
      </c>
      <c r="K293" s="275">
        <f t="shared" si="44"/>
        <v>0</v>
      </c>
      <c r="L293" s="274">
        <f t="shared" si="45"/>
        <v>0</v>
      </c>
      <c r="M293" s="275">
        <f t="shared" si="46"/>
        <v>0</v>
      </c>
      <c r="N293" s="276"/>
      <c r="O293" s="232"/>
    </row>
    <row r="294" ht="15.75" customHeight="1">
      <c r="A294" s="359"/>
      <c r="B294" s="365"/>
      <c r="C294" s="370"/>
      <c r="D294" s="378"/>
      <c r="E294" s="371"/>
      <c r="F294" s="331">
        <f t="shared" si="47"/>
        <v>0</v>
      </c>
      <c r="G294" s="364"/>
      <c r="H294" s="272">
        <f t="shared" si="41"/>
        <v>0</v>
      </c>
      <c r="I294" s="273">
        <f t="shared" si="42"/>
        <v>0</v>
      </c>
      <c r="J294" s="274">
        <f t="shared" si="43"/>
        <v>0</v>
      </c>
      <c r="K294" s="275">
        <f t="shared" si="44"/>
        <v>0</v>
      </c>
      <c r="L294" s="274">
        <f t="shared" si="45"/>
        <v>0</v>
      </c>
      <c r="M294" s="275">
        <f t="shared" si="46"/>
        <v>0</v>
      </c>
      <c r="N294" s="276"/>
      <c r="O294" s="232"/>
    </row>
    <row r="295" ht="15.75" customHeight="1">
      <c r="A295" s="359"/>
      <c r="B295" s="365"/>
      <c r="C295" s="370"/>
      <c r="D295" s="378"/>
      <c r="E295" s="371"/>
      <c r="F295" s="331">
        <f t="shared" si="47"/>
        <v>0</v>
      </c>
      <c r="G295" s="364"/>
      <c r="H295" s="272">
        <f t="shared" si="41"/>
        <v>0</v>
      </c>
      <c r="I295" s="273">
        <f t="shared" si="42"/>
        <v>0</v>
      </c>
      <c r="J295" s="274">
        <f t="shared" si="43"/>
        <v>0</v>
      </c>
      <c r="K295" s="275">
        <f t="shared" si="44"/>
        <v>0</v>
      </c>
      <c r="L295" s="274">
        <f t="shared" si="45"/>
        <v>0</v>
      </c>
      <c r="M295" s="275">
        <f t="shared" si="46"/>
        <v>0</v>
      </c>
      <c r="N295" s="276"/>
      <c r="O295" s="232"/>
    </row>
    <row r="296" ht="15.75" customHeight="1">
      <c r="A296" s="359"/>
      <c r="B296" s="365"/>
      <c r="C296" s="369"/>
      <c r="D296" s="377"/>
      <c r="E296" s="371"/>
      <c r="F296" s="331">
        <f t="shared" si="47"/>
        <v>0</v>
      </c>
      <c r="G296" s="364"/>
      <c r="H296" s="272">
        <f t="shared" si="41"/>
        <v>0</v>
      </c>
      <c r="I296" s="273">
        <f t="shared" si="42"/>
        <v>0</v>
      </c>
      <c r="J296" s="274">
        <f t="shared" si="43"/>
        <v>0</v>
      </c>
      <c r="K296" s="275">
        <f t="shared" si="44"/>
        <v>0</v>
      </c>
      <c r="L296" s="274">
        <f t="shared" si="45"/>
        <v>0</v>
      </c>
      <c r="M296" s="275">
        <f t="shared" si="46"/>
        <v>0</v>
      </c>
      <c r="N296" s="276"/>
      <c r="O296" s="232"/>
    </row>
    <row r="297" ht="15.75" customHeight="1">
      <c r="A297" s="359"/>
      <c r="B297" s="365"/>
      <c r="C297" s="366"/>
      <c r="D297" s="377"/>
      <c r="E297" s="371"/>
      <c r="F297" s="331">
        <f t="shared" si="47"/>
        <v>0</v>
      </c>
      <c r="G297" s="364"/>
      <c r="H297" s="272">
        <f t="shared" si="41"/>
        <v>0</v>
      </c>
      <c r="I297" s="273">
        <f t="shared" si="42"/>
        <v>0</v>
      </c>
      <c r="J297" s="274">
        <f t="shared" si="43"/>
        <v>0</v>
      </c>
      <c r="K297" s="275">
        <f t="shared" si="44"/>
        <v>0</v>
      </c>
      <c r="L297" s="274">
        <f t="shared" si="45"/>
        <v>0</v>
      </c>
      <c r="M297" s="275">
        <f t="shared" si="46"/>
        <v>0</v>
      </c>
      <c r="N297" s="276"/>
      <c r="O297" s="232"/>
    </row>
    <row r="298" ht="15.75" customHeight="1">
      <c r="A298" s="359"/>
      <c r="B298" s="365"/>
      <c r="C298" s="366"/>
      <c r="D298" s="377"/>
      <c r="E298" s="371"/>
      <c r="F298" s="331">
        <f t="shared" si="47"/>
        <v>0</v>
      </c>
      <c r="G298" s="364"/>
      <c r="H298" s="272">
        <f t="shared" si="41"/>
        <v>0</v>
      </c>
      <c r="I298" s="273">
        <f t="shared" si="42"/>
        <v>0</v>
      </c>
      <c r="J298" s="274">
        <f t="shared" si="43"/>
        <v>0</v>
      </c>
      <c r="K298" s="275">
        <f t="shared" si="44"/>
        <v>0</v>
      </c>
      <c r="L298" s="274">
        <f t="shared" si="45"/>
        <v>0</v>
      </c>
      <c r="M298" s="275">
        <f t="shared" si="46"/>
        <v>0</v>
      </c>
      <c r="N298" s="276"/>
      <c r="O298" s="232"/>
    </row>
    <row r="299" ht="15.75" customHeight="1">
      <c r="A299" s="359"/>
      <c r="B299" s="365"/>
      <c r="C299" s="369"/>
      <c r="D299" s="377"/>
      <c r="E299" s="371"/>
      <c r="F299" s="331">
        <f t="shared" si="47"/>
        <v>0</v>
      </c>
      <c r="G299" s="364"/>
      <c r="H299" s="272">
        <f t="shared" si="41"/>
        <v>0</v>
      </c>
      <c r="I299" s="273">
        <f t="shared" si="42"/>
        <v>0</v>
      </c>
      <c r="J299" s="274">
        <f t="shared" si="43"/>
        <v>0</v>
      </c>
      <c r="K299" s="275">
        <f t="shared" si="44"/>
        <v>0</v>
      </c>
      <c r="L299" s="274">
        <f t="shared" si="45"/>
        <v>0</v>
      </c>
      <c r="M299" s="275">
        <f t="shared" si="46"/>
        <v>0</v>
      </c>
      <c r="N299" s="276"/>
      <c r="O299" s="232"/>
    </row>
    <row r="300" ht="15.75" customHeight="1">
      <c r="A300" s="359"/>
      <c r="B300" s="365"/>
      <c r="C300" s="369"/>
      <c r="D300" s="377"/>
      <c r="E300" s="371"/>
      <c r="F300" s="331">
        <f t="shared" si="47"/>
        <v>0</v>
      </c>
      <c r="G300" s="364"/>
      <c r="H300" s="272">
        <f t="shared" si="41"/>
        <v>0</v>
      </c>
      <c r="I300" s="273">
        <f t="shared" si="42"/>
        <v>0</v>
      </c>
      <c r="J300" s="274">
        <f t="shared" si="43"/>
        <v>0</v>
      </c>
      <c r="K300" s="275">
        <f t="shared" si="44"/>
        <v>0</v>
      </c>
      <c r="L300" s="274">
        <f t="shared" si="45"/>
        <v>0</v>
      </c>
      <c r="M300" s="275">
        <f t="shared" si="46"/>
        <v>0</v>
      </c>
      <c r="N300" s="276"/>
      <c r="O300" s="232"/>
    </row>
    <row r="301" ht="15.75" customHeight="1">
      <c r="A301" s="359"/>
      <c r="B301" s="365"/>
      <c r="C301" s="369"/>
      <c r="D301" s="378"/>
      <c r="E301" s="371"/>
      <c r="F301" s="331">
        <f t="shared" si="47"/>
        <v>0</v>
      </c>
      <c r="G301" s="364"/>
      <c r="H301" s="272">
        <f t="shared" si="41"/>
        <v>0</v>
      </c>
      <c r="I301" s="273">
        <f t="shared" si="42"/>
        <v>0</v>
      </c>
      <c r="J301" s="274">
        <f t="shared" si="43"/>
        <v>0</v>
      </c>
      <c r="K301" s="275">
        <f t="shared" si="44"/>
        <v>0</v>
      </c>
      <c r="L301" s="274">
        <f t="shared" si="45"/>
        <v>0</v>
      </c>
      <c r="M301" s="275">
        <f t="shared" si="46"/>
        <v>0</v>
      </c>
      <c r="N301" s="276"/>
      <c r="O301" s="232"/>
    </row>
    <row r="302" ht="15.75" customHeight="1">
      <c r="A302" s="359"/>
      <c r="B302" s="365"/>
      <c r="C302" s="379"/>
      <c r="D302" s="380"/>
      <c r="E302" s="371"/>
      <c r="F302" s="331">
        <f t="shared" si="47"/>
        <v>0</v>
      </c>
      <c r="G302" s="364"/>
      <c r="H302" s="272">
        <f t="shared" si="41"/>
        <v>0</v>
      </c>
      <c r="I302" s="273">
        <f t="shared" si="42"/>
        <v>0</v>
      </c>
      <c r="J302" s="274">
        <f t="shared" si="43"/>
        <v>0</v>
      </c>
      <c r="K302" s="275">
        <f t="shared" si="44"/>
        <v>0</v>
      </c>
      <c r="L302" s="274">
        <f t="shared" si="45"/>
        <v>0</v>
      </c>
      <c r="M302" s="275">
        <f t="shared" si="46"/>
        <v>0</v>
      </c>
      <c r="N302" s="276"/>
      <c r="O302" s="232"/>
    </row>
    <row r="303" ht="15.75" customHeight="1">
      <c r="A303" s="359"/>
      <c r="B303" s="365"/>
      <c r="C303" s="375"/>
      <c r="D303" s="268"/>
      <c r="E303" s="371"/>
      <c r="F303" s="331">
        <f t="shared" si="47"/>
        <v>0</v>
      </c>
      <c r="G303" s="364"/>
      <c r="H303" s="272">
        <f t="shared" si="41"/>
        <v>0</v>
      </c>
      <c r="I303" s="273">
        <f t="shared" si="42"/>
        <v>0</v>
      </c>
      <c r="J303" s="274">
        <f t="shared" si="43"/>
        <v>0</v>
      </c>
      <c r="K303" s="275">
        <f t="shared" si="44"/>
        <v>0</v>
      </c>
      <c r="L303" s="274">
        <f t="shared" si="45"/>
        <v>0</v>
      </c>
      <c r="M303" s="275">
        <f t="shared" si="46"/>
        <v>0</v>
      </c>
      <c r="N303" s="276"/>
      <c r="O303" s="232"/>
    </row>
    <row r="304" ht="15.75" customHeight="1">
      <c r="A304" s="359"/>
      <c r="B304" s="365"/>
      <c r="C304" s="366"/>
      <c r="D304" s="378"/>
      <c r="E304" s="371"/>
      <c r="F304" s="331">
        <f t="shared" si="47"/>
        <v>0</v>
      </c>
      <c r="G304" s="364"/>
      <c r="H304" s="272">
        <f t="shared" si="41"/>
        <v>0</v>
      </c>
      <c r="I304" s="273">
        <f t="shared" si="42"/>
        <v>0</v>
      </c>
      <c r="J304" s="274">
        <f t="shared" si="43"/>
        <v>0</v>
      </c>
      <c r="K304" s="275">
        <f t="shared" si="44"/>
        <v>0</v>
      </c>
      <c r="L304" s="274">
        <f t="shared" si="45"/>
        <v>0</v>
      </c>
      <c r="M304" s="275">
        <f t="shared" si="46"/>
        <v>0</v>
      </c>
      <c r="N304" s="276"/>
      <c r="O304" s="232"/>
    </row>
    <row r="305" ht="15.75" customHeight="1">
      <c r="A305" s="359"/>
      <c r="B305" s="365"/>
      <c r="C305" s="366"/>
      <c r="D305" s="378"/>
      <c r="E305" s="371"/>
      <c r="F305" s="331">
        <f t="shared" si="47"/>
        <v>0</v>
      </c>
      <c r="G305" s="364"/>
      <c r="H305" s="272">
        <f t="shared" si="41"/>
        <v>0</v>
      </c>
      <c r="I305" s="273">
        <f t="shared" si="42"/>
        <v>0</v>
      </c>
      <c r="J305" s="274">
        <f t="shared" si="43"/>
        <v>0</v>
      </c>
      <c r="K305" s="275">
        <f t="shared" si="44"/>
        <v>0</v>
      </c>
      <c r="L305" s="274">
        <f t="shared" si="45"/>
        <v>0</v>
      </c>
      <c r="M305" s="275">
        <f t="shared" si="46"/>
        <v>0</v>
      </c>
      <c r="N305" s="276"/>
      <c r="O305" s="232"/>
    </row>
    <row r="306" ht="15.75" customHeight="1">
      <c r="A306" s="359"/>
      <c r="B306" s="365"/>
      <c r="C306" s="366"/>
      <c r="D306" s="378"/>
      <c r="E306" s="371"/>
      <c r="F306" s="331">
        <f t="shared" si="47"/>
        <v>0</v>
      </c>
      <c r="G306" s="364"/>
      <c r="H306" s="272">
        <f t="shared" si="41"/>
        <v>0</v>
      </c>
      <c r="I306" s="273">
        <f t="shared" si="42"/>
        <v>0</v>
      </c>
      <c r="J306" s="274">
        <f t="shared" si="43"/>
        <v>0</v>
      </c>
      <c r="K306" s="275">
        <f t="shared" si="44"/>
        <v>0</v>
      </c>
      <c r="L306" s="274">
        <f t="shared" si="45"/>
        <v>0</v>
      </c>
      <c r="M306" s="275">
        <f t="shared" si="46"/>
        <v>0</v>
      </c>
      <c r="N306" s="276"/>
      <c r="O306" s="232"/>
    </row>
    <row r="307" ht="15.75" customHeight="1">
      <c r="A307" s="359"/>
      <c r="B307" s="365"/>
      <c r="C307" s="366"/>
      <c r="D307" s="378"/>
      <c r="E307" s="371"/>
      <c r="F307" s="331">
        <f t="shared" si="47"/>
        <v>0</v>
      </c>
      <c r="G307" s="364"/>
      <c r="H307" s="272">
        <f t="shared" si="41"/>
        <v>0</v>
      </c>
      <c r="I307" s="273">
        <f t="shared" si="42"/>
        <v>0</v>
      </c>
      <c r="J307" s="274">
        <f t="shared" si="43"/>
        <v>0</v>
      </c>
      <c r="K307" s="275">
        <f t="shared" si="44"/>
        <v>0</v>
      </c>
      <c r="L307" s="274">
        <f t="shared" si="45"/>
        <v>0</v>
      </c>
      <c r="M307" s="275">
        <f t="shared" si="46"/>
        <v>0</v>
      </c>
      <c r="N307" s="276"/>
      <c r="O307" s="232"/>
    </row>
    <row r="308" ht="15.75" customHeight="1">
      <c r="A308" s="359"/>
      <c r="B308" s="365"/>
      <c r="C308" s="375"/>
      <c r="D308" s="381"/>
      <c r="E308" s="371"/>
      <c r="F308" s="331">
        <f t="shared" si="47"/>
        <v>0</v>
      </c>
      <c r="G308" s="364"/>
      <c r="H308" s="272">
        <f t="shared" si="41"/>
        <v>0</v>
      </c>
      <c r="I308" s="273">
        <f t="shared" si="42"/>
        <v>0</v>
      </c>
      <c r="J308" s="274">
        <f t="shared" si="43"/>
        <v>0</v>
      </c>
      <c r="K308" s="275">
        <f t="shared" si="44"/>
        <v>0</v>
      </c>
      <c r="L308" s="274">
        <f t="shared" si="45"/>
        <v>0</v>
      </c>
      <c r="M308" s="275">
        <f t="shared" si="46"/>
        <v>0</v>
      </c>
      <c r="N308" s="276"/>
      <c r="O308" s="232"/>
    </row>
    <row r="309" ht="15.75" customHeight="1">
      <c r="A309" s="359"/>
      <c r="B309" s="365"/>
      <c r="C309" s="375"/>
      <c r="D309" s="381"/>
      <c r="E309" s="371"/>
      <c r="F309" s="331">
        <f t="shared" si="47"/>
        <v>0</v>
      </c>
      <c r="G309" s="364"/>
      <c r="H309" s="272">
        <f t="shared" si="41"/>
        <v>0</v>
      </c>
      <c r="I309" s="273">
        <f t="shared" si="42"/>
        <v>0</v>
      </c>
      <c r="J309" s="274">
        <f t="shared" si="43"/>
        <v>0</v>
      </c>
      <c r="K309" s="275">
        <f t="shared" si="44"/>
        <v>0</v>
      </c>
      <c r="L309" s="274">
        <f t="shared" si="45"/>
        <v>0</v>
      </c>
      <c r="M309" s="275">
        <f t="shared" si="46"/>
        <v>0</v>
      </c>
      <c r="N309" s="276"/>
      <c r="O309" s="232"/>
    </row>
    <row r="310" ht="15.75" customHeight="1">
      <c r="A310" s="359"/>
      <c r="B310" s="365"/>
      <c r="C310" s="375"/>
      <c r="D310" s="268"/>
      <c r="E310" s="371"/>
      <c r="F310" s="331">
        <f t="shared" si="47"/>
        <v>0</v>
      </c>
      <c r="G310" s="364"/>
      <c r="H310" s="272">
        <f t="shared" si="41"/>
        <v>0</v>
      </c>
      <c r="I310" s="273">
        <f t="shared" si="42"/>
        <v>0</v>
      </c>
      <c r="J310" s="274">
        <f t="shared" si="43"/>
        <v>0</v>
      </c>
      <c r="K310" s="275">
        <f t="shared" si="44"/>
        <v>0</v>
      </c>
      <c r="L310" s="274">
        <f t="shared" si="45"/>
        <v>0</v>
      </c>
      <c r="M310" s="275">
        <f t="shared" si="46"/>
        <v>0</v>
      </c>
      <c r="N310" s="276"/>
      <c r="O310" s="232"/>
    </row>
    <row r="311" ht="15.75" customHeight="1">
      <c r="A311" s="359"/>
      <c r="B311" s="365"/>
      <c r="C311" s="370"/>
      <c r="D311" s="378"/>
      <c r="E311" s="371"/>
      <c r="F311" s="331">
        <f t="shared" si="47"/>
        <v>0</v>
      </c>
      <c r="G311" s="364"/>
      <c r="H311" s="272">
        <f t="shared" si="41"/>
        <v>0</v>
      </c>
      <c r="I311" s="273">
        <f t="shared" si="42"/>
        <v>0</v>
      </c>
      <c r="J311" s="274">
        <f t="shared" si="43"/>
        <v>0</v>
      </c>
      <c r="K311" s="275">
        <f t="shared" si="44"/>
        <v>0</v>
      </c>
      <c r="L311" s="274">
        <f t="shared" si="45"/>
        <v>0</v>
      </c>
      <c r="M311" s="275">
        <f t="shared" si="46"/>
        <v>0</v>
      </c>
      <c r="N311" s="276"/>
      <c r="O311" s="232"/>
    </row>
    <row r="312" ht="15.75" customHeight="1">
      <c r="A312" s="359"/>
      <c r="B312" s="365"/>
      <c r="C312" s="370"/>
      <c r="D312" s="378"/>
      <c r="E312" s="371"/>
      <c r="F312" s="331">
        <f t="shared" si="47"/>
        <v>0</v>
      </c>
      <c r="G312" s="364"/>
      <c r="H312" s="272">
        <f t="shared" si="41"/>
        <v>0</v>
      </c>
      <c r="I312" s="273">
        <f t="shared" si="42"/>
        <v>0</v>
      </c>
      <c r="J312" s="274">
        <f t="shared" si="43"/>
        <v>0</v>
      </c>
      <c r="K312" s="275">
        <f t="shared" si="44"/>
        <v>0</v>
      </c>
      <c r="L312" s="274">
        <f t="shared" si="45"/>
        <v>0</v>
      </c>
      <c r="M312" s="275">
        <f t="shared" si="46"/>
        <v>0</v>
      </c>
      <c r="N312" s="276"/>
      <c r="O312" s="232"/>
    </row>
    <row r="313" ht="15.75" customHeight="1">
      <c r="A313" s="359"/>
      <c r="B313" s="365"/>
      <c r="C313" s="370"/>
      <c r="D313" s="378"/>
      <c r="E313" s="371"/>
      <c r="F313" s="331">
        <f t="shared" si="47"/>
        <v>0</v>
      </c>
      <c r="G313" s="364"/>
      <c r="H313" s="272">
        <f t="shared" si="41"/>
        <v>0</v>
      </c>
      <c r="I313" s="273">
        <f t="shared" si="42"/>
        <v>0</v>
      </c>
      <c r="J313" s="274">
        <f t="shared" si="43"/>
        <v>0</v>
      </c>
      <c r="K313" s="275">
        <f t="shared" si="44"/>
        <v>0</v>
      </c>
      <c r="L313" s="274">
        <f t="shared" si="45"/>
        <v>0</v>
      </c>
      <c r="M313" s="275">
        <f t="shared" si="46"/>
        <v>0</v>
      </c>
      <c r="N313" s="276"/>
      <c r="O313" s="232"/>
    </row>
    <row r="314" ht="15.75" customHeight="1">
      <c r="A314" s="359"/>
      <c r="B314" s="365"/>
      <c r="C314" s="370"/>
      <c r="D314" s="378"/>
      <c r="E314" s="371"/>
      <c r="F314" s="331">
        <f t="shared" si="47"/>
        <v>0</v>
      </c>
      <c r="G314" s="364"/>
      <c r="H314" s="272">
        <f t="shared" si="41"/>
        <v>0</v>
      </c>
      <c r="I314" s="273">
        <f t="shared" si="42"/>
        <v>0</v>
      </c>
      <c r="J314" s="274">
        <f t="shared" si="43"/>
        <v>0</v>
      </c>
      <c r="K314" s="275">
        <f t="shared" si="44"/>
        <v>0</v>
      </c>
      <c r="L314" s="274">
        <f t="shared" si="45"/>
        <v>0</v>
      </c>
      <c r="M314" s="275">
        <f t="shared" si="46"/>
        <v>0</v>
      </c>
      <c r="N314" s="276"/>
      <c r="O314" s="232"/>
    </row>
    <row r="315" ht="15.75" customHeight="1">
      <c r="A315" s="359"/>
      <c r="B315" s="365"/>
      <c r="C315" s="370"/>
      <c r="D315" s="378"/>
      <c r="E315" s="371"/>
      <c r="F315" s="331">
        <f t="shared" si="47"/>
        <v>0</v>
      </c>
      <c r="G315" s="364"/>
      <c r="H315" s="272">
        <f t="shared" si="41"/>
        <v>0</v>
      </c>
      <c r="I315" s="273">
        <f t="shared" si="42"/>
        <v>0</v>
      </c>
      <c r="J315" s="274">
        <f t="shared" si="43"/>
        <v>0</v>
      </c>
      <c r="K315" s="275">
        <f t="shared" si="44"/>
        <v>0</v>
      </c>
      <c r="L315" s="274">
        <f t="shared" si="45"/>
        <v>0</v>
      </c>
      <c r="M315" s="275">
        <f t="shared" si="46"/>
        <v>0</v>
      </c>
      <c r="N315" s="276"/>
      <c r="O315" s="232"/>
    </row>
    <row r="316" ht="15.75" customHeight="1">
      <c r="A316" s="359"/>
      <c r="B316" s="365"/>
      <c r="C316" s="370"/>
      <c r="D316" s="378"/>
      <c r="E316" s="371"/>
      <c r="F316" s="331">
        <f t="shared" si="47"/>
        <v>0</v>
      </c>
      <c r="G316" s="364"/>
      <c r="H316" s="272">
        <f t="shared" si="41"/>
        <v>0</v>
      </c>
      <c r="I316" s="273">
        <f t="shared" si="42"/>
        <v>0</v>
      </c>
      <c r="J316" s="274">
        <f t="shared" si="43"/>
        <v>0</v>
      </c>
      <c r="K316" s="275">
        <f t="shared" si="44"/>
        <v>0</v>
      </c>
      <c r="L316" s="274">
        <f t="shared" si="45"/>
        <v>0</v>
      </c>
      <c r="M316" s="275">
        <f t="shared" si="46"/>
        <v>0</v>
      </c>
      <c r="N316" s="276"/>
      <c r="O316" s="232"/>
    </row>
    <row r="317" ht="15.75" customHeight="1">
      <c r="A317" s="359"/>
      <c r="B317" s="365"/>
      <c r="C317" s="370"/>
      <c r="D317" s="378"/>
      <c r="E317" s="371"/>
      <c r="F317" s="331">
        <f t="shared" si="47"/>
        <v>0</v>
      </c>
      <c r="G317" s="364"/>
      <c r="H317" s="272">
        <f t="shared" si="41"/>
        <v>0</v>
      </c>
      <c r="I317" s="273">
        <f t="shared" si="42"/>
        <v>0</v>
      </c>
      <c r="J317" s="274">
        <f t="shared" si="43"/>
        <v>0</v>
      </c>
      <c r="K317" s="275">
        <f t="shared" si="44"/>
        <v>0</v>
      </c>
      <c r="L317" s="274">
        <f t="shared" si="45"/>
        <v>0</v>
      </c>
      <c r="M317" s="275">
        <f t="shared" si="46"/>
        <v>0</v>
      </c>
      <c r="N317" s="276"/>
      <c r="O317" s="232"/>
    </row>
    <row r="318" ht="15.75" customHeight="1">
      <c r="A318" s="359"/>
      <c r="B318" s="365"/>
      <c r="C318" s="379"/>
      <c r="D318" s="378"/>
      <c r="E318" s="371"/>
      <c r="F318" s="331">
        <f t="shared" si="47"/>
        <v>0</v>
      </c>
      <c r="G318" s="364"/>
      <c r="H318" s="272">
        <f t="shared" si="41"/>
        <v>0</v>
      </c>
      <c r="I318" s="273">
        <f t="shared" si="42"/>
        <v>0</v>
      </c>
      <c r="J318" s="274">
        <f t="shared" si="43"/>
        <v>0</v>
      </c>
      <c r="K318" s="275">
        <f t="shared" si="44"/>
        <v>0</v>
      </c>
      <c r="L318" s="274">
        <f t="shared" si="45"/>
        <v>0</v>
      </c>
      <c r="M318" s="275">
        <f t="shared" si="46"/>
        <v>0</v>
      </c>
      <c r="N318" s="276"/>
      <c r="O318" s="232"/>
    </row>
    <row r="319" ht="15.75" customHeight="1">
      <c r="A319" s="359"/>
      <c r="B319" s="365"/>
      <c r="C319" s="370"/>
      <c r="D319" s="268"/>
      <c r="E319" s="371"/>
      <c r="F319" s="331">
        <f t="shared" si="47"/>
        <v>0</v>
      </c>
      <c r="G319" s="364"/>
      <c r="H319" s="272">
        <f t="shared" si="41"/>
        <v>0</v>
      </c>
      <c r="I319" s="273">
        <f t="shared" si="42"/>
        <v>0</v>
      </c>
      <c r="J319" s="274">
        <f t="shared" si="43"/>
        <v>0</v>
      </c>
      <c r="K319" s="275">
        <f t="shared" si="44"/>
        <v>0</v>
      </c>
      <c r="L319" s="274">
        <f t="shared" si="45"/>
        <v>0</v>
      </c>
      <c r="M319" s="275">
        <f t="shared" si="46"/>
        <v>0</v>
      </c>
      <c r="N319" s="276"/>
      <c r="O319" s="232"/>
    </row>
    <row r="320" ht="15.75" customHeight="1">
      <c r="A320" s="359"/>
      <c r="B320" s="365"/>
      <c r="C320" s="370"/>
      <c r="D320" s="382"/>
      <c r="E320" s="371"/>
      <c r="F320" s="331">
        <f t="shared" si="47"/>
        <v>0</v>
      </c>
      <c r="G320" s="364"/>
      <c r="H320" s="272">
        <f t="shared" si="41"/>
        <v>0</v>
      </c>
      <c r="I320" s="273">
        <f t="shared" si="42"/>
        <v>0</v>
      </c>
      <c r="J320" s="274">
        <f t="shared" si="43"/>
        <v>0</v>
      </c>
      <c r="K320" s="275">
        <f t="shared" si="44"/>
        <v>0</v>
      </c>
      <c r="L320" s="274">
        <f t="shared" si="45"/>
        <v>0</v>
      </c>
      <c r="M320" s="275">
        <f t="shared" si="46"/>
        <v>0</v>
      </c>
      <c r="N320" s="276"/>
      <c r="O320" s="232"/>
    </row>
    <row r="321" ht="15.75" customHeight="1">
      <c r="A321" s="359"/>
      <c r="B321" s="365"/>
      <c r="C321" s="383"/>
      <c r="D321" s="384"/>
      <c r="E321" s="385"/>
      <c r="F321" s="331">
        <f t="shared" si="47"/>
        <v>0</v>
      </c>
      <c r="G321" s="364"/>
      <c r="H321" s="272">
        <f t="shared" si="41"/>
        <v>0</v>
      </c>
      <c r="I321" s="273">
        <f t="shared" si="42"/>
        <v>0</v>
      </c>
      <c r="J321" s="274">
        <f t="shared" si="43"/>
        <v>0</v>
      </c>
      <c r="K321" s="275">
        <f t="shared" si="44"/>
        <v>0</v>
      </c>
      <c r="L321" s="274">
        <f t="shared" si="45"/>
        <v>0</v>
      </c>
      <c r="M321" s="275">
        <f t="shared" si="46"/>
        <v>0</v>
      </c>
      <c r="N321" s="276"/>
      <c r="O321" s="232"/>
    </row>
    <row r="322" ht="15.75" customHeight="1">
      <c r="A322" s="359"/>
      <c r="B322" s="365"/>
      <c r="C322" s="369"/>
      <c r="D322" s="377"/>
      <c r="E322" s="386"/>
      <c r="F322" s="331">
        <f t="shared" si="47"/>
        <v>0</v>
      </c>
      <c r="G322" s="364"/>
      <c r="H322" s="272">
        <f t="shared" si="41"/>
        <v>0</v>
      </c>
      <c r="I322" s="273">
        <f t="shared" si="42"/>
        <v>0</v>
      </c>
      <c r="J322" s="274">
        <f t="shared" si="43"/>
        <v>0</v>
      </c>
      <c r="K322" s="275">
        <f t="shared" si="44"/>
        <v>0</v>
      </c>
      <c r="L322" s="274">
        <f t="shared" si="45"/>
        <v>0</v>
      </c>
      <c r="M322" s="275">
        <f t="shared" si="46"/>
        <v>0</v>
      </c>
      <c r="N322" s="276"/>
      <c r="O322" s="232"/>
    </row>
    <row r="323" ht="15.75" customHeight="1">
      <c r="A323" s="359"/>
      <c r="B323" s="365"/>
      <c r="C323" s="369"/>
      <c r="D323" s="377"/>
      <c r="E323" s="386"/>
      <c r="F323" s="331">
        <f t="shared" si="47"/>
        <v>0</v>
      </c>
      <c r="G323" s="364"/>
      <c r="H323" s="272">
        <f t="shared" si="41"/>
        <v>0</v>
      </c>
      <c r="I323" s="273">
        <f t="shared" si="42"/>
        <v>0</v>
      </c>
      <c r="J323" s="274">
        <f t="shared" si="43"/>
        <v>0</v>
      </c>
      <c r="K323" s="275">
        <f t="shared" si="44"/>
        <v>0</v>
      </c>
      <c r="L323" s="274">
        <f t="shared" si="45"/>
        <v>0</v>
      </c>
      <c r="M323" s="275">
        <f t="shared" si="46"/>
        <v>0</v>
      </c>
      <c r="N323" s="276"/>
      <c r="O323" s="232"/>
    </row>
    <row r="324" ht="15.75" customHeight="1">
      <c r="A324" s="359"/>
      <c r="B324" s="365"/>
      <c r="C324" s="369"/>
      <c r="D324" s="377"/>
      <c r="E324" s="386"/>
      <c r="F324" s="331">
        <f t="shared" si="47"/>
        <v>0</v>
      </c>
      <c r="G324" s="364"/>
      <c r="H324" s="272">
        <f t="shared" si="41"/>
        <v>0</v>
      </c>
      <c r="I324" s="273">
        <f t="shared" si="42"/>
        <v>0</v>
      </c>
      <c r="J324" s="274">
        <f t="shared" si="43"/>
        <v>0</v>
      </c>
      <c r="K324" s="275">
        <f t="shared" si="44"/>
        <v>0</v>
      </c>
      <c r="L324" s="274">
        <f t="shared" si="45"/>
        <v>0</v>
      </c>
      <c r="M324" s="275">
        <f t="shared" si="46"/>
        <v>0</v>
      </c>
      <c r="N324" s="276"/>
      <c r="O324" s="232"/>
    </row>
    <row r="325" ht="15.75" customHeight="1">
      <c r="A325" s="359"/>
      <c r="B325" s="365"/>
      <c r="C325" s="369"/>
      <c r="D325" s="377"/>
      <c r="E325" s="386"/>
      <c r="F325" s="331">
        <f t="shared" si="47"/>
        <v>0</v>
      </c>
      <c r="G325" s="364"/>
      <c r="H325" s="272">
        <f t="shared" si="41"/>
        <v>0</v>
      </c>
      <c r="I325" s="273">
        <f t="shared" si="42"/>
        <v>0</v>
      </c>
      <c r="J325" s="274">
        <f t="shared" si="43"/>
        <v>0</v>
      </c>
      <c r="K325" s="275">
        <f t="shared" si="44"/>
        <v>0</v>
      </c>
      <c r="L325" s="274">
        <f t="shared" si="45"/>
        <v>0</v>
      </c>
      <c r="M325" s="275">
        <f t="shared" si="46"/>
        <v>0</v>
      </c>
      <c r="N325" s="276"/>
      <c r="O325" s="232"/>
    </row>
    <row r="326" ht="15.75" customHeight="1">
      <c r="A326" s="359"/>
      <c r="B326" s="365"/>
      <c r="C326" s="369"/>
      <c r="D326" s="377"/>
      <c r="E326" s="386"/>
      <c r="F326" s="331">
        <f t="shared" si="47"/>
        <v>0</v>
      </c>
      <c r="G326" s="364"/>
      <c r="H326" s="272">
        <f t="shared" si="41"/>
        <v>0</v>
      </c>
      <c r="I326" s="273">
        <f t="shared" si="42"/>
        <v>0</v>
      </c>
      <c r="J326" s="274">
        <f t="shared" si="43"/>
        <v>0</v>
      </c>
      <c r="K326" s="275">
        <f t="shared" si="44"/>
        <v>0</v>
      </c>
      <c r="L326" s="274">
        <f t="shared" si="45"/>
        <v>0</v>
      </c>
      <c r="M326" s="275">
        <f t="shared" si="46"/>
        <v>0</v>
      </c>
      <c r="N326" s="276"/>
      <c r="O326" s="232"/>
    </row>
    <row r="327" ht="15.75" customHeight="1">
      <c r="A327" s="359"/>
      <c r="B327" s="365"/>
      <c r="C327" s="369"/>
      <c r="D327" s="377"/>
      <c r="E327" s="386"/>
      <c r="F327" s="331">
        <f t="shared" si="47"/>
        <v>0</v>
      </c>
      <c r="G327" s="364"/>
      <c r="H327" s="272">
        <f t="shared" si="41"/>
        <v>0</v>
      </c>
      <c r="I327" s="273">
        <f t="shared" si="42"/>
        <v>0</v>
      </c>
      <c r="J327" s="274">
        <f t="shared" si="43"/>
        <v>0</v>
      </c>
      <c r="K327" s="275">
        <f t="shared" si="44"/>
        <v>0</v>
      </c>
      <c r="L327" s="274">
        <f t="shared" si="45"/>
        <v>0</v>
      </c>
      <c r="M327" s="275">
        <f t="shared" si="46"/>
        <v>0</v>
      </c>
      <c r="N327" s="276"/>
      <c r="O327" s="232"/>
    </row>
    <row r="328" ht="15.75" customHeight="1">
      <c r="A328" s="359"/>
      <c r="B328" s="365"/>
      <c r="C328" s="369"/>
      <c r="D328" s="377"/>
      <c r="E328" s="368"/>
      <c r="F328" s="331">
        <f t="shared" si="47"/>
        <v>0</v>
      </c>
      <c r="G328" s="364"/>
      <c r="H328" s="272">
        <f t="shared" si="41"/>
        <v>0</v>
      </c>
      <c r="I328" s="273">
        <f t="shared" si="42"/>
        <v>0</v>
      </c>
      <c r="J328" s="274">
        <f t="shared" si="43"/>
        <v>0</v>
      </c>
      <c r="K328" s="275">
        <f t="shared" si="44"/>
        <v>0</v>
      </c>
      <c r="L328" s="274">
        <f t="shared" si="45"/>
        <v>0</v>
      </c>
      <c r="M328" s="275">
        <f t="shared" si="46"/>
        <v>0</v>
      </c>
      <c r="N328" s="276"/>
      <c r="O328" s="232"/>
    </row>
    <row r="329" ht="15.75" customHeight="1">
      <c r="A329" s="359"/>
      <c r="B329" s="365"/>
      <c r="C329" s="370"/>
      <c r="D329" s="378"/>
      <c r="E329" s="387"/>
      <c r="F329" s="331">
        <f t="shared" si="47"/>
        <v>0</v>
      </c>
      <c r="G329" s="364"/>
      <c r="H329" s="272">
        <f t="shared" si="41"/>
        <v>0</v>
      </c>
      <c r="I329" s="273">
        <f t="shared" si="42"/>
        <v>0</v>
      </c>
      <c r="J329" s="274">
        <f t="shared" si="43"/>
        <v>0</v>
      </c>
      <c r="K329" s="275">
        <f t="shared" si="44"/>
        <v>0</v>
      </c>
      <c r="L329" s="274">
        <f t="shared" si="45"/>
        <v>0</v>
      </c>
      <c r="M329" s="275">
        <f t="shared" si="46"/>
        <v>0</v>
      </c>
      <c r="N329" s="276"/>
      <c r="O329" s="232"/>
    </row>
    <row r="330" ht="15.75" customHeight="1">
      <c r="A330" s="265"/>
      <c r="B330" s="266"/>
      <c r="C330" s="370"/>
      <c r="D330" s="268"/>
      <c r="E330" s="269"/>
      <c r="F330" s="270"/>
      <c r="G330" s="388"/>
      <c r="H330" s="272"/>
      <c r="I330" s="273"/>
      <c r="J330" s="274"/>
      <c r="K330" s="275"/>
      <c r="L330" s="274"/>
      <c r="M330" s="275"/>
      <c r="N330" s="276"/>
      <c r="O330" s="232"/>
    </row>
    <row r="331" ht="15.75" customHeight="1">
      <c r="A331" s="265"/>
      <c r="B331" s="266"/>
      <c r="C331" s="370"/>
      <c r="D331" s="268"/>
      <c r="E331" s="269"/>
      <c r="F331" s="270"/>
      <c r="G331" s="388"/>
      <c r="H331" s="272"/>
      <c r="I331" s="273"/>
      <c r="J331" s="274"/>
      <c r="K331" s="275"/>
      <c r="L331" s="274"/>
      <c r="M331" s="275"/>
      <c r="N331" s="276"/>
      <c r="O331" s="232"/>
    </row>
    <row r="332" ht="15.75" customHeight="1">
      <c r="A332" s="265"/>
      <c r="B332" s="266"/>
      <c r="C332" s="370"/>
      <c r="D332" s="268"/>
      <c r="E332" s="269"/>
      <c r="F332" s="270"/>
      <c r="G332" s="388"/>
      <c r="H332" s="272"/>
      <c r="I332" s="273"/>
      <c r="J332" s="274"/>
      <c r="K332" s="275"/>
      <c r="L332" s="274"/>
      <c r="M332" s="275"/>
      <c r="N332" s="276"/>
      <c r="O332" s="232"/>
    </row>
    <row r="333" ht="15.75" customHeight="1">
      <c r="A333" s="265"/>
      <c r="B333" s="266"/>
      <c r="C333" s="370"/>
      <c r="D333" s="268"/>
      <c r="E333" s="269"/>
      <c r="F333" s="270"/>
      <c r="G333" s="388"/>
      <c r="H333" s="272"/>
      <c r="I333" s="273"/>
      <c r="J333" s="274"/>
      <c r="K333" s="275"/>
      <c r="L333" s="274"/>
      <c r="M333" s="275"/>
      <c r="N333" s="276"/>
      <c r="O333" s="232"/>
    </row>
    <row r="334" ht="15.75" customHeight="1">
      <c r="A334" s="265"/>
      <c r="B334" s="266"/>
      <c r="C334" s="370"/>
      <c r="D334" s="268"/>
      <c r="E334" s="269"/>
      <c r="F334" s="270"/>
      <c r="G334" s="388"/>
      <c r="H334" s="272"/>
      <c r="I334" s="273"/>
      <c r="J334" s="274"/>
      <c r="K334" s="275"/>
      <c r="L334" s="274"/>
      <c r="M334" s="275"/>
      <c r="N334" s="276"/>
      <c r="O334" s="232"/>
    </row>
    <row r="335" ht="15.75" customHeight="1">
      <c r="A335" s="265"/>
      <c r="B335" s="266"/>
      <c r="C335" s="370"/>
      <c r="D335" s="268"/>
      <c r="E335" s="269"/>
      <c r="F335" s="270"/>
      <c r="G335" s="388"/>
      <c r="H335" s="272"/>
      <c r="I335" s="273"/>
      <c r="J335" s="274"/>
      <c r="K335" s="275"/>
      <c r="L335" s="274"/>
      <c r="M335" s="275"/>
      <c r="N335" s="276"/>
      <c r="O335" s="232"/>
    </row>
    <row r="336" ht="15.75" customHeight="1">
      <c r="A336" s="265"/>
      <c r="B336" s="266"/>
      <c r="C336" s="370"/>
      <c r="D336" s="268"/>
      <c r="E336" s="269"/>
      <c r="F336" s="270"/>
      <c r="G336" s="388"/>
      <c r="H336" s="272"/>
      <c r="I336" s="273"/>
      <c r="J336" s="274"/>
      <c r="K336" s="275"/>
      <c r="L336" s="274"/>
      <c r="M336" s="275"/>
      <c r="N336" s="276"/>
      <c r="O336" s="232"/>
    </row>
    <row r="337" ht="15.75" customHeight="1">
      <c r="A337" s="265"/>
      <c r="B337" s="266"/>
      <c r="C337" s="370"/>
      <c r="D337" s="268"/>
      <c r="E337" s="269"/>
      <c r="F337" s="270"/>
      <c r="G337" s="388"/>
      <c r="H337" s="272"/>
      <c r="I337" s="273"/>
      <c r="J337" s="274"/>
      <c r="K337" s="275"/>
      <c r="L337" s="274"/>
      <c r="M337" s="275"/>
      <c r="N337" s="276"/>
      <c r="O337" s="232"/>
    </row>
    <row r="338" ht="15.75" customHeight="1">
      <c r="A338" s="265"/>
      <c r="B338" s="266"/>
      <c r="C338" s="370"/>
      <c r="D338" s="268"/>
      <c r="E338" s="269"/>
      <c r="F338" s="270"/>
      <c r="G338" s="388"/>
      <c r="H338" s="272"/>
      <c r="I338" s="273"/>
      <c r="J338" s="274"/>
      <c r="K338" s="275"/>
      <c r="L338" s="274"/>
      <c r="M338" s="275"/>
      <c r="N338" s="276"/>
      <c r="O338" s="232"/>
    </row>
    <row r="339" ht="15.75" customHeight="1">
      <c r="A339" s="265"/>
      <c r="B339" s="266"/>
      <c r="C339" s="370"/>
      <c r="D339" s="268"/>
      <c r="E339" s="269"/>
      <c r="F339" s="270"/>
      <c r="G339" s="388"/>
      <c r="H339" s="272"/>
      <c r="I339" s="273"/>
      <c r="J339" s="274"/>
      <c r="K339" s="275"/>
      <c r="L339" s="274"/>
      <c r="M339" s="275"/>
      <c r="N339" s="276"/>
      <c r="O339" s="232"/>
    </row>
    <row r="340" ht="15.75" customHeight="1">
      <c r="A340" s="265"/>
      <c r="B340" s="266"/>
      <c r="C340" s="370"/>
      <c r="D340" s="268"/>
      <c r="E340" s="269"/>
      <c r="F340" s="270"/>
      <c r="G340" s="388"/>
      <c r="H340" s="272"/>
      <c r="I340" s="273"/>
      <c r="J340" s="274"/>
      <c r="K340" s="275"/>
      <c r="L340" s="274"/>
      <c r="M340" s="275"/>
      <c r="N340" s="276"/>
      <c r="O340" s="232"/>
    </row>
    <row r="341" ht="15.75" customHeight="1">
      <c r="A341" s="265"/>
      <c r="B341" s="266"/>
      <c r="C341" s="370"/>
      <c r="D341" s="268"/>
      <c r="E341" s="269"/>
      <c r="F341" s="270"/>
      <c r="G341" s="388"/>
      <c r="H341" s="272"/>
      <c r="I341" s="273"/>
      <c r="J341" s="274"/>
      <c r="K341" s="275"/>
      <c r="L341" s="274"/>
      <c r="M341" s="275"/>
      <c r="N341" s="276"/>
      <c r="O341" s="232"/>
    </row>
    <row r="342" ht="15.75" customHeight="1">
      <c r="A342" s="265"/>
      <c r="B342" s="266"/>
      <c r="C342" s="370"/>
      <c r="D342" s="268"/>
      <c r="E342" s="269"/>
      <c r="F342" s="270"/>
      <c r="G342" s="388"/>
      <c r="H342" s="272"/>
      <c r="I342" s="273"/>
      <c r="J342" s="274"/>
      <c r="K342" s="275"/>
      <c r="L342" s="274"/>
      <c r="M342" s="275"/>
      <c r="N342" s="276"/>
      <c r="O342" s="232"/>
    </row>
    <row r="343" ht="15.75" customHeight="1">
      <c r="A343" s="265"/>
      <c r="B343" s="266"/>
      <c r="C343" s="370"/>
      <c r="D343" s="268"/>
      <c r="E343" s="269"/>
      <c r="F343" s="270"/>
      <c r="G343" s="388"/>
      <c r="H343" s="272"/>
      <c r="I343" s="273"/>
      <c r="J343" s="274"/>
      <c r="K343" s="275"/>
      <c r="L343" s="274"/>
      <c r="M343" s="275"/>
      <c r="N343" s="276"/>
      <c r="O343" s="232"/>
    </row>
    <row r="344" ht="15.75" customHeight="1">
      <c r="A344" s="265"/>
      <c r="B344" s="266"/>
      <c r="C344" s="370"/>
      <c r="D344" s="268"/>
      <c r="E344" s="269"/>
      <c r="F344" s="270"/>
      <c r="G344" s="388"/>
      <c r="H344" s="272"/>
      <c r="I344" s="273"/>
      <c r="J344" s="274"/>
      <c r="K344" s="275"/>
      <c r="L344" s="274"/>
      <c r="M344" s="275"/>
      <c r="N344" s="276"/>
      <c r="O344" s="232"/>
    </row>
    <row r="345" ht="15.75" customHeight="1">
      <c r="A345" s="265"/>
      <c r="B345" s="266"/>
      <c r="C345" s="370"/>
      <c r="D345" s="268"/>
      <c r="E345" s="269"/>
      <c r="F345" s="270"/>
      <c r="G345" s="388"/>
      <c r="H345" s="272"/>
      <c r="I345" s="273"/>
      <c r="J345" s="274"/>
      <c r="K345" s="275"/>
      <c r="L345" s="274"/>
      <c r="M345" s="275"/>
      <c r="N345" s="276"/>
      <c r="O345" s="232"/>
    </row>
    <row r="346" ht="15.75" customHeight="1">
      <c r="A346" s="265"/>
      <c r="B346" s="266"/>
      <c r="C346" s="370"/>
      <c r="D346" s="268"/>
      <c r="E346" s="269"/>
      <c r="F346" s="270"/>
      <c r="G346" s="388"/>
      <c r="H346" s="272"/>
      <c r="I346" s="273"/>
      <c r="J346" s="274"/>
      <c r="K346" s="275"/>
      <c r="L346" s="274"/>
      <c r="M346" s="275"/>
      <c r="N346" s="276"/>
      <c r="O346" s="232"/>
    </row>
    <row r="347" ht="15.75" customHeight="1">
      <c r="A347" s="265"/>
      <c r="B347" s="266"/>
      <c r="C347" s="370"/>
      <c r="D347" s="268"/>
      <c r="E347" s="269"/>
      <c r="F347" s="270"/>
      <c r="G347" s="388"/>
      <c r="H347" s="272"/>
      <c r="I347" s="273"/>
      <c r="J347" s="274"/>
      <c r="K347" s="275"/>
      <c r="L347" s="274"/>
      <c r="M347" s="275"/>
      <c r="N347" s="276"/>
      <c r="O347" s="232"/>
    </row>
    <row r="348" ht="15.75" customHeight="1">
      <c r="A348" s="265"/>
      <c r="B348" s="266"/>
      <c r="C348" s="370"/>
      <c r="D348" s="268"/>
      <c r="E348" s="269"/>
      <c r="F348" s="270"/>
      <c r="G348" s="388"/>
      <c r="H348" s="272"/>
      <c r="I348" s="273"/>
      <c r="J348" s="274"/>
      <c r="K348" s="275"/>
      <c r="L348" s="274"/>
      <c r="M348" s="275"/>
      <c r="N348" s="276"/>
      <c r="O348" s="232"/>
    </row>
    <row r="349" ht="15.75" customHeight="1">
      <c r="A349" s="265"/>
      <c r="B349" s="266"/>
      <c r="C349" s="370"/>
      <c r="D349" s="268"/>
      <c r="E349" s="269"/>
      <c r="F349" s="270"/>
      <c r="G349" s="388"/>
      <c r="H349" s="272"/>
      <c r="I349" s="273"/>
      <c r="J349" s="274"/>
      <c r="K349" s="275"/>
      <c r="L349" s="274"/>
      <c r="M349" s="275"/>
      <c r="N349" s="276"/>
      <c r="O349" s="232"/>
    </row>
    <row r="350" ht="15.75" customHeight="1">
      <c r="A350" s="265"/>
      <c r="B350" s="266"/>
      <c r="C350" s="370"/>
      <c r="D350" s="268"/>
      <c r="E350" s="269"/>
      <c r="F350" s="270"/>
      <c r="G350" s="388"/>
      <c r="H350" s="272"/>
      <c r="I350" s="273"/>
      <c r="J350" s="274"/>
      <c r="K350" s="275"/>
      <c r="L350" s="274"/>
      <c r="M350" s="275"/>
      <c r="N350" s="276"/>
      <c r="O350" s="232"/>
    </row>
    <row r="351" ht="15.75" customHeight="1">
      <c r="A351" s="265"/>
      <c r="B351" s="266"/>
      <c r="C351" s="370"/>
      <c r="D351" s="268"/>
      <c r="E351" s="269"/>
      <c r="F351" s="270"/>
      <c r="G351" s="388"/>
      <c r="H351" s="272"/>
      <c r="I351" s="273"/>
      <c r="J351" s="274"/>
      <c r="K351" s="275"/>
      <c r="L351" s="274"/>
      <c r="M351" s="275"/>
      <c r="N351" s="276"/>
      <c r="O351" s="232"/>
    </row>
    <row r="352" ht="15.75" customHeight="1">
      <c r="A352" s="265"/>
      <c r="B352" s="266"/>
      <c r="C352" s="370"/>
      <c r="D352" s="268"/>
      <c r="E352" s="269"/>
      <c r="F352" s="270"/>
      <c r="G352" s="388"/>
      <c r="H352" s="272"/>
      <c r="I352" s="273"/>
      <c r="J352" s="274"/>
      <c r="K352" s="275"/>
      <c r="L352" s="274"/>
      <c r="M352" s="275"/>
      <c r="N352" s="276"/>
      <c r="O352" s="232"/>
    </row>
    <row r="353" ht="15.75" customHeight="1">
      <c r="A353" s="265"/>
      <c r="B353" s="266"/>
      <c r="C353" s="370"/>
      <c r="D353" s="268"/>
      <c r="E353" s="269"/>
      <c r="F353" s="270"/>
      <c r="G353" s="388"/>
      <c r="H353" s="272"/>
      <c r="I353" s="273"/>
      <c r="J353" s="274"/>
      <c r="K353" s="275"/>
      <c r="L353" s="274"/>
      <c r="M353" s="275"/>
      <c r="N353" s="276"/>
      <c r="O353" s="232"/>
    </row>
    <row r="354" ht="15.75" customHeight="1">
      <c r="A354" s="265"/>
      <c r="B354" s="266"/>
      <c r="C354" s="370"/>
      <c r="D354" s="268"/>
      <c r="E354" s="269"/>
      <c r="F354" s="270"/>
      <c r="G354" s="388"/>
      <c r="H354" s="272"/>
      <c r="I354" s="273"/>
      <c r="J354" s="274"/>
      <c r="K354" s="275"/>
      <c r="L354" s="274"/>
      <c r="M354" s="275"/>
      <c r="N354" s="276"/>
      <c r="O354" s="232"/>
    </row>
    <row r="355" ht="15.75" customHeight="1">
      <c r="A355" s="265"/>
      <c r="B355" s="266"/>
      <c r="C355" s="370"/>
      <c r="D355" s="268"/>
      <c r="E355" s="269"/>
      <c r="F355" s="270"/>
      <c r="G355" s="388"/>
      <c r="H355" s="272"/>
      <c r="I355" s="273"/>
      <c r="J355" s="274"/>
      <c r="K355" s="275"/>
      <c r="L355" s="274"/>
      <c r="M355" s="275"/>
      <c r="N355" s="276"/>
      <c r="O355" s="232"/>
    </row>
    <row r="356" ht="15.75" customHeight="1">
      <c r="A356" s="265"/>
      <c r="B356" s="266"/>
      <c r="C356" s="370"/>
      <c r="D356" s="268"/>
      <c r="E356" s="269"/>
      <c r="F356" s="270"/>
      <c r="G356" s="388"/>
      <c r="H356" s="272"/>
      <c r="I356" s="273"/>
      <c r="J356" s="274"/>
      <c r="K356" s="275"/>
      <c r="L356" s="274"/>
      <c r="M356" s="275"/>
      <c r="N356" s="276"/>
      <c r="O356" s="232"/>
    </row>
    <row r="357" ht="15.75" customHeight="1">
      <c r="A357" s="265"/>
      <c r="B357" s="266"/>
      <c r="C357" s="370"/>
      <c r="D357" s="268"/>
      <c r="E357" s="269"/>
      <c r="F357" s="270"/>
      <c r="G357" s="388"/>
      <c r="H357" s="272"/>
      <c r="I357" s="273"/>
      <c r="J357" s="274"/>
      <c r="K357" s="275"/>
      <c r="L357" s="274"/>
      <c r="M357" s="275"/>
      <c r="N357" s="276"/>
      <c r="O357" s="232"/>
    </row>
    <row r="358" ht="15.75" customHeight="1">
      <c r="A358" s="265"/>
      <c r="B358" s="266"/>
      <c r="C358" s="370"/>
      <c r="D358" s="268"/>
      <c r="E358" s="269"/>
      <c r="F358" s="270"/>
      <c r="G358" s="388"/>
      <c r="H358" s="272"/>
      <c r="I358" s="273"/>
      <c r="J358" s="274"/>
      <c r="K358" s="275"/>
      <c r="L358" s="274"/>
      <c r="M358" s="275"/>
      <c r="N358" s="276"/>
      <c r="O358" s="232"/>
    </row>
    <row r="359" ht="15.75" customHeight="1">
      <c r="A359" s="265"/>
      <c r="B359" s="266"/>
      <c r="C359" s="370"/>
      <c r="D359" s="268"/>
      <c r="E359" s="269"/>
      <c r="F359" s="270"/>
      <c r="G359" s="388"/>
      <c r="H359" s="272"/>
      <c r="I359" s="273"/>
      <c r="J359" s="274"/>
      <c r="K359" s="275"/>
      <c r="L359" s="274"/>
      <c r="M359" s="275"/>
      <c r="N359" s="276"/>
      <c r="O359" s="232"/>
    </row>
    <row r="360" ht="15.75" customHeight="1">
      <c r="A360" s="265"/>
      <c r="B360" s="266"/>
      <c r="C360" s="370"/>
      <c r="D360" s="268"/>
      <c r="E360" s="269"/>
      <c r="F360" s="270"/>
      <c r="G360" s="388"/>
      <c r="H360" s="272"/>
      <c r="I360" s="273"/>
      <c r="J360" s="274"/>
      <c r="K360" s="275"/>
      <c r="L360" s="274"/>
      <c r="M360" s="275"/>
      <c r="N360" s="276"/>
      <c r="O360" s="232"/>
    </row>
    <row r="361" ht="15.75" customHeight="1">
      <c r="A361" s="265"/>
      <c r="B361" s="266"/>
      <c r="C361" s="370"/>
      <c r="D361" s="268"/>
      <c r="E361" s="269"/>
      <c r="F361" s="270"/>
      <c r="G361" s="388"/>
      <c r="H361" s="272"/>
      <c r="I361" s="273"/>
      <c r="J361" s="274"/>
      <c r="K361" s="275"/>
      <c r="L361" s="274"/>
      <c r="M361" s="275"/>
      <c r="N361" s="276"/>
      <c r="O361" s="232"/>
    </row>
    <row r="362" ht="15.75" customHeight="1">
      <c r="A362" s="265"/>
      <c r="B362" s="266"/>
      <c r="C362" s="370"/>
      <c r="D362" s="268"/>
      <c r="E362" s="269"/>
      <c r="F362" s="270"/>
      <c r="G362" s="388"/>
      <c r="H362" s="272"/>
      <c r="I362" s="273"/>
      <c r="J362" s="274"/>
      <c r="K362" s="275"/>
      <c r="L362" s="274"/>
      <c r="M362" s="275"/>
      <c r="N362" s="276"/>
      <c r="O362" s="232"/>
    </row>
    <row r="363" ht="15.75" customHeight="1">
      <c r="A363" s="265"/>
      <c r="B363" s="266"/>
      <c r="C363" s="370"/>
      <c r="D363" s="268"/>
      <c r="E363" s="269"/>
      <c r="F363" s="270"/>
      <c r="G363" s="388"/>
      <c r="H363" s="272"/>
      <c r="I363" s="273"/>
      <c r="J363" s="274"/>
      <c r="K363" s="275"/>
      <c r="L363" s="274"/>
      <c r="M363" s="275"/>
      <c r="N363" s="276"/>
      <c r="O363" s="232"/>
    </row>
    <row r="364" ht="15.75" customHeight="1">
      <c r="A364" s="265"/>
      <c r="B364" s="266"/>
      <c r="C364" s="370"/>
      <c r="D364" s="268"/>
      <c r="E364" s="269"/>
      <c r="F364" s="270"/>
      <c r="G364" s="388"/>
      <c r="H364" s="272"/>
      <c r="I364" s="273"/>
      <c r="J364" s="274"/>
      <c r="K364" s="275"/>
      <c r="L364" s="274"/>
      <c r="M364" s="275"/>
      <c r="N364" s="276"/>
      <c r="O364" s="232"/>
    </row>
    <row r="365" ht="15.75" customHeight="1">
      <c r="A365" s="265"/>
      <c r="B365" s="266"/>
      <c r="C365" s="370"/>
      <c r="D365" s="268"/>
      <c r="E365" s="269"/>
      <c r="F365" s="270"/>
      <c r="G365" s="388"/>
      <c r="H365" s="272"/>
      <c r="I365" s="273"/>
      <c r="J365" s="274"/>
      <c r="K365" s="275"/>
      <c r="L365" s="274"/>
      <c r="M365" s="275"/>
      <c r="N365" s="276"/>
      <c r="O365" s="232"/>
    </row>
    <row r="366" ht="15.75" customHeight="1">
      <c r="A366" s="265"/>
      <c r="B366" s="266"/>
      <c r="C366" s="370"/>
      <c r="D366" s="268"/>
      <c r="E366" s="269"/>
      <c r="F366" s="270"/>
      <c r="G366" s="388"/>
      <c r="H366" s="272"/>
      <c r="I366" s="273"/>
      <c r="J366" s="274"/>
      <c r="K366" s="275"/>
      <c r="L366" s="274"/>
      <c r="M366" s="275"/>
      <c r="N366" s="276"/>
      <c r="O366" s="232"/>
    </row>
    <row r="367" ht="15.75" customHeight="1">
      <c r="A367" s="265"/>
      <c r="B367" s="266"/>
      <c r="C367" s="370"/>
      <c r="D367" s="268"/>
      <c r="E367" s="269"/>
      <c r="F367" s="270"/>
      <c r="G367" s="388"/>
      <c r="H367" s="272"/>
      <c r="I367" s="273"/>
      <c r="J367" s="274"/>
      <c r="K367" s="275"/>
      <c r="L367" s="274"/>
      <c r="M367" s="275"/>
      <c r="N367" s="276"/>
      <c r="O367" s="232"/>
    </row>
    <row r="368" ht="15.75" customHeight="1">
      <c r="A368" s="265"/>
      <c r="B368" s="266"/>
      <c r="C368" s="370"/>
      <c r="D368" s="268"/>
      <c r="E368" s="269"/>
      <c r="F368" s="270"/>
      <c r="G368" s="388"/>
      <c r="H368" s="272"/>
      <c r="I368" s="273"/>
      <c r="J368" s="274"/>
      <c r="K368" s="275"/>
      <c r="L368" s="274"/>
      <c r="M368" s="275"/>
      <c r="N368" s="276"/>
      <c r="O368" s="232"/>
    </row>
    <row r="369" ht="15.75" customHeight="1">
      <c r="A369" s="265"/>
      <c r="B369" s="266"/>
      <c r="C369" s="370"/>
      <c r="D369" s="268"/>
      <c r="E369" s="269"/>
      <c r="F369" s="270"/>
      <c r="G369" s="388"/>
      <c r="H369" s="272"/>
      <c r="I369" s="273"/>
      <c r="J369" s="274"/>
      <c r="K369" s="275"/>
      <c r="L369" s="274"/>
      <c r="M369" s="275"/>
      <c r="N369" s="276"/>
      <c r="O369" s="232"/>
    </row>
    <row r="370" ht="15.75" customHeight="1">
      <c r="A370" s="265"/>
      <c r="B370" s="266"/>
      <c r="C370" s="370"/>
      <c r="D370" s="268"/>
      <c r="E370" s="269"/>
      <c r="F370" s="270"/>
      <c r="G370" s="388"/>
      <c r="H370" s="272"/>
      <c r="I370" s="273"/>
      <c r="J370" s="274"/>
      <c r="K370" s="275"/>
      <c r="L370" s="274"/>
      <c r="M370" s="275"/>
      <c r="N370" s="276"/>
      <c r="O370" s="232"/>
    </row>
    <row r="371" ht="15.75" customHeight="1">
      <c r="A371" s="265"/>
      <c r="B371" s="266"/>
      <c r="C371" s="370"/>
      <c r="D371" s="268"/>
      <c r="E371" s="269"/>
      <c r="F371" s="270"/>
      <c r="G371" s="388"/>
      <c r="H371" s="272"/>
      <c r="I371" s="273"/>
      <c r="J371" s="274"/>
      <c r="K371" s="275"/>
      <c r="L371" s="274"/>
      <c r="M371" s="275"/>
      <c r="N371" s="276"/>
      <c r="O371" s="232"/>
    </row>
    <row r="372" ht="15.75" customHeight="1">
      <c r="A372" s="265"/>
      <c r="B372" s="266"/>
      <c r="C372" s="370"/>
      <c r="D372" s="268"/>
      <c r="E372" s="269"/>
      <c r="F372" s="270"/>
      <c r="G372" s="388"/>
      <c r="H372" s="272"/>
      <c r="I372" s="273"/>
      <c r="J372" s="274"/>
      <c r="K372" s="275"/>
      <c r="L372" s="274"/>
      <c r="M372" s="275"/>
      <c r="N372" s="276"/>
      <c r="O372" s="232"/>
    </row>
    <row r="373" ht="15.75" customHeight="1">
      <c r="A373" s="265"/>
      <c r="B373" s="266"/>
      <c r="C373" s="370"/>
      <c r="D373" s="268"/>
      <c r="E373" s="269"/>
      <c r="F373" s="270"/>
      <c r="G373" s="388"/>
      <c r="H373" s="272"/>
      <c r="I373" s="273"/>
      <c r="J373" s="274"/>
      <c r="K373" s="275"/>
      <c r="L373" s="274"/>
      <c r="M373" s="275"/>
      <c r="N373" s="276"/>
      <c r="O373" s="232"/>
    </row>
    <row r="374" ht="15.75" customHeight="1">
      <c r="A374" s="265"/>
      <c r="B374" s="266"/>
      <c r="C374" s="370"/>
      <c r="D374" s="268"/>
      <c r="E374" s="269"/>
      <c r="F374" s="270"/>
      <c r="G374" s="388"/>
      <c r="H374" s="272"/>
      <c r="I374" s="273"/>
      <c r="J374" s="274"/>
      <c r="K374" s="275"/>
      <c r="L374" s="274"/>
      <c r="M374" s="275"/>
      <c r="N374" s="276"/>
      <c r="O374" s="232"/>
    </row>
    <row r="375" ht="15.75" customHeight="1">
      <c r="A375" s="265"/>
      <c r="B375" s="266"/>
      <c r="C375" s="370"/>
      <c r="D375" s="268"/>
      <c r="E375" s="269"/>
      <c r="F375" s="270"/>
      <c r="G375" s="388"/>
      <c r="H375" s="272"/>
      <c r="I375" s="273"/>
      <c r="J375" s="274"/>
      <c r="K375" s="275"/>
      <c r="L375" s="274"/>
      <c r="M375" s="275"/>
      <c r="N375" s="276"/>
      <c r="O375" s="232"/>
    </row>
    <row r="376" ht="15.75" customHeight="1">
      <c r="A376" s="265"/>
      <c r="B376" s="266"/>
      <c r="C376" s="370"/>
      <c r="D376" s="268"/>
      <c r="E376" s="269"/>
      <c r="F376" s="270"/>
      <c r="G376" s="388"/>
      <c r="H376" s="272"/>
      <c r="I376" s="273"/>
      <c r="J376" s="274"/>
      <c r="K376" s="275"/>
      <c r="L376" s="274"/>
      <c r="M376" s="275"/>
      <c r="N376" s="276"/>
      <c r="O376" s="232"/>
    </row>
    <row r="377" ht="15.75" customHeight="1">
      <c r="A377" s="265"/>
      <c r="B377" s="266"/>
      <c r="C377" s="370"/>
      <c r="D377" s="268"/>
      <c r="E377" s="269"/>
      <c r="F377" s="270"/>
      <c r="G377" s="388"/>
      <c r="H377" s="272"/>
      <c r="I377" s="273"/>
      <c r="J377" s="274"/>
      <c r="K377" s="275"/>
      <c r="L377" s="274"/>
      <c r="M377" s="275"/>
      <c r="N377" s="276"/>
      <c r="O377" s="232"/>
    </row>
    <row r="378" ht="15.75" customHeight="1">
      <c r="A378" s="265"/>
      <c r="B378" s="266"/>
      <c r="C378" s="370"/>
      <c r="D378" s="268"/>
      <c r="E378" s="269"/>
      <c r="F378" s="270"/>
      <c r="G378" s="388"/>
      <c r="H378" s="272"/>
      <c r="I378" s="273"/>
      <c r="J378" s="274"/>
      <c r="K378" s="275"/>
      <c r="L378" s="274"/>
      <c r="M378" s="275"/>
      <c r="N378" s="276"/>
      <c r="O378" s="232"/>
    </row>
    <row r="379" ht="15.75" customHeight="1">
      <c r="A379" s="265"/>
      <c r="B379" s="266"/>
      <c r="C379" s="370"/>
      <c r="D379" s="268"/>
      <c r="E379" s="269"/>
      <c r="F379" s="270"/>
      <c r="G379" s="388"/>
      <c r="H379" s="272"/>
      <c r="I379" s="273"/>
      <c r="J379" s="274"/>
      <c r="K379" s="275"/>
      <c r="L379" s="274"/>
      <c r="M379" s="275"/>
      <c r="N379" s="276"/>
      <c r="O379" s="232"/>
    </row>
    <row r="380" ht="15.75" customHeight="1">
      <c r="A380" s="265"/>
      <c r="B380" s="266"/>
      <c r="C380" s="370"/>
      <c r="D380" s="268"/>
      <c r="E380" s="269"/>
      <c r="F380" s="270"/>
      <c r="G380" s="388"/>
      <c r="H380" s="272"/>
      <c r="I380" s="273"/>
      <c r="J380" s="274"/>
      <c r="K380" s="275"/>
      <c r="L380" s="274"/>
      <c r="M380" s="275"/>
      <c r="N380" s="276"/>
      <c r="O380" s="232"/>
    </row>
    <row r="381" ht="15.75" customHeight="1">
      <c r="A381" s="265"/>
      <c r="B381" s="266"/>
      <c r="C381" s="370"/>
      <c r="D381" s="268"/>
      <c r="E381" s="269"/>
      <c r="F381" s="270"/>
      <c r="G381" s="388"/>
      <c r="H381" s="272"/>
      <c r="I381" s="273"/>
      <c r="J381" s="274"/>
      <c r="K381" s="275"/>
      <c r="L381" s="274"/>
      <c r="M381" s="275"/>
      <c r="N381" s="276"/>
      <c r="O381" s="232"/>
    </row>
    <row r="382" ht="15.75" customHeight="1">
      <c r="A382" s="265"/>
      <c r="B382" s="266"/>
      <c r="C382" s="370"/>
      <c r="D382" s="268"/>
      <c r="E382" s="269"/>
      <c r="F382" s="270"/>
      <c r="G382" s="388"/>
      <c r="H382" s="272"/>
      <c r="I382" s="273"/>
      <c r="J382" s="274"/>
      <c r="K382" s="275"/>
      <c r="L382" s="274"/>
      <c r="M382" s="275"/>
      <c r="N382" s="276"/>
      <c r="O382" s="232"/>
    </row>
    <row r="383" ht="15.75" customHeight="1">
      <c r="A383" s="265"/>
      <c r="B383" s="266"/>
      <c r="C383" s="370"/>
      <c r="D383" s="268"/>
      <c r="E383" s="269"/>
      <c r="F383" s="270"/>
      <c r="G383" s="388"/>
      <c r="H383" s="272"/>
      <c r="I383" s="273"/>
      <c r="J383" s="274"/>
      <c r="K383" s="275"/>
      <c r="L383" s="274"/>
      <c r="M383" s="275"/>
      <c r="N383" s="276"/>
      <c r="O383" s="232"/>
    </row>
    <row r="384" ht="15.75" customHeight="1">
      <c r="A384" s="265"/>
      <c r="B384" s="266"/>
      <c r="C384" s="370"/>
      <c r="D384" s="268"/>
      <c r="E384" s="269"/>
      <c r="F384" s="270"/>
      <c r="G384" s="388"/>
      <c r="H384" s="272"/>
      <c r="I384" s="273"/>
      <c r="J384" s="274"/>
      <c r="K384" s="275"/>
      <c r="L384" s="274"/>
      <c r="M384" s="275"/>
      <c r="N384" s="276"/>
      <c r="O384" s="232"/>
    </row>
    <row r="385" ht="15.75" customHeight="1">
      <c r="A385" s="265"/>
      <c r="B385" s="266"/>
      <c r="C385" s="370"/>
      <c r="D385" s="268"/>
      <c r="E385" s="269"/>
      <c r="F385" s="270"/>
      <c r="G385" s="388"/>
      <c r="H385" s="272"/>
      <c r="I385" s="273"/>
      <c r="J385" s="274"/>
      <c r="K385" s="275"/>
      <c r="L385" s="274"/>
      <c r="M385" s="275"/>
      <c r="N385" s="276"/>
      <c r="O385" s="232"/>
    </row>
    <row r="386" ht="15.75" customHeight="1">
      <c r="A386" s="265"/>
      <c r="B386" s="266"/>
      <c r="C386" s="370"/>
      <c r="D386" s="268"/>
      <c r="E386" s="269"/>
      <c r="F386" s="270"/>
      <c r="G386" s="388"/>
      <c r="H386" s="272"/>
      <c r="I386" s="273"/>
      <c r="J386" s="274"/>
      <c r="K386" s="275"/>
      <c r="L386" s="274"/>
      <c r="M386" s="275"/>
      <c r="N386" s="276"/>
      <c r="O386" s="232"/>
    </row>
    <row r="387" ht="15.75" customHeight="1">
      <c r="A387" s="265"/>
      <c r="B387" s="266"/>
      <c r="C387" s="370"/>
      <c r="D387" s="268"/>
      <c r="E387" s="269"/>
      <c r="F387" s="270"/>
      <c r="G387" s="388"/>
      <c r="H387" s="272"/>
      <c r="I387" s="273"/>
      <c r="J387" s="274"/>
      <c r="K387" s="275"/>
      <c r="L387" s="274"/>
      <c r="M387" s="275"/>
      <c r="N387" s="276"/>
      <c r="O387" s="232"/>
    </row>
    <row r="388" ht="15.75" customHeight="1">
      <c r="A388" s="265"/>
      <c r="B388" s="266"/>
      <c r="C388" s="370"/>
      <c r="D388" s="268"/>
      <c r="E388" s="269"/>
      <c r="F388" s="270"/>
      <c r="G388" s="388"/>
      <c r="H388" s="272"/>
      <c r="I388" s="273"/>
      <c r="J388" s="274"/>
      <c r="K388" s="275"/>
      <c r="L388" s="274"/>
      <c r="M388" s="275"/>
      <c r="N388" s="276"/>
      <c r="O388" s="232"/>
    </row>
    <row r="389" ht="15.75" customHeight="1">
      <c r="A389" s="265"/>
      <c r="B389" s="266"/>
      <c r="C389" s="370"/>
      <c r="D389" s="268"/>
      <c r="E389" s="269"/>
      <c r="F389" s="270"/>
      <c r="G389" s="388"/>
      <c r="H389" s="272"/>
      <c r="I389" s="273"/>
      <c r="J389" s="274"/>
      <c r="K389" s="275"/>
      <c r="L389" s="274"/>
      <c r="M389" s="275"/>
      <c r="N389" s="276"/>
      <c r="O389" s="232"/>
    </row>
    <row r="390" ht="15.75" customHeight="1">
      <c r="A390" s="265"/>
      <c r="B390" s="266"/>
      <c r="C390" s="370"/>
      <c r="D390" s="268"/>
      <c r="E390" s="269"/>
      <c r="F390" s="270"/>
      <c r="G390" s="388"/>
      <c r="H390" s="272"/>
      <c r="I390" s="273"/>
      <c r="J390" s="274"/>
      <c r="K390" s="275"/>
      <c r="L390" s="274"/>
      <c r="M390" s="275"/>
      <c r="N390" s="276"/>
      <c r="O390" s="232"/>
    </row>
    <row r="391" ht="15.75" customHeight="1">
      <c r="A391" s="265"/>
      <c r="B391" s="266"/>
      <c r="C391" s="370"/>
      <c r="D391" s="268"/>
      <c r="E391" s="269"/>
      <c r="F391" s="270"/>
      <c r="G391" s="388"/>
      <c r="H391" s="272"/>
      <c r="I391" s="273"/>
      <c r="J391" s="274"/>
      <c r="K391" s="275"/>
      <c r="L391" s="274"/>
      <c r="M391" s="275"/>
      <c r="N391" s="276"/>
      <c r="O391" s="232"/>
    </row>
    <row r="392" ht="15.75" customHeight="1">
      <c r="A392" s="265"/>
      <c r="B392" s="266"/>
      <c r="C392" s="370"/>
      <c r="D392" s="268"/>
      <c r="E392" s="269"/>
      <c r="F392" s="270"/>
      <c r="G392" s="388"/>
      <c r="H392" s="272"/>
      <c r="I392" s="273"/>
      <c r="J392" s="274"/>
      <c r="K392" s="275"/>
      <c r="L392" s="274"/>
      <c r="M392" s="275"/>
      <c r="N392" s="276"/>
      <c r="O392" s="232"/>
    </row>
    <row r="393" ht="15.75" customHeight="1">
      <c r="A393" s="265"/>
      <c r="B393" s="266"/>
      <c r="C393" s="370"/>
      <c r="D393" s="268"/>
      <c r="E393" s="269"/>
      <c r="F393" s="270"/>
      <c r="G393" s="388"/>
      <c r="H393" s="272"/>
      <c r="I393" s="273"/>
      <c r="J393" s="274"/>
      <c r="K393" s="275"/>
      <c r="L393" s="274"/>
      <c r="M393" s="275"/>
      <c r="N393" s="276"/>
      <c r="O393" s="232"/>
    </row>
    <row r="394" ht="15.75" customHeight="1">
      <c r="A394" s="265"/>
      <c r="B394" s="266"/>
      <c r="C394" s="370"/>
      <c r="D394" s="268"/>
      <c r="E394" s="269"/>
      <c r="F394" s="270"/>
      <c r="G394" s="388"/>
      <c r="H394" s="272"/>
      <c r="I394" s="273"/>
      <c r="J394" s="274"/>
      <c r="K394" s="275"/>
      <c r="L394" s="274"/>
      <c r="M394" s="275"/>
      <c r="N394" s="276"/>
      <c r="O394" s="232"/>
    </row>
    <row r="395" ht="15.75" customHeight="1">
      <c r="A395" s="265"/>
      <c r="B395" s="266"/>
      <c r="C395" s="370"/>
      <c r="D395" s="268"/>
      <c r="E395" s="269"/>
      <c r="F395" s="270"/>
      <c r="G395" s="388"/>
      <c r="H395" s="272"/>
      <c r="I395" s="273"/>
      <c r="J395" s="274"/>
      <c r="K395" s="275"/>
      <c r="L395" s="274"/>
      <c r="M395" s="275"/>
      <c r="N395" s="276"/>
      <c r="O395" s="232"/>
    </row>
    <row r="396" ht="15.75" customHeight="1">
      <c r="A396" s="265"/>
      <c r="B396" s="266"/>
      <c r="C396" s="370"/>
      <c r="D396" s="268"/>
      <c r="E396" s="269"/>
      <c r="F396" s="270"/>
      <c r="G396" s="388"/>
      <c r="H396" s="272"/>
      <c r="I396" s="273"/>
      <c r="J396" s="274"/>
      <c r="K396" s="275"/>
      <c r="L396" s="274"/>
      <c r="M396" s="275"/>
      <c r="N396" s="276"/>
      <c r="O396" s="232"/>
    </row>
    <row r="397" ht="15.75" customHeight="1">
      <c r="A397" s="265"/>
      <c r="B397" s="266"/>
      <c r="C397" s="370"/>
      <c r="D397" s="268"/>
      <c r="E397" s="269"/>
      <c r="F397" s="270"/>
      <c r="G397" s="388"/>
      <c r="H397" s="272"/>
      <c r="I397" s="273"/>
      <c r="J397" s="274"/>
      <c r="K397" s="275"/>
      <c r="L397" s="274"/>
      <c r="M397" s="275"/>
      <c r="N397" s="276"/>
      <c r="O397" s="232"/>
    </row>
    <row r="398" ht="15.75" customHeight="1">
      <c r="A398" s="265"/>
      <c r="B398" s="266"/>
      <c r="C398" s="370"/>
      <c r="D398" s="268"/>
      <c r="E398" s="269"/>
      <c r="F398" s="270"/>
      <c r="G398" s="388"/>
      <c r="H398" s="272"/>
      <c r="I398" s="273"/>
      <c r="J398" s="274"/>
      <c r="K398" s="275"/>
      <c r="L398" s="274"/>
      <c r="M398" s="275"/>
      <c r="N398" s="276"/>
      <c r="O398" s="232"/>
    </row>
    <row r="399" ht="15.75" customHeight="1">
      <c r="A399" s="265"/>
      <c r="B399" s="266"/>
      <c r="C399" s="370"/>
      <c r="D399" s="268"/>
      <c r="E399" s="269"/>
      <c r="F399" s="270"/>
      <c r="G399" s="388"/>
      <c r="H399" s="272"/>
      <c r="I399" s="273"/>
      <c r="J399" s="274"/>
      <c r="K399" s="275"/>
      <c r="L399" s="274"/>
      <c r="M399" s="275"/>
      <c r="N399" s="276"/>
      <c r="O399" s="232"/>
    </row>
    <row r="400" ht="15.75" customHeight="1">
      <c r="A400" s="265"/>
      <c r="B400" s="266"/>
      <c r="C400" s="370"/>
      <c r="D400" s="268"/>
      <c r="E400" s="269"/>
      <c r="F400" s="270"/>
      <c r="G400" s="388"/>
      <c r="H400" s="272"/>
      <c r="I400" s="273"/>
      <c r="J400" s="274"/>
      <c r="K400" s="275"/>
      <c r="L400" s="274"/>
      <c r="M400" s="275"/>
      <c r="N400" s="276"/>
      <c r="O400" s="232"/>
    </row>
    <row r="401" ht="15.75" customHeight="1">
      <c r="A401" s="265"/>
      <c r="B401" s="266"/>
      <c r="C401" s="370"/>
      <c r="D401" s="268"/>
      <c r="E401" s="269"/>
      <c r="F401" s="270"/>
      <c r="G401" s="388"/>
      <c r="H401" s="272"/>
      <c r="I401" s="273"/>
      <c r="J401" s="274"/>
      <c r="K401" s="275"/>
      <c r="L401" s="274"/>
      <c r="M401" s="275"/>
      <c r="N401" s="276"/>
      <c r="O401" s="232"/>
    </row>
    <row r="402" ht="15.75" customHeight="1">
      <c r="A402" s="265"/>
      <c r="B402" s="266"/>
      <c r="C402" s="370"/>
      <c r="D402" s="268"/>
      <c r="E402" s="269"/>
      <c r="F402" s="270"/>
      <c r="G402" s="388"/>
      <c r="H402" s="272"/>
      <c r="I402" s="273"/>
      <c r="J402" s="274"/>
      <c r="K402" s="275"/>
      <c r="L402" s="274"/>
      <c r="M402" s="275"/>
      <c r="N402" s="276"/>
      <c r="O402" s="232"/>
    </row>
    <row r="403" ht="15.75" customHeight="1">
      <c r="A403" s="265"/>
      <c r="B403" s="266"/>
      <c r="C403" s="370"/>
      <c r="D403" s="268"/>
      <c r="E403" s="269"/>
      <c r="F403" s="270"/>
      <c r="G403" s="388"/>
      <c r="H403" s="272"/>
      <c r="I403" s="273"/>
      <c r="J403" s="274"/>
      <c r="K403" s="275"/>
      <c r="L403" s="274"/>
      <c r="M403" s="275"/>
      <c r="N403" s="276"/>
      <c r="O403" s="232"/>
    </row>
    <row r="404" ht="15.75" customHeight="1">
      <c r="A404" s="265"/>
      <c r="B404" s="266"/>
      <c r="C404" s="370"/>
      <c r="D404" s="268"/>
      <c r="E404" s="269"/>
      <c r="F404" s="270"/>
      <c r="G404" s="388"/>
      <c r="H404" s="272"/>
      <c r="I404" s="273"/>
      <c r="J404" s="274"/>
      <c r="K404" s="275"/>
      <c r="L404" s="274"/>
      <c r="M404" s="275"/>
      <c r="N404" s="276"/>
      <c r="O404" s="232"/>
    </row>
    <row r="405" ht="15.75" customHeight="1">
      <c r="A405" s="265"/>
      <c r="B405" s="266"/>
      <c r="C405" s="370"/>
      <c r="D405" s="268"/>
      <c r="E405" s="269"/>
      <c r="F405" s="270"/>
      <c r="G405" s="388"/>
      <c r="H405" s="272"/>
      <c r="I405" s="273"/>
      <c r="J405" s="274"/>
      <c r="K405" s="275"/>
      <c r="L405" s="274"/>
      <c r="M405" s="275"/>
      <c r="N405" s="276"/>
      <c r="O405" s="232"/>
    </row>
    <row r="406" ht="15.75" customHeight="1">
      <c r="A406" s="265"/>
      <c r="B406" s="266"/>
      <c r="C406" s="370"/>
      <c r="D406" s="268"/>
      <c r="E406" s="269"/>
      <c r="F406" s="270"/>
      <c r="G406" s="388"/>
      <c r="H406" s="272"/>
      <c r="I406" s="273"/>
      <c r="J406" s="274"/>
      <c r="K406" s="275"/>
      <c r="L406" s="274"/>
      <c r="M406" s="275"/>
      <c r="N406" s="276"/>
      <c r="O406" s="232"/>
    </row>
    <row r="407" ht="15.75" customHeight="1">
      <c r="A407" s="265"/>
      <c r="B407" s="266"/>
      <c r="C407" s="370"/>
      <c r="D407" s="268"/>
      <c r="E407" s="269"/>
      <c r="F407" s="270"/>
      <c r="G407" s="388"/>
      <c r="H407" s="272"/>
      <c r="I407" s="273"/>
      <c r="J407" s="274"/>
      <c r="K407" s="275"/>
      <c r="L407" s="274"/>
      <c r="M407" s="275"/>
      <c r="N407" s="276"/>
      <c r="O407" s="232"/>
    </row>
    <row r="408" ht="15.75" customHeight="1">
      <c r="A408" s="265"/>
      <c r="B408" s="266"/>
      <c r="C408" s="370"/>
      <c r="D408" s="268"/>
      <c r="E408" s="269"/>
      <c r="F408" s="270"/>
      <c r="G408" s="388"/>
      <c r="H408" s="272"/>
      <c r="I408" s="273"/>
      <c r="J408" s="274"/>
      <c r="K408" s="275"/>
      <c r="L408" s="274"/>
      <c r="M408" s="275"/>
      <c r="N408" s="276"/>
      <c r="O408" s="232"/>
    </row>
    <row r="409" ht="15.75" customHeight="1">
      <c r="A409" s="265"/>
      <c r="B409" s="266"/>
      <c r="C409" s="370"/>
      <c r="D409" s="268"/>
      <c r="E409" s="269"/>
      <c r="F409" s="270"/>
      <c r="G409" s="388"/>
      <c r="H409" s="272"/>
      <c r="I409" s="273"/>
      <c r="J409" s="274"/>
      <c r="K409" s="275"/>
      <c r="L409" s="274"/>
      <c r="M409" s="275"/>
      <c r="N409" s="276"/>
      <c r="O409" s="232"/>
    </row>
    <row r="410" ht="15.75" customHeight="1">
      <c r="A410" s="265"/>
      <c r="B410" s="266"/>
      <c r="C410" s="370"/>
      <c r="D410" s="268"/>
      <c r="E410" s="269"/>
      <c r="F410" s="270"/>
      <c r="G410" s="388"/>
      <c r="H410" s="272"/>
      <c r="I410" s="273"/>
      <c r="J410" s="274"/>
      <c r="K410" s="275"/>
      <c r="L410" s="274"/>
      <c r="M410" s="275"/>
      <c r="N410" s="276"/>
      <c r="O410" s="232"/>
    </row>
    <row r="411" ht="15.75" customHeight="1">
      <c r="A411" s="265"/>
      <c r="B411" s="266"/>
      <c r="C411" s="370"/>
      <c r="D411" s="268"/>
      <c r="E411" s="269"/>
      <c r="F411" s="270"/>
      <c r="G411" s="388"/>
      <c r="H411" s="272"/>
      <c r="I411" s="273"/>
      <c r="J411" s="274"/>
      <c r="K411" s="275"/>
      <c r="L411" s="274"/>
      <c r="M411" s="275"/>
      <c r="N411" s="276"/>
      <c r="O411" s="232"/>
    </row>
    <row r="412" ht="15.75" customHeight="1">
      <c r="A412" s="265"/>
      <c r="B412" s="266"/>
      <c r="C412" s="370"/>
      <c r="D412" s="268"/>
      <c r="E412" s="269"/>
      <c r="F412" s="270"/>
      <c r="G412" s="388"/>
      <c r="H412" s="272"/>
      <c r="I412" s="273"/>
      <c r="J412" s="274"/>
      <c r="K412" s="275"/>
      <c r="L412" s="274"/>
      <c r="M412" s="275"/>
      <c r="N412" s="276"/>
      <c r="O412" s="232"/>
    </row>
    <row r="413" ht="15.75" customHeight="1">
      <c r="A413" s="265"/>
      <c r="B413" s="266"/>
      <c r="C413" s="370"/>
      <c r="D413" s="268"/>
      <c r="E413" s="269"/>
      <c r="F413" s="270"/>
      <c r="G413" s="388"/>
      <c r="H413" s="272"/>
      <c r="I413" s="273"/>
      <c r="J413" s="274"/>
      <c r="K413" s="275"/>
      <c r="L413" s="274"/>
      <c r="M413" s="275"/>
      <c r="N413" s="276"/>
      <c r="O413" s="232"/>
    </row>
    <row r="414" ht="15.75" customHeight="1">
      <c r="A414" s="265"/>
      <c r="B414" s="266"/>
      <c r="C414" s="370"/>
      <c r="D414" s="268"/>
      <c r="E414" s="269"/>
      <c r="F414" s="270"/>
      <c r="G414" s="388"/>
      <c r="H414" s="272"/>
      <c r="I414" s="273"/>
      <c r="J414" s="274"/>
      <c r="K414" s="275"/>
      <c r="L414" s="274"/>
      <c r="M414" s="275"/>
      <c r="N414" s="276"/>
      <c r="O414" s="232"/>
    </row>
    <row r="415" ht="15.75" customHeight="1">
      <c r="A415" s="265"/>
      <c r="B415" s="266"/>
      <c r="C415" s="370"/>
      <c r="D415" s="268"/>
      <c r="E415" s="269"/>
      <c r="F415" s="270"/>
      <c r="G415" s="388"/>
      <c r="H415" s="272"/>
      <c r="I415" s="273"/>
      <c r="J415" s="274"/>
      <c r="K415" s="275"/>
      <c r="L415" s="274"/>
      <c r="M415" s="275"/>
      <c r="N415" s="276"/>
      <c r="O415" s="232"/>
    </row>
    <row r="416" ht="15.75" customHeight="1">
      <c r="A416" s="265"/>
      <c r="B416" s="266"/>
      <c r="C416" s="370"/>
      <c r="D416" s="268"/>
      <c r="E416" s="269"/>
      <c r="F416" s="270"/>
      <c r="G416" s="388"/>
      <c r="H416" s="272"/>
      <c r="I416" s="273"/>
      <c r="J416" s="274"/>
      <c r="K416" s="275"/>
      <c r="L416" s="274"/>
      <c r="M416" s="275"/>
      <c r="N416" s="276"/>
      <c r="O416" s="232"/>
    </row>
    <row r="417" ht="15.75" customHeight="1">
      <c r="A417" s="265"/>
      <c r="B417" s="266"/>
      <c r="C417" s="370"/>
      <c r="D417" s="268"/>
      <c r="E417" s="269"/>
      <c r="F417" s="270"/>
      <c r="G417" s="388"/>
      <c r="H417" s="272"/>
      <c r="I417" s="273"/>
      <c r="J417" s="274"/>
      <c r="K417" s="275"/>
      <c r="L417" s="274"/>
      <c r="M417" s="275"/>
      <c r="N417" s="276"/>
      <c r="O417" s="232"/>
    </row>
    <row r="418" ht="15.75" customHeight="1">
      <c r="A418" s="265"/>
      <c r="B418" s="266"/>
      <c r="C418" s="370"/>
      <c r="D418" s="268"/>
      <c r="E418" s="269"/>
      <c r="F418" s="270"/>
      <c r="G418" s="388"/>
      <c r="H418" s="272"/>
      <c r="I418" s="273"/>
      <c r="J418" s="274"/>
      <c r="K418" s="275"/>
      <c r="L418" s="274"/>
      <c r="M418" s="275"/>
      <c r="N418" s="276"/>
      <c r="O418" s="232"/>
    </row>
    <row r="419" ht="15.75" customHeight="1">
      <c r="A419" s="265"/>
      <c r="B419" s="266"/>
      <c r="C419" s="370"/>
      <c r="D419" s="268"/>
      <c r="E419" s="269"/>
      <c r="F419" s="270"/>
      <c r="G419" s="388"/>
      <c r="H419" s="272"/>
      <c r="I419" s="273"/>
      <c r="J419" s="274"/>
      <c r="K419" s="275"/>
      <c r="L419" s="274"/>
      <c r="M419" s="275"/>
      <c r="N419" s="276"/>
      <c r="O419" s="232"/>
    </row>
    <row r="420" ht="15.75" customHeight="1">
      <c r="A420" s="265"/>
      <c r="B420" s="266"/>
      <c r="C420" s="370"/>
      <c r="D420" s="268"/>
      <c r="E420" s="269"/>
      <c r="F420" s="270"/>
      <c r="G420" s="388"/>
      <c r="H420" s="272"/>
      <c r="I420" s="273"/>
      <c r="J420" s="274"/>
      <c r="K420" s="275"/>
      <c r="L420" s="274"/>
      <c r="M420" s="275"/>
      <c r="N420" s="276"/>
      <c r="O420" s="232"/>
    </row>
    <row r="421" ht="15.75" customHeight="1">
      <c r="A421" s="265"/>
      <c r="B421" s="266"/>
      <c r="C421" s="370"/>
      <c r="D421" s="268"/>
      <c r="E421" s="269"/>
      <c r="F421" s="270"/>
      <c r="G421" s="388"/>
      <c r="H421" s="272"/>
      <c r="I421" s="273"/>
      <c r="J421" s="274"/>
      <c r="K421" s="275"/>
      <c r="L421" s="274"/>
      <c r="M421" s="275"/>
      <c r="N421" s="276"/>
      <c r="O421" s="232"/>
    </row>
    <row r="422" ht="15.75" customHeight="1">
      <c r="A422" s="265"/>
      <c r="B422" s="266"/>
      <c r="C422" s="370"/>
      <c r="D422" s="268"/>
      <c r="E422" s="269"/>
      <c r="F422" s="270"/>
      <c r="G422" s="388"/>
      <c r="H422" s="272"/>
      <c r="I422" s="273"/>
      <c r="J422" s="274"/>
      <c r="K422" s="275"/>
      <c r="L422" s="274"/>
      <c r="M422" s="275"/>
      <c r="N422" s="276"/>
      <c r="O422" s="232"/>
    </row>
    <row r="423" ht="15.75" customHeight="1">
      <c r="A423" s="265"/>
      <c r="B423" s="266"/>
      <c r="C423" s="370"/>
      <c r="D423" s="268"/>
      <c r="E423" s="269"/>
      <c r="F423" s="270"/>
      <c r="G423" s="388"/>
      <c r="H423" s="272"/>
      <c r="I423" s="273"/>
      <c r="J423" s="274"/>
      <c r="K423" s="275"/>
      <c r="L423" s="274"/>
      <c r="M423" s="275"/>
      <c r="N423" s="276"/>
      <c r="O423" s="232"/>
    </row>
    <row r="424" ht="15.75" customHeight="1">
      <c r="A424" s="265"/>
      <c r="B424" s="266"/>
      <c r="C424" s="370"/>
      <c r="D424" s="268"/>
      <c r="E424" s="269"/>
      <c r="F424" s="270"/>
      <c r="G424" s="388"/>
      <c r="H424" s="272"/>
      <c r="I424" s="273"/>
      <c r="J424" s="274"/>
      <c r="K424" s="275"/>
      <c r="L424" s="274"/>
      <c r="M424" s="275"/>
      <c r="N424" s="276"/>
      <c r="O424" s="232"/>
    </row>
    <row r="425" ht="15.75" customHeight="1">
      <c r="A425" s="265"/>
      <c r="B425" s="266"/>
      <c r="C425" s="370"/>
      <c r="D425" s="268"/>
      <c r="E425" s="269"/>
      <c r="F425" s="270"/>
      <c r="G425" s="388"/>
      <c r="H425" s="272"/>
      <c r="I425" s="273"/>
      <c r="J425" s="274"/>
      <c r="K425" s="275"/>
      <c r="L425" s="274"/>
      <c r="M425" s="275"/>
      <c r="N425" s="276"/>
      <c r="O425" s="232"/>
    </row>
    <row r="426" ht="15.75" customHeight="1">
      <c r="A426" s="265"/>
      <c r="B426" s="266"/>
      <c r="C426" s="370"/>
      <c r="D426" s="268"/>
      <c r="E426" s="269"/>
      <c r="F426" s="270"/>
      <c r="G426" s="388"/>
      <c r="H426" s="272"/>
      <c r="I426" s="273"/>
      <c r="J426" s="274"/>
      <c r="K426" s="275"/>
      <c r="L426" s="274"/>
      <c r="M426" s="275"/>
      <c r="N426" s="276"/>
      <c r="O426" s="232"/>
    </row>
    <row r="427" ht="15.75" customHeight="1">
      <c r="A427" s="265"/>
      <c r="B427" s="266"/>
      <c r="C427" s="370"/>
      <c r="D427" s="268"/>
      <c r="E427" s="269"/>
      <c r="F427" s="270"/>
      <c r="G427" s="388"/>
      <c r="H427" s="272"/>
      <c r="I427" s="273"/>
      <c r="J427" s="274"/>
      <c r="K427" s="275"/>
      <c r="L427" s="274"/>
      <c r="M427" s="275"/>
      <c r="N427" s="276"/>
      <c r="O427" s="232"/>
    </row>
    <row r="428" ht="15.75" customHeight="1">
      <c r="A428" s="265"/>
      <c r="B428" s="266"/>
      <c r="C428" s="370"/>
      <c r="D428" s="268"/>
      <c r="E428" s="269"/>
      <c r="F428" s="270"/>
      <c r="G428" s="388"/>
      <c r="H428" s="272"/>
      <c r="I428" s="273"/>
      <c r="J428" s="274"/>
      <c r="K428" s="275"/>
      <c r="L428" s="274"/>
      <c r="M428" s="275"/>
      <c r="N428" s="276"/>
      <c r="O428" s="232"/>
    </row>
    <row r="429" ht="15.75" customHeight="1">
      <c r="A429" s="265"/>
      <c r="B429" s="266"/>
      <c r="C429" s="370"/>
      <c r="D429" s="268"/>
      <c r="E429" s="269"/>
      <c r="F429" s="270"/>
      <c r="G429" s="388"/>
      <c r="H429" s="272"/>
      <c r="I429" s="273"/>
      <c r="J429" s="274"/>
      <c r="K429" s="275"/>
      <c r="L429" s="274"/>
      <c r="M429" s="275"/>
      <c r="N429" s="276"/>
      <c r="O429" s="232"/>
    </row>
    <row r="430" ht="15.75" customHeight="1">
      <c r="A430" s="265"/>
      <c r="B430" s="266"/>
      <c r="C430" s="370"/>
      <c r="D430" s="268"/>
      <c r="E430" s="269"/>
      <c r="F430" s="270"/>
      <c r="G430" s="388"/>
      <c r="H430" s="272"/>
      <c r="I430" s="273"/>
      <c r="J430" s="274"/>
      <c r="K430" s="275"/>
      <c r="L430" s="274"/>
      <c r="M430" s="275"/>
      <c r="N430" s="276"/>
      <c r="O430" s="232"/>
    </row>
    <row r="431" ht="15.75" customHeight="1">
      <c r="A431" s="265"/>
      <c r="B431" s="266"/>
      <c r="C431" s="370"/>
      <c r="D431" s="268"/>
      <c r="E431" s="269"/>
      <c r="F431" s="270"/>
      <c r="G431" s="388"/>
      <c r="H431" s="272"/>
      <c r="I431" s="273"/>
      <c r="J431" s="274"/>
      <c r="K431" s="275"/>
      <c r="L431" s="274"/>
      <c r="M431" s="275"/>
      <c r="N431" s="276"/>
      <c r="O431" s="232"/>
    </row>
    <row r="432" ht="15.75" customHeight="1">
      <c r="A432" s="265"/>
      <c r="B432" s="266"/>
      <c r="C432" s="370"/>
      <c r="D432" s="268"/>
      <c r="E432" s="269"/>
      <c r="F432" s="270"/>
      <c r="G432" s="388"/>
      <c r="H432" s="272"/>
      <c r="I432" s="273"/>
      <c r="J432" s="274"/>
      <c r="K432" s="275"/>
      <c r="L432" s="274"/>
      <c r="M432" s="275"/>
      <c r="N432" s="276"/>
      <c r="O432" s="232"/>
    </row>
    <row r="433" ht="15.75" customHeight="1">
      <c r="A433" s="265"/>
      <c r="B433" s="266"/>
      <c r="C433" s="370"/>
      <c r="D433" s="268"/>
      <c r="E433" s="269"/>
      <c r="F433" s="270"/>
      <c r="G433" s="388"/>
      <c r="H433" s="272"/>
      <c r="I433" s="273"/>
      <c r="J433" s="274"/>
      <c r="K433" s="275"/>
      <c r="L433" s="274"/>
      <c r="M433" s="275"/>
      <c r="N433" s="276"/>
      <c r="O433" s="232"/>
    </row>
    <row r="434" ht="15.75" customHeight="1">
      <c r="A434" s="265"/>
      <c r="B434" s="266"/>
      <c r="C434" s="370"/>
      <c r="D434" s="268"/>
      <c r="E434" s="269"/>
      <c r="F434" s="270"/>
      <c r="G434" s="388"/>
      <c r="H434" s="272"/>
      <c r="I434" s="273"/>
      <c r="J434" s="274"/>
      <c r="K434" s="275"/>
      <c r="L434" s="274"/>
      <c r="M434" s="275"/>
      <c r="N434" s="276"/>
      <c r="O434" s="232"/>
    </row>
    <row r="435" ht="15.75" customHeight="1">
      <c r="A435" s="265"/>
      <c r="B435" s="266"/>
      <c r="C435" s="370"/>
      <c r="D435" s="268"/>
      <c r="E435" s="269"/>
      <c r="F435" s="270"/>
      <c r="G435" s="388"/>
      <c r="H435" s="272"/>
      <c r="I435" s="273"/>
      <c r="J435" s="274"/>
      <c r="K435" s="275"/>
      <c r="L435" s="274"/>
      <c r="M435" s="275"/>
      <c r="N435" s="276"/>
      <c r="O435" s="232"/>
    </row>
    <row r="436" ht="15.75" customHeight="1">
      <c r="A436" s="265"/>
      <c r="B436" s="266"/>
      <c r="C436" s="370"/>
      <c r="D436" s="268"/>
      <c r="E436" s="269"/>
      <c r="F436" s="270"/>
      <c r="G436" s="388"/>
      <c r="H436" s="272"/>
      <c r="I436" s="273"/>
      <c r="J436" s="274"/>
      <c r="K436" s="275"/>
      <c r="L436" s="274"/>
      <c r="M436" s="275"/>
      <c r="N436" s="276"/>
      <c r="O436" s="232"/>
    </row>
    <row r="437" ht="15.75" customHeight="1">
      <c r="A437" s="265"/>
      <c r="B437" s="266"/>
      <c r="C437" s="370"/>
      <c r="D437" s="268"/>
      <c r="E437" s="269"/>
      <c r="F437" s="270"/>
      <c r="G437" s="388"/>
      <c r="H437" s="272"/>
      <c r="I437" s="273"/>
      <c r="J437" s="274"/>
      <c r="K437" s="275"/>
      <c r="L437" s="274"/>
      <c r="M437" s="275"/>
      <c r="N437" s="276"/>
      <c r="O437" s="232"/>
    </row>
    <row r="438" ht="15.75" customHeight="1">
      <c r="A438" s="265"/>
      <c r="B438" s="266"/>
      <c r="C438" s="370"/>
      <c r="D438" s="268"/>
      <c r="E438" s="269"/>
      <c r="F438" s="270"/>
      <c r="G438" s="388"/>
      <c r="H438" s="272"/>
      <c r="I438" s="273"/>
      <c r="J438" s="274"/>
      <c r="K438" s="275"/>
      <c r="L438" s="274"/>
      <c r="M438" s="275"/>
      <c r="N438" s="276"/>
      <c r="O438" s="232"/>
    </row>
    <row r="439" ht="15.75" customHeight="1">
      <c r="A439" s="265"/>
      <c r="B439" s="266"/>
      <c r="C439" s="370"/>
      <c r="D439" s="268"/>
      <c r="E439" s="269"/>
      <c r="F439" s="270"/>
      <c r="G439" s="388"/>
      <c r="H439" s="272"/>
      <c r="I439" s="273"/>
      <c r="J439" s="274"/>
      <c r="K439" s="275"/>
      <c r="L439" s="274"/>
      <c r="M439" s="275"/>
      <c r="N439" s="276"/>
      <c r="O439" s="232"/>
    </row>
    <row r="440" ht="15.75" customHeight="1">
      <c r="A440" s="265"/>
      <c r="B440" s="266"/>
      <c r="C440" s="370"/>
      <c r="D440" s="268"/>
      <c r="E440" s="269"/>
      <c r="F440" s="270"/>
      <c r="G440" s="388"/>
      <c r="H440" s="272"/>
      <c r="I440" s="273"/>
      <c r="J440" s="274"/>
      <c r="K440" s="275"/>
      <c r="L440" s="274"/>
      <c r="M440" s="275"/>
      <c r="N440" s="276"/>
      <c r="O440" s="232"/>
    </row>
    <row r="441" ht="15.75" customHeight="1">
      <c r="A441" s="265"/>
      <c r="B441" s="266"/>
      <c r="C441" s="370"/>
      <c r="D441" s="268"/>
      <c r="E441" s="269"/>
      <c r="F441" s="270"/>
      <c r="G441" s="388"/>
      <c r="H441" s="272"/>
      <c r="I441" s="273"/>
      <c r="J441" s="274"/>
      <c r="K441" s="275"/>
      <c r="L441" s="274"/>
      <c r="M441" s="275"/>
      <c r="N441" s="276"/>
      <c r="O441" s="232"/>
    </row>
    <row r="442" ht="15.75" customHeight="1">
      <c r="A442" s="265"/>
      <c r="B442" s="266"/>
      <c r="C442" s="370"/>
      <c r="D442" s="268"/>
      <c r="E442" s="269"/>
      <c r="F442" s="270"/>
      <c r="G442" s="388"/>
      <c r="H442" s="272"/>
      <c r="I442" s="273"/>
      <c r="J442" s="274"/>
      <c r="K442" s="275"/>
      <c r="L442" s="274"/>
      <c r="M442" s="275"/>
      <c r="N442" s="276"/>
      <c r="O442" s="232"/>
    </row>
    <row r="443" ht="15.75" customHeight="1">
      <c r="A443" s="265"/>
      <c r="B443" s="266"/>
      <c r="C443" s="370"/>
      <c r="D443" s="268"/>
      <c r="E443" s="269"/>
      <c r="F443" s="270"/>
      <c r="G443" s="388"/>
      <c r="H443" s="272"/>
      <c r="I443" s="273"/>
      <c r="J443" s="274"/>
      <c r="K443" s="275"/>
      <c r="L443" s="274"/>
      <c r="M443" s="275"/>
      <c r="N443" s="276"/>
      <c r="O443" s="232"/>
    </row>
    <row r="444" ht="15.75" customHeight="1">
      <c r="A444" s="265"/>
      <c r="B444" s="266"/>
      <c r="C444" s="370"/>
      <c r="D444" s="268"/>
      <c r="E444" s="269"/>
      <c r="F444" s="270"/>
      <c r="G444" s="388"/>
      <c r="H444" s="272"/>
      <c r="I444" s="273"/>
      <c r="J444" s="274"/>
      <c r="K444" s="275"/>
      <c r="L444" s="274"/>
      <c r="M444" s="275"/>
      <c r="N444" s="276"/>
      <c r="O444" s="232"/>
    </row>
    <row r="445" ht="15.75" customHeight="1">
      <c r="A445" s="265"/>
      <c r="B445" s="266"/>
      <c r="C445" s="370"/>
      <c r="D445" s="268"/>
      <c r="E445" s="269"/>
      <c r="F445" s="270"/>
      <c r="G445" s="388"/>
      <c r="H445" s="272"/>
      <c r="I445" s="273"/>
      <c r="J445" s="274"/>
      <c r="K445" s="275"/>
      <c r="L445" s="274"/>
      <c r="M445" s="275"/>
      <c r="N445" s="276"/>
      <c r="O445" s="232"/>
    </row>
    <row r="446" ht="15.75" customHeight="1">
      <c r="A446" s="265"/>
      <c r="B446" s="266"/>
      <c r="C446" s="370"/>
      <c r="D446" s="268"/>
      <c r="E446" s="269"/>
      <c r="F446" s="270"/>
      <c r="G446" s="388"/>
      <c r="H446" s="272"/>
      <c r="I446" s="273"/>
      <c r="J446" s="274"/>
      <c r="K446" s="275"/>
      <c r="L446" s="274"/>
      <c r="M446" s="275"/>
      <c r="N446" s="276"/>
      <c r="O446" s="232"/>
    </row>
    <row r="447" ht="15.75" customHeight="1">
      <c r="A447" s="265"/>
      <c r="B447" s="266"/>
      <c r="C447" s="370"/>
      <c r="D447" s="268"/>
      <c r="E447" s="269"/>
      <c r="F447" s="270"/>
      <c r="G447" s="388"/>
      <c r="H447" s="272"/>
      <c r="I447" s="273"/>
      <c r="J447" s="274"/>
      <c r="K447" s="275"/>
      <c r="L447" s="274"/>
      <c r="M447" s="275"/>
      <c r="N447" s="276"/>
      <c r="O447" s="232"/>
    </row>
    <row r="448" ht="15.75" customHeight="1">
      <c r="A448" s="265"/>
      <c r="B448" s="266"/>
      <c r="C448" s="370"/>
      <c r="D448" s="268"/>
      <c r="E448" s="269"/>
      <c r="F448" s="270"/>
      <c r="G448" s="388"/>
      <c r="H448" s="272"/>
      <c r="I448" s="273"/>
      <c r="J448" s="274"/>
      <c r="K448" s="275"/>
      <c r="L448" s="274"/>
      <c r="M448" s="275"/>
      <c r="N448" s="276"/>
      <c r="O448" s="232"/>
    </row>
    <row r="449" ht="15.75" customHeight="1">
      <c r="A449" s="265"/>
      <c r="B449" s="266"/>
      <c r="C449" s="370"/>
      <c r="D449" s="268"/>
      <c r="E449" s="269"/>
      <c r="F449" s="270"/>
      <c r="G449" s="388"/>
      <c r="H449" s="272"/>
      <c r="I449" s="273"/>
      <c r="J449" s="274"/>
      <c r="K449" s="275"/>
      <c r="L449" s="274"/>
      <c r="M449" s="275"/>
      <c r="N449" s="276"/>
      <c r="O449" s="232"/>
    </row>
    <row r="450" ht="15.75" customHeight="1">
      <c r="A450" s="265"/>
      <c r="B450" s="266"/>
      <c r="C450" s="370"/>
      <c r="D450" s="268"/>
      <c r="E450" s="269"/>
      <c r="F450" s="270"/>
      <c r="G450" s="388"/>
      <c r="H450" s="272"/>
      <c r="I450" s="273"/>
      <c r="J450" s="274"/>
      <c r="K450" s="275"/>
      <c r="L450" s="274"/>
      <c r="M450" s="275"/>
      <c r="N450" s="276"/>
      <c r="O450" s="232"/>
    </row>
    <row r="451" ht="15.75" customHeight="1">
      <c r="A451" s="265"/>
      <c r="B451" s="266"/>
      <c r="C451" s="370"/>
      <c r="D451" s="268"/>
      <c r="E451" s="269"/>
      <c r="F451" s="270"/>
      <c r="G451" s="388"/>
      <c r="H451" s="272"/>
      <c r="I451" s="273"/>
      <c r="J451" s="274"/>
      <c r="K451" s="275"/>
      <c r="L451" s="274"/>
      <c r="M451" s="275"/>
      <c r="N451" s="276"/>
      <c r="O451" s="232"/>
    </row>
    <row r="452" ht="15.75" customHeight="1">
      <c r="A452" s="265"/>
      <c r="B452" s="266"/>
      <c r="C452" s="370"/>
      <c r="D452" s="268"/>
      <c r="E452" s="269"/>
      <c r="F452" s="270"/>
      <c r="G452" s="388"/>
      <c r="H452" s="272"/>
      <c r="I452" s="273"/>
      <c r="J452" s="274"/>
      <c r="K452" s="275"/>
      <c r="L452" s="274"/>
      <c r="M452" s="275"/>
      <c r="N452" s="276"/>
      <c r="O452" s="232"/>
    </row>
    <row r="453" ht="15.75" customHeight="1">
      <c r="A453" s="265"/>
      <c r="B453" s="266"/>
      <c r="C453" s="370"/>
      <c r="D453" s="268"/>
      <c r="E453" s="269"/>
      <c r="F453" s="270"/>
      <c r="G453" s="388"/>
      <c r="H453" s="272"/>
      <c r="I453" s="273"/>
      <c r="J453" s="274"/>
      <c r="K453" s="275"/>
      <c r="L453" s="274"/>
      <c r="M453" s="275"/>
      <c r="N453" s="276"/>
      <c r="O453" s="232"/>
    </row>
    <row r="454" ht="15.75" customHeight="1">
      <c r="A454" s="265"/>
      <c r="B454" s="266"/>
      <c r="C454" s="370"/>
      <c r="D454" s="268"/>
      <c r="E454" s="269"/>
      <c r="F454" s="270"/>
      <c r="G454" s="388"/>
      <c r="H454" s="272"/>
      <c r="I454" s="273"/>
      <c r="J454" s="274"/>
      <c r="K454" s="275"/>
      <c r="L454" s="274"/>
      <c r="M454" s="275"/>
      <c r="N454" s="276"/>
      <c r="O454" s="232"/>
    </row>
    <row r="455" ht="15.75" customHeight="1">
      <c r="A455" s="265"/>
      <c r="B455" s="266"/>
      <c r="C455" s="370"/>
      <c r="D455" s="268"/>
      <c r="E455" s="269"/>
      <c r="F455" s="270"/>
      <c r="G455" s="388"/>
      <c r="H455" s="272"/>
      <c r="I455" s="273"/>
      <c r="J455" s="274"/>
      <c r="K455" s="275"/>
      <c r="L455" s="274"/>
      <c r="M455" s="275"/>
      <c r="N455" s="276"/>
      <c r="O455" s="232"/>
    </row>
    <row r="456" ht="15.75" customHeight="1">
      <c r="A456" s="265"/>
      <c r="B456" s="266"/>
      <c r="C456" s="370"/>
      <c r="D456" s="268"/>
      <c r="E456" s="269"/>
      <c r="F456" s="270"/>
      <c r="G456" s="388"/>
      <c r="H456" s="272"/>
      <c r="I456" s="273"/>
      <c r="J456" s="274"/>
      <c r="K456" s="275"/>
      <c r="L456" s="274"/>
      <c r="M456" s="275"/>
      <c r="N456" s="276"/>
      <c r="O456" s="232"/>
    </row>
    <row r="457" ht="15.75" customHeight="1">
      <c r="A457" s="265"/>
      <c r="B457" s="266"/>
      <c r="C457" s="370"/>
      <c r="D457" s="268"/>
      <c r="E457" s="269"/>
      <c r="F457" s="270"/>
      <c r="G457" s="388"/>
      <c r="H457" s="272"/>
      <c r="I457" s="273"/>
      <c r="J457" s="274"/>
      <c r="K457" s="275"/>
      <c r="L457" s="274"/>
      <c r="M457" s="275"/>
      <c r="N457" s="276"/>
      <c r="O457" s="232"/>
    </row>
    <row r="458" ht="15.75" customHeight="1">
      <c r="A458" s="265"/>
      <c r="B458" s="266"/>
      <c r="C458" s="370"/>
      <c r="D458" s="268"/>
      <c r="E458" s="269"/>
      <c r="F458" s="270"/>
      <c r="G458" s="388"/>
      <c r="H458" s="272"/>
      <c r="I458" s="273"/>
      <c r="J458" s="274"/>
      <c r="K458" s="275"/>
      <c r="L458" s="274"/>
      <c r="M458" s="275"/>
      <c r="N458" s="276"/>
      <c r="O458" s="232"/>
    </row>
    <row r="459" ht="15.75" customHeight="1">
      <c r="A459" s="265"/>
      <c r="B459" s="266"/>
      <c r="C459" s="370"/>
      <c r="D459" s="268"/>
      <c r="E459" s="269"/>
      <c r="F459" s="270"/>
      <c r="G459" s="388"/>
      <c r="H459" s="272"/>
      <c r="I459" s="273"/>
      <c r="J459" s="274"/>
      <c r="K459" s="275"/>
      <c r="L459" s="274"/>
      <c r="M459" s="275"/>
      <c r="N459" s="276"/>
      <c r="O459" s="232"/>
    </row>
    <row r="460" ht="15.75" customHeight="1">
      <c r="A460" s="265"/>
      <c r="B460" s="266"/>
      <c r="C460" s="370"/>
      <c r="D460" s="268"/>
      <c r="E460" s="269"/>
      <c r="F460" s="270"/>
      <c r="G460" s="388"/>
      <c r="H460" s="272"/>
      <c r="I460" s="273"/>
      <c r="J460" s="274"/>
      <c r="K460" s="275"/>
      <c r="L460" s="274"/>
      <c r="M460" s="275"/>
      <c r="N460" s="276"/>
      <c r="O460" s="232"/>
    </row>
    <row r="461" ht="15.75" customHeight="1">
      <c r="A461" s="265"/>
      <c r="B461" s="266"/>
      <c r="C461" s="370"/>
      <c r="D461" s="268"/>
      <c r="E461" s="269"/>
      <c r="F461" s="270"/>
      <c r="G461" s="388"/>
      <c r="H461" s="272"/>
      <c r="I461" s="273"/>
      <c r="J461" s="274"/>
      <c r="K461" s="275"/>
      <c r="L461" s="274"/>
      <c r="M461" s="275"/>
      <c r="N461" s="276"/>
      <c r="O461" s="232"/>
    </row>
    <row r="462" ht="15.75" customHeight="1">
      <c r="A462" s="265"/>
      <c r="B462" s="266"/>
      <c r="C462" s="370"/>
      <c r="D462" s="268"/>
      <c r="E462" s="269"/>
      <c r="F462" s="270"/>
      <c r="G462" s="388"/>
      <c r="H462" s="272"/>
      <c r="I462" s="273"/>
      <c r="J462" s="274"/>
      <c r="K462" s="275"/>
      <c r="L462" s="274"/>
      <c r="M462" s="275"/>
      <c r="N462" s="276"/>
      <c r="O462" s="232"/>
    </row>
    <row r="463" ht="15.75" customHeight="1">
      <c r="A463" s="265"/>
      <c r="B463" s="266"/>
      <c r="C463" s="370"/>
      <c r="D463" s="268"/>
      <c r="E463" s="269"/>
      <c r="F463" s="270"/>
      <c r="G463" s="388"/>
      <c r="H463" s="272"/>
      <c r="I463" s="273"/>
      <c r="J463" s="274"/>
      <c r="K463" s="275"/>
      <c r="L463" s="274"/>
      <c r="M463" s="275"/>
      <c r="N463" s="276"/>
      <c r="O463" s="232"/>
    </row>
    <row r="464" ht="15.75" customHeight="1">
      <c r="A464" s="265"/>
      <c r="B464" s="266"/>
      <c r="C464" s="370"/>
      <c r="D464" s="268"/>
      <c r="E464" s="269"/>
      <c r="F464" s="270"/>
      <c r="G464" s="388"/>
      <c r="H464" s="272"/>
      <c r="I464" s="273"/>
      <c r="J464" s="274"/>
      <c r="K464" s="275"/>
      <c r="L464" s="274"/>
      <c r="M464" s="275"/>
      <c r="N464" s="276"/>
      <c r="O464" s="232"/>
    </row>
    <row r="465" ht="15.75" customHeight="1">
      <c r="A465" s="265"/>
      <c r="B465" s="266"/>
      <c r="C465" s="370"/>
      <c r="D465" s="268"/>
      <c r="E465" s="269"/>
      <c r="F465" s="270"/>
      <c r="G465" s="388"/>
      <c r="H465" s="272"/>
      <c r="I465" s="273"/>
      <c r="J465" s="274"/>
      <c r="K465" s="275"/>
      <c r="L465" s="274"/>
      <c r="M465" s="275"/>
      <c r="N465" s="276"/>
      <c r="O465" s="232"/>
    </row>
    <row r="466" ht="15.75" customHeight="1">
      <c r="A466" s="265"/>
      <c r="B466" s="266"/>
      <c r="C466" s="370"/>
      <c r="D466" s="268"/>
      <c r="E466" s="269"/>
      <c r="F466" s="270"/>
      <c r="G466" s="388"/>
      <c r="H466" s="272"/>
      <c r="I466" s="273"/>
      <c r="J466" s="274"/>
      <c r="K466" s="275"/>
      <c r="L466" s="274"/>
      <c r="M466" s="275"/>
      <c r="N466" s="276"/>
      <c r="O466" s="232"/>
    </row>
    <row r="467" ht="15.75" customHeight="1">
      <c r="A467" s="265"/>
      <c r="B467" s="266"/>
      <c r="C467" s="370"/>
      <c r="D467" s="268"/>
      <c r="E467" s="269"/>
      <c r="F467" s="270"/>
      <c r="G467" s="388"/>
      <c r="H467" s="272"/>
      <c r="I467" s="273"/>
      <c r="J467" s="274"/>
      <c r="K467" s="275"/>
      <c r="L467" s="274"/>
      <c r="M467" s="275"/>
      <c r="N467" s="276"/>
      <c r="O467" s="232"/>
    </row>
    <row r="468" ht="15.75" customHeight="1">
      <c r="A468" s="265"/>
      <c r="B468" s="266"/>
      <c r="C468" s="370"/>
      <c r="D468" s="268"/>
      <c r="E468" s="269"/>
      <c r="F468" s="270"/>
      <c r="G468" s="388"/>
      <c r="H468" s="272"/>
      <c r="I468" s="273"/>
      <c r="J468" s="274"/>
      <c r="K468" s="275"/>
      <c r="L468" s="274"/>
      <c r="M468" s="275"/>
      <c r="N468" s="276"/>
      <c r="O468" s="232"/>
    </row>
    <row r="469" ht="15.75" customHeight="1">
      <c r="A469" s="265"/>
      <c r="B469" s="266"/>
      <c r="C469" s="370"/>
      <c r="D469" s="268"/>
      <c r="E469" s="269"/>
      <c r="F469" s="270"/>
      <c r="G469" s="388"/>
      <c r="H469" s="272"/>
      <c r="I469" s="273"/>
      <c r="J469" s="274"/>
      <c r="K469" s="275"/>
      <c r="L469" s="274"/>
      <c r="M469" s="275"/>
      <c r="N469" s="276"/>
      <c r="O469" s="232"/>
    </row>
    <row r="470" ht="15.75" customHeight="1">
      <c r="A470" s="265"/>
      <c r="B470" s="266"/>
      <c r="C470" s="370"/>
      <c r="D470" s="268"/>
      <c r="E470" s="269"/>
      <c r="F470" s="270"/>
      <c r="G470" s="388"/>
      <c r="H470" s="272"/>
      <c r="I470" s="273"/>
      <c r="J470" s="274"/>
      <c r="K470" s="275"/>
      <c r="L470" s="274"/>
      <c r="M470" s="275"/>
      <c r="N470" s="276"/>
      <c r="O470" s="232"/>
    </row>
    <row r="471" ht="15.75" customHeight="1">
      <c r="A471" s="265"/>
      <c r="B471" s="266"/>
      <c r="C471" s="370"/>
      <c r="D471" s="268"/>
      <c r="E471" s="269"/>
      <c r="F471" s="270"/>
      <c r="G471" s="388"/>
      <c r="H471" s="272"/>
      <c r="I471" s="273"/>
      <c r="J471" s="274"/>
      <c r="K471" s="275"/>
      <c r="L471" s="274"/>
      <c r="M471" s="275"/>
      <c r="N471" s="276"/>
      <c r="O471" s="232"/>
    </row>
    <row r="472" ht="15.75" customHeight="1">
      <c r="A472" s="265"/>
      <c r="B472" s="266"/>
      <c r="C472" s="370"/>
      <c r="D472" s="268"/>
      <c r="E472" s="269"/>
      <c r="F472" s="270"/>
      <c r="G472" s="388"/>
      <c r="H472" s="272"/>
      <c r="I472" s="273"/>
      <c r="J472" s="274"/>
      <c r="K472" s="275"/>
      <c r="L472" s="274"/>
      <c r="M472" s="275"/>
      <c r="N472" s="276"/>
      <c r="O472" s="232"/>
    </row>
    <row r="473" ht="15.75" customHeight="1">
      <c r="A473" s="265"/>
      <c r="B473" s="266"/>
      <c r="C473" s="370"/>
      <c r="D473" s="268"/>
      <c r="E473" s="269"/>
      <c r="F473" s="270"/>
      <c r="G473" s="388"/>
      <c r="H473" s="272"/>
      <c r="I473" s="273"/>
      <c r="J473" s="274"/>
      <c r="K473" s="275"/>
      <c r="L473" s="274"/>
      <c r="M473" s="275"/>
      <c r="N473" s="276"/>
      <c r="O473" s="232"/>
    </row>
    <row r="474" ht="15.75" customHeight="1">
      <c r="A474" s="265"/>
      <c r="B474" s="266"/>
      <c r="C474" s="370"/>
      <c r="D474" s="268"/>
      <c r="E474" s="269"/>
      <c r="F474" s="270"/>
      <c r="G474" s="388"/>
      <c r="H474" s="272"/>
      <c r="I474" s="273"/>
      <c r="J474" s="274"/>
      <c r="K474" s="275"/>
      <c r="L474" s="274"/>
      <c r="M474" s="275"/>
      <c r="N474" s="276"/>
      <c r="O474" s="232"/>
    </row>
    <row r="475" ht="15.75" customHeight="1">
      <c r="A475" s="265"/>
      <c r="B475" s="266"/>
      <c r="C475" s="370"/>
      <c r="D475" s="268"/>
      <c r="E475" s="269"/>
      <c r="F475" s="270"/>
      <c r="G475" s="388"/>
      <c r="H475" s="272"/>
      <c r="I475" s="273"/>
      <c r="J475" s="274"/>
      <c r="K475" s="275"/>
      <c r="L475" s="274"/>
      <c r="M475" s="275"/>
      <c r="N475" s="276"/>
      <c r="O475" s="232"/>
    </row>
    <row r="476" ht="15.75" customHeight="1">
      <c r="A476" s="265"/>
      <c r="B476" s="266"/>
      <c r="C476" s="370"/>
      <c r="D476" s="268"/>
      <c r="E476" s="269"/>
      <c r="F476" s="270"/>
      <c r="G476" s="388"/>
      <c r="H476" s="272"/>
      <c r="I476" s="273"/>
      <c r="J476" s="274"/>
      <c r="K476" s="275"/>
      <c r="L476" s="274"/>
      <c r="M476" s="275"/>
      <c r="N476" s="276"/>
      <c r="O476" s="232"/>
    </row>
    <row r="477" ht="15.75" customHeight="1">
      <c r="A477" s="265"/>
      <c r="B477" s="266"/>
      <c r="C477" s="370"/>
      <c r="D477" s="268"/>
      <c r="E477" s="269"/>
      <c r="F477" s="270"/>
      <c r="G477" s="388"/>
      <c r="H477" s="272"/>
      <c r="I477" s="273"/>
      <c r="J477" s="274"/>
      <c r="K477" s="275"/>
      <c r="L477" s="274"/>
      <c r="M477" s="275"/>
      <c r="N477" s="276"/>
      <c r="O477" s="232"/>
    </row>
    <row r="478" ht="15.75" customHeight="1">
      <c r="A478" s="265"/>
      <c r="B478" s="266"/>
      <c r="C478" s="370"/>
      <c r="D478" s="268"/>
      <c r="E478" s="269"/>
      <c r="F478" s="270"/>
      <c r="G478" s="388"/>
      <c r="H478" s="272"/>
      <c r="I478" s="273"/>
      <c r="J478" s="274"/>
      <c r="K478" s="275"/>
      <c r="L478" s="274"/>
      <c r="M478" s="275"/>
      <c r="N478" s="276"/>
      <c r="O478" s="232"/>
    </row>
    <row r="479" ht="15.75" customHeight="1">
      <c r="A479" s="265"/>
      <c r="B479" s="266"/>
      <c r="C479" s="370"/>
      <c r="D479" s="268"/>
      <c r="E479" s="269"/>
      <c r="F479" s="270"/>
      <c r="G479" s="388"/>
      <c r="H479" s="272"/>
      <c r="I479" s="273"/>
      <c r="J479" s="274"/>
      <c r="K479" s="275"/>
      <c r="L479" s="274"/>
      <c r="M479" s="275"/>
      <c r="N479" s="276"/>
      <c r="O479" s="232"/>
    </row>
    <row r="480" ht="15.75" customHeight="1">
      <c r="A480" s="265"/>
      <c r="B480" s="266"/>
      <c r="C480" s="370"/>
      <c r="D480" s="268"/>
      <c r="E480" s="269"/>
      <c r="F480" s="270"/>
      <c r="G480" s="388"/>
      <c r="H480" s="272"/>
      <c r="I480" s="273"/>
      <c r="J480" s="274"/>
      <c r="K480" s="275"/>
      <c r="L480" s="274"/>
      <c r="M480" s="275"/>
      <c r="N480" s="276"/>
      <c r="O480" s="232"/>
    </row>
    <row r="481" ht="15.75" customHeight="1">
      <c r="A481" s="265"/>
      <c r="B481" s="266"/>
      <c r="C481" s="370"/>
      <c r="D481" s="268"/>
      <c r="E481" s="269"/>
      <c r="F481" s="270"/>
      <c r="G481" s="388"/>
      <c r="H481" s="272"/>
      <c r="I481" s="273"/>
      <c r="J481" s="274"/>
      <c r="K481" s="275"/>
      <c r="L481" s="274"/>
      <c r="M481" s="275"/>
      <c r="N481" s="276"/>
      <c r="O481" s="232"/>
    </row>
    <row r="482" ht="15.75" customHeight="1">
      <c r="A482" s="265"/>
      <c r="B482" s="266"/>
      <c r="C482" s="370"/>
      <c r="D482" s="268"/>
      <c r="E482" s="269"/>
      <c r="F482" s="270"/>
      <c r="G482" s="388"/>
      <c r="H482" s="272"/>
      <c r="I482" s="273"/>
      <c r="J482" s="274"/>
      <c r="K482" s="275"/>
      <c r="L482" s="274"/>
      <c r="M482" s="275"/>
      <c r="N482" s="276"/>
      <c r="O482" s="232"/>
    </row>
    <row r="483" ht="15.75" customHeight="1">
      <c r="A483" s="265"/>
      <c r="B483" s="266"/>
      <c r="C483" s="370"/>
      <c r="D483" s="268"/>
      <c r="E483" s="269"/>
      <c r="F483" s="270"/>
      <c r="G483" s="388"/>
      <c r="H483" s="272"/>
      <c r="I483" s="273"/>
      <c r="J483" s="274"/>
      <c r="K483" s="275"/>
      <c r="L483" s="274"/>
      <c r="M483" s="275"/>
      <c r="N483" s="276"/>
      <c r="O483" s="232"/>
    </row>
    <row r="484" ht="15.75" customHeight="1">
      <c r="A484" s="265"/>
      <c r="B484" s="266"/>
      <c r="C484" s="370"/>
      <c r="D484" s="268"/>
      <c r="E484" s="269"/>
      <c r="F484" s="270"/>
      <c r="G484" s="388"/>
      <c r="H484" s="272"/>
      <c r="I484" s="273"/>
      <c r="J484" s="274"/>
      <c r="K484" s="275"/>
      <c r="L484" s="274"/>
      <c r="M484" s="275"/>
      <c r="N484" s="276"/>
      <c r="O484" s="232"/>
    </row>
    <row r="485" ht="15.75" customHeight="1">
      <c r="A485" s="265"/>
      <c r="B485" s="266"/>
      <c r="C485" s="370"/>
      <c r="D485" s="268"/>
      <c r="E485" s="269"/>
      <c r="F485" s="270"/>
      <c r="G485" s="388"/>
      <c r="H485" s="272"/>
      <c r="I485" s="273"/>
      <c r="J485" s="274"/>
      <c r="K485" s="275"/>
      <c r="L485" s="274"/>
      <c r="M485" s="275"/>
      <c r="N485" s="276"/>
      <c r="O485" s="232"/>
    </row>
    <row r="486" ht="15.75" customHeight="1">
      <c r="A486" s="265"/>
      <c r="B486" s="266"/>
      <c r="C486" s="370"/>
      <c r="D486" s="268"/>
      <c r="E486" s="269"/>
      <c r="F486" s="270"/>
      <c r="G486" s="388"/>
      <c r="H486" s="272"/>
      <c r="I486" s="273"/>
      <c r="J486" s="274"/>
      <c r="K486" s="275"/>
      <c r="L486" s="274"/>
      <c r="M486" s="275"/>
      <c r="N486" s="276"/>
      <c r="O486" s="232"/>
    </row>
    <row r="487" ht="15.75" customHeight="1">
      <c r="A487" s="265"/>
      <c r="B487" s="266"/>
      <c r="C487" s="370"/>
      <c r="D487" s="268"/>
      <c r="E487" s="269"/>
      <c r="F487" s="270"/>
      <c r="G487" s="388"/>
      <c r="H487" s="272"/>
      <c r="I487" s="273"/>
      <c r="J487" s="274"/>
      <c r="K487" s="275"/>
      <c r="L487" s="274"/>
      <c r="M487" s="275"/>
      <c r="N487" s="276"/>
      <c r="O487" s="232"/>
    </row>
    <row r="488" ht="15.75" customHeight="1">
      <c r="A488" s="265"/>
      <c r="B488" s="266"/>
      <c r="C488" s="370"/>
      <c r="D488" s="268"/>
      <c r="E488" s="269"/>
      <c r="F488" s="270"/>
      <c r="G488" s="388"/>
      <c r="H488" s="272"/>
      <c r="I488" s="273"/>
      <c r="J488" s="274"/>
      <c r="K488" s="275"/>
      <c r="L488" s="274"/>
      <c r="M488" s="275"/>
      <c r="N488" s="276"/>
      <c r="O488" s="232"/>
    </row>
    <row r="489" ht="15.75" customHeight="1">
      <c r="A489" s="265"/>
      <c r="B489" s="266"/>
      <c r="C489" s="370"/>
      <c r="D489" s="268"/>
      <c r="E489" s="269"/>
      <c r="F489" s="270"/>
      <c r="G489" s="388"/>
      <c r="H489" s="272"/>
      <c r="I489" s="273"/>
      <c r="J489" s="274"/>
      <c r="K489" s="275"/>
      <c r="L489" s="274"/>
      <c r="M489" s="275"/>
      <c r="N489" s="276"/>
      <c r="O489" s="232"/>
    </row>
    <row r="490" ht="15.75" customHeight="1">
      <c r="A490" s="265"/>
      <c r="B490" s="266"/>
      <c r="C490" s="370"/>
      <c r="D490" s="268"/>
      <c r="E490" s="269"/>
      <c r="F490" s="270"/>
      <c r="G490" s="388"/>
      <c r="H490" s="272"/>
      <c r="I490" s="273"/>
      <c r="J490" s="274"/>
      <c r="K490" s="275"/>
      <c r="L490" s="274"/>
      <c r="M490" s="275"/>
      <c r="N490" s="276"/>
      <c r="O490" s="232"/>
    </row>
    <row r="491" ht="15.75" customHeight="1">
      <c r="A491" s="265"/>
      <c r="B491" s="266"/>
      <c r="C491" s="370"/>
      <c r="D491" s="268"/>
      <c r="E491" s="269"/>
      <c r="F491" s="270"/>
      <c r="G491" s="388"/>
      <c r="H491" s="272"/>
      <c r="I491" s="273"/>
      <c r="J491" s="274"/>
      <c r="K491" s="275"/>
      <c r="L491" s="274"/>
      <c r="M491" s="275"/>
      <c r="N491" s="276"/>
      <c r="O491" s="232"/>
    </row>
    <row r="492" ht="15.75" customHeight="1">
      <c r="A492" s="265"/>
      <c r="B492" s="266"/>
      <c r="C492" s="370"/>
      <c r="D492" s="268"/>
      <c r="E492" s="269"/>
      <c r="F492" s="270"/>
      <c r="G492" s="388"/>
      <c r="H492" s="272"/>
      <c r="I492" s="273"/>
      <c r="J492" s="274"/>
      <c r="K492" s="275"/>
      <c r="L492" s="274"/>
      <c r="M492" s="275"/>
      <c r="N492" s="276"/>
      <c r="O492" s="232"/>
    </row>
    <row r="493" ht="15.75" customHeight="1">
      <c r="A493" s="265"/>
      <c r="B493" s="266"/>
      <c r="C493" s="370"/>
      <c r="D493" s="268"/>
      <c r="E493" s="269"/>
      <c r="F493" s="270"/>
      <c r="G493" s="388"/>
      <c r="H493" s="272"/>
      <c r="I493" s="273"/>
      <c r="J493" s="274"/>
      <c r="K493" s="275"/>
      <c r="L493" s="274"/>
      <c r="M493" s="275"/>
      <c r="N493" s="276"/>
      <c r="O493" s="232"/>
    </row>
    <row r="494" ht="15.75" customHeight="1">
      <c r="A494" s="265"/>
      <c r="B494" s="266"/>
      <c r="C494" s="370"/>
      <c r="D494" s="268"/>
      <c r="E494" s="269"/>
      <c r="F494" s="270"/>
      <c r="G494" s="388"/>
      <c r="H494" s="272"/>
      <c r="I494" s="273"/>
      <c r="J494" s="274"/>
      <c r="K494" s="275"/>
      <c r="L494" s="274"/>
      <c r="M494" s="275"/>
      <c r="N494" s="276"/>
      <c r="O494" s="232"/>
    </row>
    <row r="495" ht="15.75" customHeight="1">
      <c r="A495" s="265"/>
      <c r="B495" s="266"/>
      <c r="C495" s="370"/>
      <c r="D495" s="268"/>
      <c r="E495" s="269"/>
      <c r="F495" s="270"/>
      <c r="G495" s="388"/>
      <c r="H495" s="272"/>
      <c r="I495" s="273"/>
      <c r="J495" s="274"/>
      <c r="K495" s="275"/>
      <c r="L495" s="274"/>
      <c r="M495" s="275"/>
      <c r="N495" s="276"/>
      <c r="O495" s="232"/>
    </row>
    <row r="496" ht="15.75" customHeight="1">
      <c r="A496" s="265"/>
      <c r="B496" s="266"/>
      <c r="C496" s="370"/>
      <c r="D496" s="268"/>
      <c r="E496" s="269"/>
      <c r="F496" s="270"/>
      <c r="G496" s="388"/>
      <c r="H496" s="272"/>
      <c r="I496" s="273"/>
      <c r="J496" s="274"/>
      <c r="K496" s="275"/>
      <c r="L496" s="274"/>
      <c r="M496" s="275"/>
      <c r="N496" s="276"/>
      <c r="O496" s="232"/>
    </row>
    <row r="497" ht="15.75" customHeight="1">
      <c r="A497" s="265"/>
      <c r="B497" s="266"/>
      <c r="C497" s="370"/>
      <c r="D497" s="268"/>
      <c r="E497" s="269"/>
      <c r="F497" s="270"/>
      <c r="G497" s="388"/>
      <c r="H497" s="272"/>
      <c r="I497" s="273"/>
      <c r="J497" s="274"/>
      <c r="K497" s="275"/>
      <c r="L497" s="274"/>
      <c r="M497" s="275"/>
      <c r="N497" s="276"/>
      <c r="O497" s="232"/>
    </row>
    <row r="498" ht="15.75" customHeight="1">
      <c r="A498" s="265"/>
      <c r="B498" s="266"/>
      <c r="C498" s="370"/>
      <c r="D498" s="268"/>
      <c r="E498" s="269"/>
      <c r="F498" s="270"/>
      <c r="G498" s="388"/>
      <c r="H498" s="272"/>
      <c r="I498" s="273"/>
      <c r="J498" s="274"/>
      <c r="K498" s="275"/>
      <c r="L498" s="274"/>
      <c r="M498" s="275"/>
      <c r="N498" s="276"/>
      <c r="O498" s="232"/>
    </row>
    <row r="499" ht="15.75" customHeight="1">
      <c r="A499" s="265"/>
      <c r="B499" s="266"/>
      <c r="C499" s="370"/>
      <c r="D499" s="268"/>
      <c r="E499" s="269"/>
      <c r="F499" s="270"/>
      <c r="G499" s="388"/>
      <c r="H499" s="272"/>
      <c r="I499" s="273"/>
      <c r="J499" s="274"/>
      <c r="K499" s="275"/>
      <c r="L499" s="274"/>
      <c r="M499" s="275"/>
      <c r="N499" s="276"/>
      <c r="O499" s="232"/>
    </row>
    <row r="500" ht="15.75" customHeight="1">
      <c r="A500" s="265"/>
      <c r="B500" s="266"/>
      <c r="C500" s="370"/>
      <c r="D500" s="268"/>
      <c r="E500" s="269"/>
      <c r="F500" s="270"/>
      <c r="G500" s="388"/>
      <c r="H500" s="272"/>
      <c r="I500" s="273"/>
      <c r="J500" s="274"/>
      <c r="K500" s="275"/>
      <c r="L500" s="274"/>
      <c r="M500" s="275"/>
      <c r="N500" s="276"/>
      <c r="O500" s="232"/>
    </row>
    <row r="501" ht="15.75" customHeight="1">
      <c r="A501" s="265"/>
      <c r="B501" s="266"/>
      <c r="C501" s="370"/>
      <c r="D501" s="268"/>
      <c r="E501" s="269"/>
      <c r="F501" s="270"/>
      <c r="G501" s="388"/>
      <c r="H501" s="272"/>
      <c r="I501" s="273"/>
      <c r="J501" s="274"/>
      <c r="K501" s="275"/>
      <c r="L501" s="274"/>
      <c r="M501" s="275"/>
      <c r="N501" s="276"/>
      <c r="O501" s="232"/>
    </row>
    <row r="502" ht="15.75" customHeight="1">
      <c r="A502" s="265"/>
      <c r="B502" s="266"/>
      <c r="C502" s="370"/>
      <c r="D502" s="268"/>
      <c r="E502" s="269"/>
      <c r="F502" s="270"/>
      <c r="G502" s="388"/>
      <c r="H502" s="272"/>
      <c r="I502" s="273"/>
      <c r="J502" s="274"/>
      <c r="K502" s="275"/>
      <c r="L502" s="274"/>
      <c r="M502" s="275"/>
      <c r="N502" s="276"/>
      <c r="O502" s="232"/>
    </row>
    <row r="503" ht="15.75" customHeight="1">
      <c r="A503" s="265"/>
      <c r="B503" s="266"/>
      <c r="C503" s="370"/>
      <c r="D503" s="268"/>
      <c r="E503" s="269"/>
      <c r="F503" s="270"/>
      <c r="G503" s="388"/>
      <c r="H503" s="272"/>
      <c r="I503" s="273"/>
      <c r="J503" s="274"/>
      <c r="K503" s="275"/>
      <c r="L503" s="274"/>
      <c r="M503" s="275"/>
      <c r="N503" s="276"/>
      <c r="O503" s="232"/>
    </row>
    <row r="504" ht="15.75" customHeight="1">
      <c r="A504" s="265"/>
      <c r="B504" s="266"/>
      <c r="C504" s="370"/>
      <c r="D504" s="268"/>
      <c r="E504" s="269"/>
      <c r="F504" s="270"/>
      <c r="G504" s="388"/>
      <c r="H504" s="272"/>
      <c r="I504" s="273"/>
      <c r="J504" s="274"/>
      <c r="K504" s="275"/>
      <c r="L504" s="274"/>
      <c r="M504" s="275"/>
      <c r="N504" s="276"/>
      <c r="O504" s="232"/>
    </row>
    <row r="505" ht="15.75" customHeight="1">
      <c r="A505" s="265"/>
      <c r="B505" s="266"/>
      <c r="C505" s="370"/>
      <c r="D505" s="268"/>
      <c r="E505" s="269"/>
      <c r="F505" s="270"/>
      <c r="G505" s="388"/>
      <c r="H505" s="272"/>
      <c r="I505" s="273"/>
      <c r="J505" s="274"/>
      <c r="K505" s="275"/>
      <c r="L505" s="274"/>
      <c r="M505" s="275"/>
      <c r="N505" s="276"/>
      <c r="O505" s="232"/>
    </row>
    <row r="506" ht="15.75" customHeight="1">
      <c r="A506" s="265"/>
      <c r="B506" s="266"/>
      <c r="C506" s="370"/>
      <c r="D506" s="268"/>
      <c r="E506" s="269"/>
      <c r="F506" s="270"/>
      <c r="G506" s="388"/>
      <c r="H506" s="272"/>
      <c r="I506" s="273"/>
      <c r="J506" s="274"/>
      <c r="K506" s="275"/>
      <c r="L506" s="274"/>
      <c r="M506" s="275"/>
      <c r="N506" s="276"/>
      <c r="O506" s="232"/>
    </row>
    <row r="507" ht="15.75" customHeight="1">
      <c r="A507" s="265"/>
      <c r="B507" s="266"/>
      <c r="C507" s="370"/>
      <c r="D507" s="268"/>
      <c r="E507" s="269"/>
      <c r="F507" s="270"/>
      <c r="G507" s="388"/>
      <c r="H507" s="272"/>
      <c r="I507" s="273"/>
      <c r="J507" s="274"/>
      <c r="K507" s="275"/>
      <c r="L507" s="274"/>
      <c r="M507" s="275"/>
      <c r="N507" s="276"/>
      <c r="O507" s="232"/>
    </row>
    <row r="508" ht="15.75" customHeight="1">
      <c r="A508" s="265"/>
      <c r="B508" s="266"/>
      <c r="C508" s="370"/>
      <c r="D508" s="268"/>
      <c r="E508" s="269"/>
      <c r="F508" s="270"/>
      <c r="G508" s="388"/>
      <c r="H508" s="272"/>
      <c r="I508" s="273"/>
      <c r="J508" s="274"/>
      <c r="K508" s="275"/>
      <c r="L508" s="274"/>
      <c r="M508" s="275"/>
      <c r="N508" s="276"/>
      <c r="O508" s="232"/>
    </row>
    <row r="509" ht="15.75" customHeight="1">
      <c r="A509" s="265"/>
      <c r="B509" s="266"/>
      <c r="C509" s="370"/>
      <c r="D509" s="268"/>
      <c r="E509" s="269"/>
      <c r="F509" s="270"/>
      <c r="G509" s="388"/>
      <c r="H509" s="272"/>
      <c r="I509" s="273"/>
      <c r="J509" s="274"/>
      <c r="K509" s="275"/>
      <c r="L509" s="274"/>
      <c r="M509" s="275"/>
      <c r="N509" s="276"/>
      <c r="O509" s="232"/>
    </row>
    <row r="510" ht="15.75" customHeight="1">
      <c r="A510" s="265"/>
      <c r="B510" s="266"/>
      <c r="C510" s="370"/>
      <c r="D510" s="268"/>
      <c r="E510" s="269"/>
      <c r="F510" s="270"/>
      <c r="G510" s="388"/>
      <c r="H510" s="272"/>
      <c r="I510" s="273"/>
      <c r="J510" s="274"/>
      <c r="K510" s="275"/>
      <c r="L510" s="274"/>
      <c r="M510" s="275"/>
      <c r="N510" s="276"/>
      <c r="O510" s="232"/>
    </row>
    <row r="511" ht="15.75" customHeight="1">
      <c r="A511" s="265"/>
      <c r="B511" s="266"/>
      <c r="C511" s="370"/>
      <c r="D511" s="268"/>
      <c r="E511" s="269"/>
      <c r="F511" s="270"/>
      <c r="G511" s="388"/>
      <c r="H511" s="272"/>
      <c r="I511" s="273"/>
      <c r="J511" s="274"/>
      <c r="K511" s="275"/>
      <c r="L511" s="274"/>
      <c r="M511" s="275"/>
      <c r="N511" s="276"/>
      <c r="O511" s="232"/>
    </row>
    <row r="512" ht="15.75" customHeight="1">
      <c r="A512" s="265"/>
      <c r="B512" s="266"/>
      <c r="C512" s="370"/>
      <c r="D512" s="268"/>
      <c r="E512" s="269"/>
      <c r="F512" s="270"/>
      <c r="G512" s="388"/>
      <c r="H512" s="272"/>
      <c r="I512" s="273"/>
      <c r="J512" s="274"/>
      <c r="K512" s="275"/>
      <c r="L512" s="274"/>
      <c r="M512" s="275"/>
      <c r="N512" s="276"/>
      <c r="O512" s="232"/>
    </row>
    <row r="513" ht="15.75" customHeight="1">
      <c r="A513" s="265"/>
      <c r="B513" s="266"/>
      <c r="C513" s="370"/>
      <c r="D513" s="268"/>
      <c r="E513" s="269"/>
      <c r="F513" s="270"/>
      <c r="G513" s="388"/>
      <c r="H513" s="272"/>
      <c r="I513" s="273"/>
      <c r="J513" s="274"/>
      <c r="K513" s="275"/>
      <c r="L513" s="274"/>
      <c r="M513" s="275"/>
      <c r="N513" s="276"/>
      <c r="O513" s="232"/>
    </row>
    <row r="514" ht="15.75" customHeight="1">
      <c r="A514" s="265"/>
      <c r="B514" s="266"/>
      <c r="C514" s="370"/>
      <c r="D514" s="268"/>
      <c r="E514" s="269"/>
      <c r="F514" s="270"/>
      <c r="G514" s="388"/>
      <c r="H514" s="272"/>
      <c r="I514" s="273"/>
      <c r="J514" s="274"/>
      <c r="K514" s="275"/>
      <c r="L514" s="274"/>
      <c r="M514" s="275"/>
      <c r="N514" s="276"/>
      <c r="O514" s="232"/>
    </row>
    <row r="515" ht="15.75" customHeight="1">
      <c r="A515" s="265"/>
      <c r="B515" s="266"/>
      <c r="C515" s="370"/>
      <c r="D515" s="268"/>
      <c r="E515" s="269"/>
      <c r="F515" s="270"/>
      <c r="G515" s="388"/>
      <c r="H515" s="272"/>
      <c r="I515" s="273"/>
      <c r="J515" s="274"/>
      <c r="K515" s="275"/>
      <c r="L515" s="274"/>
      <c r="M515" s="275"/>
      <c r="N515" s="276"/>
      <c r="O515" s="232"/>
    </row>
    <row r="516" ht="15.75" customHeight="1">
      <c r="A516" s="265"/>
      <c r="B516" s="266"/>
      <c r="C516" s="370"/>
      <c r="D516" s="268"/>
      <c r="E516" s="269"/>
      <c r="F516" s="270"/>
      <c r="G516" s="388"/>
      <c r="H516" s="272"/>
      <c r="I516" s="273"/>
      <c r="J516" s="274"/>
      <c r="K516" s="275"/>
      <c r="L516" s="274"/>
      <c r="M516" s="275"/>
      <c r="N516" s="276"/>
      <c r="O516" s="232"/>
    </row>
    <row r="517" ht="15.75" customHeight="1">
      <c r="A517" s="265"/>
      <c r="B517" s="266"/>
      <c r="C517" s="370"/>
      <c r="D517" s="268"/>
      <c r="E517" s="269"/>
      <c r="F517" s="270"/>
      <c r="G517" s="388"/>
      <c r="H517" s="272"/>
      <c r="I517" s="273"/>
      <c r="J517" s="274"/>
      <c r="K517" s="275"/>
      <c r="L517" s="274"/>
      <c r="M517" s="275"/>
      <c r="N517" s="276"/>
      <c r="O517" s="232"/>
    </row>
    <row r="518" ht="15.75" customHeight="1">
      <c r="A518" s="265"/>
      <c r="B518" s="266"/>
      <c r="C518" s="370"/>
      <c r="D518" s="268"/>
      <c r="E518" s="269"/>
      <c r="F518" s="270"/>
      <c r="G518" s="388"/>
      <c r="H518" s="272"/>
      <c r="I518" s="273"/>
      <c r="J518" s="274"/>
      <c r="K518" s="275"/>
      <c r="L518" s="274"/>
      <c r="M518" s="275"/>
      <c r="N518" s="276"/>
      <c r="O518" s="232"/>
    </row>
    <row r="519" ht="15.75" customHeight="1">
      <c r="A519" s="265"/>
      <c r="B519" s="266"/>
      <c r="C519" s="370"/>
      <c r="D519" s="268"/>
      <c r="E519" s="269"/>
      <c r="F519" s="270"/>
      <c r="G519" s="388"/>
      <c r="H519" s="272"/>
      <c r="I519" s="273"/>
      <c r="J519" s="274"/>
      <c r="K519" s="275"/>
      <c r="L519" s="274"/>
      <c r="M519" s="275"/>
      <c r="N519" s="276"/>
      <c r="O519" s="232"/>
    </row>
    <row r="520" ht="15.75" customHeight="1">
      <c r="A520" s="265"/>
      <c r="B520" s="266"/>
      <c r="C520" s="370"/>
      <c r="D520" s="268"/>
      <c r="E520" s="269"/>
      <c r="F520" s="270"/>
      <c r="G520" s="388"/>
      <c r="H520" s="272"/>
      <c r="I520" s="273"/>
      <c r="J520" s="274"/>
      <c r="K520" s="275"/>
      <c r="L520" s="274"/>
      <c r="M520" s="275"/>
      <c r="N520" s="276"/>
      <c r="O520" s="232"/>
    </row>
    <row r="521" ht="15.75" customHeight="1">
      <c r="A521" s="265"/>
      <c r="B521" s="266"/>
      <c r="C521" s="370"/>
      <c r="D521" s="268"/>
      <c r="E521" s="269"/>
      <c r="F521" s="270"/>
      <c r="G521" s="388"/>
      <c r="H521" s="272"/>
      <c r="I521" s="273"/>
      <c r="J521" s="274"/>
      <c r="K521" s="275"/>
      <c r="L521" s="274"/>
      <c r="M521" s="275"/>
      <c r="N521" s="276"/>
      <c r="O521" s="232"/>
    </row>
    <row r="522" ht="15.75" customHeight="1">
      <c r="A522" s="265"/>
      <c r="B522" s="266"/>
      <c r="C522" s="370"/>
      <c r="D522" s="268"/>
      <c r="E522" s="269"/>
      <c r="F522" s="270"/>
      <c r="G522" s="388"/>
      <c r="H522" s="272"/>
      <c r="I522" s="273"/>
      <c r="J522" s="274"/>
      <c r="K522" s="275"/>
      <c r="L522" s="274"/>
      <c r="M522" s="275"/>
      <c r="N522" s="276"/>
      <c r="O522" s="232"/>
    </row>
    <row r="523" ht="15.75" customHeight="1">
      <c r="A523" s="265"/>
      <c r="B523" s="266"/>
      <c r="C523" s="370"/>
      <c r="D523" s="268"/>
      <c r="E523" s="269"/>
      <c r="F523" s="270"/>
      <c r="G523" s="388"/>
      <c r="H523" s="272"/>
      <c r="I523" s="273"/>
      <c r="J523" s="274"/>
      <c r="K523" s="275"/>
      <c r="L523" s="274"/>
      <c r="M523" s="275"/>
      <c r="N523" s="276"/>
      <c r="O523" s="232"/>
    </row>
    <row r="524" ht="15.75" customHeight="1">
      <c r="A524" s="265"/>
      <c r="B524" s="266"/>
      <c r="C524" s="370"/>
      <c r="D524" s="268"/>
      <c r="E524" s="269"/>
      <c r="F524" s="270"/>
      <c r="G524" s="388"/>
      <c r="H524" s="272"/>
      <c r="I524" s="273"/>
      <c r="J524" s="274"/>
      <c r="K524" s="275"/>
      <c r="L524" s="274"/>
      <c r="M524" s="275"/>
      <c r="N524" s="276"/>
      <c r="O524" s="232"/>
    </row>
    <row r="525" ht="15.75" customHeight="1">
      <c r="A525" s="265"/>
      <c r="B525" s="266"/>
      <c r="C525" s="370"/>
      <c r="D525" s="268"/>
      <c r="E525" s="269"/>
      <c r="F525" s="270"/>
      <c r="G525" s="388"/>
      <c r="H525" s="272"/>
      <c r="I525" s="273"/>
      <c r="J525" s="274"/>
      <c r="K525" s="275"/>
      <c r="L525" s="274"/>
      <c r="M525" s="275"/>
      <c r="N525" s="276"/>
      <c r="O525" s="232"/>
    </row>
    <row r="526" ht="15.75" customHeight="1">
      <c r="A526" s="265"/>
      <c r="B526" s="266"/>
      <c r="C526" s="370"/>
      <c r="D526" s="268"/>
      <c r="E526" s="269"/>
      <c r="F526" s="270"/>
      <c r="G526" s="388"/>
      <c r="H526" s="272"/>
      <c r="I526" s="273"/>
      <c r="J526" s="274"/>
      <c r="K526" s="275"/>
      <c r="L526" s="274"/>
      <c r="M526" s="275"/>
      <c r="N526" s="276"/>
      <c r="O526" s="232"/>
    </row>
    <row r="527" ht="15.75" customHeight="1">
      <c r="A527" s="265"/>
      <c r="B527" s="266"/>
      <c r="C527" s="370"/>
      <c r="D527" s="268"/>
      <c r="E527" s="269"/>
      <c r="F527" s="270"/>
      <c r="G527" s="388"/>
      <c r="H527" s="272"/>
      <c r="I527" s="273"/>
      <c r="J527" s="274"/>
      <c r="K527" s="275"/>
      <c r="L527" s="274"/>
      <c r="M527" s="275"/>
      <c r="N527" s="276"/>
      <c r="O527" s="232"/>
    </row>
    <row r="528" ht="15.75" customHeight="1">
      <c r="A528" s="265"/>
      <c r="B528" s="266"/>
      <c r="C528" s="370"/>
      <c r="D528" s="268"/>
      <c r="E528" s="269"/>
      <c r="F528" s="270"/>
      <c r="G528" s="388"/>
      <c r="H528" s="272"/>
      <c r="I528" s="273"/>
      <c r="J528" s="274"/>
      <c r="K528" s="275"/>
      <c r="L528" s="274"/>
      <c r="M528" s="275"/>
      <c r="N528" s="276"/>
      <c r="O528" s="232"/>
    </row>
    <row r="529" ht="15.75" customHeight="1">
      <c r="A529" s="265"/>
      <c r="B529" s="266"/>
      <c r="C529" s="370"/>
      <c r="D529" s="268"/>
      <c r="E529" s="269"/>
      <c r="F529" s="270"/>
      <c r="G529" s="388"/>
      <c r="H529" s="272"/>
      <c r="I529" s="273"/>
      <c r="J529" s="274"/>
      <c r="K529" s="275"/>
      <c r="L529" s="274"/>
      <c r="M529" s="275"/>
      <c r="N529" s="276"/>
      <c r="O529" s="232"/>
    </row>
    <row r="530" ht="15.75" customHeight="1">
      <c r="C530" s="389"/>
      <c r="E530" s="278"/>
      <c r="G530" s="279"/>
    </row>
    <row r="531" ht="15.75" customHeight="1">
      <c r="C531" s="389"/>
      <c r="E531" s="278"/>
      <c r="G531" s="279"/>
    </row>
    <row r="532" ht="15.75" customHeight="1">
      <c r="C532" s="389"/>
      <c r="E532" s="278"/>
      <c r="G532" s="279"/>
    </row>
    <row r="533" ht="15.75" customHeight="1">
      <c r="C533" s="389"/>
      <c r="E533" s="278"/>
      <c r="G533" s="279"/>
    </row>
    <row r="534" ht="15.75" customHeight="1">
      <c r="C534" s="389"/>
      <c r="E534" s="278"/>
      <c r="G534" s="279"/>
    </row>
    <row r="535" ht="15.75" customHeight="1">
      <c r="C535" s="389"/>
      <c r="E535" s="278"/>
      <c r="G535" s="279"/>
    </row>
    <row r="536" ht="15.75" customHeight="1">
      <c r="C536" s="389"/>
      <c r="E536" s="278"/>
      <c r="G536" s="279"/>
    </row>
    <row r="537" ht="15.75" customHeight="1">
      <c r="C537" s="389"/>
      <c r="E537" s="278"/>
      <c r="G537" s="279"/>
    </row>
    <row r="538" ht="15.75" customHeight="1">
      <c r="C538" s="389"/>
      <c r="E538" s="278"/>
      <c r="G538" s="279"/>
    </row>
    <row r="539" ht="15.75" customHeight="1">
      <c r="C539" s="389"/>
      <c r="E539" s="278"/>
      <c r="G539" s="279"/>
    </row>
    <row r="540" ht="15.75" customHeight="1">
      <c r="C540" s="389"/>
      <c r="E540" s="278"/>
      <c r="G540" s="279"/>
    </row>
    <row r="541" ht="15.75" customHeight="1">
      <c r="C541" s="389"/>
      <c r="E541" s="278"/>
      <c r="G541" s="279"/>
    </row>
    <row r="542" ht="15.75" customHeight="1">
      <c r="C542" s="389"/>
      <c r="E542" s="278"/>
      <c r="G542" s="279"/>
    </row>
    <row r="543" ht="15.75" customHeight="1">
      <c r="C543" s="389"/>
      <c r="E543" s="278"/>
      <c r="G543" s="279"/>
    </row>
    <row r="544" ht="15.75" customHeight="1">
      <c r="C544" s="389"/>
      <c r="E544" s="278"/>
      <c r="G544" s="279"/>
    </row>
    <row r="545" ht="15.75" customHeight="1">
      <c r="C545" s="389"/>
      <c r="E545" s="278"/>
      <c r="G545" s="279"/>
    </row>
    <row r="546" ht="15.75" customHeight="1">
      <c r="C546" s="389"/>
      <c r="E546" s="278"/>
      <c r="G546" s="279"/>
    </row>
    <row r="547" ht="15.75" customHeight="1">
      <c r="C547" s="389"/>
      <c r="E547" s="278"/>
      <c r="G547" s="279"/>
    </row>
    <row r="548" ht="15.75" customHeight="1">
      <c r="C548" s="389"/>
      <c r="E548" s="278"/>
      <c r="G548" s="279"/>
    </row>
    <row r="549" ht="15.75" customHeight="1">
      <c r="C549" s="389"/>
      <c r="E549" s="278"/>
      <c r="G549" s="279"/>
    </row>
    <row r="550" ht="15.75" customHeight="1">
      <c r="C550" s="389"/>
      <c r="E550" s="278"/>
      <c r="G550" s="279"/>
    </row>
    <row r="551" ht="15.75" customHeight="1">
      <c r="C551" s="389"/>
      <c r="E551" s="278"/>
      <c r="G551" s="279"/>
    </row>
    <row r="552" ht="15.75" customHeight="1">
      <c r="C552" s="389"/>
      <c r="E552" s="278"/>
      <c r="G552" s="279"/>
    </row>
    <row r="553" ht="15.75" customHeight="1">
      <c r="C553" s="389"/>
      <c r="E553" s="278"/>
      <c r="G553" s="279"/>
    </row>
    <row r="554" ht="15.75" customHeight="1">
      <c r="C554" s="389"/>
      <c r="E554" s="278"/>
      <c r="G554" s="279"/>
    </row>
    <row r="555" ht="15.75" customHeight="1">
      <c r="C555" s="389"/>
      <c r="E555" s="278"/>
      <c r="G555" s="279"/>
    </row>
    <row r="556" ht="15.75" customHeight="1">
      <c r="C556" s="389"/>
      <c r="E556" s="278"/>
      <c r="G556" s="279"/>
    </row>
    <row r="557" ht="15.75" customHeight="1">
      <c r="C557" s="389"/>
      <c r="E557" s="278"/>
      <c r="G557" s="279"/>
    </row>
    <row r="558" ht="15.75" customHeight="1">
      <c r="C558" s="389"/>
      <c r="E558" s="278"/>
      <c r="G558" s="279"/>
    </row>
    <row r="559" ht="15.75" customHeight="1">
      <c r="C559" s="389"/>
      <c r="E559" s="278"/>
      <c r="G559" s="279"/>
    </row>
    <row r="560" ht="15.75" customHeight="1">
      <c r="C560" s="389"/>
      <c r="E560" s="278"/>
      <c r="G560" s="279"/>
    </row>
    <row r="561" ht="15.75" customHeight="1">
      <c r="C561" s="389"/>
      <c r="E561" s="278"/>
      <c r="G561" s="279"/>
    </row>
    <row r="562" ht="15.75" customHeight="1">
      <c r="C562" s="389"/>
      <c r="E562" s="278"/>
      <c r="G562" s="279"/>
    </row>
    <row r="563" ht="15.75" customHeight="1">
      <c r="C563" s="389"/>
      <c r="E563" s="278"/>
      <c r="G563" s="279"/>
    </row>
    <row r="564" ht="15.75" customHeight="1">
      <c r="C564" s="389"/>
      <c r="E564" s="278"/>
      <c r="G564" s="279"/>
    </row>
    <row r="565" ht="15.75" customHeight="1">
      <c r="C565" s="389"/>
      <c r="E565" s="278"/>
      <c r="G565" s="279"/>
    </row>
    <row r="566" ht="15.75" customHeight="1">
      <c r="C566" s="389"/>
      <c r="E566" s="278"/>
      <c r="G566" s="279"/>
    </row>
    <row r="567" ht="15.75" customHeight="1">
      <c r="C567" s="389"/>
      <c r="E567" s="278"/>
      <c r="G567" s="279"/>
    </row>
    <row r="568" ht="15.75" customHeight="1">
      <c r="C568" s="389"/>
      <c r="E568" s="278"/>
      <c r="G568" s="279"/>
    </row>
    <row r="569" ht="15.75" customHeight="1">
      <c r="C569" s="389"/>
      <c r="E569" s="278"/>
      <c r="G569" s="279"/>
    </row>
    <row r="570" ht="15.75" customHeight="1">
      <c r="C570" s="389"/>
      <c r="E570" s="278"/>
      <c r="G570" s="279"/>
    </row>
    <row r="571" ht="15.75" customHeight="1">
      <c r="C571" s="389"/>
      <c r="E571" s="278"/>
      <c r="G571" s="279"/>
    </row>
    <row r="572" ht="15.75" customHeight="1">
      <c r="C572" s="389"/>
      <c r="E572" s="278"/>
      <c r="G572" s="279"/>
    </row>
    <row r="573" ht="15.75" customHeight="1">
      <c r="C573" s="389"/>
      <c r="E573" s="278"/>
      <c r="G573" s="279"/>
    </row>
    <row r="574" ht="15.75" customHeight="1">
      <c r="C574" s="389"/>
      <c r="E574" s="278"/>
      <c r="G574" s="279"/>
    </row>
    <row r="575" ht="15.75" customHeight="1">
      <c r="C575" s="389"/>
      <c r="E575" s="278"/>
      <c r="G575" s="279"/>
    </row>
    <row r="576" ht="15.75" customHeight="1">
      <c r="C576" s="389"/>
      <c r="E576" s="278"/>
      <c r="G576" s="279"/>
    </row>
    <row r="577" ht="15.75" customHeight="1">
      <c r="C577" s="389"/>
      <c r="E577" s="278"/>
      <c r="G577" s="279"/>
    </row>
    <row r="578" ht="15.75" customHeight="1">
      <c r="C578" s="389"/>
      <c r="E578" s="278"/>
      <c r="G578" s="279"/>
    </row>
    <row r="579" ht="15.75" customHeight="1">
      <c r="C579" s="389"/>
      <c r="E579" s="278"/>
      <c r="G579" s="279"/>
    </row>
    <row r="580" ht="15.75" customHeight="1">
      <c r="C580" s="389"/>
      <c r="E580" s="278"/>
      <c r="G580" s="279"/>
    </row>
    <row r="581" ht="15.75" customHeight="1">
      <c r="C581" s="389"/>
      <c r="E581" s="278"/>
      <c r="G581" s="279"/>
    </row>
    <row r="582" ht="15.75" customHeight="1">
      <c r="C582" s="389"/>
      <c r="E582" s="278"/>
      <c r="G582" s="279"/>
    </row>
    <row r="583" ht="15.75" customHeight="1">
      <c r="C583" s="389"/>
      <c r="E583" s="278"/>
      <c r="G583" s="279"/>
    </row>
    <row r="584" ht="15.75" customHeight="1">
      <c r="C584" s="389"/>
      <c r="E584" s="278"/>
      <c r="G584" s="279"/>
    </row>
    <row r="585" ht="15.75" customHeight="1">
      <c r="C585" s="389"/>
      <c r="E585" s="278"/>
      <c r="G585" s="279"/>
    </row>
    <row r="586" ht="15.75" customHeight="1">
      <c r="C586" s="389"/>
      <c r="E586" s="278"/>
      <c r="G586" s="279"/>
    </row>
    <row r="587" ht="15.75" customHeight="1">
      <c r="C587" s="389"/>
      <c r="E587" s="278"/>
      <c r="G587" s="279"/>
    </row>
    <row r="588" ht="15.75" customHeight="1">
      <c r="C588" s="389"/>
      <c r="E588" s="278"/>
      <c r="G588" s="279"/>
    </row>
    <row r="589" ht="15.75" customHeight="1">
      <c r="C589" s="389"/>
      <c r="E589" s="278"/>
      <c r="G589" s="279"/>
    </row>
    <row r="590" ht="15.75" customHeight="1">
      <c r="C590" s="389"/>
      <c r="E590" s="278"/>
      <c r="G590" s="279"/>
    </row>
    <row r="591" ht="15.75" customHeight="1">
      <c r="C591" s="389"/>
      <c r="E591" s="278"/>
      <c r="G591" s="279"/>
    </row>
    <row r="592" ht="15.75" customHeight="1">
      <c r="C592" s="389"/>
      <c r="E592" s="278"/>
      <c r="G592" s="279"/>
    </row>
    <row r="593" ht="15.75" customHeight="1">
      <c r="C593" s="389"/>
      <c r="E593" s="278"/>
      <c r="G593" s="279"/>
    </row>
    <row r="594" ht="15.75" customHeight="1">
      <c r="C594" s="389"/>
      <c r="E594" s="278"/>
      <c r="G594" s="279"/>
    </row>
    <row r="595" ht="15.75" customHeight="1">
      <c r="C595" s="389"/>
      <c r="E595" s="278"/>
      <c r="G595" s="279"/>
    </row>
    <row r="596" ht="15.75" customHeight="1">
      <c r="C596" s="389"/>
      <c r="E596" s="278"/>
      <c r="G596" s="279"/>
    </row>
    <row r="597" ht="15.75" customHeight="1">
      <c r="C597" s="389"/>
      <c r="E597" s="278"/>
      <c r="G597" s="279"/>
    </row>
    <row r="598" ht="15.75" customHeight="1">
      <c r="C598" s="389"/>
      <c r="E598" s="278"/>
      <c r="G598" s="279"/>
    </row>
    <row r="599" ht="15.75" customHeight="1">
      <c r="C599" s="389"/>
      <c r="E599" s="278"/>
      <c r="G599" s="279"/>
    </row>
    <row r="600" ht="15.75" customHeight="1">
      <c r="C600" s="389"/>
      <c r="E600" s="278"/>
      <c r="G600" s="279"/>
    </row>
    <row r="601" ht="15.75" customHeight="1">
      <c r="C601" s="389"/>
      <c r="E601" s="278"/>
      <c r="G601" s="279"/>
    </row>
    <row r="602" ht="15.75" customHeight="1">
      <c r="C602" s="389"/>
      <c r="E602" s="278"/>
      <c r="G602" s="279"/>
    </row>
    <row r="603" ht="15.75" customHeight="1">
      <c r="C603" s="389"/>
      <c r="E603" s="278"/>
      <c r="G603" s="279"/>
    </row>
    <row r="604" ht="15.75" customHeight="1">
      <c r="C604" s="389"/>
      <c r="E604" s="278"/>
      <c r="G604" s="279"/>
    </row>
    <row r="605" ht="15.75" customHeight="1">
      <c r="C605" s="389"/>
      <c r="E605" s="278"/>
      <c r="G605" s="279"/>
    </row>
    <row r="606" ht="15.75" customHeight="1">
      <c r="C606" s="389"/>
      <c r="E606" s="278"/>
      <c r="G606" s="279"/>
    </row>
    <row r="607" ht="15.75" customHeight="1">
      <c r="C607" s="389"/>
      <c r="E607" s="278"/>
      <c r="G607" s="279"/>
    </row>
    <row r="608" ht="15.75" customHeight="1">
      <c r="C608" s="389"/>
      <c r="E608" s="278"/>
      <c r="G608" s="279"/>
    </row>
    <row r="609" ht="15.75" customHeight="1">
      <c r="C609" s="389"/>
      <c r="E609" s="278"/>
      <c r="G609" s="279"/>
    </row>
    <row r="610" ht="15.75" customHeight="1">
      <c r="C610" s="389"/>
      <c r="E610" s="278"/>
      <c r="G610" s="279"/>
    </row>
    <row r="611" ht="15.75" customHeight="1">
      <c r="C611" s="389"/>
      <c r="E611" s="278"/>
      <c r="G611" s="279"/>
    </row>
    <row r="612" ht="15.75" customHeight="1">
      <c r="C612" s="389"/>
      <c r="E612" s="278"/>
      <c r="G612" s="279"/>
    </row>
    <row r="613" ht="15.75" customHeight="1">
      <c r="C613" s="389"/>
      <c r="E613" s="278"/>
      <c r="G613" s="279"/>
    </row>
    <row r="614" ht="15.75" customHeight="1">
      <c r="C614" s="389"/>
      <c r="E614" s="278"/>
      <c r="G614" s="279"/>
    </row>
    <row r="615" ht="15.75" customHeight="1">
      <c r="C615" s="389"/>
      <c r="E615" s="278"/>
      <c r="G615" s="279"/>
    </row>
    <row r="616" ht="15.75" customHeight="1">
      <c r="C616" s="389"/>
      <c r="E616" s="278"/>
      <c r="G616" s="279"/>
    </row>
    <row r="617" ht="15.75" customHeight="1">
      <c r="C617" s="389"/>
      <c r="E617" s="278"/>
      <c r="G617" s="279"/>
    </row>
    <row r="618" ht="15.75" customHeight="1">
      <c r="C618" s="389"/>
      <c r="E618" s="278"/>
      <c r="G618" s="279"/>
    </row>
    <row r="619" ht="15.75" customHeight="1">
      <c r="C619" s="389"/>
      <c r="E619" s="278"/>
      <c r="G619" s="279"/>
    </row>
    <row r="620" ht="15.75" customHeight="1">
      <c r="C620" s="389"/>
      <c r="E620" s="278"/>
      <c r="G620" s="279"/>
    </row>
    <row r="621" ht="15.75" customHeight="1">
      <c r="C621" s="389"/>
      <c r="E621" s="278"/>
      <c r="G621" s="279"/>
    </row>
    <row r="622" ht="15.75" customHeight="1">
      <c r="C622" s="389"/>
      <c r="E622" s="278"/>
      <c r="G622" s="279"/>
    </row>
    <row r="623" ht="15.75" customHeight="1">
      <c r="C623" s="389"/>
      <c r="E623" s="278"/>
      <c r="G623" s="279"/>
    </row>
    <row r="624" ht="15.75" customHeight="1">
      <c r="C624" s="389"/>
      <c r="E624" s="278"/>
      <c r="G624" s="279"/>
    </row>
    <row r="625" ht="15.75" customHeight="1">
      <c r="C625" s="389"/>
      <c r="E625" s="278"/>
      <c r="G625" s="279"/>
    </row>
    <row r="626" ht="15.75" customHeight="1">
      <c r="C626" s="389"/>
      <c r="E626" s="278"/>
      <c r="G626" s="279"/>
    </row>
    <row r="627" ht="15.75" customHeight="1">
      <c r="C627" s="389"/>
      <c r="E627" s="278"/>
      <c r="G627" s="279"/>
    </row>
    <row r="628" ht="15.75" customHeight="1">
      <c r="C628" s="389"/>
      <c r="E628" s="278"/>
      <c r="G628" s="279"/>
    </row>
    <row r="629" ht="15.75" customHeight="1">
      <c r="C629" s="389"/>
      <c r="E629" s="278"/>
      <c r="G629" s="279"/>
    </row>
    <row r="630" ht="15.75" customHeight="1">
      <c r="C630" s="389"/>
      <c r="E630" s="278"/>
      <c r="G630" s="279"/>
    </row>
    <row r="631" ht="15.75" customHeight="1">
      <c r="C631" s="389"/>
      <c r="E631" s="278"/>
      <c r="G631" s="279"/>
    </row>
    <row r="632" ht="15.75" customHeight="1">
      <c r="C632" s="389"/>
      <c r="E632" s="278"/>
      <c r="G632" s="279"/>
    </row>
    <row r="633" ht="15.75" customHeight="1">
      <c r="C633" s="389"/>
      <c r="E633" s="278"/>
      <c r="G633" s="279"/>
    </row>
    <row r="634" ht="15.75" customHeight="1">
      <c r="C634" s="389"/>
      <c r="E634" s="278"/>
      <c r="G634" s="279"/>
    </row>
    <row r="635" ht="15.75" customHeight="1">
      <c r="C635" s="389"/>
      <c r="E635" s="278"/>
      <c r="G635" s="279"/>
    </row>
    <row r="636" ht="15.75" customHeight="1">
      <c r="C636" s="389"/>
      <c r="E636" s="278"/>
      <c r="G636" s="279"/>
    </row>
    <row r="637" ht="15.75" customHeight="1">
      <c r="C637" s="389"/>
      <c r="E637" s="278"/>
      <c r="G637" s="279"/>
    </row>
    <row r="638" ht="15.75" customHeight="1">
      <c r="C638" s="389"/>
      <c r="E638" s="278"/>
      <c r="G638" s="279"/>
    </row>
    <row r="639" ht="15.75" customHeight="1">
      <c r="C639" s="389"/>
      <c r="E639" s="278"/>
      <c r="G639" s="279"/>
    </row>
    <row r="640" ht="15.75" customHeight="1">
      <c r="C640" s="389"/>
      <c r="E640" s="278"/>
      <c r="G640" s="279"/>
    </row>
    <row r="641" ht="15.75" customHeight="1">
      <c r="C641" s="389"/>
      <c r="E641" s="278"/>
      <c r="G641" s="279"/>
    </row>
    <row r="642" ht="15.75" customHeight="1">
      <c r="C642" s="389"/>
      <c r="E642" s="278"/>
      <c r="G642" s="279"/>
    </row>
    <row r="643" ht="15.75" customHeight="1">
      <c r="C643" s="389"/>
      <c r="E643" s="278"/>
      <c r="G643" s="279"/>
    </row>
    <row r="644" ht="15.75" customHeight="1">
      <c r="C644" s="389"/>
      <c r="E644" s="278"/>
      <c r="G644" s="279"/>
    </row>
    <row r="645" ht="15.75" customHeight="1">
      <c r="C645" s="389"/>
      <c r="E645" s="278"/>
      <c r="G645" s="279"/>
    </row>
    <row r="646" ht="15.75" customHeight="1">
      <c r="C646" s="389"/>
      <c r="E646" s="278"/>
      <c r="G646" s="279"/>
    </row>
    <row r="647" ht="15.75" customHeight="1">
      <c r="C647" s="389"/>
      <c r="E647" s="278"/>
      <c r="G647" s="279"/>
    </row>
    <row r="648" ht="15.75" customHeight="1">
      <c r="C648" s="389"/>
      <c r="E648" s="278"/>
      <c r="G648" s="279"/>
    </row>
    <row r="649" ht="15.75" customHeight="1">
      <c r="C649" s="389"/>
      <c r="E649" s="278"/>
      <c r="G649" s="279"/>
    </row>
    <row r="650" ht="15.75" customHeight="1">
      <c r="C650" s="389"/>
      <c r="E650" s="278"/>
      <c r="G650" s="279"/>
    </row>
    <row r="651" ht="15.75" customHeight="1">
      <c r="C651" s="389"/>
      <c r="E651" s="278"/>
      <c r="G651" s="279"/>
    </row>
    <row r="652" ht="15.75" customHeight="1">
      <c r="C652" s="389"/>
      <c r="E652" s="278"/>
      <c r="G652" s="279"/>
    </row>
    <row r="653" ht="15.75" customHeight="1">
      <c r="C653" s="389"/>
      <c r="E653" s="278"/>
      <c r="G653" s="279"/>
    </row>
    <row r="654" ht="15.75" customHeight="1">
      <c r="C654" s="389"/>
      <c r="E654" s="278"/>
      <c r="G654" s="279"/>
    </row>
    <row r="655" ht="15.75" customHeight="1">
      <c r="C655" s="389"/>
      <c r="E655" s="278"/>
      <c r="G655" s="279"/>
    </row>
    <row r="656" ht="15.75" customHeight="1">
      <c r="C656" s="389"/>
      <c r="E656" s="278"/>
      <c r="G656" s="279"/>
    </row>
    <row r="657" ht="15.75" customHeight="1">
      <c r="C657" s="389"/>
      <c r="E657" s="278"/>
      <c r="G657" s="279"/>
    </row>
    <row r="658" ht="15.75" customHeight="1">
      <c r="C658" s="389"/>
      <c r="E658" s="278"/>
      <c r="G658" s="279"/>
    </row>
    <row r="659" ht="15.75" customHeight="1">
      <c r="C659" s="389"/>
      <c r="E659" s="278"/>
      <c r="G659" s="279"/>
    </row>
    <row r="660" ht="15.75" customHeight="1">
      <c r="C660" s="389"/>
      <c r="E660" s="278"/>
      <c r="G660" s="279"/>
    </row>
    <row r="661" ht="15.75" customHeight="1">
      <c r="C661" s="389"/>
      <c r="E661" s="278"/>
      <c r="G661" s="279"/>
    </row>
    <row r="662" ht="15.75" customHeight="1">
      <c r="C662" s="389"/>
      <c r="E662" s="278"/>
      <c r="G662" s="279"/>
    </row>
    <row r="663" ht="15.75" customHeight="1">
      <c r="C663" s="389"/>
      <c r="E663" s="278"/>
      <c r="G663" s="279"/>
    </row>
    <row r="664" ht="15.75" customHeight="1">
      <c r="C664" s="389"/>
      <c r="E664" s="278"/>
      <c r="G664" s="279"/>
    </row>
    <row r="665" ht="15.75" customHeight="1">
      <c r="C665" s="389"/>
      <c r="E665" s="278"/>
      <c r="G665" s="279"/>
    </row>
    <row r="666" ht="15.75" customHeight="1">
      <c r="C666" s="389"/>
      <c r="E666" s="278"/>
      <c r="G666" s="279"/>
    </row>
    <row r="667" ht="15.75" customHeight="1">
      <c r="C667" s="389"/>
      <c r="E667" s="278"/>
      <c r="G667" s="279"/>
    </row>
    <row r="668" ht="15.75" customHeight="1">
      <c r="C668" s="389"/>
      <c r="E668" s="278"/>
      <c r="G668" s="279"/>
    </row>
    <row r="669" ht="15.75" customHeight="1">
      <c r="C669" s="389"/>
      <c r="E669" s="278"/>
      <c r="G669" s="279"/>
    </row>
    <row r="670" ht="15.75" customHeight="1">
      <c r="C670" s="389"/>
      <c r="E670" s="278"/>
      <c r="G670" s="279"/>
    </row>
    <row r="671" ht="15.75" customHeight="1">
      <c r="C671" s="389"/>
      <c r="E671" s="278"/>
      <c r="G671" s="279"/>
    </row>
    <row r="672" ht="15.75" customHeight="1">
      <c r="C672" s="389"/>
      <c r="E672" s="278"/>
      <c r="G672" s="279"/>
    </row>
    <row r="673" ht="15.75" customHeight="1">
      <c r="C673" s="389"/>
      <c r="E673" s="278"/>
      <c r="G673" s="279"/>
    </row>
    <row r="674" ht="15.75" customHeight="1">
      <c r="C674" s="389"/>
      <c r="E674" s="278"/>
      <c r="G674" s="279"/>
    </row>
    <row r="675" ht="15.75" customHeight="1">
      <c r="C675" s="389"/>
      <c r="E675" s="278"/>
      <c r="G675" s="279"/>
    </row>
    <row r="676" ht="15.75" customHeight="1">
      <c r="C676" s="389"/>
      <c r="E676" s="278"/>
      <c r="G676" s="279"/>
    </row>
    <row r="677" ht="15.75" customHeight="1">
      <c r="C677" s="389"/>
      <c r="E677" s="278"/>
      <c r="G677" s="279"/>
    </row>
    <row r="678" ht="15.75" customHeight="1">
      <c r="C678" s="389"/>
      <c r="E678" s="278"/>
      <c r="G678" s="279"/>
    </row>
    <row r="679" ht="15.75" customHeight="1">
      <c r="C679" s="389"/>
      <c r="E679" s="278"/>
      <c r="G679" s="279"/>
    </row>
    <row r="680" ht="15.75" customHeight="1">
      <c r="C680" s="389"/>
      <c r="E680" s="278"/>
      <c r="G680" s="279"/>
    </row>
    <row r="681" ht="15.75" customHeight="1">
      <c r="C681" s="389"/>
      <c r="E681" s="278"/>
      <c r="G681" s="279"/>
    </row>
    <row r="682" ht="15.75" customHeight="1">
      <c r="C682" s="389"/>
      <c r="E682" s="278"/>
      <c r="G682" s="279"/>
    </row>
    <row r="683" ht="15.75" customHeight="1">
      <c r="C683" s="389"/>
      <c r="E683" s="278"/>
      <c r="G683" s="279"/>
    </row>
    <row r="684" ht="15.75" customHeight="1">
      <c r="C684" s="389"/>
      <c r="E684" s="278"/>
      <c r="G684" s="279"/>
    </row>
    <row r="685" ht="15.75" customHeight="1">
      <c r="C685" s="389"/>
      <c r="E685" s="278"/>
      <c r="G685" s="279"/>
    </row>
    <row r="686" ht="15.75" customHeight="1">
      <c r="C686" s="389"/>
      <c r="E686" s="278"/>
      <c r="G686" s="279"/>
    </row>
    <row r="687" ht="15.75" customHeight="1">
      <c r="C687" s="389"/>
      <c r="E687" s="278"/>
      <c r="G687" s="279"/>
    </row>
    <row r="688" ht="15.75" customHeight="1">
      <c r="C688" s="389"/>
      <c r="E688" s="278"/>
      <c r="G688" s="279"/>
    </row>
    <row r="689" ht="15.75" customHeight="1">
      <c r="C689" s="389"/>
      <c r="E689" s="278"/>
      <c r="G689" s="279"/>
    </row>
    <row r="690" ht="15.75" customHeight="1">
      <c r="C690" s="389"/>
      <c r="E690" s="278"/>
      <c r="G690" s="279"/>
    </row>
    <row r="691" ht="15.75" customHeight="1">
      <c r="C691" s="389"/>
      <c r="E691" s="278"/>
      <c r="G691" s="279"/>
    </row>
    <row r="692" ht="15.75" customHeight="1">
      <c r="C692" s="389"/>
      <c r="E692" s="278"/>
      <c r="G692" s="279"/>
    </row>
    <row r="693" ht="15.75" customHeight="1">
      <c r="C693" s="389"/>
      <c r="E693" s="278"/>
      <c r="G693" s="279"/>
    </row>
    <row r="694" ht="15.75" customHeight="1">
      <c r="C694" s="389"/>
      <c r="E694" s="278"/>
      <c r="G694" s="279"/>
    </row>
    <row r="695" ht="15.75" customHeight="1">
      <c r="C695" s="389"/>
      <c r="E695" s="278"/>
      <c r="G695" s="279"/>
    </row>
    <row r="696" ht="15.75" customHeight="1">
      <c r="C696" s="389"/>
      <c r="E696" s="278"/>
      <c r="G696" s="279"/>
    </row>
    <row r="697" ht="15.75" customHeight="1">
      <c r="C697" s="389"/>
      <c r="E697" s="278"/>
      <c r="G697" s="279"/>
    </row>
    <row r="698" ht="15.75" customHeight="1">
      <c r="C698" s="389"/>
      <c r="E698" s="278"/>
      <c r="G698" s="279"/>
    </row>
    <row r="699" ht="15.75" customHeight="1">
      <c r="C699" s="389"/>
      <c r="E699" s="278"/>
      <c r="G699" s="279"/>
    </row>
    <row r="700" ht="15.75" customHeight="1">
      <c r="C700" s="389"/>
      <c r="E700" s="278"/>
      <c r="G700" s="279"/>
    </row>
    <row r="701" ht="15.75" customHeight="1">
      <c r="C701" s="389"/>
      <c r="E701" s="278"/>
      <c r="G701" s="279"/>
    </row>
    <row r="702" ht="15.75" customHeight="1">
      <c r="C702" s="389"/>
      <c r="E702" s="278"/>
      <c r="G702" s="279"/>
    </row>
    <row r="703" ht="15.75" customHeight="1">
      <c r="C703" s="389"/>
      <c r="E703" s="278"/>
      <c r="G703" s="279"/>
    </row>
    <row r="704" ht="15.75" customHeight="1">
      <c r="C704" s="389"/>
      <c r="E704" s="278"/>
      <c r="G704" s="279"/>
    </row>
    <row r="705" ht="15.75" customHeight="1">
      <c r="C705" s="389"/>
      <c r="E705" s="278"/>
      <c r="G705" s="279"/>
    </row>
    <row r="706" ht="15.75" customHeight="1">
      <c r="C706" s="389"/>
      <c r="E706" s="278"/>
      <c r="G706" s="279"/>
    </row>
    <row r="707" ht="15.75" customHeight="1">
      <c r="C707" s="389"/>
      <c r="E707" s="278"/>
      <c r="G707" s="279"/>
    </row>
    <row r="708" ht="15.75" customHeight="1">
      <c r="C708" s="389"/>
      <c r="E708" s="278"/>
      <c r="G708" s="279"/>
    </row>
    <row r="709" ht="15.75" customHeight="1">
      <c r="C709" s="389"/>
      <c r="E709" s="278"/>
      <c r="G709" s="279"/>
    </row>
    <row r="710" ht="15.75" customHeight="1">
      <c r="C710" s="389"/>
      <c r="E710" s="278"/>
      <c r="G710" s="279"/>
    </row>
    <row r="711" ht="15.75" customHeight="1">
      <c r="C711" s="389"/>
      <c r="E711" s="278"/>
      <c r="G711" s="279"/>
    </row>
    <row r="712" ht="15.75" customHeight="1">
      <c r="C712" s="389"/>
      <c r="E712" s="278"/>
      <c r="G712" s="279"/>
    </row>
    <row r="713" ht="15.75" customHeight="1">
      <c r="C713" s="389"/>
      <c r="E713" s="278"/>
      <c r="G713" s="279"/>
    </row>
    <row r="714" ht="15.75" customHeight="1">
      <c r="C714" s="389"/>
      <c r="E714" s="278"/>
      <c r="G714" s="279"/>
    </row>
    <row r="715" ht="15.75" customHeight="1">
      <c r="C715" s="389"/>
      <c r="E715" s="278"/>
      <c r="G715" s="279"/>
    </row>
    <row r="716" ht="15.75" customHeight="1">
      <c r="C716" s="389"/>
      <c r="E716" s="278"/>
      <c r="G716" s="279"/>
    </row>
    <row r="717" ht="15.75" customHeight="1">
      <c r="C717" s="389"/>
      <c r="E717" s="278"/>
      <c r="G717" s="279"/>
    </row>
    <row r="718" ht="15.75" customHeight="1">
      <c r="C718" s="389"/>
      <c r="E718" s="278"/>
      <c r="G718" s="279"/>
    </row>
    <row r="719" ht="15.75" customHeight="1">
      <c r="C719" s="389"/>
      <c r="E719" s="278"/>
      <c r="G719" s="279"/>
    </row>
    <row r="720" ht="15.75" customHeight="1">
      <c r="C720" s="389"/>
      <c r="E720" s="278"/>
      <c r="G720" s="279"/>
    </row>
    <row r="721" ht="15.75" customHeight="1">
      <c r="C721" s="389"/>
      <c r="E721" s="278"/>
      <c r="G721" s="279"/>
    </row>
    <row r="722" ht="15.75" customHeight="1">
      <c r="C722" s="389"/>
      <c r="E722" s="278"/>
      <c r="G722" s="279"/>
    </row>
    <row r="723" ht="15.75" customHeight="1">
      <c r="C723" s="389"/>
      <c r="E723" s="278"/>
      <c r="G723" s="279"/>
    </row>
    <row r="724" ht="15.75" customHeight="1">
      <c r="C724" s="389"/>
      <c r="E724" s="278"/>
      <c r="G724" s="279"/>
    </row>
    <row r="725" ht="15.75" customHeight="1">
      <c r="C725" s="389"/>
      <c r="E725" s="278"/>
      <c r="G725" s="279"/>
    </row>
    <row r="726" ht="15.75" customHeight="1">
      <c r="C726" s="389"/>
      <c r="E726" s="278"/>
      <c r="G726" s="279"/>
    </row>
    <row r="727" ht="15.75" customHeight="1">
      <c r="C727" s="389"/>
      <c r="E727" s="278"/>
      <c r="G727" s="279"/>
    </row>
    <row r="728" ht="15.75" customHeight="1">
      <c r="C728" s="389"/>
      <c r="E728" s="278"/>
      <c r="G728" s="279"/>
    </row>
    <row r="729" ht="15.75" customHeight="1">
      <c r="C729" s="389"/>
      <c r="E729" s="278"/>
      <c r="G729" s="279"/>
    </row>
    <row r="730" ht="15.75" customHeight="1">
      <c r="C730" s="389"/>
      <c r="E730" s="278"/>
      <c r="G730" s="279"/>
    </row>
    <row r="731" ht="15.75" customHeight="1">
      <c r="C731" s="389"/>
      <c r="E731" s="278"/>
      <c r="G731" s="279"/>
    </row>
    <row r="732" ht="15.75" customHeight="1">
      <c r="C732" s="389"/>
      <c r="E732" s="278"/>
      <c r="G732" s="279"/>
    </row>
    <row r="733" ht="15.75" customHeight="1">
      <c r="C733" s="389"/>
      <c r="E733" s="278"/>
      <c r="G733" s="279"/>
    </row>
    <row r="734" ht="15.75" customHeight="1">
      <c r="C734" s="389"/>
      <c r="E734" s="278"/>
      <c r="G734" s="279"/>
    </row>
    <row r="735" ht="15.75" customHeight="1">
      <c r="C735" s="389"/>
      <c r="E735" s="278"/>
      <c r="G735" s="279"/>
    </row>
    <row r="736" ht="15.75" customHeight="1">
      <c r="C736" s="389"/>
      <c r="E736" s="278"/>
      <c r="G736" s="279"/>
    </row>
    <row r="737" ht="15.75" customHeight="1">
      <c r="C737" s="389"/>
      <c r="E737" s="278"/>
      <c r="G737" s="279"/>
    </row>
    <row r="738" ht="15.75" customHeight="1">
      <c r="C738" s="389"/>
      <c r="E738" s="278"/>
      <c r="G738" s="279"/>
    </row>
    <row r="739" ht="15.75" customHeight="1">
      <c r="C739" s="389"/>
      <c r="E739" s="278"/>
      <c r="G739" s="279"/>
    </row>
    <row r="740" ht="15.75" customHeight="1">
      <c r="C740" s="389"/>
      <c r="E740" s="278"/>
      <c r="G740" s="279"/>
    </row>
    <row r="741" ht="15.75" customHeight="1">
      <c r="C741" s="389"/>
      <c r="E741" s="278"/>
      <c r="G741" s="279"/>
    </row>
    <row r="742" ht="15.75" customHeight="1">
      <c r="C742" s="389"/>
      <c r="E742" s="278"/>
      <c r="G742" s="279"/>
    </row>
    <row r="743" ht="15.75" customHeight="1">
      <c r="C743" s="389"/>
      <c r="E743" s="278"/>
      <c r="G743" s="279"/>
    </row>
    <row r="744" ht="15.75" customHeight="1">
      <c r="C744" s="389"/>
      <c r="E744" s="278"/>
      <c r="G744" s="279"/>
    </row>
    <row r="745" ht="15.75" customHeight="1">
      <c r="C745" s="389"/>
      <c r="E745" s="278"/>
      <c r="G745" s="279"/>
    </row>
    <row r="746" ht="15.75" customHeight="1">
      <c r="C746" s="389"/>
      <c r="E746" s="278"/>
      <c r="G746" s="279"/>
    </row>
    <row r="747" ht="15.75" customHeight="1">
      <c r="C747" s="389"/>
      <c r="E747" s="278"/>
      <c r="G747" s="279"/>
    </row>
    <row r="748" ht="15.75" customHeight="1">
      <c r="C748" s="389"/>
      <c r="E748" s="278"/>
      <c r="G748" s="279"/>
    </row>
    <row r="749" ht="15.75" customHeight="1">
      <c r="C749" s="389"/>
      <c r="E749" s="278"/>
      <c r="G749" s="279"/>
    </row>
    <row r="750" ht="15.75" customHeight="1">
      <c r="C750" s="389"/>
      <c r="E750" s="278"/>
      <c r="G750" s="279"/>
    </row>
    <row r="751" ht="15.75" customHeight="1">
      <c r="C751" s="389"/>
      <c r="E751" s="278"/>
      <c r="G751" s="279"/>
    </row>
    <row r="752" ht="15.75" customHeight="1">
      <c r="C752" s="389"/>
      <c r="E752" s="278"/>
      <c r="G752" s="279"/>
    </row>
    <row r="753" ht="15.75" customHeight="1">
      <c r="C753" s="389"/>
      <c r="E753" s="278"/>
      <c r="G753" s="279"/>
    </row>
    <row r="754" ht="15.75" customHeight="1">
      <c r="C754" s="389"/>
      <c r="E754" s="278"/>
      <c r="G754" s="279"/>
    </row>
    <row r="755" ht="15.75" customHeight="1">
      <c r="C755" s="389"/>
      <c r="E755" s="278"/>
      <c r="G755" s="279"/>
    </row>
    <row r="756" ht="15.75" customHeight="1">
      <c r="C756" s="389"/>
      <c r="E756" s="278"/>
      <c r="G756" s="279"/>
    </row>
    <row r="757" ht="15.75" customHeight="1">
      <c r="C757" s="389"/>
      <c r="E757" s="278"/>
      <c r="G757" s="279"/>
    </row>
    <row r="758" ht="15.75" customHeight="1">
      <c r="C758" s="389"/>
      <c r="E758" s="278"/>
      <c r="G758" s="279"/>
    </row>
    <row r="759" ht="15.75" customHeight="1">
      <c r="C759" s="389"/>
      <c r="E759" s="278"/>
      <c r="G759" s="279"/>
    </row>
    <row r="760" ht="15.75" customHeight="1">
      <c r="C760" s="389"/>
      <c r="E760" s="278"/>
      <c r="G760" s="279"/>
    </row>
    <row r="761" ht="15.75" customHeight="1">
      <c r="C761" s="389"/>
      <c r="E761" s="278"/>
      <c r="G761" s="279"/>
    </row>
    <row r="762" ht="15.75" customHeight="1">
      <c r="C762" s="389"/>
      <c r="E762" s="278"/>
      <c r="G762" s="279"/>
    </row>
    <row r="763" ht="15.75" customHeight="1">
      <c r="C763" s="389"/>
      <c r="E763" s="278"/>
      <c r="G763" s="279"/>
    </row>
    <row r="764" ht="15.75" customHeight="1">
      <c r="C764" s="389"/>
      <c r="E764" s="278"/>
      <c r="G764" s="279"/>
    </row>
    <row r="765" ht="15.75" customHeight="1">
      <c r="C765" s="389"/>
      <c r="E765" s="278"/>
      <c r="G765" s="279"/>
    </row>
    <row r="766" ht="15.75" customHeight="1">
      <c r="C766" s="389"/>
      <c r="E766" s="278"/>
      <c r="G766" s="279"/>
    </row>
    <row r="767" ht="15.75" customHeight="1">
      <c r="C767" s="389"/>
      <c r="E767" s="278"/>
      <c r="G767" s="279"/>
    </row>
    <row r="768" ht="15.75" customHeight="1">
      <c r="C768" s="389"/>
      <c r="E768" s="278"/>
      <c r="G768" s="279"/>
    </row>
    <row r="769" ht="15.75" customHeight="1">
      <c r="C769" s="389"/>
      <c r="E769" s="278"/>
      <c r="G769" s="279"/>
    </row>
    <row r="770" ht="15.75" customHeight="1">
      <c r="C770" s="389"/>
      <c r="E770" s="278"/>
      <c r="G770" s="279"/>
    </row>
    <row r="771" ht="15.75" customHeight="1">
      <c r="C771" s="389"/>
      <c r="E771" s="278"/>
      <c r="G771" s="279"/>
    </row>
    <row r="772" ht="15.75" customHeight="1">
      <c r="C772" s="389"/>
      <c r="E772" s="278"/>
      <c r="G772" s="279"/>
    </row>
    <row r="773" ht="15.75" customHeight="1">
      <c r="C773" s="389"/>
      <c r="E773" s="278"/>
      <c r="G773" s="279"/>
    </row>
    <row r="774" ht="15.75" customHeight="1">
      <c r="C774" s="389"/>
      <c r="E774" s="278"/>
      <c r="G774" s="279"/>
    </row>
    <row r="775" ht="15.75" customHeight="1">
      <c r="C775" s="389"/>
      <c r="E775" s="278"/>
      <c r="G775" s="279"/>
    </row>
    <row r="776" ht="15.75" customHeight="1">
      <c r="C776" s="389"/>
      <c r="E776" s="278"/>
      <c r="G776" s="279"/>
    </row>
    <row r="777" ht="15.75" customHeight="1">
      <c r="C777" s="389"/>
      <c r="E777" s="278"/>
      <c r="G777" s="279"/>
    </row>
    <row r="778" ht="15.75" customHeight="1">
      <c r="C778" s="389"/>
      <c r="E778" s="278"/>
      <c r="G778" s="279"/>
    </row>
    <row r="779" ht="15.75" customHeight="1">
      <c r="C779" s="389"/>
      <c r="E779" s="278"/>
      <c r="G779" s="279"/>
    </row>
    <row r="780" ht="15.75" customHeight="1">
      <c r="C780" s="389"/>
      <c r="E780" s="278"/>
      <c r="G780" s="279"/>
    </row>
    <row r="781" ht="15.75" customHeight="1">
      <c r="C781" s="389"/>
      <c r="E781" s="278"/>
      <c r="G781" s="279"/>
    </row>
    <row r="782" ht="15.75" customHeight="1">
      <c r="C782" s="389"/>
      <c r="E782" s="278"/>
      <c r="G782" s="279"/>
    </row>
    <row r="783" ht="15.75" customHeight="1">
      <c r="C783" s="389"/>
      <c r="E783" s="278"/>
      <c r="G783" s="279"/>
    </row>
    <row r="784" ht="15.75" customHeight="1">
      <c r="C784" s="389"/>
      <c r="E784" s="278"/>
      <c r="G784" s="279"/>
    </row>
    <row r="785" ht="15.75" customHeight="1">
      <c r="C785" s="389"/>
      <c r="E785" s="278"/>
      <c r="G785" s="279"/>
    </row>
    <row r="786" ht="15.75" customHeight="1">
      <c r="C786" s="389"/>
      <c r="E786" s="278"/>
      <c r="G786" s="279"/>
    </row>
    <row r="787" ht="15.75" customHeight="1">
      <c r="C787" s="389"/>
      <c r="E787" s="278"/>
      <c r="G787" s="279"/>
    </row>
    <row r="788" ht="15.75" customHeight="1">
      <c r="C788" s="389"/>
      <c r="E788" s="278"/>
      <c r="G788" s="279"/>
    </row>
    <row r="789" ht="15.75" customHeight="1">
      <c r="C789" s="389"/>
      <c r="E789" s="278"/>
      <c r="G789" s="279"/>
    </row>
    <row r="790" ht="15.75" customHeight="1">
      <c r="C790" s="389"/>
      <c r="E790" s="278"/>
      <c r="G790" s="279"/>
    </row>
    <row r="791" ht="15.75" customHeight="1">
      <c r="C791" s="389"/>
      <c r="E791" s="278"/>
      <c r="G791" s="279"/>
    </row>
    <row r="792" ht="15.75" customHeight="1">
      <c r="C792" s="389"/>
      <c r="E792" s="278"/>
      <c r="G792" s="279"/>
    </row>
    <row r="793" ht="15.75" customHeight="1">
      <c r="C793" s="389"/>
      <c r="E793" s="278"/>
      <c r="G793" s="279"/>
    </row>
    <row r="794" ht="15.75" customHeight="1">
      <c r="C794" s="389"/>
      <c r="E794" s="278"/>
      <c r="G794" s="279"/>
    </row>
    <row r="795" ht="15.75" customHeight="1">
      <c r="C795" s="389"/>
      <c r="E795" s="278"/>
      <c r="G795" s="279"/>
    </row>
    <row r="796" ht="15.75" customHeight="1">
      <c r="C796" s="389"/>
      <c r="E796" s="278"/>
      <c r="G796" s="279"/>
    </row>
    <row r="797" ht="15.75" customHeight="1">
      <c r="C797" s="389"/>
      <c r="E797" s="278"/>
      <c r="G797" s="279"/>
    </row>
    <row r="798" ht="15.75" customHeight="1">
      <c r="C798" s="389"/>
      <c r="E798" s="278"/>
      <c r="G798" s="279"/>
    </row>
    <row r="799" ht="15.75" customHeight="1">
      <c r="C799" s="389"/>
      <c r="E799" s="278"/>
      <c r="G799" s="279"/>
    </row>
    <row r="800" ht="15.75" customHeight="1">
      <c r="C800" s="389"/>
      <c r="E800" s="278"/>
      <c r="G800" s="279"/>
    </row>
    <row r="801" ht="15.75" customHeight="1">
      <c r="C801" s="389"/>
      <c r="E801" s="278"/>
      <c r="G801" s="279"/>
    </row>
    <row r="802" ht="15.75" customHeight="1">
      <c r="C802" s="389"/>
      <c r="E802" s="278"/>
      <c r="G802" s="279"/>
    </row>
    <row r="803" ht="15.75" customHeight="1">
      <c r="C803" s="389"/>
      <c r="E803" s="278"/>
      <c r="G803" s="279"/>
    </row>
    <row r="804" ht="15.75" customHeight="1">
      <c r="C804" s="389"/>
      <c r="E804" s="278"/>
      <c r="G804" s="279"/>
    </row>
    <row r="805" ht="15.75" customHeight="1">
      <c r="C805" s="389"/>
      <c r="E805" s="278"/>
      <c r="G805" s="279"/>
    </row>
    <row r="806" ht="15.75" customHeight="1">
      <c r="C806" s="389"/>
      <c r="E806" s="278"/>
      <c r="G806" s="279"/>
    </row>
    <row r="807" ht="15.75" customHeight="1">
      <c r="C807" s="389"/>
      <c r="E807" s="278"/>
      <c r="G807" s="279"/>
    </row>
    <row r="808" ht="15.75" customHeight="1">
      <c r="C808" s="389"/>
      <c r="E808" s="278"/>
      <c r="G808" s="279"/>
    </row>
    <row r="809" ht="15.75" customHeight="1">
      <c r="C809" s="389"/>
      <c r="E809" s="278"/>
      <c r="G809" s="279"/>
    </row>
    <row r="810" ht="15.75" customHeight="1">
      <c r="C810" s="389"/>
      <c r="E810" s="278"/>
      <c r="G810" s="279"/>
    </row>
    <row r="811" ht="15.75" customHeight="1">
      <c r="C811" s="389"/>
      <c r="E811" s="278"/>
      <c r="G811" s="279"/>
    </row>
    <row r="812" ht="15.75" customHeight="1">
      <c r="C812" s="389"/>
      <c r="E812" s="278"/>
      <c r="G812" s="279"/>
    </row>
    <row r="813" ht="15.75" customHeight="1">
      <c r="C813" s="389"/>
      <c r="E813" s="278"/>
      <c r="G813" s="279"/>
    </row>
    <row r="814" ht="15.75" customHeight="1">
      <c r="C814" s="389"/>
      <c r="E814" s="278"/>
      <c r="G814" s="279"/>
    </row>
    <row r="815" ht="15.75" customHeight="1">
      <c r="C815" s="389"/>
      <c r="E815" s="278"/>
      <c r="G815" s="279"/>
    </row>
    <row r="816" ht="15.75" customHeight="1">
      <c r="C816" s="389"/>
      <c r="E816" s="278"/>
      <c r="G816" s="279"/>
    </row>
    <row r="817" ht="15.75" customHeight="1">
      <c r="C817" s="389"/>
      <c r="E817" s="278"/>
      <c r="G817" s="279"/>
    </row>
    <row r="818" ht="15.75" customHeight="1">
      <c r="C818" s="389"/>
      <c r="E818" s="278"/>
      <c r="G818" s="279"/>
    </row>
    <row r="819" ht="15.75" customHeight="1">
      <c r="C819" s="389"/>
      <c r="E819" s="278"/>
      <c r="G819" s="279"/>
    </row>
    <row r="820" ht="15.75" customHeight="1">
      <c r="C820" s="389"/>
      <c r="E820" s="278"/>
      <c r="G820" s="279"/>
    </row>
    <row r="821" ht="15.75" customHeight="1">
      <c r="C821" s="389"/>
      <c r="E821" s="278"/>
      <c r="G821" s="279"/>
    </row>
    <row r="822" ht="15.75" customHeight="1">
      <c r="C822" s="389"/>
      <c r="E822" s="278"/>
      <c r="G822" s="279"/>
    </row>
    <row r="823" ht="15.75" customHeight="1">
      <c r="C823" s="389"/>
      <c r="E823" s="278"/>
      <c r="G823" s="279"/>
    </row>
    <row r="824" ht="15.75" customHeight="1">
      <c r="C824" s="389"/>
      <c r="E824" s="278"/>
      <c r="G824" s="279"/>
    </row>
    <row r="825" ht="15.75" customHeight="1">
      <c r="C825" s="389"/>
      <c r="E825" s="278"/>
      <c r="G825" s="279"/>
    </row>
    <row r="826" ht="15.75" customHeight="1">
      <c r="C826" s="389"/>
      <c r="E826" s="278"/>
      <c r="G826" s="279"/>
    </row>
    <row r="827" ht="15.75" customHeight="1">
      <c r="C827" s="389"/>
      <c r="E827" s="278"/>
      <c r="G827" s="279"/>
    </row>
    <row r="828" ht="15.75" customHeight="1">
      <c r="C828" s="389"/>
      <c r="E828" s="278"/>
      <c r="G828" s="279"/>
    </row>
    <row r="829" ht="15.75" customHeight="1">
      <c r="C829" s="389"/>
      <c r="E829" s="278"/>
      <c r="G829" s="279"/>
    </row>
    <row r="830" ht="15.75" customHeight="1">
      <c r="C830" s="389"/>
      <c r="E830" s="278"/>
      <c r="G830" s="279"/>
    </row>
    <row r="831" ht="15.75" customHeight="1">
      <c r="C831" s="389"/>
      <c r="E831" s="278"/>
      <c r="G831" s="279"/>
    </row>
    <row r="832" ht="15.75" customHeight="1">
      <c r="C832" s="389"/>
      <c r="E832" s="278"/>
      <c r="G832" s="279"/>
    </row>
    <row r="833" ht="15.75" customHeight="1">
      <c r="C833" s="389"/>
      <c r="E833" s="278"/>
      <c r="G833" s="279"/>
    </row>
    <row r="834" ht="15.75" customHeight="1">
      <c r="C834" s="389"/>
      <c r="E834" s="278"/>
      <c r="G834" s="279"/>
    </row>
    <row r="835" ht="15.75" customHeight="1">
      <c r="C835" s="389"/>
      <c r="E835" s="278"/>
      <c r="G835" s="279"/>
    </row>
    <row r="836" ht="15.75" customHeight="1">
      <c r="C836" s="389"/>
      <c r="E836" s="278"/>
      <c r="G836" s="279"/>
    </row>
    <row r="837" ht="15.75" customHeight="1">
      <c r="C837" s="389"/>
      <c r="E837" s="278"/>
      <c r="G837" s="279"/>
    </row>
    <row r="838" ht="15.75" customHeight="1">
      <c r="C838" s="389"/>
      <c r="E838" s="278"/>
      <c r="G838" s="279"/>
    </row>
    <row r="839" ht="15.75" customHeight="1">
      <c r="C839" s="389"/>
      <c r="E839" s="278"/>
      <c r="G839" s="279"/>
    </row>
    <row r="840" ht="15.75" customHeight="1">
      <c r="C840" s="389"/>
      <c r="E840" s="278"/>
      <c r="G840" s="279"/>
    </row>
    <row r="841" ht="15.75" customHeight="1">
      <c r="C841" s="389"/>
      <c r="E841" s="278"/>
      <c r="G841" s="279"/>
    </row>
    <row r="842" ht="15.75" customHeight="1">
      <c r="C842" s="389"/>
      <c r="E842" s="278"/>
      <c r="G842" s="279"/>
    </row>
    <row r="843" ht="15.75" customHeight="1">
      <c r="C843" s="389"/>
      <c r="E843" s="278"/>
      <c r="G843" s="279"/>
    </row>
    <row r="844" ht="15.75" customHeight="1">
      <c r="C844" s="389"/>
      <c r="E844" s="278"/>
      <c r="G844" s="279"/>
    </row>
    <row r="845" ht="15.75" customHeight="1">
      <c r="C845" s="389"/>
      <c r="E845" s="278"/>
      <c r="G845" s="279"/>
    </row>
    <row r="846" ht="15.75" customHeight="1">
      <c r="C846" s="389"/>
      <c r="E846" s="278"/>
      <c r="G846" s="279"/>
    </row>
    <row r="847" ht="15.75" customHeight="1">
      <c r="C847" s="389"/>
      <c r="E847" s="278"/>
      <c r="G847" s="279"/>
    </row>
    <row r="848" ht="15.75" customHeight="1">
      <c r="C848" s="389"/>
      <c r="E848" s="278"/>
      <c r="G848" s="279"/>
    </row>
    <row r="849" ht="15.75" customHeight="1">
      <c r="C849" s="389"/>
      <c r="E849" s="278"/>
      <c r="G849" s="279"/>
    </row>
    <row r="850" ht="15.75" customHeight="1">
      <c r="C850" s="389"/>
      <c r="E850" s="278"/>
      <c r="G850" s="279"/>
    </row>
    <row r="851" ht="15.75" customHeight="1">
      <c r="C851" s="389"/>
      <c r="E851" s="278"/>
      <c r="G851" s="279"/>
    </row>
    <row r="852" ht="15.75" customHeight="1">
      <c r="C852" s="389"/>
      <c r="E852" s="278"/>
      <c r="G852" s="279"/>
    </row>
    <row r="853" ht="15.75" customHeight="1">
      <c r="C853" s="389"/>
      <c r="E853" s="278"/>
      <c r="G853" s="279"/>
    </row>
    <row r="854" ht="15.75" customHeight="1">
      <c r="C854" s="389"/>
      <c r="E854" s="278"/>
      <c r="G854" s="279"/>
    </row>
    <row r="855" ht="15.75" customHeight="1">
      <c r="C855" s="389"/>
      <c r="E855" s="278"/>
      <c r="G855" s="279"/>
    </row>
    <row r="856" ht="15.75" customHeight="1">
      <c r="C856" s="389"/>
      <c r="E856" s="278"/>
      <c r="G856" s="279"/>
    </row>
    <row r="857" ht="15.75" customHeight="1">
      <c r="C857" s="389"/>
      <c r="E857" s="278"/>
      <c r="G857" s="279"/>
    </row>
    <row r="858" ht="15.75" customHeight="1">
      <c r="C858" s="389"/>
      <c r="E858" s="278"/>
      <c r="G858" s="279"/>
    </row>
    <row r="859" ht="15.75" customHeight="1">
      <c r="C859" s="389"/>
      <c r="E859" s="278"/>
      <c r="G859" s="279"/>
    </row>
    <row r="860" ht="15.75" customHeight="1">
      <c r="C860" s="389"/>
      <c r="E860" s="278"/>
      <c r="G860" s="279"/>
    </row>
    <row r="861" ht="15.75" customHeight="1">
      <c r="C861" s="389"/>
      <c r="E861" s="278"/>
      <c r="G861" s="279"/>
    </row>
    <row r="862" ht="15.75" customHeight="1">
      <c r="C862" s="389"/>
      <c r="E862" s="278"/>
      <c r="G862" s="279"/>
    </row>
    <row r="863" ht="15.75" customHeight="1">
      <c r="C863" s="389"/>
      <c r="E863" s="278"/>
      <c r="G863" s="279"/>
    </row>
    <row r="864" ht="15.75" customHeight="1">
      <c r="C864" s="389"/>
      <c r="E864" s="278"/>
      <c r="G864" s="279"/>
    </row>
    <row r="865" ht="15.75" customHeight="1">
      <c r="C865" s="389"/>
      <c r="E865" s="278"/>
      <c r="G865" s="279"/>
    </row>
    <row r="866" ht="15.75" customHeight="1">
      <c r="C866" s="389"/>
      <c r="E866" s="278"/>
      <c r="G866" s="279"/>
    </row>
    <row r="867" ht="15.75" customHeight="1">
      <c r="C867" s="389"/>
      <c r="E867" s="278"/>
      <c r="G867" s="279"/>
    </row>
    <row r="868" ht="15.75" customHeight="1">
      <c r="C868" s="389"/>
      <c r="E868" s="278"/>
      <c r="G868" s="279"/>
    </row>
    <row r="869" ht="15.75" customHeight="1">
      <c r="C869" s="389"/>
      <c r="E869" s="278"/>
      <c r="G869" s="279"/>
    </row>
    <row r="870" ht="15.75" customHeight="1">
      <c r="C870" s="389"/>
      <c r="E870" s="278"/>
      <c r="G870" s="279"/>
    </row>
    <row r="871" ht="15.75" customHeight="1">
      <c r="C871" s="389"/>
      <c r="E871" s="278"/>
      <c r="G871" s="279"/>
    </row>
    <row r="872" ht="15.75" customHeight="1">
      <c r="C872" s="389"/>
      <c r="E872" s="278"/>
      <c r="G872" s="279"/>
    </row>
    <row r="873" ht="15.75" customHeight="1">
      <c r="C873" s="389"/>
      <c r="E873" s="278"/>
      <c r="G873" s="279"/>
    </row>
    <row r="874" ht="15.75" customHeight="1">
      <c r="C874" s="389"/>
      <c r="E874" s="278"/>
      <c r="G874" s="279"/>
    </row>
    <row r="875" ht="15.75" customHeight="1">
      <c r="C875" s="389"/>
      <c r="E875" s="278"/>
      <c r="G875" s="279"/>
    </row>
    <row r="876" ht="15.75" customHeight="1">
      <c r="C876" s="389"/>
      <c r="E876" s="278"/>
      <c r="G876" s="279"/>
    </row>
    <row r="877" ht="15.75" customHeight="1">
      <c r="C877" s="389"/>
      <c r="E877" s="278"/>
      <c r="G877" s="279"/>
    </row>
    <row r="878" ht="15.75" customHeight="1">
      <c r="C878" s="389"/>
      <c r="E878" s="278"/>
      <c r="G878" s="279"/>
    </row>
    <row r="879" ht="15.75" customHeight="1">
      <c r="C879" s="389"/>
      <c r="E879" s="278"/>
      <c r="G879" s="279"/>
    </row>
    <row r="880" ht="15.75" customHeight="1">
      <c r="C880" s="389"/>
      <c r="E880" s="278"/>
      <c r="G880" s="279"/>
    </row>
    <row r="881" ht="15.75" customHeight="1">
      <c r="C881" s="389"/>
      <c r="E881" s="278"/>
      <c r="G881" s="279"/>
    </row>
    <row r="882" ht="15.75" customHeight="1">
      <c r="C882" s="389"/>
      <c r="E882" s="278"/>
      <c r="G882" s="279"/>
    </row>
    <row r="883" ht="15.75" customHeight="1">
      <c r="C883" s="389"/>
      <c r="E883" s="278"/>
      <c r="G883" s="279"/>
    </row>
    <row r="884" ht="15.75" customHeight="1">
      <c r="C884" s="389"/>
      <c r="E884" s="278"/>
      <c r="G884" s="279"/>
    </row>
    <row r="885" ht="15.75" customHeight="1">
      <c r="C885" s="389"/>
      <c r="E885" s="278"/>
      <c r="G885" s="279"/>
    </row>
    <row r="886" ht="15.75" customHeight="1">
      <c r="C886" s="389"/>
      <c r="E886" s="278"/>
      <c r="G886" s="279"/>
    </row>
    <row r="887" ht="15.75" customHeight="1">
      <c r="C887" s="389"/>
      <c r="E887" s="278"/>
      <c r="G887" s="279"/>
    </row>
    <row r="888" ht="15.75" customHeight="1">
      <c r="C888" s="389"/>
      <c r="E888" s="278"/>
      <c r="G888" s="279"/>
    </row>
    <row r="889" ht="15.75" customHeight="1">
      <c r="C889" s="389"/>
      <c r="E889" s="278"/>
      <c r="G889" s="279"/>
    </row>
    <row r="890" ht="15.75" customHeight="1">
      <c r="C890" s="389"/>
      <c r="E890" s="278"/>
      <c r="G890" s="279"/>
    </row>
    <row r="891" ht="15.75" customHeight="1">
      <c r="C891" s="389"/>
      <c r="E891" s="278"/>
      <c r="G891" s="279"/>
    </row>
    <row r="892" ht="15.75" customHeight="1">
      <c r="C892" s="389"/>
      <c r="E892" s="278"/>
      <c r="G892" s="279"/>
    </row>
    <row r="893" ht="15.75" customHeight="1">
      <c r="C893" s="389"/>
      <c r="E893" s="278"/>
      <c r="G893" s="279"/>
    </row>
    <row r="894" ht="15.75" customHeight="1">
      <c r="C894" s="389"/>
      <c r="E894" s="278"/>
      <c r="G894" s="279"/>
    </row>
    <row r="895" ht="15.75" customHeight="1">
      <c r="C895" s="389"/>
      <c r="E895" s="278"/>
      <c r="G895" s="279"/>
    </row>
    <row r="896" ht="15.75" customHeight="1">
      <c r="C896" s="389"/>
      <c r="E896" s="278"/>
      <c r="G896" s="279"/>
    </row>
    <row r="897" ht="15.75" customHeight="1">
      <c r="C897" s="389"/>
      <c r="E897" s="278"/>
      <c r="G897" s="279"/>
    </row>
    <row r="898" ht="15.75" customHeight="1">
      <c r="C898" s="389"/>
      <c r="E898" s="278"/>
      <c r="G898" s="279"/>
    </row>
    <row r="899" ht="15.75" customHeight="1">
      <c r="C899" s="389"/>
      <c r="E899" s="278"/>
      <c r="G899" s="279"/>
    </row>
    <row r="900" ht="15.75" customHeight="1">
      <c r="C900" s="389"/>
      <c r="E900" s="278"/>
      <c r="G900" s="279"/>
    </row>
    <row r="901" ht="15.75" customHeight="1">
      <c r="C901" s="389"/>
      <c r="E901" s="278"/>
      <c r="G901" s="279"/>
    </row>
    <row r="902" ht="15.75" customHeight="1">
      <c r="C902" s="389"/>
      <c r="E902" s="278"/>
      <c r="G902" s="279"/>
    </row>
    <row r="903" ht="15.75" customHeight="1">
      <c r="C903" s="389"/>
      <c r="E903" s="278"/>
      <c r="G903" s="279"/>
    </row>
    <row r="904" ht="15.75" customHeight="1">
      <c r="C904" s="389"/>
      <c r="E904" s="278"/>
      <c r="G904" s="279"/>
    </row>
    <row r="905" ht="15.75" customHeight="1">
      <c r="C905" s="389"/>
      <c r="E905" s="278"/>
      <c r="G905" s="279"/>
    </row>
    <row r="906" ht="15.75" customHeight="1">
      <c r="C906" s="389"/>
      <c r="E906" s="278"/>
      <c r="G906" s="279"/>
    </row>
    <row r="907" ht="15.75" customHeight="1">
      <c r="C907" s="389"/>
      <c r="E907" s="278"/>
      <c r="G907" s="279"/>
    </row>
    <row r="908" ht="15.75" customHeight="1">
      <c r="C908" s="389"/>
      <c r="E908" s="278"/>
      <c r="G908" s="279"/>
    </row>
    <row r="909" ht="15.75" customHeight="1">
      <c r="C909" s="389"/>
      <c r="E909" s="278"/>
      <c r="G909" s="279"/>
    </row>
    <row r="910" ht="15.75" customHeight="1">
      <c r="C910" s="389"/>
      <c r="E910" s="278"/>
      <c r="G910" s="279"/>
    </row>
    <row r="911" ht="15.75" customHeight="1">
      <c r="C911" s="389"/>
      <c r="E911" s="278"/>
      <c r="G911" s="279"/>
    </row>
    <row r="912" ht="15.75" customHeight="1">
      <c r="C912" s="389"/>
      <c r="E912" s="278"/>
      <c r="G912" s="279"/>
    </row>
    <row r="913" ht="15.75" customHeight="1">
      <c r="C913" s="389"/>
      <c r="E913" s="278"/>
      <c r="G913" s="279"/>
    </row>
    <row r="914" ht="15.75" customHeight="1">
      <c r="C914" s="389"/>
      <c r="E914" s="278"/>
      <c r="G914" s="279"/>
    </row>
    <row r="915" ht="15.75" customHeight="1">
      <c r="C915" s="389"/>
      <c r="E915" s="278"/>
      <c r="G915" s="279"/>
    </row>
    <row r="916" ht="15.75" customHeight="1">
      <c r="C916" s="389"/>
      <c r="E916" s="278"/>
      <c r="G916" s="279"/>
    </row>
    <row r="917" ht="15.75" customHeight="1">
      <c r="C917" s="389"/>
      <c r="E917" s="278"/>
      <c r="G917" s="279"/>
    </row>
    <row r="918" ht="15.75" customHeight="1">
      <c r="C918" s="389"/>
      <c r="E918" s="278"/>
      <c r="G918" s="279"/>
    </row>
    <row r="919" ht="15.75" customHeight="1">
      <c r="C919" s="389"/>
      <c r="E919" s="278"/>
      <c r="G919" s="279"/>
    </row>
    <row r="920" ht="15.75" customHeight="1">
      <c r="C920" s="389"/>
      <c r="E920" s="278"/>
      <c r="G920" s="279"/>
    </row>
    <row r="921" ht="15.75" customHeight="1">
      <c r="C921" s="389"/>
      <c r="E921" s="278"/>
      <c r="G921" s="279"/>
    </row>
    <row r="922" ht="15.75" customHeight="1">
      <c r="C922" s="389"/>
      <c r="E922" s="278"/>
      <c r="G922" s="279"/>
    </row>
    <row r="923" ht="15.75" customHeight="1">
      <c r="C923" s="389"/>
      <c r="E923" s="278"/>
      <c r="G923" s="279"/>
    </row>
    <row r="924" ht="15.75" customHeight="1">
      <c r="C924" s="389"/>
      <c r="E924" s="278"/>
      <c r="G924" s="279"/>
    </row>
    <row r="925" ht="15.75" customHeight="1">
      <c r="C925" s="389"/>
      <c r="E925" s="278"/>
      <c r="G925" s="279"/>
    </row>
    <row r="926" ht="15.75" customHeight="1">
      <c r="C926" s="389"/>
      <c r="E926" s="278"/>
      <c r="G926" s="279"/>
    </row>
    <row r="927" ht="15.75" customHeight="1">
      <c r="C927" s="389"/>
      <c r="E927" s="278"/>
      <c r="G927" s="279"/>
    </row>
    <row r="928" ht="15.75" customHeight="1">
      <c r="C928" s="389"/>
      <c r="E928" s="278"/>
      <c r="G928" s="279"/>
    </row>
    <row r="929" ht="15.75" customHeight="1">
      <c r="C929" s="389"/>
      <c r="E929" s="278"/>
      <c r="G929" s="279"/>
    </row>
    <row r="930" ht="15.75" customHeight="1">
      <c r="C930" s="389"/>
      <c r="E930" s="278"/>
      <c r="G930" s="279"/>
    </row>
    <row r="931" ht="15.75" customHeight="1">
      <c r="C931" s="389"/>
      <c r="E931" s="278"/>
      <c r="G931" s="279"/>
    </row>
    <row r="932" ht="15.75" customHeight="1">
      <c r="C932" s="389"/>
      <c r="E932" s="278"/>
      <c r="G932" s="279"/>
    </row>
    <row r="933" ht="15.75" customHeight="1">
      <c r="C933" s="389"/>
      <c r="E933" s="278"/>
      <c r="G933" s="279"/>
    </row>
    <row r="934" ht="15.75" customHeight="1">
      <c r="C934" s="389"/>
      <c r="E934" s="278"/>
      <c r="G934" s="279"/>
    </row>
    <row r="935" ht="15.75" customHeight="1">
      <c r="C935" s="389"/>
      <c r="E935" s="278"/>
      <c r="G935" s="279"/>
    </row>
    <row r="936" ht="15.75" customHeight="1">
      <c r="C936" s="389"/>
      <c r="E936" s="278"/>
      <c r="G936" s="279"/>
    </row>
    <row r="937" ht="15.75" customHeight="1">
      <c r="C937" s="389"/>
      <c r="E937" s="278"/>
      <c r="G937" s="279"/>
    </row>
    <row r="938" ht="15.75" customHeight="1">
      <c r="C938" s="389"/>
      <c r="E938" s="278"/>
      <c r="G938" s="279"/>
    </row>
    <row r="939" ht="15.75" customHeight="1">
      <c r="C939" s="389"/>
      <c r="E939" s="278"/>
      <c r="G939" s="279"/>
    </row>
    <row r="940" ht="15.75" customHeight="1">
      <c r="C940" s="389"/>
      <c r="E940" s="278"/>
      <c r="G940" s="279"/>
    </row>
    <row r="941" ht="15.75" customHeight="1">
      <c r="C941" s="389"/>
      <c r="E941" s="278"/>
      <c r="G941" s="279"/>
    </row>
    <row r="942" ht="15.75" customHeight="1">
      <c r="C942" s="389"/>
      <c r="E942" s="278"/>
      <c r="G942" s="279"/>
    </row>
    <row r="943" ht="15.75" customHeight="1">
      <c r="C943" s="389"/>
      <c r="E943" s="278"/>
      <c r="G943" s="279"/>
    </row>
    <row r="944" ht="15.75" customHeight="1">
      <c r="C944" s="389"/>
      <c r="E944" s="278"/>
      <c r="G944" s="279"/>
    </row>
    <row r="945" ht="15.75" customHeight="1">
      <c r="C945" s="389"/>
      <c r="E945" s="278"/>
      <c r="G945" s="279"/>
    </row>
    <row r="946" ht="15.75" customHeight="1">
      <c r="C946" s="389"/>
      <c r="E946" s="278"/>
      <c r="G946" s="279"/>
    </row>
    <row r="947" ht="15.75" customHeight="1">
      <c r="C947" s="389"/>
      <c r="E947" s="278"/>
      <c r="G947" s="279"/>
    </row>
    <row r="948" ht="15.75" customHeight="1">
      <c r="C948" s="389"/>
      <c r="E948" s="278"/>
      <c r="G948" s="279"/>
    </row>
    <row r="949" ht="15.75" customHeight="1">
      <c r="C949" s="389"/>
      <c r="E949" s="278"/>
      <c r="G949" s="279"/>
    </row>
    <row r="950" ht="15.75" customHeight="1">
      <c r="C950" s="389"/>
      <c r="E950" s="278"/>
      <c r="G950" s="279"/>
    </row>
    <row r="951" ht="15.75" customHeight="1">
      <c r="C951" s="389"/>
      <c r="E951" s="278"/>
      <c r="G951" s="279"/>
    </row>
    <row r="952" ht="15.75" customHeight="1">
      <c r="C952" s="389"/>
      <c r="E952" s="278"/>
      <c r="G952" s="279"/>
    </row>
    <row r="953" ht="15.75" customHeight="1">
      <c r="C953" s="389"/>
      <c r="E953" s="278"/>
      <c r="G953" s="279"/>
    </row>
    <row r="954" ht="15.75" customHeight="1">
      <c r="C954" s="389"/>
      <c r="E954" s="278"/>
      <c r="G954" s="279"/>
    </row>
    <row r="955" ht="15.75" customHeight="1">
      <c r="C955" s="389"/>
      <c r="E955" s="278"/>
      <c r="G955" s="279"/>
    </row>
    <row r="956" ht="15.75" customHeight="1">
      <c r="C956" s="389"/>
      <c r="E956" s="278"/>
      <c r="G956" s="279"/>
    </row>
    <row r="957" ht="15.75" customHeight="1">
      <c r="C957" s="389"/>
      <c r="E957" s="278"/>
      <c r="G957" s="279"/>
    </row>
    <row r="958" ht="15.75" customHeight="1">
      <c r="C958" s="389"/>
      <c r="E958" s="278"/>
      <c r="G958" s="279"/>
    </row>
    <row r="959" ht="15.75" customHeight="1">
      <c r="C959" s="389"/>
      <c r="E959" s="278"/>
      <c r="G959" s="279"/>
    </row>
    <row r="960" ht="15.75" customHeight="1">
      <c r="C960" s="389"/>
      <c r="E960" s="278"/>
      <c r="G960" s="279"/>
    </row>
    <row r="961" ht="15.75" customHeight="1">
      <c r="C961" s="389"/>
      <c r="E961" s="278"/>
      <c r="G961" s="279"/>
    </row>
    <row r="962" ht="15.75" customHeight="1">
      <c r="C962" s="389"/>
      <c r="E962" s="278"/>
      <c r="G962" s="279"/>
    </row>
    <row r="963" ht="15.75" customHeight="1">
      <c r="C963" s="389"/>
      <c r="E963" s="278"/>
      <c r="G963" s="279"/>
    </row>
    <row r="964" ht="15.75" customHeight="1">
      <c r="C964" s="389"/>
      <c r="E964" s="278"/>
      <c r="G964" s="279"/>
    </row>
    <row r="965" ht="15.75" customHeight="1">
      <c r="C965" s="389"/>
      <c r="E965" s="278"/>
      <c r="G965" s="279"/>
    </row>
    <row r="966" ht="15.75" customHeight="1">
      <c r="C966" s="389"/>
      <c r="E966" s="278"/>
      <c r="G966" s="279"/>
    </row>
    <row r="967" ht="15.75" customHeight="1">
      <c r="C967" s="389"/>
      <c r="E967" s="278"/>
      <c r="G967" s="279"/>
    </row>
    <row r="968" ht="15.75" customHeight="1">
      <c r="C968" s="389"/>
      <c r="E968" s="278"/>
      <c r="G968" s="279"/>
    </row>
    <row r="969" ht="15.75" customHeight="1">
      <c r="C969" s="389"/>
      <c r="E969" s="278"/>
      <c r="G969" s="279"/>
    </row>
    <row r="970" ht="15.75" customHeight="1">
      <c r="C970" s="389"/>
      <c r="E970" s="278"/>
      <c r="G970" s="279"/>
    </row>
    <row r="971" ht="15.75" customHeight="1">
      <c r="C971" s="389"/>
      <c r="E971" s="278"/>
      <c r="G971" s="279"/>
    </row>
    <row r="972" ht="15.75" customHeight="1">
      <c r="C972" s="389"/>
      <c r="E972" s="278"/>
      <c r="G972" s="279"/>
    </row>
    <row r="973" ht="15.75" customHeight="1">
      <c r="C973" s="389"/>
      <c r="E973" s="278"/>
      <c r="G973" s="279"/>
    </row>
    <row r="974" ht="15.75" customHeight="1">
      <c r="C974" s="389"/>
      <c r="E974" s="278"/>
      <c r="G974" s="279"/>
    </row>
    <row r="975" ht="15.75" customHeight="1">
      <c r="C975" s="389"/>
      <c r="E975" s="278"/>
      <c r="G975" s="279"/>
    </row>
    <row r="976" ht="15.75" customHeight="1">
      <c r="C976" s="389"/>
      <c r="E976" s="278"/>
      <c r="G976" s="279"/>
    </row>
    <row r="977" ht="15.75" customHeight="1">
      <c r="C977" s="389"/>
      <c r="E977" s="278"/>
      <c r="G977" s="279"/>
    </row>
    <row r="978" ht="15.75" customHeight="1">
      <c r="C978" s="389"/>
      <c r="E978" s="278"/>
      <c r="G978" s="279"/>
    </row>
    <row r="979" ht="15.75" customHeight="1">
      <c r="C979" s="389"/>
      <c r="E979" s="278"/>
      <c r="G979" s="279"/>
    </row>
    <row r="980" ht="15.75" customHeight="1">
      <c r="C980" s="389"/>
      <c r="E980" s="278"/>
      <c r="G980" s="279"/>
    </row>
    <row r="981" ht="15.75" customHeight="1">
      <c r="C981" s="389"/>
      <c r="E981" s="278"/>
      <c r="G981" s="279"/>
    </row>
    <row r="982" ht="15.75" customHeight="1">
      <c r="C982" s="389"/>
      <c r="E982" s="278"/>
      <c r="G982" s="279"/>
    </row>
    <row r="983" ht="15.75" customHeight="1">
      <c r="C983" s="389"/>
      <c r="E983" s="278"/>
      <c r="G983" s="279"/>
    </row>
    <row r="984" ht="15.75" customHeight="1">
      <c r="C984" s="389"/>
      <c r="E984" s="278"/>
      <c r="G984" s="279"/>
    </row>
    <row r="985" ht="15.75" customHeight="1">
      <c r="C985" s="389"/>
      <c r="E985" s="278"/>
      <c r="G985" s="279"/>
    </row>
    <row r="986" ht="15.75" customHeight="1">
      <c r="C986" s="389"/>
      <c r="E986" s="278"/>
      <c r="G986" s="279"/>
    </row>
    <row r="987" ht="15.75" customHeight="1">
      <c r="C987" s="389"/>
      <c r="E987" s="278"/>
      <c r="G987" s="279"/>
    </row>
    <row r="988" ht="15.75" customHeight="1">
      <c r="C988" s="389"/>
      <c r="E988" s="278"/>
      <c r="G988" s="279"/>
    </row>
    <row r="989" ht="15.75" customHeight="1">
      <c r="C989" s="389"/>
      <c r="E989" s="278"/>
      <c r="G989" s="279"/>
    </row>
    <row r="990" ht="15.75" customHeight="1">
      <c r="C990" s="389"/>
      <c r="E990" s="278"/>
      <c r="G990" s="279"/>
    </row>
    <row r="991" ht="15.75" customHeight="1">
      <c r="C991" s="389"/>
      <c r="E991" s="278"/>
      <c r="G991" s="279"/>
    </row>
    <row r="992" ht="15.75" customHeight="1">
      <c r="C992" s="389"/>
      <c r="E992" s="278"/>
      <c r="G992" s="279"/>
    </row>
    <row r="993" ht="15.75" customHeight="1">
      <c r="C993" s="389"/>
      <c r="E993" s="278"/>
      <c r="G993" s="279"/>
    </row>
    <row r="994" ht="15.75" customHeight="1">
      <c r="C994" s="389"/>
      <c r="E994" s="278"/>
      <c r="G994" s="279"/>
    </row>
    <row r="995" ht="15.75" customHeight="1">
      <c r="C995" s="389"/>
      <c r="E995" s="278"/>
      <c r="G995" s="279"/>
    </row>
    <row r="996" ht="15.75" customHeight="1">
      <c r="C996" s="389"/>
      <c r="E996" s="278"/>
      <c r="G996" s="279"/>
    </row>
    <row r="997" ht="15.75" customHeight="1">
      <c r="C997" s="389"/>
      <c r="E997" s="278"/>
      <c r="G997" s="279"/>
    </row>
    <row r="998" ht="15.75" customHeight="1">
      <c r="C998" s="389"/>
      <c r="E998" s="278"/>
      <c r="G998" s="279"/>
    </row>
    <row r="999" ht="15.75" customHeight="1">
      <c r="C999" s="389"/>
      <c r="E999" s="278"/>
      <c r="G999" s="279"/>
    </row>
    <row r="1000" ht="15.75" customHeight="1">
      <c r="C1000" s="389"/>
      <c r="E1000" s="278"/>
      <c r="G1000" s="279"/>
    </row>
  </sheetData>
  <mergeCells count="15">
    <mergeCell ref="H1:I1"/>
    <mergeCell ref="J1:K1"/>
    <mergeCell ref="L1:M1"/>
    <mergeCell ref="N1:N2"/>
    <mergeCell ref="A3:A9"/>
    <mergeCell ref="A11:A17"/>
    <mergeCell ref="A19:A25"/>
    <mergeCell ref="A27:A33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14"/>
    <col customWidth="1" min="2" max="2" width="8.86"/>
    <col customWidth="1" min="3" max="3" width="21.29"/>
    <col customWidth="1" min="4" max="4" width="75.86"/>
    <col customWidth="1" min="5" max="5" width="10.71"/>
    <col customWidth="1" hidden="1" min="6" max="6" width="13.57"/>
    <col customWidth="1" hidden="1" min="7" max="7" width="8.29"/>
    <col customWidth="1" hidden="1" min="8" max="8" width="14.14"/>
    <col customWidth="1" hidden="1" min="9" max="9" width="17.0"/>
    <col customWidth="1" hidden="1" min="10" max="10" width="13.57"/>
    <col customWidth="1" hidden="1" min="11" max="11" width="4.43"/>
    <col customWidth="1" hidden="1" min="12" max="12" width="15.14"/>
    <col customWidth="1" hidden="1" min="13" max="13" width="5.0"/>
    <col customWidth="1" hidden="1" min="14" max="14" width="15.14"/>
    <col customWidth="1" hidden="1" min="15" max="15" width="11.57"/>
    <col customWidth="1" hidden="1" min="16" max="16" width="14.71"/>
    <col customWidth="1" hidden="1" min="17" max="18" width="14.14"/>
    <col customWidth="1" hidden="1" min="19" max="22" width="13.14"/>
    <col customWidth="1" hidden="1" min="23" max="23" width="14.43"/>
    <col customWidth="1" min="24" max="24" width="15.14"/>
    <col customWidth="1" min="25" max="27" width="13.29"/>
    <col customWidth="1" min="28" max="33" width="9.86"/>
  </cols>
  <sheetData>
    <row r="1" ht="15.0" customHeight="1">
      <c r="A1" s="390"/>
      <c r="B1" s="391" t="s">
        <v>1</v>
      </c>
      <c r="C1" s="392" t="s">
        <v>2</v>
      </c>
      <c r="D1" s="393" t="s">
        <v>479</v>
      </c>
      <c r="E1" s="394" t="s">
        <v>4</v>
      </c>
      <c r="F1" s="395" t="s">
        <v>5</v>
      </c>
      <c r="G1" s="396" t="s">
        <v>6</v>
      </c>
      <c r="H1" s="397" t="s">
        <v>480</v>
      </c>
      <c r="I1" s="398" t="s">
        <v>10</v>
      </c>
      <c r="J1" s="399"/>
      <c r="K1" s="400"/>
      <c r="L1" s="401">
        <f>SUM(L3:L75)</f>
        <v>535</v>
      </c>
      <c r="M1" s="400"/>
      <c r="N1" s="402">
        <v>161050.0</v>
      </c>
      <c r="O1" s="403">
        <f>N1/L1</f>
        <v>301.0280374</v>
      </c>
      <c r="P1" s="404">
        <v>17.0</v>
      </c>
      <c r="Q1" s="403">
        <f>O1*P1</f>
        <v>5117.476636</v>
      </c>
      <c r="R1" s="405">
        <f>N1+Q1</f>
        <v>166167.4766</v>
      </c>
      <c r="S1" s="405">
        <f>R1/L1</f>
        <v>310.5934143</v>
      </c>
      <c r="T1" s="406" t="s">
        <v>13</v>
      </c>
      <c r="U1" s="407" t="s">
        <v>481</v>
      </c>
      <c r="V1" s="408" t="s">
        <v>13</v>
      </c>
      <c r="W1" s="409" t="s">
        <v>14</v>
      </c>
      <c r="X1" s="410" t="s">
        <v>482</v>
      </c>
      <c r="Y1" s="411" t="s">
        <v>30</v>
      </c>
      <c r="Z1" s="411" t="s">
        <v>483</v>
      </c>
      <c r="AA1" s="411" t="s">
        <v>484</v>
      </c>
      <c r="AB1" s="412"/>
      <c r="AC1" s="412"/>
      <c r="AD1" s="413"/>
      <c r="AE1" s="413"/>
      <c r="AF1" s="413"/>
      <c r="AG1" s="177"/>
    </row>
    <row r="2" ht="24.75" customHeight="1">
      <c r="A2" s="178"/>
      <c r="B2" s="178"/>
      <c r="C2" s="179"/>
      <c r="D2" s="179"/>
      <c r="E2" s="179"/>
      <c r="F2" s="179"/>
      <c r="G2" s="414"/>
      <c r="H2" s="32"/>
      <c r="I2" s="186"/>
      <c r="J2" s="399"/>
      <c r="K2" s="400"/>
      <c r="L2" s="404" t="s">
        <v>31</v>
      </c>
      <c r="M2" s="400"/>
      <c r="N2" s="404" t="s">
        <v>32</v>
      </c>
      <c r="O2" s="404" t="s">
        <v>33</v>
      </c>
      <c r="P2" s="415" t="s">
        <v>34</v>
      </c>
      <c r="Q2" s="404" t="s">
        <v>35</v>
      </c>
      <c r="R2" s="416" t="s">
        <v>36</v>
      </c>
      <c r="S2" s="404" t="s">
        <v>37</v>
      </c>
      <c r="U2" s="317"/>
      <c r="V2" s="317"/>
      <c r="W2" s="317"/>
      <c r="X2" s="317"/>
      <c r="Y2" s="317"/>
      <c r="Z2" s="317"/>
      <c r="AA2" s="317"/>
      <c r="AG2" s="177"/>
    </row>
    <row r="3" ht="15.75" customHeight="1">
      <c r="A3" s="417" t="s">
        <v>38</v>
      </c>
      <c r="B3" s="418" t="s">
        <v>39</v>
      </c>
      <c r="C3" s="419" t="s">
        <v>40</v>
      </c>
      <c r="D3" s="420" t="s">
        <v>41</v>
      </c>
      <c r="E3" s="421">
        <v>144.0</v>
      </c>
      <c r="F3" s="422">
        <f t="shared" ref="F3:F353" si="1">E3*62</f>
        <v>8928</v>
      </c>
      <c r="G3" s="423"/>
      <c r="H3" s="424">
        <f t="shared" ref="H3:H314" si="2">F3*120%+F3</f>
        <v>19641.6</v>
      </c>
      <c r="I3" s="425" t="s">
        <v>42</v>
      </c>
      <c r="J3" s="426">
        <f t="shared" ref="J3:J94" si="3">E3*57</f>
        <v>8208</v>
      </c>
      <c r="K3" s="200"/>
      <c r="L3" s="427"/>
      <c r="M3" s="200"/>
      <c r="N3" s="200"/>
      <c r="O3" s="200"/>
      <c r="P3" s="200"/>
      <c r="Q3" s="200"/>
      <c r="R3" s="200"/>
      <c r="S3" s="200"/>
      <c r="T3" s="428">
        <f t="shared" ref="T3:T55" si="4">F3+S3</f>
        <v>8928</v>
      </c>
      <c r="U3" s="429">
        <v>500.0</v>
      </c>
      <c r="V3" s="430">
        <f t="shared" ref="V3:V172" si="5">F3+U3</f>
        <v>9428</v>
      </c>
      <c r="W3" s="431">
        <f t="shared" ref="W3:W367" si="6">V3*120%+V3</f>
        <v>20741.6</v>
      </c>
      <c r="X3" s="432">
        <f t="shared" ref="X3:X55" si="7">E3*62</f>
        <v>8928</v>
      </c>
      <c r="Y3" s="433">
        <v>18500.0</v>
      </c>
      <c r="Z3" s="434">
        <v>16161.9</v>
      </c>
      <c r="AA3" s="434">
        <v>12359.1</v>
      </c>
      <c r="AB3" s="426"/>
      <c r="AC3" s="426"/>
      <c r="AD3" s="200"/>
      <c r="AE3" s="200"/>
      <c r="AF3" s="200"/>
      <c r="AG3" s="200"/>
    </row>
    <row r="4" ht="15.75" customHeight="1">
      <c r="A4" s="417" t="s">
        <v>38</v>
      </c>
      <c r="B4" s="418" t="s">
        <v>39</v>
      </c>
      <c r="C4" s="435" t="s">
        <v>43</v>
      </c>
      <c r="D4" s="420" t="s">
        <v>44</v>
      </c>
      <c r="E4" s="421">
        <v>228.0</v>
      </c>
      <c r="F4" s="422">
        <f t="shared" si="1"/>
        <v>14136</v>
      </c>
      <c r="G4" s="423"/>
      <c r="H4" s="424">
        <f t="shared" si="2"/>
        <v>31099.2</v>
      </c>
      <c r="I4" s="425" t="s">
        <v>42</v>
      </c>
      <c r="J4" s="426">
        <f t="shared" si="3"/>
        <v>12996</v>
      </c>
      <c r="K4" s="200"/>
      <c r="L4" s="427"/>
      <c r="M4" s="200"/>
      <c r="N4" s="200"/>
      <c r="O4" s="200"/>
      <c r="P4" s="200"/>
      <c r="Q4" s="200"/>
      <c r="R4" s="200"/>
      <c r="S4" s="200"/>
      <c r="T4" s="428">
        <f t="shared" si="4"/>
        <v>14136</v>
      </c>
      <c r="U4" s="429">
        <v>500.0</v>
      </c>
      <c r="V4" s="430">
        <f t="shared" si="5"/>
        <v>14636</v>
      </c>
      <c r="W4" s="431">
        <f t="shared" si="6"/>
        <v>32199.2</v>
      </c>
      <c r="X4" s="432">
        <f t="shared" si="7"/>
        <v>14136</v>
      </c>
      <c r="Y4" s="436">
        <v>20000.0</v>
      </c>
      <c r="Z4" s="437">
        <v>18072.0</v>
      </c>
      <c r="AA4" s="437">
        <v>16566.0</v>
      </c>
      <c r="AB4" s="426"/>
      <c r="AC4" s="426"/>
      <c r="AD4" s="200"/>
      <c r="AE4" s="200"/>
      <c r="AF4" s="200"/>
      <c r="AG4" s="200"/>
    </row>
    <row r="5" ht="15.75" customHeight="1">
      <c r="A5" s="417" t="s">
        <v>38</v>
      </c>
      <c r="B5" s="418" t="s">
        <v>39</v>
      </c>
      <c r="C5" s="435" t="s">
        <v>45</v>
      </c>
      <c r="D5" s="420" t="s">
        <v>46</v>
      </c>
      <c r="E5" s="421">
        <v>216.0</v>
      </c>
      <c r="F5" s="422">
        <f t="shared" si="1"/>
        <v>13392</v>
      </c>
      <c r="G5" s="423"/>
      <c r="H5" s="424">
        <f t="shared" si="2"/>
        <v>29462.4</v>
      </c>
      <c r="I5" s="425" t="s">
        <v>42</v>
      </c>
      <c r="J5" s="426">
        <f t="shared" si="3"/>
        <v>12312</v>
      </c>
      <c r="K5" s="200"/>
      <c r="L5" s="427"/>
      <c r="M5" s="200"/>
      <c r="N5" s="200"/>
      <c r="O5" s="200"/>
      <c r="P5" s="200"/>
      <c r="Q5" s="200"/>
      <c r="R5" s="200"/>
      <c r="S5" s="200"/>
      <c r="T5" s="428">
        <f t="shared" si="4"/>
        <v>13392</v>
      </c>
      <c r="U5" s="429">
        <v>500.0</v>
      </c>
      <c r="V5" s="430">
        <f t="shared" si="5"/>
        <v>13892</v>
      </c>
      <c r="W5" s="431">
        <f t="shared" si="6"/>
        <v>30562.4</v>
      </c>
      <c r="X5" s="432">
        <f t="shared" si="7"/>
        <v>13392</v>
      </c>
      <c r="Y5" s="436">
        <v>22500.0</v>
      </c>
      <c r="Z5" s="437">
        <v>19278.0</v>
      </c>
      <c r="AA5" s="437">
        <v>17136.0</v>
      </c>
      <c r="AB5" s="426"/>
      <c r="AC5" s="426"/>
      <c r="AD5" s="200"/>
      <c r="AE5" s="200"/>
      <c r="AF5" s="200"/>
      <c r="AG5" s="200"/>
    </row>
    <row r="6" ht="15.75" customHeight="1">
      <c r="A6" s="417" t="s">
        <v>38</v>
      </c>
      <c r="B6" s="418" t="s">
        <v>39</v>
      </c>
      <c r="C6" s="435" t="s">
        <v>47</v>
      </c>
      <c r="D6" s="420" t="s">
        <v>48</v>
      </c>
      <c r="E6" s="421">
        <v>297.0</v>
      </c>
      <c r="F6" s="422">
        <f t="shared" si="1"/>
        <v>18414</v>
      </c>
      <c r="G6" s="423"/>
      <c r="H6" s="424">
        <f t="shared" si="2"/>
        <v>40510.8</v>
      </c>
      <c r="I6" s="425" t="s">
        <v>42</v>
      </c>
      <c r="J6" s="426">
        <f t="shared" si="3"/>
        <v>16929</v>
      </c>
      <c r="K6" s="200"/>
      <c r="L6" s="427"/>
      <c r="M6" s="200"/>
      <c r="N6" s="200"/>
      <c r="O6" s="200"/>
      <c r="P6" s="200"/>
      <c r="Q6" s="200"/>
      <c r="R6" s="200"/>
      <c r="S6" s="200"/>
      <c r="T6" s="428">
        <f t="shared" si="4"/>
        <v>18414</v>
      </c>
      <c r="U6" s="429">
        <v>500.0</v>
      </c>
      <c r="V6" s="430">
        <f t="shared" si="5"/>
        <v>18914</v>
      </c>
      <c r="W6" s="431">
        <f t="shared" si="6"/>
        <v>41610.8</v>
      </c>
      <c r="X6" s="432">
        <f t="shared" si="7"/>
        <v>18414</v>
      </c>
      <c r="Y6" s="436">
        <v>25950.0</v>
      </c>
      <c r="Z6" s="437">
        <v>22549.2</v>
      </c>
      <c r="AA6" s="437">
        <v>21568.8</v>
      </c>
      <c r="AB6" s="426"/>
      <c r="AC6" s="426"/>
      <c r="AD6" s="200"/>
      <c r="AE6" s="200"/>
      <c r="AF6" s="200"/>
      <c r="AG6" s="200"/>
    </row>
    <row r="7" ht="15.75" customHeight="1">
      <c r="A7" s="417" t="s">
        <v>38</v>
      </c>
      <c r="B7" s="418" t="s">
        <v>49</v>
      </c>
      <c r="C7" s="435" t="s">
        <v>50</v>
      </c>
      <c r="D7" s="420" t="s">
        <v>51</v>
      </c>
      <c r="E7" s="421">
        <v>81.0</v>
      </c>
      <c r="F7" s="422">
        <f t="shared" si="1"/>
        <v>5022</v>
      </c>
      <c r="G7" s="423"/>
      <c r="H7" s="424">
        <f t="shared" si="2"/>
        <v>11048.4</v>
      </c>
      <c r="I7" s="425" t="s">
        <v>42</v>
      </c>
      <c r="J7" s="426">
        <f t="shared" si="3"/>
        <v>4617</v>
      </c>
      <c r="K7" s="200"/>
      <c r="L7" s="427"/>
      <c r="M7" s="200"/>
      <c r="N7" s="200"/>
      <c r="O7" s="200"/>
      <c r="P7" s="200"/>
      <c r="Q7" s="200"/>
      <c r="R7" s="200"/>
      <c r="S7" s="200"/>
      <c r="T7" s="428">
        <f t="shared" si="4"/>
        <v>5022</v>
      </c>
      <c r="U7" s="429">
        <v>500.0</v>
      </c>
      <c r="V7" s="430">
        <f t="shared" si="5"/>
        <v>5522</v>
      </c>
      <c r="W7" s="431">
        <f t="shared" si="6"/>
        <v>12148.4</v>
      </c>
      <c r="X7" s="432">
        <f t="shared" si="7"/>
        <v>5022</v>
      </c>
      <c r="Y7" s="436">
        <v>11500.0</v>
      </c>
      <c r="Z7" s="437">
        <v>9083.1</v>
      </c>
      <c r="AA7" s="437">
        <v>6945.9</v>
      </c>
      <c r="AB7" s="426"/>
      <c r="AC7" s="426"/>
      <c r="AD7" s="200"/>
      <c r="AE7" s="200"/>
      <c r="AF7" s="200"/>
      <c r="AG7" s="200"/>
    </row>
    <row r="8" ht="15.75" customHeight="1">
      <c r="A8" s="417" t="s">
        <v>38</v>
      </c>
      <c r="B8" s="418" t="s">
        <v>49</v>
      </c>
      <c r="C8" s="435" t="s">
        <v>52</v>
      </c>
      <c r="D8" s="420" t="s">
        <v>53</v>
      </c>
      <c r="E8" s="421">
        <v>165.0</v>
      </c>
      <c r="F8" s="422">
        <f t="shared" si="1"/>
        <v>10230</v>
      </c>
      <c r="G8" s="423"/>
      <c r="H8" s="424">
        <f t="shared" si="2"/>
        <v>22506</v>
      </c>
      <c r="I8" s="425" t="s">
        <v>42</v>
      </c>
      <c r="J8" s="426">
        <f t="shared" si="3"/>
        <v>9405</v>
      </c>
      <c r="K8" s="200"/>
      <c r="L8" s="427"/>
      <c r="M8" s="200"/>
      <c r="N8" s="200"/>
      <c r="O8" s="200"/>
      <c r="P8" s="200"/>
      <c r="Q8" s="200"/>
      <c r="R8" s="200"/>
      <c r="S8" s="200"/>
      <c r="T8" s="428">
        <f t="shared" si="4"/>
        <v>10230</v>
      </c>
      <c r="U8" s="429">
        <v>500.0</v>
      </c>
      <c r="V8" s="430">
        <f t="shared" si="5"/>
        <v>10730</v>
      </c>
      <c r="W8" s="431">
        <f t="shared" si="6"/>
        <v>23606</v>
      </c>
      <c r="X8" s="432">
        <f t="shared" si="7"/>
        <v>10230</v>
      </c>
      <c r="Y8" s="436">
        <v>16500.0</v>
      </c>
      <c r="Z8" s="437">
        <v>14161.68</v>
      </c>
      <c r="AA8" s="437">
        <v>13072.32</v>
      </c>
      <c r="AB8" s="426"/>
      <c r="AC8" s="426"/>
      <c r="AD8" s="200"/>
      <c r="AE8" s="200"/>
      <c r="AF8" s="200"/>
      <c r="AG8" s="200"/>
    </row>
    <row r="9" ht="15.75" customHeight="1">
      <c r="A9" s="417" t="s">
        <v>38</v>
      </c>
      <c r="B9" s="418" t="s">
        <v>49</v>
      </c>
      <c r="C9" s="438" t="s">
        <v>54</v>
      </c>
      <c r="D9" s="420" t="s">
        <v>55</v>
      </c>
      <c r="E9" s="421">
        <v>114.0</v>
      </c>
      <c r="F9" s="422">
        <f t="shared" si="1"/>
        <v>7068</v>
      </c>
      <c r="G9" s="423"/>
      <c r="H9" s="424">
        <f t="shared" si="2"/>
        <v>15549.6</v>
      </c>
      <c r="I9" s="425" t="s">
        <v>42</v>
      </c>
      <c r="J9" s="426">
        <f t="shared" si="3"/>
        <v>6498</v>
      </c>
      <c r="K9" s="200"/>
      <c r="L9" s="439">
        <v>3.0</v>
      </c>
      <c r="M9" s="200"/>
      <c r="N9" s="200"/>
      <c r="O9" s="200"/>
      <c r="P9" s="200"/>
      <c r="Q9" s="200"/>
      <c r="R9" s="200"/>
      <c r="S9" s="440">
        <v>310.59</v>
      </c>
      <c r="T9" s="428">
        <f t="shared" si="4"/>
        <v>7378.59</v>
      </c>
      <c r="U9" s="429">
        <v>500.0</v>
      </c>
      <c r="V9" s="430">
        <f t="shared" si="5"/>
        <v>7568</v>
      </c>
      <c r="W9" s="431">
        <f t="shared" si="6"/>
        <v>16649.6</v>
      </c>
      <c r="X9" s="432">
        <f t="shared" si="7"/>
        <v>7068</v>
      </c>
      <c r="Y9" s="436">
        <v>10950.0</v>
      </c>
      <c r="Z9" s="437">
        <v>9784.32</v>
      </c>
      <c r="AA9" s="437">
        <v>8655.36</v>
      </c>
      <c r="AB9" s="426"/>
      <c r="AC9" s="426"/>
      <c r="AD9" s="200"/>
      <c r="AE9" s="200"/>
      <c r="AF9" s="200"/>
      <c r="AG9" s="200"/>
    </row>
    <row r="10" ht="15.75" customHeight="1">
      <c r="A10" s="417" t="s">
        <v>38</v>
      </c>
      <c r="B10" s="418" t="s">
        <v>49</v>
      </c>
      <c r="C10" s="438" t="s">
        <v>56</v>
      </c>
      <c r="D10" s="420" t="s">
        <v>57</v>
      </c>
      <c r="E10" s="421">
        <v>165.6</v>
      </c>
      <c r="F10" s="422">
        <f t="shared" si="1"/>
        <v>10267.2</v>
      </c>
      <c r="G10" s="423"/>
      <c r="H10" s="424">
        <f t="shared" si="2"/>
        <v>22587.84</v>
      </c>
      <c r="I10" s="425" t="s">
        <v>42</v>
      </c>
      <c r="J10" s="426">
        <f t="shared" si="3"/>
        <v>9439.2</v>
      </c>
      <c r="K10" s="200"/>
      <c r="L10" s="439">
        <v>19.0</v>
      </c>
      <c r="M10" s="200"/>
      <c r="N10" s="200"/>
      <c r="O10" s="200"/>
      <c r="P10" s="200"/>
      <c r="Q10" s="200"/>
      <c r="R10" s="200"/>
      <c r="S10" s="440">
        <v>310.59</v>
      </c>
      <c r="T10" s="428">
        <f t="shared" si="4"/>
        <v>10577.79</v>
      </c>
      <c r="U10" s="429">
        <v>500.0</v>
      </c>
      <c r="V10" s="430">
        <f t="shared" si="5"/>
        <v>10767.2</v>
      </c>
      <c r="W10" s="431">
        <f t="shared" si="6"/>
        <v>23687.84</v>
      </c>
      <c r="X10" s="432">
        <f t="shared" si="7"/>
        <v>10267.2</v>
      </c>
      <c r="Y10" s="436">
        <v>17500.0</v>
      </c>
      <c r="Z10" s="437">
        <v>15251.04</v>
      </c>
      <c r="AA10" s="437">
        <v>13072.32</v>
      </c>
      <c r="AB10" s="426"/>
      <c r="AC10" s="426"/>
      <c r="AD10" s="200"/>
      <c r="AE10" s="200"/>
      <c r="AF10" s="200"/>
      <c r="AG10" s="200"/>
    </row>
    <row r="11" ht="33.0" customHeight="1">
      <c r="A11" s="417" t="s">
        <v>38</v>
      </c>
      <c r="B11" s="441" t="s">
        <v>49</v>
      </c>
      <c r="C11" s="442" t="s">
        <v>58</v>
      </c>
      <c r="D11" s="443" t="s">
        <v>59</v>
      </c>
      <c r="E11" s="421">
        <v>195.0</v>
      </c>
      <c r="F11" s="444">
        <f t="shared" si="1"/>
        <v>12090</v>
      </c>
      <c r="G11" s="423"/>
      <c r="H11" s="424">
        <f t="shared" si="2"/>
        <v>26598</v>
      </c>
      <c r="I11" s="425" t="s">
        <v>42</v>
      </c>
      <c r="J11" s="445">
        <f t="shared" si="3"/>
        <v>11115</v>
      </c>
      <c r="K11" s="446"/>
      <c r="L11" s="439">
        <v>25.0</v>
      </c>
      <c r="M11" s="446"/>
      <c r="N11" s="446"/>
      <c r="O11" s="446"/>
      <c r="P11" s="446"/>
      <c r="Q11" s="446"/>
      <c r="R11" s="446"/>
      <c r="S11" s="447">
        <v>310.59</v>
      </c>
      <c r="T11" s="448">
        <f t="shared" si="4"/>
        <v>12400.59</v>
      </c>
      <c r="U11" s="449">
        <v>500.0</v>
      </c>
      <c r="V11" s="450">
        <f t="shared" si="5"/>
        <v>12590</v>
      </c>
      <c r="W11" s="451">
        <f t="shared" si="6"/>
        <v>27698</v>
      </c>
      <c r="X11" s="432">
        <f t="shared" si="7"/>
        <v>12090</v>
      </c>
      <c r="Y11" s="436">
        <v>20950.0</v>
      </c>
      <c r="Z11" s="437">
        <v>18023.88</v>
      </c>
      <c r="AA11" s="437">
        <v>15449.04</v>
      </c>
      <c r="AB11" s="445"/>
      <c r="AC11" s="445"/>
      <c r="AD11" s="446"/>
      <c r="AE11" s="446"/>
      <c r="AF11" s="446"/>
      <c r="AG11" s="446"/>
    </row>
    <row r="12" ht="15.75" customHeight="1">
      <c r="A12" s="417" t="s">
        <v>38</v>
      </c>
      <c r="B12" s="418" t="s">
        <v>49</v>
      </c>
      <c r="C12" s="438" t="s">
        <v>60</v>
      </c>
      <c r="D12" s="420" t="s">
        <v>61</v>
      </c>
      <c r="E12" s="421">
        <v>60.0</v>
      </c>
      <c r="F12" s="422">
        <f t="shared" si="1"/>
        <v>3720</v>
      </c>
      <c r="G12" s="423"/>
      <c r="H12" s="424">
        <f t="shared" si="2"/>
        <v>8184</v>
      </c>
      <c r="I12" s="425" t="s">
        <v>42</v>
      </c>
      <c r="J12" s="426">
        <f t="shared" si="3"/>
        <v>3420</v>
      </c>
      <c r="K12" s="200"/>
      <c r="L12" s="427"/>
      <c r="M12" s="200"/>
      <c r="N12" s="200"/>
      <c r="O12" s="200"/>
      <c r="P12" s="200"/>
      <c r="Q12" s="200"/>
      <c r="R12" s="200"/>
      <c r="S12" s="200"/>
      <c r="T12" s="428">
        <f t="shared" si="4"/>
        <v>3720</v>
      </c>
      <c r="U12" s="429">
        <v>500.0</v>
      </c>
      <c r="V12" s="430">
        <f t="shared" si="5"/>
        <v>4220</v>
      </c>
      <c r="W12" s="431">
        <f t="shared" si="6"/>
        <v>9284</v>
      </c>
      <c r="X12" s="432">
        <f t="shared" si="7"/>
        <v>3720</v>
      </c>
      <c r="Y12" s="436">
        <v>8950.0</v>
      </c>
      <c r="Z12" s="437">
        <v>6718.74</v>
      </c>
      <c r="AA12" s="437">
        <v>5137.86</v>
      </c>
      <c r="AB12" s="426"/>
      <c r="AC12" s="426"/>
      <c r="AD12" s="200"/>
      <c r="AE12" s="200"/>
      <c r="AF12" s="200"/>
      <c r="AG12" s="200"/>
    </row>
    <row r="13" ht="15.75" customHeight="1">
      <c r="A13" s="417" t="s">
        <v>38</v>
      </c>
      <c r="B13" s="418" t="s">
        <v>49</v>
      </c>
      <c r="C13" s="438" t="s">
        <v>485</v>
      </c>
      <c r="D13" s="420" t="s">
        <v>63</v>
      </c>
      <c r="E13" s="421">
        <v>84.0</v>
      </c>
      <c r="F13" s="422">
        <f t="shared" si="1"/>
        <v>5208</v>
      </c>
      <c r="G13" s="423"/>
      <c r="H13" s="424">
        <f t="shared" si="2"/>
        <v>11457.6</v>
      </c>
      <c r="I13" s="425" t="s">
        <v>42</v>
      </c>
      <c r="J13" s="426">
        <f t="shared" si="3"/>
        <v>4788</v>
      </c>
      <c r="K13" s="200"/>
      <c r="L13" s="439">
        <v>6.0</v>
      </c>
      <c r="M13" s="200"/>
      <c r="N13" s="200"/>
      <c r="O13" s="200"/>
      <c r="P13" s="200"/>
      <c r="Q13" s="200"/>
      <c r="R13" s="200"/>
      <c r="S13" s="440">
        <v>310.59</v>
      </c>
      <c r="T13" s="428">
        <f t="shared" si="4"/>
        <v>5518.59</v>
      </c>
      <c r="U13" s="429">
        <v>500.0</v>
      </c>
      <c r="V13" s="430">
        <f t="shared" si="5"/>
        <v>5708</v>
      </c>
      <c r="W13" s="431">
        <f t="shared" si="6"/>
        <v>12557.6</v>
      </c>
      <c r="X13" s="432">
        <f t="shared" si="7"/>
        <v>5208</v>
      </c>
      <c r="Y13" s="436">
        <v>9500.0</v>
      </c>
      <c r="Z13" s="437">
        <v>7764.12</v>
      </c>
      <c r="AA13" s="437">
        <v>6654.96</v>
      </c>
      <c r="AB13" s="426"/>
      <c r="AC13" s="426"/>
      <c r="AD13" s="200"/>
      <c r="AE13" s="200"/>
      <c r="AF13" s="200"/>
      <c r="AG13" s="200"/>
    </row>
    <row r="14" ht="15.75" customHeight="1">
      <c r="A14" s="417" t="s">
        <v>38</v>
      </c>
      <c r="B14" s="418" t="s">
        <v>49</v>
      </c>
      <c r="C14" s="438" t="s">
        <v>64</v>
      </c>
      <c r="D14" s="420" t="s">
        <v>65</v>
      </c>
      <c r="E14" s="421">
        <v>15.0</v>
      </c>
      <c r="F14" s="422">
        <f t="shared" si="1"/>
        <v>930</v>
      </c>
      <c r="G14" s="423"/>
      <c r="H14" s="424">
        <f t="shared" si="2"/>
        <v>2046</v>
      </c>
      <c r="I14" s="425" t="s">
        <v>42</v>
      </c>
      <c r="J14" s="426">
        <f t="shared" si="3"/>
        <v>855</v>
      </c>
      <c r="K14" s="200"/>
      <c r="L14" s="439">
        <v>10.0</v>
      </c>
      <c r="M14" s="200"/>
      <c r="N14" s="200"/>
      <c r="O14" s="200"/>
      <c r="P14" s="200"/>
      <c r="Q14" s="200"/>
      <c r="R14" s="200"/>
      <c r="S14" s="440">
        <v>310.59</v>
      </c>
      <c r="T14" s="428">
        <f t="shared" si="4"/>
        <v>1240.59</v>
      </c>
      <c r="U14" s="429">
        <v>500.0</v>
      </c>
      <c r="V14" s="430">
        <f t="shared" si="5"/>
        <v>1430</v>
      </c>
      <c r="W14" s="431">
        <f t="shared" si="6"/>
        <v>3146</v>
      </c>
      <c r="X14" s="432">
        <f t="shared" si="7"/>
        <v>930</v>
      </c>
      <c r="Y14" s="436">
        <v>1950.0</v>
      </c>
      <c r="Z14" s="437">
        <v>1584.96</v>
      </c>
      <c r="AA14" s="437">
        <v>1089.66</v>
      </c>
      <c r="AB14" s="426"/>
      <c r="AC14" s="426"/>
      <c r="AD14" s="200"/>
      <c r="AE14" s="200"/>
      <c r="AF14" s="200"/>
      <c r="AG14" s="200"/>
    </row>
    <row r="15" ht="15.75" customHeight="1">
      <c r="A15" s="417" t="s">
        <v>38</v>
      </c>
      <c r="B15" s="418" t="s">
        <v>49</v>
      </c>
      <c r="C15" s="438" t="s">
        <v>66</v>
      </c>
      <c r="D15" s="420" t="s">
        <v>67</v>
      </c>
      <c r="E15" s="421">
        <v>18.0</v>
      </c>
      <c r="F15" s="422">
        <f t="shared" si="1"/>
        <v>1116</v>
      </c>
      <c r="G15" s="423"/>
      <c r="H15" s="424">
        <f t="shared" si="2"/>
        <v>2455.2</v>
      </c>
      <c r="I15" s="425" t="s">
        <v>42</v>
      </c>
      <c r="J15" s="426">
        <f t="shared" si="3"/>
        <v>1026</v>
      </c>
      <c r="K15" s="200"/>
      <c r="L15" s="439">
        <v>100.0</v>
      </c>
      <c r="M15" s="200"/>
      <c r="N15" s="200"/>
      <c r="O15" s="200"/>
      <c r="P15" s="200"/>
      <c r="Q15" s="200"/>
      <c r="R15" s="200"/>
      <c r="S15" s="440">
        <v>310.59</v>
      </c>
      <c r="T15" s="428">
        <f t="shared" si="4"/>
        <v>1426.59</v>
      </c>
      <c r="U15" s="429">
        <v>500.0</v>
      </c>
      <c r="V15" s="430">
        <f t="shared" si="5"/>
        <v>1616</v>
      </c>
      <c r="W15" s="431">
        <f t="shared" si="6"/>
        <v>3555.2</v>
      </c>
      <c r="X15" s="432">
        <f t="shared" si="7"/>
        <v>1116</v>
      </c>
      <c r="Y15" s="436">
        <v>2500.0</v>
      </c>
      <c r="Z15" s="437">
        <v>1782.9</v>
      </c>
      <c r="AA15" s="437">
        <v>1545.18</v>
      </c>
      <c r="AB15" s="426"/>
      <c r="AC15" s="426"/>
      <c r="AD15" s="200"/>
      <c r="AE15" s="200"/>
      <c r="AF15" s="200"/>
      <c r="AG15" s="200"/>
    </row>
    <row r="16" ht="15.75" customHeight="1">
      <c r="A16" s="417" t="s">
        <v>38</v>
      </c>
      <c r="B16" s="418" t="s">
        <v>49</v>
      </c>
      <c r="C16" s="438" t="s">
        <v>68</v>
      </c>
      <c r="D16" s="420" t="s">
        <v>69</v>
      </c>
      <c r="E16" s="421">
        <v>27.0</v>
      </c>
      <c r="F16" s="422">
        <f t="shared" si="1"/>
        <v>1674</v>
      </c>
      <c r="G16" s="423"/>
      <c r="H16" s="424">
        <f t="shared" si="2"/>
        <v>3682.8</v>
      </c>
      <c r="I16" s="425" t="s">
        <v>42</v>
      </c>
      <c r="J16" s="426">
        <f t="shared" si="3"/>
        <v>1539</v>
      </c>
      <c r="K16" s="200"/>
      <c r="L16" s="439">
        <v>31.0</v>
      </c>
      <c r="M16" s="200"/>
      <c r="N16" s="200"/>
      <c r="O16" s="200"/>
      <c r="P16" s="200"/>
      <c r="Q16" s="200"/>
      <c r="R16" s="200"/>
      <c r="S16" s="440">
        <v>310.59</v>
      </c>
      <c r="T16" s="428">
        <f t="shared" si="4"/>
        <v>1984.59</v>
      </c>
      <c r="U16" s="429">
        <v>500.0</v>
      </c>
      <c r="V16" s="430">
        <f t="shared" si="5"/>
        <v>2174</v>
      </c>
      <c r="W16" s="431">
        <f t="shared" si="6"/>
        <v>4782.8</v>
      </c>
      <c r="X16" s="432">
        <f t="shared" si="7"/>
        <v>1674</v>
      </c>
      <c r="Y16" s="436">
        <v>3500.0</v>
      </c>
      <c r="Z16" s="437">
        <v>3032.42</v>
      </c>
      <c r="AA16" s="437">
        <v>2317.38</v>
      </c>
      <c r="AB16" s="426"/>
      <c r="AC16" s="426"/>
      <c r="AD16" s="200"/>
      <c r="AE16" s="200"/>
      <c r="AF16" s="200"/>
      <c r="AG16" s="200"/>
    </row>
    <row r="17" ht="15.75" customHeight="1">
      <c r="A17" s="417" t="s">
        <v>38</v>
      </c>
      <c r="B17" s="418" t="s">
        <v>49</v>
      </c>
      <c r="C17" s="435" t="s">
        <v>70</v>
      </c>
      <c r="D17" s="420" t="s">
        <v>71</v>
      </c>
      <c r="E17" s="421">
        <v>30.0</v>
      </c>
      <c r="F17" s="422">
        <f t="shared" si="1"/>
        <v>1860</v>
      </c>
      <c r="G17" s="423"/>
      <c r="H17" s="424">
        <f t="shared" si="2"/>
        <v>4092</v>
      </c>
      <c r="I17" s="425" t="s">
        <v>42</v>
      </c>
      <c r="J17" s="426">
        <f t="shared" si="3"/>
        <v>1710</v>
      </c>
      <c r="K17" s="200"/>
      <c r="L17" s="427"/>
      <c r="M17" s="200"/>
      <c r="N17" s="200"/>
      <c r="O17" s="200"/>
      <c r="P17" s="200"/>
      <c r="Q17" s="200"/>
      <c r="R17" s="200"/>
      <c r="S17" s="200"/>
      <c r="T17" s="428">
        <f t="shared" si="4"/>
        <v>1860</v>
      </c>
      <c r="U17" s="429">
        <v>500.0</v>
      </c>
      <c r="V17" s="430">
        <f t="shared" si="5"/>
        <v>2360</v>
      </c>
      <c r="W17" s="431">
        <f t="shared" si="6"/>
        <v>5192</v>
      </c>
      <c r="X17" s="432">
        <f t="shared" si="7"/>
        <v>1860</v>
      </c>
      <c r="Y17" s="436">
        <v>4500.0</v>
      </c>
      <c r="Z17" s="437">
        <v>3367.02</v>
      </c>
      <c r="AA17" s="437">
        <v>2574.78</v>
      </c>
      <c r="AB17" s="426"/>
      <c r="AC17" s="426"/>
      <c r="AD17" s="200"/>
      <c r="AE17" s="200"/>
      <c r="AF17" s="200"/>
      <c r="AG17" s="200"/>
    </row>
    <row r="18" ht="15.75" customHeight="1">
      <c r="A18" s="417" t="s">
        <v>38</v>
      </c>
      <c r="B18" s="418" t="s">
        <v>49</v>
      </c>
      <c r="C18" s="438" t="s">
        <v>72</v>
      </c>
      <c r="D18" s="420" t="s">
        <v>73</v>
      </c>
      <c r="E18" s="421">
        <v>42.0</v>
      </c>
      <c r="F18" s="422">
        <f t="shared" si="1"/>
        <v>2604</v>
      </c>
      <c r="G18" s="423"/>
      <c r="H18" s="424">
        <f t="shared" si="2"/>
        <v>5728.8</v>
      </c>
      <c r="I18" s="425" t="s">
        <v>42</v>
      </c>
      <c r="J18" s="426">
        <f t="shared" si="3"/>
        <v>2394</v>
      </c>
      <c r="K18" s="200"/>
      <c r="L18" s="439">
        <v>20.0</v>
      </c>
      <c r="M18" s="200"/>
      <c r="N18" s="200"/>
      <c r="O18" s="200"/>
      <c r="P18" s="200"/>
      <c r="Q18" s="200"/>
      <c r="R18" s="200"/>
      <c r="S18" s="440">
        <v>310.59</v>
      </c>
      <c r="T18" s="428">
        <f t="shared" si="4"/>
        <v>2914.59</v>
      </c>
      <c r="U18" s="429">
        <v>500.0</v>
      </c>
      <c r="V18" s="430">
        <f t="shared" si="5"/>
        <v>3104</v>
      </c>
      <c r="W18" s="431">
        <f t="shared" si="6"/>
        <v>6828.8</v>
      </c>
      <c r="X18" s="432">
        <f t="shared" si="7"/>
        <v>2604</v>
      </c>
      <c r="Y18" s="436">
        <v>5500.0</v>
      </c>
      <c r="Z18" s="437">
        <v>4159.8</v>
      </c>
      <c r="AA18" s="437">
        <v>3605.16</v>
      </c>
      <c r="AB18" s="426"/>
      <c r="AC18" s="426"/>
      <c r="AD18" s="200"/>
      <c r="AE18" s="200"/>
      <c r="AF18" s="200"/>
      <c r="AG18" s="200"/>
    </row>
    <row r="19" ht="15.75" customHeight="1">
      <c r="A19" s="417" t="s">
        <v>38</v>
      </c>
      <c r="B19" s="418" t="s">
        <v>49</v>
      </c>
      <c r="C19" s="438" t="s">
        <v>74</v>
      </c>
      <c r="D19" s="420" t="s">
        <v>75</v>
      </c>
      <c r="E19" s="421">
        <v>105.0</v>
      </c>
      <c r="F19" s="422">
        <f t="shared" si="1"/>
        <v>6510</v>
      </c>
      <c r="G19" s="423"/>
      <c r="H19" s="424">
        <f t="shared" si="2"/>
        <v>14322</v>
      </c>
      <c r="I19" s="425" t="s">
        <v>42</v>
      </c>
      <c r="J19" s="426">
        <f t="shared" si="3"/>
        <v>5985</v>
      </c>
      <c r="K19" s="200"/>
      <c r="L19" s="439">
        <v>10.0</v>
      </c>
      <c r="M19" s="200"/>
      <c r="N19" s="200"/>
      <c r="O19" s="200"/>
      <c r="P19" s="200"/>
      <c r="Q19" s="200"/>
      <c r="R19" s="200"/>
      <c r="S19" s="440">
        <v>310.59</v>
      </c>
      <c r="T19" s="428">
        <f t="shared" si="4"/>
        <v>6820.59</v>
      </c>
      <c r="U19" s="429">
        <v>500.0</v>
      </c>
      <c r="V19" s="430">
        <f t="shared" si="5"/>
        <v>7010</v>
      </c>
      <c r="W19" s="431">
        <f t="shared" si="6"/>
        <v>15422</v>
      </c>
      <c r="X19" s="432">
        <f t="shared" si="7"/>
        <v>6510</v>
      </c>
      <c r="Y19" s="436">
        <v>12500.0</v>
      </c>
      <c r="Z19" s="437">
        <v>10398.6</v>
      </c>
      <c r="AA19" s="437">
        <v>9012.12</v>
      </c>
      <c r="AB19" s="426"/>
      <c r="AC19" s="426"/>
      <c r="AD19" s="200"/>
      <c r="AE19" s="200"/>
      <c r="AF19" s="200"/>
      <c r="AG19" s="200"/>
    </row>
    <row r="20" ht="15.75" customHeight="1">
      <c r="A20" s="417" t="s">
        <v>38</v>
      </c>
      <c r="B20" s="418" t="s">
        <v>49</v>
      </c>
      <c r="C20" s="438" t="s">
        <v>76</v>
      </c>
      <c r="D20" s="420" t="s">
        <v>486</v>
      </c>
      <c r="E20" s="421">
        <v>6.0</v>
      </c>
      <c r="F20" s="422">
        <f t="shared" si="1"/>
        <v>372</v>
      </c>
      <c r="G20" s="423"/>
      <c r="H20" s="424">
        <f t="shared" si="2"/>
        <v>818.4</v>
      </c>
      <c r="I20" s="425" t="s">
        <v>42</v>
      </c>
      <c r="J20" s="426">
        <f t="shared" si="3"/>
        <v>342</v>
      </c>
      <c r="K20" s="200"/>
      <c r="L20" s="439">
        <v>10.0</v>
      </c>
      <c r="M20" s="200"/>
      <c r="N20" s="200"/>
      <c r="O20" s="200"/>
      <c r="P20" s="200"/>
      <c r="Q20" s="200"/>
      <c r="R20" s="200"/>
      <c r="S20" s="440">
        <v>310.59</v>
      </c>
      <c r="T20" s="428">
        <f t="shared" si="4"/>
        <v>682.59</v>
      </c>
      <c r="U20" s="429">
        <v>500.0</v>
      </c>
      <c r="V20" s="430">
        <f t="shared" si="5"/>
        <v>872</v>
      </c>
      <c r="W20" s="431">
        <f t="shared" si="6"/>
        <v>1918.4</v>
      </c>
      <c r="X20" s="432">
        <f t="shared" si="7"/>
        <v>372</v>
      </c>
      <c r="Y20" s="436">
        <v>1200.0</v>
      </c>
      <c r="Z20" s="437">
        <v>673.2</v>
      </c>
      <c r="AA20" s="437">
        <v>514.8</v>
      </c>
      <c r="AB20" s="426"/>
      <c r="AC20" s="426"/>
      <c r="AD20" s="200"/>
      <c r="AE20" s="200"/>
      <c r="AF20" s="200"/>
      <c r="AG20" s="200"/>
    </row>
    <row r="21" ht="15.75" customHeight="1">
      <c r="A21" s="417" t="s">
        <v>38</v>
      </c>
      <c r="B21" s="418" t="s">
        <v>49</v>
      </c>
      <c r="C21" s="435" t="s">
        <v>78</v>
      </c>
      <c r="D21" s="420" t="s">
        <v>487</v>
      </c>
      <c r="E21" s="421">
        <v>141.6</v>
      </c>
      <c r="F21" s="422">
        <f t="shared" si="1"/>
        <v>8779.2</v>
      </c>
      <c r="G21" s="423"/>
      <c r="H21" s="424">
        <f t="shared" si="2"/>
        <v>19314.24</v>
      </c>
      <c r="I21" s="425" t="s">
        <v>42</v>
      </c>
      <c r="J21" s="426">
        <f t="shared" si="3"/>
        <v>8071.2</v>
      </c>
      <c r="K21" s="200"/>
      <c r="L21" s="439">
        <v>11.0</v>
      </c>
      <c r="M21" s="200"/>
      <c r="N21" s="200"/>
      <c r="O21" s="200"/>
      <c r="P21" s="200"/>
      <c r="Q21" s="200"/>
      <c r="R21" s="200"/>
      <c r="S21" s="440">
        <v>310.59</v>
      </c>
      <c r="T21" s="428">
        <f t="shared" si="4"/>
        <v>9089.79</v>
      </c>
      <c r="U21" s="429">
        <v>500.0</v>
      </c>
      <c r="V21" s="430">
        <f t="shared" si="5"/>
        <v>9279.2</v>
      </c>
      <c r="W21" s="431">
        <f t="shared" si="6"/>
        <v>20414.24</v>
      </c>
      <c r="X21" s="432">
        <f t="shared" si="7"/>
        <v>8779.2</v>
      </c>
      <c r="Y21" s="436">
        <v>13950.0</v>
      </c>
      <c r="Z21" s="437">
        <v>12101.7</v>
      </c>
      <c r="AA21" s="437">
        <v>11170.8</v>
      </c>
      <c r="AB21" s="426"/>
      <c r="AC21" s="426"/>
      <c r="AD21" s="200"/>
      <c r="AE21" s="200"/>
      <c r="AF21" s="200"/>
      <c r="AG21" s="200"/>
    </row>
    <row r="22" ht="15.75" customHeight="1">
      <c r="A22" s="417" t="s">
        <v>38</v>
      </c>
      <c r="B22" s="418" t="s">
        <v>49</v>
      </c>
      <c r="C22" s="435" t="s">
        <v>80</v>
      </c>
      <c r="D22" s="420" t="s">
        <v>488</v>
      </c>
      <c r="E22" s="421">
        <v>105.0</v>
      </c>
      <c r="F22" s="422">
        <f t="shared" si="1"/>
        <v>6510</v>
      </c>
      <c r="G22" s="423"/>
      <c r="H22" s="424">
        <f t="shared" si="2"/>
        <v>14322</v>
      </c>
      <c r="I22" s="425" t="s">
        <v>42</v>
      </c>
      <c r="J22" s="426">
        <f t="shared" si="3"/>
        <v>5985</v>
      </c>
      <c r="K22" s="200"/>
      <c r="L22" s="439">
        <v>2.0</v>
      </c>
      <c r="M22" s="200"/>
      <c r="N22" s="200"/>
      <c r="O22" s="200"/>
      <c r="P22" s="200"/>
      <c r="Q22" s="200"/>
      <c r="R22" s="200"/>
      <c r="S22" s="440">
        <v>310.59</v>
      </c>
      <c r="T22" s="428">
        <f t="shared" si="4"/>
        <v>6820.59</v>
      </c>
      <c r="U22" s="429">
        <v>500.0</v>
      </c>
      <c r="V22" s="430">
        <f t="shared" si="5"/>
        <v>7010</v>
      </c>
      <c r="W22" s="431">
        <f t="shared" si="6"/>
        <v>15422</v>
      </c>
      <c r="X22" s="432">
        <f t="shared" si="7"/>
        <v>6510</v>
      </c>
      <c r="Y22" s="436">
        <v>12500.0</v>
      </c>
      <c r="Z22" s="437">
        <v>10398.6</v>
      </c>
      <c r="AA22" s="437">
        <v>9012.12</v>
      </c>
      <c r="AB22" s="426"/>
      <c r="AC22" s="426"/>
      <c r="AD22" s="200"/>
      <c r="AE22" s="200"/>
      <c r="AF22" s="200"/>
      <c r="AG22" s="200"/>
    </row>
    <row r="23" ht="15.75" customHeight="1">
      <c r="A23" s="417" t="s">
        <v>38</v>
      </c>
      <c r="B23" s="418" t="s">
        <v>49</v>
      </c>
      <c r="C23" s="435" t="s">
        <v>82</v>
      </c>
      <c r="D23" s="420" t="s">
        <v>83</v>
      </c>
      <c r="E23" s="421">
        <v>36.0</v>
      </c>
      <c r="F23" s="422">
        <f t="shared" si="1"/>
        <v>2232</v>
      </c>
      <c r="G23" s="423"/>
      <c r="H23" s="424">
        <f t="shared" si="2"/>
        <v>4910.4</v>
      </c>
      <c r="I23" s="425" t="s">
        <v>42</v>
      </c>
      <c r="J23" s="426">
        <f t="shared" si="3"/>
        <v>2052</v>
      </c>
      <c r="K23" s="200"/>
      <c r="L23" s="439">
        <v>10.0</v>
      </c>
      <c r="M23" s="200"/>
      <c r="N23" s="200"/>
      <c r="O23" s="200"/>
      <c r="P23" s="200"/>
      <c r="Q23" s="200"/>
      <c r="R23" s="200"/>
      <c r="S23" s="440">
        <v>310.59</v>
      </c>
      <c r="T23" s="428">
        <f t="shared" si="4"/>
        <v>2542.59</v>
      </c>
      <c r="U23" s="429">
        <v>500.0</v>
      </c>
      <c r="V23" s="430">
        <f t="shared" si="5"/>
        <v>2732</v>
      </c>
      <c r="W23" s="431">
        <f t="shared" si="6"/>
        <v>6010.4</v>
      </c>
      <c r="X23" s="432">
        <f t="shared" si="7"/>
        <v>2232</v>
      </c>
      <c r="Y23" s="436">
        <v>5000.0</v>
      </c>
      <c r="Z23" s="437">
        <v>4040.22</v>
      </c>
      <c r="AA23" s="437">
        <v>3089.58</v>
      </c>
      <c r="AB23" s="426"/>
      <c r="AC23" s="426"/>
      <c r="AD23" s="200"/>
      <c r="AE23" s="200"/>
      <c r="AF23" s="200"/>
      <c r="AG23" s="200"/>
    </row>
    <row r="24" ht="15.75" customHeight="1">
      <c r="A24" s="417" t="s">
        <v>38</v>
      </c>
      <c r="B24" s="418" t="s">
        <v>49</v>
      </c>
      <c r="C24" s="435" t="s">
        <v>84</v>
      </c>
      <c r="D24" s="420" t="s">
        <v>85</v>
      </c>
      <c r="E24" s="421">
        <v>42.0</v>
      </c>
      <c r="F24" s="422">
        <f t="shared" si="1"/>
        <v>2604</v>
      </c>
      <c r="G24" s="423"/>
      <c r="H24" s="424">
        <f t="shared" si="2"/>
        <v>5728.8</v>
      </c>
      <c r="I24" s="425" t="s">
        <v>42</v>
      </c>
      <c r="J24" s="426">
        <f t="shared" si="3"/>
        <v>2394</v>
      </c>
      <c r="K24" s="200"/>
      <c r="L24" s="427"/>
      <c r="M24" s="200"/>
      <c r="N24" s="200"/>
      <c r="O24" s="200"/>
      <c r="P24" s="200"/>
      <c r="Q24" s="200"/>
      <c r="R24" s="200"/>
      <c r="S24" s="200"/>
      <c r="T24" s="428">
        <f t="shared" si="4"/>
        <v>2604</v>
      </c>
      <c r="U24" s="429">
        <v>500.0</v>
      </c>
      <c r="V24" s="430">
        <f t="shared" si="5"/>
        <v>3104</v>
      </c>
      <c r="W24" s="431">
        <f t="shared" si="6"/>
        <v>6828.8</v>
      </c>
      <c r="X24" s="432">
        <f t="shared" si="7"/>
        <v>2604</v>
      </c>
      <c r="Y24" s="436">
        <v>6600.0</v>
      </c>
      <c r="Z24" s="437">
        <v>5267.94</v>
      </c>
      <c r="AA24" s="437">
        <v>4158.9</v>
      </c>
      <c r="AB24" s="426"/>
      <c r="AC24" s="426"/>
      <c r="AD24" s="200"/>
      <c r="AE24" s="200"/>
      <c r="AF24" s="200"/>
      <c r="AG24" s="200"/>
    </row>
    <row r="25" ht="15.75" customHeight="1">
      <c r="A25" s="417" t="s">
        <v>38</v>
      </c>
      <c r="B25" s="418" t="s">
        <v>49</v>
      </c>
      <c r="C25" s="435" t="s">
        <v>86</v>
      </c>
      <c r="D25" s="420" t="s">
        <v>87</v>
      </c>
      <c r="E25" s="421">
        <v>30.0</v>
      </c>
      <c r="F25" s="422">
        <f t="shared" si="1"/>
        <v>1860</v>
      </c>
      <c r="G25" s="423"/>
      <c r="H25" s="424">
        <f t="shared" si="2"/>
        <v>4092</v>
      </c>
      <c r="I25" s="425" t="s">
        <v>42</v>
      </c>
      <c r="J25" s="426">
        <f t="shared" si="3"/>
        <v>1710</v>
      </c>
      <c r="K25" s="200"/>
      <c r="L25" s="439">
        <v>10.0</v>
      </c>
      <c r="M25" s="200"/>
      <c r="N25" s="200"/>
      <c r="O25" s="200"/>
      <c r="P25" s="200"/>
      <c r="Q25" s="200"/>
      <c r="R25" s="200"/>
      <c r="S25" s="440">
        <v>310.59</v>
      </c>
      <c r="T25" s="428">
        <f t="shared" si="4"/>
        <v>2170.59</v>
      </c>
      <c r="U25" s="429">
        <v>500.0</v>
      </c>
      <c r="V25" s="430">
        <f t="shared" si="5"/>
        <v>2360</v>
      </c>
      <c r="W25" s="431">
        <f t="shared" si="6"/>
        <v>5192</v>
      </c>
      <c r="X25" s="432">
        <f t="shared" si="7"/>
        <v>1860</v>
      </c>
      <c r="Y25" s="436">
        <v>3900.0</v>
      </c>
      <c r="Z25" s="437">
        <v>3168.96</v>
      </c>
      <c r="AA25" s="437">
        <v>2574.78</v>
      </c>
      <c r="AB25" s="426"/>
      <c r="AC25" s="426"/>
      <c r="AD25" s="200"/>
      <c r="AE25" s="200"/>
      <c r="AF25" s="200"/>
      <c r="AG25" s="200"/>
    </row>
    <row r="26" ht="15.75" customHeight="1">
      <c r="A26" s="417" t="s">
        <v>38</v>
      </c>
      <c r="B26" s="418" t="s">
        <v>49</v>
      </c>
      <c r="C26" s="435" t="s">
        <v>88</v>
      </c>
      <c r="D26" s="420" t="s">
        <v>489</v>
      </c>
      <c r="E26" s="421">
        <v>69.0</v>
      </c>
      <c r="F26" s="422">
        <f t="shared" si="1"/>
        <v>4278</v>
      </c>
      <c r="G26" s="423"/>
      <c r="H26" s="424">
        <f t="shared" si="2"/>
        <v>9411.6</v>
      </c>
      <c r="I26" s="425" t="s">
        <v>42</v>
      </c>
      <c r="J26" s="426">
        <f t="shared" si="3"/>
        <v>3933</v>
      </c>
      <c r="K26" s="200"/>
      <c r="L26" s="439">
        <v>30.0</v>
      </c>
      <c r="M26" s="200"/>
      <c r="N26" s="200"/>
      <c r="O26" s="200"/>
      <c r="P26" s="200"/>
      <c r="Q26" s="200"/>
      <c r="R26" s="200"/>
      <c r="S26" s="440">
        <v>310.59</v>
      </c>
      <c r="T26" s="428">
        <f t="shared" si="4"/>
        <v>4588.59</v>
      </c>
      <c r="U26" s="429">
        <v>500.0</v>
      </c>
      <c r="V26" s="430">
        <f t="shared" si="5"/>
        <v>4778</v>
      </c>
      <c r="W26" s="431">
        <f t="shared" si="6"/>
        <v>10511.6</v>
      </c>
      <c r="X26" s="432">
        <f t="shared" si="7"/>
        <v>4278</v>
      </c>
      <c r="Y26" s="436">
        <v>10000.0</v>
      </c>
      <c r="Z26" s="437">
        <v>7972.65</v>
      </c>
      <c r="AA26" s="437">
        <v>6378.12</v>
      </c>
      <c r="AB26" s="426"/>
      <c r="AC26" s="426"/>
      <c r="AD26" s="200"/>
      <c r="AE26" s="200"/>
      <c r="AF26" s="200"/>
      <c r="AG26" s="200"/>
    </row>
    <row r="27" ht="15.75" customHeight="1">
      <c r="A27" s="417" t="s">
        <v>38</v>
      </c>
      <c r="B27" s="418" t="s">
        <v>49</v>
      </c>
      <c r="C27" s="435" t="s">
        <v>90</v>
      </c>
      <c r="D27" s="420" t="s">
        <v>91</v>
      </c>
      <c r="E27" s="421">
        <v>60.0</v>
      </c>
      <c r="F27" s="422">
        <f t="shared" si="1"/>
        <v>3720</v>
      </c>
      <c r="G27" s="423"/>
      <c r="H27" s="424">
        <f t="shared" si="2"/>
        <v>8184</v>
      </c>
      <c r="I27" s="425" t="s">
        <v>42</v>
      </c>
      <c r="J27" s="426">
        <f t="shared" si="3"/>
        <v>3420</v>
      </c>
      <c r="K27" s="200"/>
      <c r="L27" s="439">
        <v>18.0</v>
      </c>
      <c r="M27" s="200"/>
      <c r="N27" s="200"/>
      <c r="O27" s="200"/>
      <c r="P27" s="200"/>
      <c r="Q27" s="200"/>
      <c r="R27" s="200"/>
      <c r="S27" s="440">
        <v>310.59</v>
      </c>
      <c r="T27" s="428">
        <f t="shared" si="4"/>
        <v>4030.59</v>
      </c>
      <c r="U27" s="429">
        <v>500.0</v>
      </c>
      <c r="V27" s="430">
        <f t="shared" si="5"/>
        <v>4220</v>
      </c>
      <c r="W27" s="431">
        <f t="shared" si="6"/>
        <v>9284</v>
      </c>
      <c r="X27" s="432">
        <f t="shared" si="7"/>
        <v>3720</v>
      </c>
      <c r="Y27" s="436">
        <v>7500.0</v>
      </c>
      <c r="Z27" s="437">
        <v>6337.92</v>
      </c>
      <c r="AA27" s="437">
        <v>5149.56</v>
      </c>
      <c r="AB27" s="426"/>
      <c r="AC27" s="426"/>
      <c r="AD27" s="200"/>
      <c r="AE27" s="200"/>
      <c r="AF27" s="200"/>
      <c r="AG27" s="200"/>
    </row>
    <row r="28" ht="15.75" customHeight="1">
      <c r="A28" s="417" t="s">
        <v>38</v>
      </c>
      <c r="B28" s="418" t="s">
        <v>49</v>
      </c>
      <c r="C28" s="435" t="s">
        <v>92</v>
      </c>
      <c r="D28" s="420" t="s">
        <v>93</v>
      </c>
      <c r="E28" s="421">
        <v>30.0</v>
      </c>
      <c r="F28" s="422">
        <f t="shared" si="1"/>
        <v>1860</v>
      </c>
      <c r="G28" s="423"/>
      <c r="H28" s="424">
        <f t="shared" si="2"/>
        <v>4092</v>
      </c>
      <c r="I28" s="425" t="s">
        <v>42</v>
      </c>
      <c r="J28" s="426">
        <f t="shared" si="3"/>
        <v>1710</v>
      </c>
      <c r="K28" s="200"/>
      <c r="L28" s="439">
        <v>30.0</v>
      </c>
      <c r="M28" s="200"/>
      <c r="N28" s="200"/>
      <c r="O28" s="200"/>
      <c r="P28" s="200"/>
      <c r="Q28" s="200"/>
      <c r="R28" s="200"/>
      <c r="S28" s="440">
        <v>310.59</v>
      </c>
      <c r="T28" s="428">
        <f t="shared" si="4"/>
        <v>2170.59</v>
      </c>
      <c r="U28" s="429">
        <v>500.0</v>
      </c>
      <c r="V28" s="430">
        <f t="shared" si="5"/>
        <v>2360</v>
      </c>
      <c r="W28" s="431">
        <f t="shared" si="6"/>
        <v>5192</v>
      </c>
      <c r="X28" s="432">
        <f t="shared" si="7"/>
        <v>1860</v>
      </c>
      <c r="Y28" s="436">
        <v>4199.0</v>
      </c>
      <c r="Z28" s="437">
        <v>3367.02</v>
      </c>
      <c r="AA28" s="437">
        <v>2574.78</v>
      </c>
      <c r="AB28" s="426"/>
      <c r="AC28" s="426"/>
      <c r="AD28" s="200"/>
      <c r="AE28" s="200"/>
      <c r="AF28" s="200"/>
      <c r="AG28" s="200"/>
    </row>
    <row r="29" ht="15.75" customHeight="1">
      <c r="A29" s="417" t="s">
        <v>38</v>
      </c>
      <c r="B29" s="418" t="s">
        <v>49</v>
      </c>
      <c r="C29" s="435" t="s">
        <v>94</v>
      </c>
      <c r="D29" s="420" t="s">
        <v>95</v>
      </c>
      <c r="E29" s="421">
        <v>60.0</v>
      </c>
      <c r="F29" s="422">
        <f t="shared" si="1"/>
        <v>3720</v>
      </c>
      <c r="G29" s="423"/>
      <c r="H29" s="424">
        <f t="shared" si="2"/>
        <v>8184</v>
      </c>
      <c r="I29" s="425" t="s">
        <v>42</v>
      </c>
      <c r="J29" s="426">
        <f t="shared" si="3"/>
        <v>3420</v>
      </c>
      <c r="K29" s="200"/>
      <c r="L29" s="427"/>
      <c r="M29" s="200"/>
      <c r="N29" s="200"/>
      <c r="O29" s="200"/>
      <c r="P29" s="200"/>
      <c r="Q29" s="200"/>
      <c r="R29" s="200"/>
      <c r="S29" s="200"/>
      <c r="T29" s="428">
        <f t="shared" si="4"/>
        <v>3720</v>
      </c>
      <c r="U29" s="429">
        <v>500.0</v>
      </c>
      <c r="V29" s="430">
        <f t="shared" si="5"/>
        <v>4220</v>
      </c>
      <c r="W29" s="431">
        <f t="shared" si="6"/>
        <v>9284</v>
      </c>
      <c r="X29" s="432">
        <f t="shared" si="7"/>
        <v>3720</v>
      </c>
      <c r="Y29" s="436">
        <v>9500.0</v>
      </c>
      <c r="Z29" s="437">
        <v>7130.16</v>
      </c>
      <c r="AA29" s="437">
        <v>5941.8</v>
      </c>
      <c r="AB29" s="426"/>
      <c r="AC29" s="426"/>
      <c r="AD29" s="200"/>
      <c r="AE29" s="200"/>
      <c r="AF29" s="200"/>
      <c r="AG29" s="200"/>
    </row>
    <row r="30" ht="15.75" customHeight="1">
      <c r="A30" s="417" t="s">
        <v>38</v>
      </c>
      <c r="B30" s="418" t="s">
        <v>49</v>
      </c>
      <c r="C30" s="435" t="s">
        <v>96</v>
      </c>
      <c r="D30" s="420" t="s">
        <v>97</v>
      </c>
      <c r="E30" s="421">
        <v>39.0</v>
      </c>
      <c r="F30" s="422">
        <f t="shared" si="1"/>
        <v>2418</v>
      </c>
      <c r="G30" s="423"/>
      <c r="H30" s="424">
        <f t="shared" si="2"/>
        <v>5319.6</v>
      </c>
      <c r="I30" s="425" t="s">
        <v>42</v>
      </c>
      <c r="J30" s="426">
        <f t="shared" si="3"/>
        <v>2223</v>
      </c>
      <c r="K30" s="200"/>
      <c r="L30" s="427"/>
      <c r="M30" s="200"/>
      <c r="N30" s="200"/>
      <c r="O30" s="200"/>
      <c r="P30" s="200"/>
      <c r="Q30" s="200"/>
      <c r="R30" s="200"/>
      <c r="S30" s="200"/>
      <c r="T30" s="428">
        <f t="shared" si="4"/>
        <v>2418</v>
      </c>
      <c r="U30" s="429">
        <v>500.0</v>
      </c>
      <c r="V30" s="430">
        <f t="shared" si="5"/>
        <v>2918</v>
      </c>
      <c r="W30" s="431">
        <f t="shared" si="6"/>
        <v>6419.6</v>
      </c>
      <c r="X30" s="432">
        <f t="shared" si="7"/>
        <v>2418</v>
      </c>
      <c r="Y30" s="436">
        <v>6199.0</v>
      </c>
      <c r="Z30" s="437">
        <v>4632.12</v>
      </c>
      <c r="AA30" s="437">
        <v>3860.1</v>
      </c>
      <c r="AB30" s="426"/>
      <c r="AC30" s="426"/>
      <c r="AD30" s="200"/>
      <c r="AE30" s="200"/>
      <c r="AF30" s="200"/>
      <c r="AG30" s="200"/>
    </row>
    <row r="31" ht="15.75" customHeight="1">
      <c r="A31" s="417" t="s">
        <v>38</v>
      </c>
      <c r="B31" s="418" t="s">
        <v>49</v>
      </c>
      <c r="C31" s="435" t="s">
        <v>98</v>
      </c>
      <c r="D31" s="420" t="s">
        <v>99</v>
      </c>
      <c r="E31" s="421">
        <v>24.0</v>
      </c>
      <c r="F31" s="422">
        <f t="shared" si="1"/>
        <v>1488</v>
      </c>
      <c r="G31" s="423"/>
      <c r="H31" s="424">
        <f t="shared" si="2"/>
        <v>3273.6</v>
      </c>
      <c r="I31" s="425" t="s">
        <v>42</v>
      </c>
      <c r="J31" s="426">
        <f t="shared" si="3"/>
        <v>1368</v>
      </c>
      <c r="K31" s="200"/>
      <c r="L31" s="439">
        <v>20.0</v>
      </c>
      <c r="M31" s="200"/>
      <c r="N31" s="200"/>
      <c r="O31" s="200"/>
      <c r="P31" s="200"/>
      <c r="Q31" s="200"/>
      <c r="R31" s="200"/>
      <c r="S31" s="440">
        <v>310.59</v>
      </c>
      <c r="T31" s="428">
        <f t="shared" si="4"/>
        <v>1798.59</v>
      </c>
      <c r="U31" s="429">
        <v>500.0</v>
      </c>
      <c r="V31" s="430">
        <f t="shared" si="5"/>
        <v>1988</v>
      </c>
      <c r="W31" s="431">
        <f t="shared" si="6"/>
        <v>4373.6</v>
      </c>
      <c r="X31" s="432">
        <f t="shared" si="7"/>
        <v>1488</v>
      </c>
      <c r="Y31" s="436">
        <v>3500.0</v>
      </c>
      <c r="Z31" s="437">
        <v>2693.82</v>
      </c>
      <c r="AA31" s="437">
        <v>2059.98</v>
      </c>
      <c r="AB31" s="426"/>
      <c r="AC31" s="426"/>
      <c r="AD31" s="200"/>
      <c r="AE31" s="200"/>
      <c r="AF31" s="200"/>
      <c r="AG31" s="200"/>
    </row>
    <row r="32" ht="15.75" customHeight="1">
      <c r="A32" s="417" t="s">
        <v>38</v>
      </c>
      <c r="B32" s="418" t="s">
        <v>49</v>
      </c>
      <c r="C32" s="435" t="s">
        <v>100</v>
      </c>
      <c r="D32" s="420" t="s">
        <v>101</v>
      </c>
      <c r="E32" s="421">
        <v>36.0</v>
      </c>
      <c r="F32" s="422">
        <f t="shared" si="1"/>
        <v>2232</v>
      </c>
      <c r="G32" s="423"/>
      <c r="H32" s="424">
        <f t="shared" si="2"/>
        <v>4910.4</v>
      </c>
      <c r="I32" s="425" t="s">
        <v>42</v>
      </c>
      <c r="J32" s="426">
        <f t="shared" si="3"/>
        <v>2052</v>
      </c>
      <c r="K32" s="200"/>
      <c r="L32" s="439">
        <v>73.0</v>
      </c>
      <c r="M32" s="200"/>
      <c r="N32" s="200"/>
      <c r="O32" s="200"/>
      <c r="P32" s="200"/>
      <c r="Q32" s="200"/>
      <c r="R32" s="200"/>
      <c r="S32" s="440">
        <v>310.59</v>
      </c>
      <c r="T32" s="428">
        <f t="shared" si="4"/>
        <v>2542.59</v>
      </c>
      <c r="U32" s="429">
        <v>500.0</v>
      </c>
      <c r="V32" s="430">
        <f t="shared" si="5"/>
        <v>2732</v>
      </c>
      <c r="W32" s="431">
        <f t="shared" si="6"/>
        <v>6010.4</v>
      </c>
      <c r="X32" s="432">
        <f t="shared" si="7"/>
        <v>2232</v>
      </c>
      <c r="Y32" s="436">
        <v>4700.0</v>
      </c>
      <c r="Z32" s="437">
        <v>4040.22</v>
      </c>
      <c r="AA32" s="437">
        <v>3089.58</v>
      </c>
      <c r="AB32" s="426"/>
      <c r="AC32" s="426"/>
      <c r="AD32" s="200"/>
      <c r="AE32" s="200"/>
      <c r="AF32" s="200"/>
      <c r="AG32" s="200"/>
    </row>
    <row r="33" ht="15.75" customHeight="1">
      <c r="A33" s="417" t="s">
        <v>38</v>
      </c>
      <c r="B33" s="418" t="s">
        <v>49</v>
      </c>
      <c r="C33" s="435" t="s">
        <v>102</v>
      </c>
      <c r="D33" s="420" t="s">
        <v>103</v>
      </c>
      <c r="E33" s="421">
        <v>54.0</v>
      </c>
      <c r="F33" s="422">
        <f t="shared" si="1"/>
        <v>3348</v>
      </c>
      <c r="G33" s="423"/>
      <c r="H33" s="424">
        <f t="shared" si="2"/>
        <v>7365.6</v>
      </c>
      <c r="I33" s="425" t="s">
        <v>42</v>
      </c>
      <c r="J33" s="426">
        <f t="shared" si="3"/>
        <v>3078</v>
      </c>
      <c r="K33" s="200"/>
      <c r="L33" s="439">
        <v>30.0</v>
      </c>
      <c r="M33" s="200"/>
      <c r="N33" s="200"/>
      <c r="O33" s="200"/>
      <c r="P33" s="200"/>
      <c r="Q33" s="200"/>
      <c r="R33" s="200"/>
      <c r="S33" s="440">
        <v>310.59</v>
      </c>
      <c r="T33" s="428">
        <f t="shared" si="4"/>
        <v>3658.59</v>
      </c>
      <c r="U33" s="429">
        <v>500.0</v>
      </c>
      <c r="V33" s="430">
        <f t="shared" si="5"/>
        <v>3848</v>
      </c>
      <c r="W33" s="431">
        <f t="shared" si="6"/>
        <v>8465.6</v>
      </c>
      <c r="X33" s="432">
        <f t="shared" si="7"/>
        <v>3348</v>
      </c>
      <c r="Y33" s="436">
        <v>6250.0</v>
      </c>
      <c r="Z33" s="437">
        <v>5347.8</v>
      </c>
      <c r="AA33" s="437">
        <v>4634.76</v>
      </c>
      <c r="AB33" s="426"/>
      <c r="AC33" s="426"/>
      <c r="AD33" s="200"/>
      <c r="AE33" s="200"/>
      <c r="AF33" s="200"/>
      <c r="AG33" s="200"/>
    </row>
    <row r="34" ht="15.75" customHeight="1">
      <c r="A34" s="417" t="s">
        <v>38</v>
      </c>
      <c r="B34" s="418" t="s">
        <v>49</v>
      </c>
      <c r="C34" s="435" t="s">
        <v>104</v>
      </c>
      <c r="D34" s="420" t="s">
        <v>105</v>
      </c>
      <c r="E34" s="421">
        <v>48.0</v>
      </c>
      <c r="F34" s="422">
        <f t="shared" si="1"/>
        <v>2976</v>
      </c>
      <c r="G34" s="423"/>
      <c r="H34" s="424">
        <f t="shared" si="2"/>
        <v>6547.2</v>
      </c>
      <c r="I34" s="425" t="s">
        <v>42</v>
      </c>
      <c r="J34" s="426">
        <f t="shared" si="3"/>
        <v>2736</v>
      </c>
      <c r="K34" s="200"/>
      <c r="L34" s="439">
        <v>3.0</v>
      </c>
      <c r="M34" s="200"/>
      <c r="N34" s="200"/>
      <c r="O34" s="200"/>
      <c r="P34" s="200"/>
      <c r="Q34" s="200"/>
      <c r="R34" s="200"/>
      <c r="S34" s="440">
        <v>310.59</v>
      </c>
      <c r="T34" s="428">
        <f t="shared" si="4"/>
        <v>3286.59</v>
      </c>
      <c r="U34" s="429">
        <v>500.0</v>
      </c>
      <c r="V34" s="430">
        <f t="shared" si="5"/>
        <v>3476</v>
      </c>
      <c r="W34" s="431">
        <f t="shared" si="6"/>
        <v>7647.2</v>
      </c>
      <c r="X34" s="432">
        <f t="shared" si="7"/>
        <v>2976</v>
      </c>
      <c r="Y34" s="436">
        <v>5950.0</v>
      </c>
      <c r="Z34" s="437">
        <v>5070.72</v>
      </c>
      <c r="AA34" s="437">
        <v>4119.96</v>
      </c>
      <c r="AB34" s="426"/>
      <c r="AC34" s="426"/>
      <c r="AD34" s="200"/>
      <c r="AE34" s="200"/>
      <c r="AF34" s="200"/>
      <c r="AG34" s="200"/>
    </row>
    <row r="35" ht="15.75" customHeight="1">
      <c r="A35" s="417" t="s">
        <v>38</v>
      </c>
      <c r="B35" s="418" t="s">
        <v>49</v>
      </c>
      <c r="C35" s="435" t="s">
        <v>106</v>
      </c>
      <c r="D35" s="420" t="s">
        <v>107</v>
      </c>
      <c r="E35" s="421">
        <v>60.0</v>
      </c>
      <c r="F35" s="422">
        <f t="shared" si="1"/>
        <v>3720</v>
      </c>
      <c r="G35" s="423"/>
      <c r="H35" s="424">
        <f t="shared" si="2"/>
        <v>8184</v>
      </c>
      <c r="I35" s="425" t="s">
        <v>42</v>
      </c>
      <c r="J35" s="426">
        <f t="shared" si="3"/>
        <v>3420</v>
      </c>
      <c r="K35" s="200"/>
      <c r="L35" s="439">
        <v>16.0</v>
      </c>
      <c r="M35" s="200"/>
      <c r="N35" s="200"/>
      <c r="O35" s="200"/>
      <c r="P35" s="200"/>
      <c r="Q35" s="200"/>
      <c r="R35" s="200"/>
      <c r="S35" s="440">
        <v>310.59</v>
      </c>
      <c r="T35" s="428">
        <f t="shared" si="4"/>
        <v>4030.59</v>
      </c>
      <c r="U35" s="429">
        <v>500.0</v>
      </c>
      <c r="V35" s="430">
        <f t="shared" si="5"/>
        <v>4220</v>
      </c>
      <c r="W35" s="431">
        <f t="shared" si="6"/>
        <v>9284</v>
      </c>
      <c r="X35" s="432">
        <f t="shared" si="7"/>
        <v>3720</v>
      </c>
      <c r="Y35" s="436">
        <v>6950.0</v>
      </c>
      <c r="Z35" s="437">
        <v>5545.68</v>
      </c>
      <c r="AA35" s="437">
        <v>4951.5</v>
      </c>
      <c r="AB35" s="426"/>
      <c r="AC35" s="426"/>
      <c r="AD35" s="200"/>
      <c r="AE35" s="200"/>
      <c r="AF35" s="200"/>
      <c r="AG35" s="200"/>
    </row>
    <row r="36" ht="15.75" customHeight="1">
      <c r="A36" s="417" t="s">
        <v>38</v>
      </c>
      <c r="B36" s="418" t="s">
        <v>49</v>
      </c>
      <c r="C36" s="435" t="s">
        <v>108</v>
      </c>
      <c r="D36" s="420" t="s">
        <v>109</v>
      </c>
      <c r="E36" s="421">
        <v>9.0</v>
      </c>
      <c r="F36" s="422">
        <f t="shared" si="1"/>
        <v>558</v>
      </c>
      <c r="G36" s="423"/>
      <c r="H36" s="424">
        <f t="shared" si="2"/>
        <v>1227.6</v>
      </c>
      <c r="I36" s="425" t="s">
        <v>42</v>
      </c>
      <c r="J36" s="426">
        <f t="shared" si="3"/>
        <v>513</v>
      </c>
      <c r="K36" s="200"/>
      <c r="L36" s="427"/>
      <c r="M36" s="200"/>
      <c r="N36" s="200"/>
      <c r="O36" s="200"/>
      <c r="P36" s="200"/>
      <c r="Q36" s="200"/>
      <c r="R36" s="200"/>
      <c r="S36" s="200"/>
      <c r="T36" s="428">
        <f t="shared" si="4"/>
        <v>558</v>
      </c>
      <c r="U36" s="429">
        <v>500.0</v>
      </c>
      <c r="V36" s="430">
        <f t="shared" si="5"/>
        <v>1058</v>
      </c>
      <c r="W36" s="431">
        <f t="shared" si="6"/>
        <v>2327.6</v>
      </c>
      <c r="X36" s="432">
        <f t="shared" si="7"/>
        <v>558</v>
      </c>
      <c r="Y36" s="436">
        <v>1750.0</v>
      </c>
      <c r="Z36" s="437">
        <v>1128.0</v>
      </c>
      <c r="AA36" s="437">
        <v>846.0</v>
      </c>
      <c r="AB36" s="426"/>
      <c r="AC36" s="426"/>
      <c r="AD36" s="200"/>
      <c r="AE36" s="200"/>
      <c r="AF36" s="200"/>
      <c r="AG36" s="200"/>
    </row>
    <row r="37" ht="14.25" customHeight="1">
      <c r="A37" s="417" t="s">
        <v>38</v>
      </c>
      <c r="B37" s="418" t="s">
        <v>49</v>
      </c>
      <c r="C37" s="438" t="s">
        <v>110</v>
      </c>
      <c r="D37" s="420" t="s">
        <v>109</v>
      </c>
      <c r="E37" s="421">
        <v>27.6</v>
      </c>
      <c r="F37" s="422">
        <f t="shared" si="1"/>
        <v>1711.2</v>
      </c>
      <c r="G37" s="423"/>
      <c r="H37" s="424">
        <f t="shared" si="2"/>
        <v>3764.64</v>
      </c>
      <c r="I37" s="425" t="s">
        <v>42</v>
      </c>
      <c r="J37" s="426">
        <f t="shared" si="3"/>
        <v>1573.2</v>
      </c>
      <c r="K37" s="200"/>
      <c r="L37" s="427"/>
      <c r="M37" s="200"/>
      <c r="N37" s="200"/>
      <c r="O37" s="200"/>
      <c r="P37" s="200"/>
      <c r="Q37" s="200"/>
      <c r="R37" s="200"/>
      <c r="S37" s="200"/>
      <c r="T37" s="428">
        <f t="shared" si="4"/>
        <v>1711.2</v>
      </c>
      <c r="U37" s="429">
        <v>500.0</v>
      </c>
      <c r="V37" s="430">
        <f t="shared" si="5"/>
        <v>2211.2</v>
      </c>
      <c r="W37" s="431">
        <f t="shared" si="6"/>
        <v>4864.64</v>
      </c>
      <c r="X37" s="432">
        <f t="shared" si="7"/>
        <v>1711.2</v>
      </c>
      <c r="Y37" s="436">
        <v>3299.0</v>
      </c>
      <c r="Z37" s="437">
        <v>2718.0</v>
      </c>
      <c r="AA37" s="437">
        <v>2174.4</v>
      </c>
      <c r="AB37" s="426"/>
      <c r="AC37" s="426"/>
      <c r="AD37" s="200"/>
      <c r="AE37" s="200"/>
      <c r="AF37" s="200"/>
      <c r="AG37" s="200"/>
    </row>
    <row r="38" ht="15.75" customHeight="1">
      <c r="A38" s="417" t="s">
        <v>38</v>
      </c>
      <c r="B38" s="418" t="s">
        <v>49</v>
      </c>
      <c r="C38" s="438" t="s">
        <v>111</v>
      </c>
      <c r="D38" s="420" t="s">
        <v>109</v>
      </c>
      <c r="E38" s="421">
        <v>243.6</v>
      </c>
      <c r="F38" s="422">
        <f t="shared" si="1"/>
        <v>15103.2</v>
      </c>
      <c r="G38" s="423"/>
      <c r="H38" s="424">
        <f t="shared" si="2"/>
        <v>33227.04</v>
      </c>
      <c r="I38" s="425" t="s">
        <v>42</v>
      </c>
      <c r="J38" s="426">
        <f t="shared" si="3"/>
        <v>13885.2</v>
      </c>
      <c r="K38" s="200"/>
      <c r="L38" s="427"/>
      <c r="M38" s="200"/>
      <c r="N38" s="200"/>
      <c r="O38" s="200"/>
      <c r="P38" s="200"/>
      <c r="Q38" s="200"/>
      <c r="R38" s="200"/>
      <c r="S38" s="200"/>
      <c r="T38" s="428">
        <f t="shared" si="4"/>
        <v>15103.2</v>
      </c>
      <c r="U38" s="429">
        <v>500.0</v>
      </c>
      <c r="V38" s="430">
        <f t="shared" si="5"/>
        <v>15603.2</v>
      </c>
      <c r="W38" s="431">
        <f t="shared" si="6"/>
        <v>34327.04</v>
      </c>
      <c r="X38" s="432">
        <f t="shared" si="7"/>
        <v>15103.2</v>
      </c>
      <c r="Y38" s="436">
        <v>20500.0</v>
      </c>
      <c r="Z38" s="437">
        <v>18512.01</v>
      </c>
      <c r="AA38" s="437">
        <v>17707.14</v>
      </c>
      <c r="AB38" s="426"/>
      <c r="AC38" s="426"/>
      <c r="AD38" s="200"/>
      <c r="AE38" s="200"/>
      <c r="AF38" s="200"/>
      <c r="AG38" s="200"/>
    </row>
    <row r="39" ht="15.75" customHeight="1">
      <c r="A39" s="417" t="s">
        <v>38</v>
      </c>
      <c r="B39" s="418" t="s">
        <v>49</v>
      </c>
      <c r="C39" s="438" t="s">
        <v>112</v>
      </c>
      <c r="D39" s="420" t="s">
        <v>113</v>
      </c>
      <c r="E39" s="421">
        <v>9.0</v>
      </c>
      <c r="F39" s="422">
        <f t="shared" si="1"/>
        <v>558</v>
      </c>
      <c r="G39" s="423"/>
      <c r="H39" s="424">
        <f t="shared" si="2"/>
        <v>1227.6</v>
      </c>
      <c r="I39" s="425" t="s">
        <v>42</v>
      </c>
      <c r="J39" s="426">
        <f t="shared" si="3"/>
        <v>513</v>
      </c>
      <c r="K39" s="200"/>
      <c r="L39" s="427"/>
      <c r="M39" s="200"/>
      <c r="N39" s="200"/>
      <c r="O39" s="200"/>
      <c r="P39" s="200"/>
      <c r="Q39" s="200"/>
      <c r="R39" s="200"/>
      <c r="S39" s="200"/>
      <c r="T39" s="428">
        <f t="shared" si="4"/>
        <v>558</v>
      </c>
      <c r="U39" s="429">
        <v>500.0</v>
      </c>
      <c r="V39" s="430">
        <f t="shared" si="5"/>
        <v>1058</v>
      </c>
      <c r="W39" s="431">
        <f t="shared" si="6"/>
        <v>2327.6</v>
      </c>
      <c r="X39" s="432">
        <f t="shared" si="7"/>
        <v>558</v>
      </c>
      <c r="Y39" s="436">
        <v>1650.0</v>
      </c>
      <c r="Z39" s="437">
        <v>1020.0</v>
      </c>
      <c r="AA39" s="437">
        <v>900.0</v>
      </c>
      <c r="AB39" s="426"/>
      <c r="AC39" s="426"/>
      <c r="AD39" s="200"/>
      <c r="AE39" s="200"/>
      <c r="AF39" s="200"/>
      <c r="AG39" s="200"/>
    </row>
    <row r="40" ht="14.25" customHeight="1">
      <c r="A40" s="417" t="s">
        <v>38</v>
      </c>
      <c r="B40" s="418" t="s">
        <v>49</v>
      </c>
      <c r="C40" s="438" t="s">
        <v>114</v>
      </c>
      <c r="D40" s="420" t="s">
        <v>113</v>
      </c>
      <c r="E40" s="421">
        <v>30.0</v>
      </c>
      <c r="F40" s="422">
        <f t="shared" si="1"/>
        <v>1860</v>
      </c>
      <c r="G40" s="423"/>
      <c r="H40" s="424">
        <f t="shared" si="2"/>
        <v>4092</v>
      </c>
      <c r="I40" s="425" t="s">
        <v>42</v>
      </c>
      <c r="J40" s="426">
        <f t="shared" si="3"/>
        <v>1710</v>
      </c>
      <c r="K40" s="200"/>
      <c r="L40" s="427"/>
      <c r="M40" s="200"/>
      <c r="N40" s="200"/>
      <c r="O40" s="200"/>
      <c r="P40" s="200"/>
      <c r="Q40" s="200"/>
      <c r="R40" s="200"/>
      <c r="S40" s="200"/>
      <c r="T40" s="428">
        <f t="shared" si="4"/>
        <v>1860</v>
      </c>
      <c r="U40" s="429">
        <v>500.0</v>
      </c>
      <c r="V40" s="430">
        <f t="shared" si="5"/>
        <v>2360</v>
      </c>
      <c r="W40" s="431">
        <f t="shared" si="6"/>
        <v>5192</v>
      </c>
      <c r="X40" s="432">
        <f t="shared" si="7"/>
        <v>1860</v>
      </c>
      <c r="Y40" s="436">
        <v>4100.0</v>
      </c>
      <c r="Z40" s="437">
        <v>3366.0</v>
      </c>
      <c r="AA40" s="437">
        <v>2574.0</v>
      </c>
      <c r="AB40" s="426"/>
      <c r="AC40" s="426"/>
      <c r="AD40" s="200"/>
      <c r="AE40" s="200"/>
      <c r="AF40" s="200"/>
      <c r="AG40" s="200"/>
    </row>
    <row r="41" ht="15.75" customHeight="1">
      <c r="A41" s="417" t="s">
        <v>38</v>
      </c>
      <c r="B41" s="418" t="s">
        <v>49</v>
      </c>
      <c r="C41" s="438" t="s">
        <v>115</v>
      </c>
      <c r="D41" s="420" t="s">
        <v>113</v>
      </c>
      <c r="E41" s="421">
        <v>276.0</v>
      </c>
      <c r="F41" s="422">
        <f t="shared" si="1"/>
        <v>17112</v>
      </c>
      <c r="G41" s="423"/>
      <c r="H41" s="424">
        <f t="shared" si="2"/>
        <v>37646.4</v>
      </c>
      <c r="I41" s="425" t="s">
        <v>42</v>
      </c>
      <c r="J41" s="426">
        <f t="shared" si="3"/>
        <v>15732</v>
      </c>
      <c r="K41" s="200"/>
      <c r="L41" s="427"/>
      <c r="M41" s="200"/>
      <c r="N41" s="200"/>
      <c r="O41" s="200"/>
      <c r="P41" s="200"/>
      <c r="Q41" s="200"/>
      <c r="R41" s="200"/>
      <c r="S41" s="200"/>
      <c r="T41" s="428">
        <f t="shared" si="4"/>
        <v>17112</v>
      </c>
      <c r="U41" s="429">
        <v>500.0</v>
      </c>
      <c r="V41" s="430">
        <f t="shared" si="5"/>
        <v>17612</v>
      </c>
      <c r="W41" s="431">
        <f t="shared" si="6"/>
        <v>38746.4</v>
      </c>
      <c r="X41" s="432">
        <f t="shared" si="7"/>
        <v>17112</v>
      </c>
      <c r="Y41" s="436">
        <v>32000.0</v>
      </c>
      <c r="Z41" s="437">
        <v>25536.0</v>
      </c>
      <c r="AA41" s="437">
        <v>23712.0</v>
      </c>
      <c r="AB41" s="426"/>
      <c r="AC41" s="426"/>
      <c r="AD41" s="200"/>
      <c r="AE41" s="200"/>
      <c r="AF41" s="200"/>
      <c r="AG41" s="200"/>
    </row>
    <row r="42" ht="15.75" customHeight="1">
      <c r="A42" s="417" t="s">
        <v>38</v>
      </c>
      <c r="B42" s="418" t="s">
        <v>49</v>
      </c>
      <c r="C42" s="438" t="s">
        <v>116</v>
      </c>
      <c r="D42" s="420" t="s">
        <v>117</v>
      </c>
      <c r="E42" s="452">
        <v>15.0</v>
      </c>
      <c r="F42" s="422">
        <f t="shared" si="1"/>
        <v>930</v>
      </c>
      <c r="G42" s="423"/>
      <c r="H42" s="424">
        <f t="shared" si="2"/>
        <v>2046</v>
      </c>
      <c r="I42" s="425" t="s">
        <v>42</v>
      </c>
      <c r="J42" s="426">
        <f t="shared" si="3"/>
        <v>855</v>
      </c>
      <c r="K42" s="200"/>
      <c r="L42" s="439">
        <v>40.0</v>
      </c>
      <c r="M42" s="200"/>
      <c r="N42" s="200"/>
      <c r="O42" s="200"/>
      <c r="P42" s="200"/>
      <c r="Q42" s="200"/>
      <c r="R42" s="200"/>
      <c r="S42" s="440">
        <v>310.59</v>
      </c>
      <c r="T42" s="428">
        <f t="shared" si="4"/>
        <v>1240.59</v>
      </c>
      <c r="U42" s="429">
        <v>500.0</v>
      </c>
      <c r="V42" s="430">
        <f t="shared" si="5"/>
        <v>1430</v>
      </c>
      <c r="W42" s="431">
        <f t="shared" si="6"/>
        <v>3146</v>
      </c>
      <c r="X42" s="432">
        <f t="shared" si="7"/>
        <v>930</v>
      </c>
      <c r="Y42" s="436">
        <v>2200.0</v>
      </c>
      <c r="Z42" s="437">
        <v>1783.08</v>
      </c>
      <c r="AA42" s="437">
        <v>1287.78</v>
      </c>
      <c r="AB42" s="426"/>
      <c r="AC42" s="426"/>
      <c r="AD42" s="200"/>
      <c r="AE42" s="200"/>
      <c r="AF42" s="200"/>
      <c r="AG42" s="200"/>
    </row>
    <row r="43" ht="15.75" customHeight="1">
      <c r="A43" s="417" t="s">
        <v>38</v>
      </c>
      <c r="B43" s="418" t="s">
        <v>49</v>
      </c>
      <c r="C43" s="435" t="s">
        <v>118</v>
      </c>
      <c r="D43" s="420" t="s">
        <v>490</v>
      </c>
      <c r="E43" s="421">
        <v>15.0</v>
      </c>
      <c r="F43" s="422">
        <f t="shared" si="1"/>
        <v>930</v>
      </c>
      <c r="G43" s="423"/>
      <c r="H43" s="424">
        <f t="shared" si="2"/>
        <v>2046</v>
      </c>
      <c r="I43" s="425" t="s">
        <v>42</v>
      </c>
      <c r="J43" s="426">
        <f t="shared" si="3"/>
        <v>855</v>
      </c>
      <c r="K43" s="200"/>
      <c r="L43" s="427"/>
      <c r="M43" s="200"/>
      <c r="N43" s="200"/>
      <c r="O43" s="200"/>
      <c r="P43" s="200"/>
      <c r="Q43" s="200"/>
      <c r="R43" s="200"/>
      <c r="S43" s="200"/>
      <c r="T43" s="428">
        <f t="shared" si="4"/>
        <v>930</v>
      </c>
      <c r="U43" s="429">
        <v>500.0</v>
      </c>
      <c r="V43" s="430">
        <f t="shared" si="5"/>
        <v>1430</v>
      </c>
      <c r="W43" s="431">
        <f t="shared" si="6"/>
        <v>3146</v>
      </c>
      <c r="X43" s="432">
        <f t="shared" si="7"/>
        <v>930</v>
      </c>
      <c r="Y43" s="436">
        <v>2100.0</v>
      </c>
      <c r="Z43" s="437">
        <v>1792.8</v>
      </c>
      <c r="AA43" s="437">
        <v>1294.8</v>
      </c>
      <c r="AB43" s="426"/>
      <c r="AC43" s="426"/>
      <c r="AD43" s="200"/>
      <c r="AE43" s="200"/>
      <c r="AF43" s="200"/>
      <c r="AG43" s="200"/>
    </row>
    <row r="44" ht="15.75" customHeight="1">
      <c r="A44" s="417" t="s">
        <v>38</v>
      </c>
      <c r="B44" s="418" t="s">
        <v>49</v>
      </c>
      <c r="C44" s="435" t="s">
        <v>120</v>
      </c>
      <c r="D44" s="420" t="s">
        <v>121</v>
      </c>
      <c r="E44" s="421">
        <v>2.4</v>
      </c>
      <c r="F44" s="422">
        <f t="shared" si="1"/>
        <v>148.8</v>
      </c>
      <c r="G44" s="423"/>
      <c r="H44" s="424">
        <f t="shared" si="2"/>
        <v>327.36</v>
      </c>
      <c r="I44" s="425" t="s">
        <v>42</v>
      </c>
      <c r="J44" s="426">
        <f t="shared" si="3"/>
        <v>136.8</v>
      </c>
      <c r="K44" s="200"/>
      <c r="L44" s="427"/>
      <c r="M44" s="200"/>
      <c r="N44" s="200"/>
      <c r="O44" s="200"/>
      <c r="P44" s="200"/>
      <c r="Q44" s="200"/>
      <c r="R44" s="200"/>
      <c r="S44" s="200"/>
      <c r="T44" s="428">
        <f t="shared" si="4"/>
        <v>148.8</v>
      </c>
      <c r="U44" s="429">
        <v>500.0</v>
      </c>
      <c r="V44" s="430">
        <f t="shared" si="5"/>
        <v>648.8</v>
      </c>
      <c r="W44" s="431">
        <f t="shared" si="6"/>
        <v>1427.36</v>
      </c>
      <c r="X44" s="432">
        <f t="shared" si="7"/>
        <v>148.8</v>
      </c>
      <c r="Y44" s="436">
        <v>950.0</v>
      </c>
      <c r="Z44" s="437">
        <v>829.44</v>
      </c>
      <c r="AA44" s="437">
        <v>706.56</v>
      </c>
      <c r="AB44" s="426"/>
      <c r="AC44" s="426"/>
      <c r="AD44" s="200"/>
      <c r="AE44" s="200"/>
      <c r="AF44" s="200"/>
      <c r="AG44" s="200"/>
    </row>
    <row r="45" ht="15.75" customHeight="1">
      <c r="A45" s="417" t="s">
        <v>38</v>
      </c>
      <c r="B45" s="418" t="s">
        <v>49</v>
      </c>
      <c r="C45" s="435" t="s">
        <v>122</v>
      </c>
      <c r="D45" s="420" t="s">
        <v>123</v>
      </c>
      <c r="E45" s="421">
        <v>36.0</v>
      </c>
      <c r="F45" s="422">
        <f t="shared" si="1"/>
        <v>2232</v>
      </c>
      <c r="G45" s="423"/>
      <c r="H45" s="424">
        <f t="shared" si="2"/>
        <v>4910.4</v>
      </c>
      <c r="I45" s="425" t="s">
        <v>42</v>
      </c>
      <c r="J45" s="426">
        <f t="shared" si="3"/>
        <v>2052</v>
      </c>
      <c r="K45" s="200"/>
      <c r="L45" s="427"/>
      <c r="M45" s="200"/>
      <c r="N45" s="200"/>
      <c r="O45" s="200"/>
      <c r="P45" s="200"/>
      <c r="Q45" s="200"/>
      <c r="R45" s="200"/>
      <c r="S45" s="200"/>
      <c r="T45" s="428">
        <f t="shared" si="4"/>
        <v>2232</v>
      </c>
      <c r="U45" s="429">
        <v>500.0</v>
      </c>
      <c r="V45" s="430">
        <f t="shared" si="5"/>
        <v>2732</v>
      </c>
      <c r="W45" s="431">
        <f t="shared" si="6"/>
        <v>6010.4</v>
      </c>
      <c r="X45" s="432">
        <f t="shared" si="7"/>
        <v>2232</v>
      </c>
      <c r="Y45" s="436">
        <v>5600.0</v>
      </c>
      <c r="Z45" s="437">
        <v>4277.88</v>
      </c>
      <c r="AA45" s="437">
        <v>3564.9</v>
      </c>
      <c r="AB45" s="426"/>
      <c r="AC45" s="426"/>
      <c r="AD45" s="200"/>
      <c r="AE45" s="200"/>
      <c r="AF45" s="200"/>
      <c r="AG45" s="200"/>
    </row>
    <row r="46" ht="15.75" customHeight="1">
      <c r="A46" s="417" t="s">
        <v>38</v>
      </c>
      <c r="B46" s="418" t="s">
        <v>49</v>
      </c>
      <c r="C46" s="435" t="s">
        <v>124</v>
      </c>
      <c r="D46" s="420" t="s">
        <v>123</v>
      </c>
      <c r="E46" s="421">
        <v>27.0</v>
      </c>
      <c r="F46" s="422">
        <f t="shared" si="1"/>
        <v>1674</v>
      </c>
      <c r="G46" s="423"/>
      <c r="H46" s="424">
        <f t="shared" si="2"/>
        <v>3682.8</v>
      </c>
      <c r="I46" s="425" t="s">
        <v>42</v>
      </c>
      <c r="J46" s="426">
        <f t="shared" si="3"/>
        <v>1539</v>
      </c>
      <c r="K46" s="200"/>
      <c r="L46" s="427"/>
      <c r="M46" s="200"/>
      <c r="N46" s="200"/>
      <c r="O46" s="200"/>
      <c r="P46" s="200"/>
      <c r="Q46" s="200"/>
      <c r="R46" s="200"/>
      <c r="S46" s="200"/>
      <c r="T46" s="428">
        <f t="shared" si="4"/>
        <v>1674</v>
      </c>
      <c r="U46" s="429">
        <v>500.0</v>
      </c>
      <c r="V46" s="430">
        <f t="shared" si="5"/>
        <v>2174</v>
      </c>
      <c r="W46" s="431">
        <f t="shared" si="6"/>
        <v>4782.8</v>
      </c>
      <c r="X46" s="432">
        <f t="shared" si="7"/>
        <v>1674</v>
      </c>
      <c r="Y46" s="436">
        <v>3200.0</v>
      </c>
      <c r="Z46" s="437">
        <v>2673.9</v>
      </c>
      <c r="AA46" s="437">
        <v>2049.99</v>
      </c>
      <c r="AB46" s="426"/>
      <c r="AC46" s="426"/>
      <c r="AD46" s="200"/>
      <c r="AE46" s="200"/>
      <c r="AF46" s="200"/>
      <c r="AG46" s="200"/>
    </row>
    <row r="47" ht="15.75" customHeight="1">
      <c r="A47" s="417" t="s">
        <v>38</v>
      </c>
      <c r="B47" s="418" t="s">
        <v>49</v>
      </c>
      <c r="C47" s="435" t="s">
        <v>125</v>
      </c>
      <c r="D47" s="420" t="s">
        <v>126</v>
      </c>
      <c r="E47" s="421">
        <v>21.0</v>
      </c>
      <c r="F47" s="422">
        <f t="shared" si="1"/>
        <v>1302</v>
      </c>
      <c r="G47" s="423"/>
      <c r="H47" s="424">
        <f t="shared" si="2"/>
        <v>2864.4</v>
      </c>
      <c r="I47" s="425" t="s">
        <v>42</v>
      </c>
      <c r="J47" s="426">
        <f t="shared" si="3"/>
        <v>1197</v>
      </c>
      <c r="K47" s="200"/>
      <c r="L47" s="427"/>
      <c r="M47" s="200"/>
      <c r="N47" s="200"/>
      <c r="O47" s="200"/>
      <c r="P47" s="200"/>
      <c r="Q47" s="200"/>
      <c r="R47" s="200"/>
      <c r="S47" s="200"/>
      <c r="T47" s="428">
        <f t="shared" si="4"/>
        <v>1302</v>
      </c>
      <c r="U47" s="429">
        <v>500.0</v>
      </c>
      <c r="V47" s="430">
        <f t="shared" si="5"/>
        <v>1802</v>
      </c>
      <c r="W47" s="431">
        <f t="shared" si="6"/>
        <v>3964.4</v>
      </c>
      <c r="X47" s="432">
        <f t="shared" si="7"/>
        <v>1302</v>
      </c>
      <c r="Y47" s="436">
        <v>2950.0</v>
      </c>
      <c r="Z47" s="437">
        <v>2357.22</v>
      </c>
      <c r="AA47" s="437">
        <v>1802.58</v>
      </c>
      <c r="AB47" s="426"/>
      <c r="AC47" s="426"/>
      <c r="AD47" s="200"/>
      <c r="AE47" s="200"/>
      <c r="AF47" s="200"/>
      <c r="AG47" s="200"/>
    </row>
    <row r="48" ht="15.75" customHeight="1">
      <c r="A48" s="417" t="s">
        <v>38</v>
      </c>
      <c r="B48" s="418" t="s">
        <v>49</v>
      </c>
      <c r="C48" s="435" t="s">
        <v>491</v>
      </c>
      <c r="D48" s="420" t="s">
        <v>127</v>
      </c>
      <c r="E48" s="421">
        <v>21.0</v>
      </c>
      <c r="F48" s="422">
        <f t="shared" si="1"/>
        <v>1302</v>
      </c>
      <c r="G48" s="423"/>
      <c r="H48" s="424">
        <f t="shared" si="2"/>
        <v>2864.4</v>
      </c>
      <c r="I48" s="425" t="s">
        <v>42</v>
      </c>
      <c r="J48" s="426">
        <f t="shared" si="3"/>
        <v>1197</v>
      </c>
      <c r="K48" s="200"/>
      <c r="L48" s="439">
        <v>2.0</v>
      </c>
      <c r="M48" s="200"/>
      <c r="N48" s="200"/>
      <c r="O48" s="200"/>
      <c r="P48" s="200"/>
      <c r="Q48" s="200"/>
      <c r="R48" s="200"/>
      <c r="S48" s="440">
        <v>310.59</v>
      </c>
      <c r="T48" s="428">
        <f t="shared" si="4"/>
        <v>1612.59</v>
      </c>
      <c r="U48" s="429">
        <v>500.0</v>
      </c>
      <c r="V48" s="430">
        <f t="shared" si="5"/>
        <v>1802</v>
      </c>
      <c r="W48" s="431">
        <f t="shared" si="6"/>
        <v>3964.4</v>
      </c>
      <c r="X48" s="432">
        <f t="shared" si="7"/>
        <v>1302</v>
      </c>
      <c r="Y48" s="436">
        <v>4200.0</v>
      </c>
      <c r="Z48" s="437">
        <v>3050.52</v>
      </c>
      <c r="AA48" s="437">
        <v>2079.9</v>
      </c>
      <c r="AB48" s="426"/>
      <c r="AC48" s="426"/>
      <c r="AD48" s="200"/>
      <c r="AE48" s="200"/>
      <c r="AF48" s="200"/>
      <c r="AG48" s="200"/>
    </row>
    <row r="49" ht="15.75" customHeight="1">
      <c r="A49" s="417" t="s">
        <v>38</v>
      </c>
      <c r="B49" s="418" t="s">
        <v>49</v>
      </c>
      <c r="C49" s="435" t="s">
        <v>128</v>
      </c>
      <c r="D49" s="420" t="s">
        <v>492</v>
      </c>
      <c r="E49" s="421">
        <v>63.6</v>
      </c>
      <c r="F49" s="422">
        <f t="shared" si="1"/>
        <v>3943.2</v>
      </c>
      <c r="G49" s="423"/>
      <c r="H49" s="424">
        <f t="shared" si="2"/>
        <v>8675.04</v>
      </c>
      <c r="I49" s="425" t="s">
        <v>42</v>
      </c>
      <c r="J49" s="426">
        <f t="shared" si="3"/>
        <v>3625.2</v>
      </c>
      <c r="K49" s="200"/>
      <c r="L49" s="427"/>
      <c r="M49" s="200"/>
      <c r="N49" s="200"/>
      <c r="O49" s="200"/>
      <c r="P49" s="200"/>
      <c r="Q49" s="200"/>
      <c r="R49" s="200"/>
      <c r="S49" s="200"/>
      <c r="T49" s="428">
        <f t="shared" si="4"/>
        <v>3943.2</v>
      </c>
      <c r="U49" s="429">
        <v>500.0</v>
      </c>
      <c r="V49" s="430">
        <f t="shared" si="5"/>
        <v>4443.2</v>
      </c>
      <c r="W49" s="431">
        <f t="shared" si="6"/>
        <v>9775.04</v>
      </c>
      <c r="X49" s="432">
        <f t="shared" si="7"/>
        <v>3943.2</v>
      </c>
      <c r="Y49" s="436">
        <v>9950.0</v>
      </c>
      <c r="Z49" s="437">
        <v>7923.0</v>
      </c>
      <c r="AA49" s="437">
        <v>5838.0</v>
      </c>
      <c r="AB49" s="426"/>
      <c r="AC49" s="426"/>
      <c r="AD49" s="200"/>
      <c r="AE49" s="200"/>
      <c r="AF49" s="200"/>
      <c r="AG49" s="200"/>
    </row>
    <row r="50" ht="15.75" customHeight="1">
      <c r="A50" s="417" t="s">
        <v>38</v>
      </c>
      <c r="B50" s="418" t="s">
        <v>49</v>
      </c>
      <c r="C50" s="435" t="s">
        <v>130</v>
      </c>
      <c r="D50" s="420" t="s">
        <v>129</v>
      </c>
      <c r="E50" s="421">
        <v>51.6</v>
      </c>
      <c r="F50" s="422">
        <f t="shared" si="1"/>
        <v>3199.2</v>
      </c>
      <c r="G50" s="423"/>
      <c r="H50" s="424">
        <f t="shared" si="2"/>
        <v>7038.24</v>
      </c>
      <c r="I50" s="425" t="s">
        <v>42</v>
      </c>
      <c r="J50" s="426">
        <f t="shared" si="3"/>
        <v>2941.2</v>
      </c>
      <c r="K50" s="200"/>
      <c r="L50" s="453"/>
      <c r="M50" s="210"/>
      <c r="N50" s="210"/>
      <c r="O50" s="210"/>
      <c r="P50" s="210"/>
      <c r="Q50" s="210"/>
      <c r="R50" s="210"/>
      <c r="S50" s="210"/>
      <c r="T50" s="428">
        <f t="shared" si="4"/>
        <v>3199.2</v>
      </c>
      <c r="U50" s="429">
        <v>500.0</v>
      </c>
      <c r="V50" s="430">
        <f t="shared" si="5"/>
        <v>3699.2</v>
      </c>
      <c r="W50" s="431">
        <f t="shared" si="6"/>
        <v>8138.24</v>
      </c>
      <c r="X50" s="432">
        <f t="shared" si="7"/>
        <v>3199.2</v>
      </c>
      <c r="Y50" s="436">
        <v>6700.0</v>
      </c>
      <c r="Z50" s="437">
        <v>5810.94</v>
      </c>
      <c r="AA50" s="437">
        <v>4443.66</v>
      </c>
      <c r="AB50" s="445"/>
      <c r="AC50" s="445"/>
      <c r="AD50" s="210"/>
      <c r="AE50" s="210"/>
      <c r="AF50" s="210"/>
      <c r="AG50" s="210"/>
    </row>
    <row r="51">
      <c r="A51" s="417" t="s">
        <v>38</v>
      </c>
      <c r="B51" s="418" t="s">
        <v>49</v>
      </c>
      <c r="C51" s="435" t="s">
        <v>131</v>
      </c>
      <c r="D51" s="420" t="s">
        <v>132</v>
      </c>
      <c r="E51" s="421">
        <v>24.0</v>
      </c>
      <c r="F51" s="422">
        <f t="shared" si="1"/>
        <v>1488</v>
      </c>
      <c r="G51" s="423"/>
      <c r="H51" s="424">
        <f t="shared" si="2"/>
        <v>3273.6</v>
      </c>
      <c r="I51" s="425" t="s">
        <v>42</v>
      </c>
      <c r="J51" s="426">
        <f t="shared" si="3"/>
        <v>1368</v>
      </c>
      <c r="K51" s="200"/>
      <c r="L51" s="427"/>
      <c r="M51" s="200"/>
      <c r="N51" s="200"/>
      <c r="O51" s="200"/>
      <c r="P51" s="200"/>
      <c r="Q51" s="200"/>
      <c r="R51" s="200"/>
      <c r="S51" s="200"/>
      <c r="T51" s="428">
        <f t="shared" si="4"/>
        <v>1488</v>
      </c>
      <c r="U51" s="429">
        <v>500.0</v>
      </c>
      <c r="V51" s="430">
        <f t="shared" si="5"/>
        <v>1988</v>
      </c>
      <c r="W51" s="431">
        <f t="shared" si="6"/>
        <v>4373.6</v>
      </c>
      <c r="X51" s="432">
        <f t="shared" si="7"/>
        <v>1488</v>
      </c>
      <c r="Y51" s="436">
        <v>4200.0</v>
      </c>
      <c r="Z51" s="437">
        <v>3010.74</v>
      </c>
      <c r="AA51" s="437">
        <v>2059.98</v>
      </c>
      <c r="AB51" s="426"/>
      <c r="AC51" s="426"/>
      <c r="AD51" s="200"/>
      <c r="AE51" s="200"/>
      <c r="AF51" s="200"/>
      <c r="AG51" s="200"/>
    </row>
    <row r="52">
      <c r="A52" s="417" t="s">
        <v>38</v>
      </c>
      <c r="B52" s="418" t="s">
        <v>49</v>
      </c>
      <c r="C52" s="435" t="s">
        <v>133</v>
      </c>
      <c r="D52" s="420" t="s">
        <v>134</v>
      </c>
      <c r="E52" s="421">
        <v>75.0</v>
      </c>
      <c r="F52" s="422">
        <f t="shared" si="1"/>
        <v>4650</v>
      </c>
      <c r="G52" s="423"/>
      <c r="H52" s="424">
        <f t="shared" si="2"/>
        <v>10230</v>
      </c>
      <c r="I52" s="425" t="s">
        <v>42</v>
      </c>
      <c r="J52" s="426">
        <f t="shared" si="3"/>
        <v>4275</v>
      </c>
      <c r="K52" s="200"/>
      <c r="L52" s="439">
        <v>2.0</v>
      </c>
      <c r="M52" s="210"/>
      <c r="N52" s="210"/>
      <c r="O52" s="210"/>
      <c r="P52" s="210"/>
      <c r="Q52" s="210"/>
      <c r="R52" s="210"/>
      <c r="S52" s="440">
        <v>310.59</v>
      </c>
      <c r="T52" s="428">
        <f t="shared" si="4"/>
        <v>4960.59</v>
      </c>
      <c r="U52" s="429">
        <v>500.0</v>
      </c>
      <c r="V52" s="430">
        <f t="shared" si="5"/>
        <v>5150</v>
      </c>
      <c r="W52" s="431">
        <f t="shared" si="6"/>
        <v>11330</v>
      </c>
      <c r="X52" s="432">
        <f t="shared" si="7"/>
        <v>4650</v>
      </c>
      <c r="Y52" s="436">
        <v>11500.0</v>
      </c>
      <c r="Z52" s="437">
        <v>9408.42</v>
      </c>
      <c r="AA52" s="437">
        <v>7180.11</v>
      </c>
      <c r="AB52" s="445"/>
      <c r="AC52" s="445"/>
      <c r="AD52" s="210"/>
      <c r="AE52" s="210"/>
      <c r="AF52" s="210"/>
      <c r="AG52" s="210"/>
    </row>
    <row r="53">
      <c r="A53" s="417" t="s">
        <v>38</v>
      </c>
      <c r="B53" s="418" t="s">
        <v>49</v>
      </c>
      <c r="C53" s="435" t="s">
        <v>135</v>
      </c>
      <c r="D53" s="420" t="s">
        <v>493</v>
      </c>
      <c r="E53" s="421">
        <v>12.0</v>
      </c>
      <c r="F53" s="422">
        <f t="shared" si="1"/>
        <v>744</v>
      </c>
      <c r="G53" s="423"/>
      <c r="H53" s="424">
        <f t="shared" si="2"/>
        <v>1636.8</v>
      </c>
      <c r="I53" s="425" t="s">
        <v>42</v>
      </c>
      <c r="J53" s="426">
        <f t="shared" si="3"/>
        <v>684</v>
      </c>
      <c r="K53" s="200"/>
      <c r="L53" s="439">
        <v>1.0</v>
      </c>
      <c r="M53" s="200"/>
      <c r="N53" s="200"/>
      <c r="O53" s="200"/>
      <c r="P53" s="200"/>
      <c r="Q53" s="200"/>
      <c r="R53" s="200"/>
      <c r="S53" s="440">
        <v>310.59</v>
      </c>
      <c r="T53" s="428">
        <f t="shared" si="4"/>
        <v>1054.59</v>
      </c>
      <c r="U53" s="429">
        <v>500.0</v>
      </c>
      <c r="V53" s="430">
        <f t="shared" si="5"/>
        <v>1244</v>
      </c>
      <c r="W53" s="431">
        <f t="shared" si="6"/>
        <v>2736.8</v>
      </c>
      <c r="X53" s="432">
        <f t="shared" si="7"/>
        <v>744</v>
      </c>
      <c r="Y53" s="436">
        <v>1950.0</v>
      </c>
      <c r="Z53" s="437">
        <v>1346.4</v>
      </c>
      <c r="AA53" s="437">
        <v>1029.6</v>
      </c>
      <c r="AB53" s="426"/>
      <c r="AC53" s="426"/>
      <c r="AD53" s="200"/>
      <c r="AE53" s="200"/>
      <c r="AF53" s="200"/>
      <c r="AG53" s="200"/>
    </row>
    <row r="54">
      <c r="A54" s="417" t="s">
        <v>38</v>
      </c>
      <c r="B54" s="418" t="s">
        <v>49</v>
      </c>
      <c r="C54" s="435" t="s">
        <v>137</v>
      </c>
      <c r="D54" s="420" t="s">
        <v>138</v>
      </c>
      <c r="E54" s="421">
        <v>12.0</v>
      </c>
      <c r="F54" s="422">
        <f t="shared" si="1"/>
        <v>744</v>
      </c>
      <c r="G54" s="423"/>
      <c r="H54" s="424">
        <f t="shared" si="2"/>
        <v>1636.8</v>
      </c>
      <c r="I54" s="425" t="s">
        <v>42</v>
      </c>
      <c r="J54" s="426">
        <f t="shared" si="3"/>
        <v>684</v>
      </c>
      <c r="K54" s="200"/>
      <c r="L54" s="427"/>
      <c r="M54" s="200"/>
      <c r="N54" s="200"/>
      <c r="O54" s="200"/>
      <c r="P54" s="200"/>
      <c r="Q54" s="200"/>
      <c r="R54" s="200"/>
      <c r="S54" s="200"/>
      <c r="T54" s="428">
        <f t="shared" si="4"/>
        <v>744</v>
      </c>
      <c r="U54" s="429">
        <v>500.0</v>
      </c>
      <c r="V54" s="430">
        <f t="shared" si="5"/>
        <v>1244</v>
      </c>
      <c r="W54" s="431">
        <f t="shared" si="6"/>
        <v>2736.8</v>
      </c>
      <c r="X54" s="432">
        <f t="shared" si="7"/>
        <v>744</v>
      </c>
      <c r="Y54" s="436">
        <v>1850.0</v>
      </c>
      <c r="Z54" s="437">
        <v>1346.4</v>
      </c>
      <c r="AA54" s="437">
        <v>1019.46</v>
      </c>
      <c r="AB54" s="426"/>
      <c r="AC54" s="426"/>
      <c r="AD54" s="200"/>
      <c r="AE54" s="200"/>
      <c r="AF54" s="200"/>
      <c r="AG54" s="200"/>
    </row>
    <row r="55">
      <c r="A55" s="417" t="s">
        <v>38</v>
      </c>
      <c r="B55" s="418" t="s">
        <v>49</v>
      </c>
      <c r="C55" s="435" t="s">
        <v>139</v>
      </c>
      <c r="D55" s="420" t="s">
        <v>136</v>
      </c>
      <c r="E55" s="421">
        <v>12.0</v>
      </c>
      <c r="F55" s="422">
        <f t="shared" si="1"/>
        <v>744</v>
      </c>
      <c r="G55" s="423"/>
      <c r="H55" s="424">
        <f t="shared" si="2"/>
        <v>1636.8</v>
      </c>
      <c r="I55" s="425" t="s">
        <v>42</v>
      </c>
      <c r="J55" s="426">
        <f t="shared" si="3"/>
        <v>684</v>
      </c>
      <c r="K55" s="200"/>
      <c r="L55" s="439">
        <v>3.0</v>
      </c>
      <c r="M55" s="200"/>
      <c r="N55" s="200"/>
      <c r="O55" s="200"/>
      <c r="P55" s="200"/>
      <c r="Q55" s="200"/>
      <c r="R55" s="200"/>
      <c r="S55" s="440">
        <v>310.59</v>
      </c>
      <c r="T55" s="428">
        <f t="shared" si="4"/>
        <v>1054.59</v>
      </c>
      <c r="U55" s="429">
        <v>500.0</v>
      </c>
      <c r="V55" s="430">
        <f t="shared" si="5"/>
        <v>1244</v>
      </c>
      <c r="W55" s="431">
        <f t="shared" si="6"/>
        <v>2736.8</v>
      </c>
      <c r="X55" s="432">
        <f t="shared" si="7"/>
        <v>744</v>
      </c>
      <c r="Y55" s="436">
        <v>1850.0</v>
      </c>
      <c r="Z55" s="437">
        <v>1333.14</v>
      </c>
      <c r="AA55" s="437">
        <v>1019.46</v>
      </c>
      <c r="AB55" s="426"/>
      <c r="AC55" s="426"/>
      <c r="AD55" s="200"/>
      <c r="AE55" s="200"/>
      <c r="AF55" s="200"/>
      <c r="AG55" s="200"/>
    </row>
    <row r="56">
      <c r="A56" s="417"/>
      <c r="B56" s="454"/>
      <c r="C56" s="455"/>
      <c r="D56" s="456"/>
      <c r="E56" s="457"/>
      <c r="F56" s="422">
        <f t="shared" si="1"/>
        <v>0</v>
      </c>
      <c r="G56" s="423"/>
      <c r="H56" s="424">
        <f t="shared" si="2"/>
        <v>0</v>
      </c>
      <c r="I56" s="425" t="s">
        <v>42</v>
      </c>
      <c r="J56" s="426">
        <f t="shared" si="3"/>
        <v>0</v>
      </c>
      <c r="K56" s="200"/>
      <c r="L56" s="427"/>
      <c r="M56" s="200"/>
      <c r="N56" s="200"/>
      <c r="O56" s="200"/>
      <c r="P56" s="200"/>
      <c r="Q56" s="200"/>
      <c r="R56" s="200"/>
      <c r="S56" s="200"/>
      <c r="T56" s="200"/>
      <c r="U56" s="458"/>
      <c r="V56" s="430">
        <f t="shared" si="5"/>
        <v>0</v>
      </c>
      <c r="W56" s="431">
        <f t="shared" si="6"/>
        <v>0</v>
      </c>
      <c r="X56" s="459"/>
      <c r="Y56" s="460"/>
      <c r="Z56" s="461"/>
      <c r="AA56" s="461"/>
      <c r="AB56" s="426"/>
      <c r="AC56" s="426"/>
      <c r="AD56" s="200"/>
      <c r="AE56" s="200"/>
      <c r="AF56" s="200"/>
      <c r="AG56" s="200"/>
    </row>
    <row r="57" ht="15.75" customHeight="1">
      <c r="A57" s="417"/>
      <c r="B57" s="454"/>
      <c r="C57" s="462"/>
      <c r="D57" s="463"/>
      <c r="E57" s="457"/>
      <c r="F57" s="422">
        <f t="shared" si="1"/>
        <v>0</v>
      </c>
      <c r="G57" s="423"/>
      <c r="H57" s="424">
        <f t="shared" si="2"/>
        <v>0</v>
      </c>
      <c r="I57" s="425" t="s">
        <v>42</v>
      </c>
      <c r="J57" s="426">
        <f t="shared" si="3"/>
        <v>0</v>
      </c>
      <c r="K57" s="200"/>
      <c r="L57" s="427"/>
      <c r="M57" s="200"/>
      <c r="N57" s="200"/>
      <c r="O57" s="200"/>
      <c r="P57" s="200"/>
      <c r="Q57" s="200"/>
      <c r="R57" s="200"/>
      <c r="S57" s="200"/>
      <c r="T57" s="200"/>
      <c r="U57" s="458"/>
      <c r="V57" s="430">
        <f t="shared" si="5"/>
        <v>0</v>
      </c>
      <c r="W57" s="431">
        <f t="shared" si="6"/>
        <v>0</v>
      </c>
      <c r="X57" s="459"/>
      <c r="Y57" s="460"/>
      <c r="Z57" s="461"/>
      <c r="AA57" s="461"/>
      <c r="AB57" s="426"/>
      <c r="AC57" s="426"/>
      <c r="AD57" s="200"/>
      <c r="AE57" s="200"/>
      <c r="AF57" s="200"/>
      <c r="AG57" s="200"/>
    </row>
    <row r="58" ht="15.75" customHeight="1">
      <c r="A58" s="417"/>
      <c r="B58" s="454"/>
      <c r="C58" s="462"/>
      <c r="D58" s="463"/>
      <c r="E58" s="457"/>
      <c r="F58" s="422">
        <f t="shared" si="1"/>
        <v>0</v>
      </c>
      <c r="G58" s="423"/>
      <c r="H58" s="424">
        <f t="shared" si="2"/>
        <v>0</v>
      </c>
      <c r="I58" s="425" t="s">
        <v>42</v>
      </c>
      <c r="J58" s="426">
        <f t="shared" si="3"/>
        <v>0</v>
      </c>
      <c r="K58" s="200"/>
      <c r="L58" s="427"/>
      <c r="M58" s="200"/>
      <c r="N58" s="200"/>
      <c r="O58" s="200"/>
      <c r="P58" s="200"/>
      <c r="Q58" s="200"/>
      <c r="R58" s="200"/>
      <c r="S58" s="200"/>
      <c r="T58" s="200"/>
      <c r="U58" s="458"/>
      <c r="V58" s="430">
        <f t="shared" si="5"/>
        <v>0</v>
      </c>
      <c r="W58" s="431">
        <f t="shared" si="6"/>
        <v>0</v>
      </c>
      <c r="X58" s="459"/>
      <c r="Y58" s="460"/>
      <c r="Z58" s="461"/>
      <c r="AA58" s="461"/>
      <c r="AB58" s="426"/>
      <c r="AC58" s="426"/>
      <c r="AD58" s="200"/>
      <c r="AE58" s="200"/>
      <c r="AF58" s="200"/>
      <c r="AG58" s="200"/>
    </row>
    <row r="59" ht="15.75" customHeight="1">
      <c r="A59" s="417"/>
      <c r="B59" s="454"/>
      <c r="C59" s="462"/>
      <c r="D59" s="463"/>
      <c r="E59" s="457"/>
      <c r="F59" s="422">
        <f t="shared" si="1"/>
        <v>0</v>
      </c>
      <c r="G59" s="423"/>
      <c r="H59" s="424">
        <f t="shared" si="2"/>
        <v>0</v>
      </c>
      <c r="I59" s="425" t="s">
        <v>42</v>
      </c>
      <c r="J59" s="426">
        <f t="shared" si="3"/>
        <v>0</v>
      </c>
      <c r="K59" s="200"/>
      <c r="L59" s="427"/>
      <c r="M59" s="200"/>
      <c r="N59" s="200"/>
      <c r="O59" s="200"/>
      <c r="P59" s="200"/>
      <c r="Q59" s="200"/>
      <c r="R59" s="200"/>
      <c r="S59" s="200"/>
      <c r="T59" s="200"/>
      <c r="U59" s="458"/>
      <c r="V59" s="430">
        <f t="shared" si="5"/>
        <v>0</v>
      </c>
      <c r="W59" s="431">
        <f t="shared" si="6"/>
        <v>0</v>
      </c>
      <c r="X59" s="459"/>
      <c r="Y59" s="460"/>
      <c r="Z59" s="461"/>
      <c r="AA59" s="461"/>
      <c r="AB59" s="426"/>
      <c r="AC59" s="426"/>
      <c r="AD59" s="200"/>
      <c r="AE59" s="200"/>
      <c r="AF59" s="200"/>
      <c r="AG59" s="200"/>
    </row>
    <row r="60" ht="15.75" customHeight="1">
      <c r="A60" s="417"/>
      <c r="B60" s="454"/>
      <c r="C60" s="462"/>
      <c r="D60" s="463"/>
      <c r="E60" s="457"/>
      <c r="F60" s="422">
        <f t="shared" si="1"/>
        <v>0</v>
      </c>
      <c r="G60" s="423"/>
      <c r="H60" s="424">
        <f t="shared" si="2"/>
        <v>0</v>
      </c>
      <c r="I60" s="425" t="s">
        <v>42</v>
      </c>
      <c r="J60" s="426">
        <f t="shared" si="3"/>
        <v>0</v>
      </c>
      <c r="K60" s="200"/>
      <c r="L60" s="427"/>
      <c r="M60" s="200"/>
      <c r="N60" s="200"/>
      <c r="O60" s="200"/>
      <c r="P60" s="200"/>
      <c r="Q60" s="200"/>
      <c r="R60" s="200"/>
      <c r="S60" s="200"/>
      <c r="T60" s="200"/>
      <c r="U60" s="458"/>
      <c r="V60" s="430">
        <f t="shared" si="5"/>
        <v>0</v>
      </c>
      <c r="W60" s="431">
        <f t="shared" si="6"/>
        <v>0</v>
      </c>
      <c r="X60" s="459"/>
      <c r="Y60" s="460"/>
      <c r="Z60" s="461"/>
      <c r="AA60" s="461"/>
      <c r="AB60" s="426"/>
      <c r="AC60" s="426"/>
      <c r="AD60" s="200"/>
      <c r="AE60" s="200"/>
      <c r="AF60" s="200"/>
      <c r="AG60" s="200"/>
    </row>
    <row r="61" ht="15.75" customHeight="1">
      <c r="A61" s="417"/>
      <c r="B61" s="454"/>
      <c r="C61" s="455"/>
      <c r="D61" s="456"/>
      <c r="E61" s="457"/>
      <c r="F61" s="422">
        <f t="shared" si="1"/>
        <v>0</v>
      </c>
      <c r="G61" s="423"/>
      <c r="H61" s="424">
        <f t="shared" si="2"/>
        <v>0</v>
      </c>
      <c r="I61" s="425" t="s">
        <v>42</v>
      </c>
      <c r="J61" s="426">
        <f t="shared" si="3"/>
        <v>0</v>
      </c>
      <c r="K61" s="200"/>
      <c r="L61" s="427"/>
      <c r="M61" s="200"/>
      <c r="N61" s="200"/>
      <c r="O61" s="200"/>
      <c r="P61" s="200"/>
      <c r="Q61" s="200"/>
      <c r="R61" s="200"/>
      <c r="S61" s="200"/>
      <c r="T61" s="200"/>
      <c r="U61" s="458"/>
      <c r="V61" s="430">
        <f t="shared" si="5"/>
        <v>0</v>
      </c>
      <c r="W61" s="431">
        <f t="shared" si="6"/>
        <v>0</v>
      </c>
      <c r="X61" s="459"/>
      <c r="Y61" s="460"/>
      <c r="Z61" s="461"/>
      <c r="AA61" s="461"/>
      <c r="AB61" s="426"/>
      <c r="AC61" s="426"/>
      <c r="AD61" s="200"/>
      <c r="AE61" s="200"/>
      <c r="AF61" s="200"/>
      <c r="AG61" s="200"/>
    </row>
    <row r="62" ht="15.75" customHeight="1">
      <c r="A62" s="417"/>
      <c r="B62" s="454"/>
      <c r="C62" s="462"/>
      <c r="D62" s="463"/>
      <c r="E62" s="457"/>
      <c r="F62" s="422">
        <f t="shared" si="1"/>
        <v>0</v>
      </c>
      <c r="G62" s="423"/>
      <c r="H62" s="424">
        <f t="shared" si="2"/>
        <v>0</v>
      </c>
      <c r="I62" s="425" t="s">
        <v>42</v>
      </c>
      <c r="J62" s="426">
        <f t="shared" si="3"/>
        <v>0</v>
      </c>
      <c r="K62" s="200"/>
      <c r="L62" s="427"/>
      <c r="M62" s="200"/>
      <c r="N62" s="200"/>
      <c r="O62" s="200"/>
      <c r="P62" s="200"/>
      <c r="Q62" s="200"/>
      <c r="R62" s="200"/>
      <c r="S62" s="200"/>
      <c r="T62" s="200"/>
      <c r="U62" s="458"/>
      <c r="V62" s="430">
        <f t="shared" si="5"/>
        <v>0</v>
      </c>
      <c r="W62" s="431">
        <f t="shared" si="6"/>
        <v>0</v>
      </c>
      <c r="X62" s="459"/>
      <c r="Y62" s="460"/>
      <c r="Z62" s="461"/>
      <c r="AA62" s="461"/>
      <c r="AB62" s="426"/>
      <c r="AC62" s="426"/>
      <c r="AD62" s="200"/>
      <c r="AE62" s="200"/>
      <c r="AF62" s="200"/>
      <c r="AG62" s="200"/>
    </row>
    <row r="63" ht="15.75" customHeight="1">
      <c r="A63" s="417"/>
      <c r="B63" s="454"/>
      <c r="C63" s="462"/>
      <c r="D63" s="463"/>
      <c r="E63" s="457"/>
      <c r="F63" s="422">
        <f t="shared" si="1"/>
        <v>0</v>
      </c>
      <c r="G63" s="423"/>
      <c r="H63" s="424">
        <f t="shared" si="2"/>
        <v>0</v>
      </c>
      <c r="I63" s="425" t="s">
        <v>42</v>
      </c>
      <c r="J63" s="426">
        <f t="shared" si="3"/>
        <v>0</v>
      </c>
      <c r="K63" s="200"/>
      <c r="L63" s="427"/>
      <c r="M63" s="200"/>
      <c r="N63" s="200"/>
      <c r="O63" s="200"/>
      <c r="P63" s="200"/>
      <c r="Q63" s="200"/>
      <c r="R63" s="200"/>
      <c r="S63" s="200"/>
      <c r="T63" s="200"/>
      <c r="U63" s="458"/>
      <c r="V63" s="430">
        <f t="shared" si="5"/>
        <v>0</v>
      </c>
      <c r="W63" s="431">
        <f t="shared" si="6"/>
        <v>0</v>
      </c>
      <c r="X63" s="459"/>
      <c r="Y63" s="460"/>
      <c r="Z63" s="461"/>
      <c r="AA63" s="461"/>
      <c r="AB63" s="426"/>
      <c r="AC63" s="426"/>
      <c r="AD63" s="200"/>
      <c r="AE63" s="200"/>
      <c r="AF63" s="200"/>
      <c r="AG63" s="200"/>
    </row>
    <row r="64" ht="15.75" customHeight="1">
      <c r="A64" s="417"/>
      <c r="B64" s="454"/>
      <c r="C64" s="462"/>
      <c r="D64" s="463"/>
      <c r="E64" s="457"/>
      <c r="F64" s="422">
        <f t="shared" si="1"/>
        <v>0</v>
      </c>
      <c r="G64" s="423"/>
      <c r="H64" s="424">
        <f t="shared" si="2"/>
        <v>0</v>
      </c>
      <c r="I64" s="425" t="s">
        <v>42</v>
      </c>
      <c r="J64" s="426">
        <f t="shared" si="3"/>
        <v>0</v>
      </c>
      <c r="K64" s="200"/>
      <c r="L64" s="427"/>
      <c r="M64" s="200"/>
      <c r="N64" s="200"/>
      <c r="O64" s="200"/>
      <c r="P64" s="200"/>
      <c r="Q64" s="200"/>
      <c r="R64" s="200"/>
      <c r="S64" s="200"/>
      <c r="T64" s="200"/>
      <c r="U64" s="458"/>
      <c r="V64" s="430">
        <f t="shared" si="5"/>
        <v>0</v>
      </c>
      <c r="W64" s="431">
        <f t="shared" si="6"/>
        <v>0</v>
      </c>
      <c r="X64" s="459"/>
      <c r="Y64" s="460"/>
      <c r="Z64" s="461"/>
      <c r="AA64" s="461"/>
      <c r="AB64" s="426"/>
      <c r="AC64" s="426"/>
      <c r="AD64" s="200"/>
      <c r="AE64" s="200"/>
      <c r="AF64" s="200"/>
      <c r="AG64" s="200"/>
    </row>
    <row r="65" ht="15.75" customHeight="1">
      <c r="A65" s="417"/>
      <c r="B65" s="454"/>
      <c r="C65" s="455"/>
      <c r="D65" s="456"/>
      <c r="E65" s="457"/>
      <c r="F65" s="422">
        <f t="shared" si="1"/>
        <v>0</v>
      </c>
      <c r="G65" s="423"/>
      <c r="H65" s="424">
        <f t="shared" si="2"/>
        <v>0</v>
      </c>
      <c r="I65" s="425" t="s">
        <v>42</v>
      </c>
      <c r="J65" s="426">
        <f t="shared" si="3"/>
        <v>0</v>
      </c>
      <c r="K65" s="200"/>
      <c r="L65" s="427"/>
      <c r="M65" s="200"/>
      <c r="N65" s="200"/>
      <c r="O65" s="200"/>
      <c r="P65" s="200"/>
      <c r="Q65" s="200"/>
      <c r="R65" s="200"/>
      <c r="S65" s="200"/>
      <c r="T65" s="200"/>
      <c r="U65" s="458"/>
      <c r="V65" s="430">
        <f t="shared" si="5"/>
        <v>0</v>
      </c>
      <c r="W65" s="431">
        <f t="shared" si="6"/>
        <v>0</v>
      </c>
      <c r="X65" s="459"/>
      <c r="Y65" s="460"/>
      <c r="Z65" s="461"/>
      <c r="AA65" s="461"/>
      <c r="AB65" s="426"/>
      <c r="AC65" s="426"/>
      <c r="AD65" s="200"/>
      <c r="AE65" s="200"/>
      <c r="AF65" s="200"/>
      <c r="AG65" s="200"/>
    </row>
    <row r="66" ht="15.75" customHeight="1">
      <c r="A66" s="417"/>
      <c r="B66" s="454"/>
      <c r="C66" s="455"/>
      <c r="D66" s="456"/>
      <c r="E66" s="457"/>
      <c r="F66" s="422">
        <f t="shared" si="1"/>
        <v>0</v>
      </c>
      <c r="G66" s="423"/>
      <c r="H66" s="424">
        <f t="shared" si="2"/>
        <v>0</v>
      </c>
      <c r="I66" s="425" t="s">
        <v>42</v>
      </c>
      <c r="J66" s="426">
        <f t="shared" si="3"/>
        <v>0</v>
      </c>
      <c r="K66" s="200"/>
      <c r="L66" s="427"/>
      <c r="M66" s="200"/>
      <c r="N66" s="200"/>
      <c r="O66" s="200"/>
      <c r="P66" s="200"/>
      <c r="Q66" s="200"/>
      <c r="R66" s="200"/>
      <c r="S66" s="200"/>
      <c r="T66" s="200"/>
      <c r="U66" s="458"/>
      <c r="V66" s="430">
        <f t="shared" si="5"/>
        <v>0</v>
      </c>
      <c r="W66" s="431">
        <f t="shared" si="6"/>
        <v>0</v>
      </c>
      <c r="X66" s="459"/>
      <c r="Y66" s="460"/>
      <c r="Z66" s="461"/>
      <c r="AA66" s="461"/>
      <c r="AB66" s="426"/>
      <c r="AC66" s="426"/>
      <c r="AD66" s="200"/>
      <c r="AE66" s="200"/>
      <c r="AF66" s="200"/>
      <c r="AG66" s="200"/>
    </row>
    <row r="67" ht="15.75" customHeight="1">
      <c r="A67" s="417"/>
      <c r="B67" s="454"/>
      <c r="C67" s="455"/>
      <c r="D67" s="456"/>
      <c r="E67" s="457"/>
      <c r="F67" s="422">
        <f t="shared" si="1"/>
        <v>0</v>
      </c>
      <c r="G67" s="423"/>
      <c r="H67" s="424">
        <f t="shared" si="2"/>
        <v>0</v>
      </c>
      <c r="I67" s="425" t="s">
        <v>42</v>
      </c>
      <c r="J67" s="426">
        <f t="shared" si="3"/>
        <v>0</v>
      </c>
      <c r="K67" s="210"/>
      <c r="L67" s="453"/>
      <c r="M67" s="210"/>
      <c r="N67" s="210"/>
      <c r="O67" s="210"/>
      <c r="P67" s="210"/>
      <c r="Q67" s="210"/>
      <c r="R67" s="210"/>
      <c r="S67" s="210"/>
      <c r="T67" s="210"/>
      <c r="U67" s="464"/>
      <c r="V67" s="430">
        <f t="shared" si="5"/>
        <v>0</v>
      </c>
      <c r="W67" s="431">
        <f t="shared" si="6"/>
        <v>0</v>
      </c>
      <c r="X67" s="459"/>
      <c r="Y67" s="460"/>
      <c r="Z67" s="461"/>
      <c r="AA67" s="461"/>
      <c r="AB67" s="445"/>
      <c r="AC67" s="445"/>
      <c r="AD67" s="210"/>
      <c r="AE67" s="210"/>
      <c r="AF67" s="210"/>
      <c r="AG67" s="210"/>
    </row>
    <row r="68" ht="15.75" customHeight="1">
      <c r="A68" s="417"/>
      <c r="B68" s="454"/>
      <c r="C68" s="455"/>
      <c r="D68" s="456"/>
      <c r="E68" s="457"/>
      <c r="F68" s="422">
        <f t="shared" si="1"/>
        <v>0</v>
      </c>
      <c r="G68" s="423"/>
      <c r="H68" s="424">
        <f t="shared" si="2"/>
        <v>0</v>
      </c>
      <c r="I68" s="425" t="s">
        <v>42</v>
      </c>
      <c r="J68" s="426">
        <f t="shared" si="3"/>
        <v>0</v>
      </c>
      <c r="K68" s="200"/>
      <c r="L68" s="427"/>
      <c r="M68" s="200"/>
      <c r="N68" s="200"/>
      <c r="O68" s="200"/>
      <c r="P68" s="200"/>
      <c r="Q68" s="200"/>
      <c r="R68" s="200"/>
      <c r="S68" s="200"/>
      <c r="T68" s="200"/>
      <c r="U68" s="458"/>
      <c r="V68" s="430">
        <f t="shared" si="5"/>
        <v>0</v>
      </c>
      <c r="W68" s="431">
        <f t="shared" si="6"/>
        <v>0</v>
      </c>
      <c r="X68" s="459"/>
      <c r="Y68" s="460"/>
      <c r="Z68" s="461"/>
      <c r="AA68" s="461"/>
      <c r="AB68" s="426"/>
      <c r="AC68" s="426"/>
      <c r="AD68" s="200"/>
      <c r="AE68" s="200"/>
      <c r="AF68" s="200"/>
      <c r="AG68" s="200"/>
    </row>
    <row r="69" ht="15.75" customHeight="1">
      <c r="A69" s="417"/>
      <c r="B69" s="454"/>
      <c r="C69" s="455"/>
      <c r="D69" s="456"/>
      <c r="E69" s="457"/>
      <c r="F69" s="422">
        <f t="shared" si="1"/>
        <v>0</v>
      </c>
      <c r="G69" s="423"/>
      <c r="H69" s="424">
        <f t="shared" si="2"/>
        <v>0</v>
      </c>
      <c r="I69" s="425" t="s">
        <v>42</v>
      </c>
      <c r="J69" s="426">
        <f t="shared" si="3"/>
        <v>0</v>
      </c>
      <c r="K69" s="200"/>
      <c r="L69" s="427"/>
      <c r="M69" s="200"/>
      <c r="N69" s="200"/>
      <c r="O69" s="200"/>
      <c r="P69" s="200"/>
      <c r="Q69" s="200"/>
      <c r="R69" s="200"/>
      <c r="S69" s="200"/>
      <c r="T69" s="200"/>
      <c r="U69" s="458"/>
      <c r="V69" s="430">
        <f t="shared" si="5"/>
        <v>0</v>
      </c>
      <c r="W69" s="431">
        <f t="shared" si="6"/>
        <v>0</v>
      </c>
      <c r="X69" s="459"/>
      <c r="Y69" s="460"/>
      <c r="Z69" s="461"/>
      <c r="AA69" s="461"/>
      <c r="AB69" s="426"/>
      <c r="AC69" s="426"/>
      <c r="AD69" s="200"/>
      <c r="AE69" s="200"/>
      <c r="AF69" s="200"/>
      <c r="AG69" s="200"/>
    </row>
    <row r="70" ht="15.75" customHeight="1">
      <c r="A70" s="417"/>
      <c r="B70" s="454"/>
      <c r="C70" s="462"/>
      <c r="D70" s="463"/>
      <c r="E70" s="457"/>
      <c r="F70" s="422">
        <f t="shared" si="1"/>
        <v>0</v>
      </c>
      <c r="G70" s="423"/>
      <c r="H70" s="424">
        <f t="shared" si="2"/>
        <v>0</v>
      </c>
      <c r="I70" s="425" t="s">
        <v>42</v>
      </c>
      <c r="J70" s="426">
        <f t="shared" si="3"/>
        <v>0</v>
      </c>
      <c r="K70" s="200"/>
      <c r="L70" s="427"/>
      <c r="M70" s="200"/>
      <c r="N70" s="200"/>
      <c r="O70" s="200"/>
      <c r="P70" s="200"/>
      <c r="Q70" s="200"/>
      <c r="R70" s="200"/>
      <c r="S70" s="200"/>
      <c r="T70" s="200"/>
      <c r="U70" s="458"/>
      <c r="V70" s="430">
        <f t="shared" si="5"/>
        <v>0</v>
      </c>
      <c r="W70" s="431">
        <f t="shared" si="6"/>
        <v>0</v>
      </c>
      <c r="X70" s="459"/>
      <c r="Y70" s="460"/>
      <c r="Z70" s="461"/>
      <c r="AA70" s="461"/>
      <c r="AB70" s="426"/>
      <c r="AC70" s="426"/>
      <c r="AD70" s="200"/>
      <c r="AE70" s="200"/>
      <c r="AF70" s="200"/>
      <c r="AG70" s="200"/>
    </row>
    <row r="71" ht="15.75" customHeight="1">
      <c r="A71" s="417"/>
      <c r="B71" s="454"/>
      <c r="C71" s="462"/>
      <c r="D71" s="463"/>
      <c r="E71" s="457"/>
      <c r="F71" s="422">
        <f t="shared" si="1"/>
        <v>0</v>
      </c>
      <c r="G71" s="423"/>
      <c r="H71" s="424">
        <f t="shared" si="2"/>
        <v>0</v>
      </c>
      <c r="I71" s="425" t="s">
        <v>42</v>
      </c>
      <c r="J71" s="426">
        <f t="shared" si="3"/>
        <v>0</v>
      </c>
      <c r="K71" s="200"/>
      <c r="L71" s="427"/>
      <c r="M71" s="200"/>
      <c r="N71" s="200"/>
      <c r="O71" s="200"/>
      <c r="P71" s="200"/>
      <c r="Q71" s="200"/>
      <c r="R71" s="200"/>
      <c r="S71" s="200"/>
      <c r="T71" s="200"/>
      <c r="U71" s="458"/>
      <c r="V71" s="430">
        <f t="shared" si="5"/>
        <v>0</v>
      </c>
      <c r="W71" s="431">
        <f t="shared" si="6"/>
        <v>0</v>
      </c>
      <c r="X71" s="459"/>
      <c r="Y71" s="460"/>
      <c r="Z71" s="461"/>
      <c r="AA71" s="461"/>
      <c r="AB71" s="426"/>
      <c r="AC71" s="426"/>
      <c r="AD71" s="200"/>
      <c r="AE71" s="200"/>
      <c r="AF71" s="200"/>
      <c r="AG71" s="200"/>
    </row>
    <row r="72" ht="15.75" customHeight="1">
      <c r="A72" s="417"/>
      <c r="B72" s="454"/>
      <c r="C72" s="455"/>
      <c r="D72" s="456"/>
      <c r="E72" s="457"/>
      <c r="F72" s="422">
        <f t="shared" si="1"/>
        <v>0</v>
      </c>
      <c r="G72" s="423"/>
      <c r="H72" s="424">
        <f t="shared" si="2"/>
        <v>0</v>
      </c>
      <c r="I72" s="425" t="s">
        <v>42</v>
      </c>
      <c r="J72" s="426">
        <f t="shared" si="3"/>
        <v>0</v>
      </c>
      <c r="K72" s="200"/>
      <c r="L72" s="427"/>
      <c r="M72" s="200"/>
      <c r="N72" s="200"/>
      <c r="O72" s="200"/>
      <c r="P72" s="200"/>
      <c r="Q72" s="200"/>
      <c r="R72" s="200"/>
      <c r="S72" s="200"/>
      <c r="T72" s="200"/>
      <c r="U72" s="458"/>
      <c r="V72" s="430">
        <f t="shared" si="5"/>
        <v>0</v>
      </c>
      <c r="W72" s="431">
        <f t="shared" si="6"/>
        <v>0</v>
      </c>
      <c r="X72" s="459"/>
      <c r="Y72" s="460"/>
      <c r="Z72" s="461"/>
      <c r="AA72" s="461"/>
      <c r="AB72" s="426"/>
      <c r="AC72" s="426"/>
      <c r="AD72" s="200"/>
      <c r="AE72" s="200"/>
      <c r="AF72" s="200"/>
      <c r="AG72" s="200"/>
    </row>
    <row r="73" ht="15.75" customHeight="1">
      <c r="A73" s="417"/>
      <c r="B73" s="454"/>
      <c r="C73" s="455"/>
      <c r="D73" s="456"/>
      <c r="E73" s="457"/>
      <c r="F73" s="422">
        <f t="shared" si="1"/>
        <v>0</v>
      </c>
      <c r="G73" s="423"/>
      <c r="H73" s="424">
        <f t="shared" si="2"/>
        <v>0</v>
      </c>
      <c r="I73" s="425" t="s">
        <v>42</v>
      </c>
      <c r="J73" s="426">
        <f t="shared" si="3"/>
        <v>0</v>
      </c>
      <c r="K73" s="200"/>
      <c r="L73" s="427"/>
      <c r="M73" s="200"/>
      <c r="N73" s="200"/>
      <c r="O73" s="200"/>
      <c r="P73" s="200"/>
      <c r="Q73" s="200"/>
      <c r="R73" s="200"/>
      <c r="S73" s="200"/>
      <c r="T73" s="200"/>
      <c r="U73" s="458"/>
      <c r="V73" s="430">
        <f t="shared" si="5"/>
        <v>0</v>
      </c>
      <c r="W73" s="431">
        <f t="shared" si="6"/>
        <v>0</v>
      </c>
      <c r="X73" s="459"/>
      <c r="Y73" s="460"/>
      <c r="Z73" s="461"/>
      <c r="AA73" s="461"/>
      <c r="AB73" s="426"/>
      <c r="AC73" s="426"/>
      <c r="AD73" s="200"/>
      <c r="AE73" s="200"/>
      <c r="AF73" s="200"/>
      <c r="AG73" s="200"/>
    </row>
    <row r="74" ht="15.75" customHeight="1">
      <c r="A74" s="417"/>
      <c r="B74" s="454"/>
      <c r="C74" s="455"/>
      <c r="D74" s="456"/>
      <c r="E74" s="457"/>
      <c r="F74" s="422">
        <f t="shared" si="1"/>
        <v>0</v>
      </c>
      <c r="G74" s="423"/>
      <c r="H74" s="424">
        <f t="shared" si="2"/>
        <v>0</v>
      </c>
      <c r="I74" s="425" t="s">
        <v>42</v>
      </c>
      <c r="J74" s="426">
        <f t="shared" si="3"/>
        <v>0</v>
      </c>
      <c r="K74" s="200"/>
      <c r="L74" s="427"/>
      <c r="M74" s="200"/>
      <c r="N74" s="200"/>
      <c r="O74" s="200"/>
      <c r="P74" s="200"/>
      <c r="Q74" s="200"/>
      <c r="R74" s="200"/>
      <c r="S74" s="200"/>
      <c r="T74" s="200"/>
      <c r="U74" s="458"/>
      <c r="V74" s="430">
        <f t="shared" si="5"/>
        <v>0</v>
      </c>
      <c r="W74" s="431">
        <f t="shared" si="6"/>
        <v>0</v>
      </c>
      <c r="X74" s="459"/>
      <c r="Y74" s="460"/>
      <c r="Z74" s="461"/>
      <c r="AA74" s="461"/>
      <c r="AB74" s="426"/>
      <c r="AC74" s="426"/>
      <c r="AD74" s="200"/>
      <c r="AE74" s="200"/>
      <c r="AF74" s="200"/>
      <c r="AG74" s="200"/>
    </row>
    <row r="75" ht="15.75" customHeight="1">
      <c r="A75" s="417"/>
      <c r="B75" s="454"/>
      <c r="C75" s="462"/>
      <c r="D75" s="463"/>
      <c r="E75" s="457"/>
      <c r="F75" s="422">
        <f t="shared" si="1"/>
        <v>0</v>
      </c>
      <c r="G75" s="423"/>
      <c r="H75" s="424">
        <f t="shared" si="2"/>
        <v>0</v>
      </c>
      <c r="I75" s="425" t="s">
        <v>42</v>
      </c>
      <c r="J75" s="426">
        <f t="shared" si="3"/>
        <v>0</v>
      </c>
      <c r="K75" s="200"/>
      <c r="L75" s="427"/>
      <c r="M75" s="200"/>
      <c r="N75" s="200"/>
      <c r="O75" s="200"/>
      <c r="P75" s="200"/>
      <c r="Q75" s="200"/>
      <c r="R75" s="200"/>
      <c r="S75" s="200"/>
      <c r="T75" s="200"/>
      <c r="U75" s="458"/>
      <c r="V75" s="430">
        <f t="shared" si="5"/>
        <v>0</v>
      </c>
      <c r="W75" s="431">
        <f t="shared" si="6"/>
        <v>0</v>
      </c>
      <c r="X75" s="459"/>
      <c r="Y75" s="460"/>
      <c r="Z75" s="461"/>
      <c r="AA75" s="461"/>
      <c r="AB75" s="426"/>
      <c r="AC75" s="426"/>
      <c r="AD75" s="200"/>
      <c r="AE75" s="200"/>
      <c r="AF75" s="200"/>
      <c r="AG75" s="200"/>
    </row>
    <row r="76" ht="15.75" customHeight="1">
      <c r="A76" s="417"/>
      <c r="B76" s="454"/>
      <c r="C76" s="462"/>
      <c r="D76" s="463"/>
      <c r="E76" s="457"/>
      <c r="F76" s="422">
        <f t="shared" si="1"/>
        <v>0</v>
      </c>
      <c r="G76" s="423"/>
      <c r="H76" s="424">
        <f t="shared" si="2"/>
        <v>0</v>
      </c>
      <c r="I76" s="425" t="s">
        <v>42</v>
      </c>
      <c r="J76" s="426">
        <f t="shared" si="3"/>
        <v>0</v>
      </c>
      <c r="K76" s="200"/>
      <c r="L76" s="427"/>
      <c r="M76" s="200"/>
      <c r="N76" s="200"/>
      <c r="O76" s="200"/>
      <c r="P76" s="200"/>
      <c r="Q76" s="200"/>
      <c r="R76" s="200"/>
      <c r="S76" s="200"/>
      <c r="T76" s="200"/>
      <c r="U76" s="458"/>
      <c r="V76" s="430">
        <f t="shared" si="5"/>
        <v>0</v>
      </c>
      <c r="W76" s="431">
        <f t="shared" si="6"/>
        <v>0</v>
      </c>
      <c r="X76" s="459"/>
      <c r="Y76" s="460"/>
      <c r="Z76" s="461"/>
      <c r="AA76" s="461"/>
      <c r="AB76" s="426"/>
      <c r="AC76" s="426"/>
      <c r="AD76" s="200"/>
      <c r="AE76" s="200"/>
      <c r="AF76" s="200"/>
      <c r="AG76" s="200"/>
    </row>
    <row r="77" ht="15.75" customHeight="1">
      <c r="A77" s="417"/>
      <c r="B77" s="454"/>
      <c r="C77" s="455"/>
      <c r="D77" s="456"/>
      <c r="E77" s="457"/>
      <c r="F77" s="422">
        <f t="shared" si="1"/>
        <v>0</v>
      </c>
      <c r="G77" s="423"/>
      <c r="H77" s="424">
        <f t="shared" si="2"/>
        <v>0</v>
      </c>
      <c r="I77" s="425" t="s">
        <v>42</v>
      </c>
      <c r="J77" s="426">
        <f t="shared" si="3"/>
        <v>0</v>
      </c>
      <c r="K77" s="200"/>
      <c r="L77" s="427"/>
      <c r="M77" s="200"/>
      <c r="N77" s="200"/>
      <c r="O77" s="200"/>
      <c r="P77" s="200"/>
      <c r="Q77" s="200"/>
      <c r="R77" s="200"/>
      <c r="S77" s="200"/>
      <c r="T77" s="200"/>
      <c r="U77" s="458"/>
      <c r="V77" s="430">
        <f t="shared" si="5"/>
        <v>0</v>
      </c>
      <c r="W77" s="431">
        <f t="shared" si="6"/>
        <v>0</v>
      </c>
      <c r="X77" s="459"/>
      <c r="Y77" s="460"/>
      <c r="Z77" s="461"/>
      <c r="AA77" s="461"/>
      <c r="AB77" s="426"/>
      <c r="AC77" s="426"/>
      <c r="AD77" s="200"/>
      <c r="AE77" s="200"/>
      <c r="AF77" s="200"/>
      <c r="AG77" s="200"/>
    </row>
    <row r="78" ht="15.75" customHeight="1">
      <c r="A78" s="417"/>
      <c r="B78" s="454"/>
      <c r="C78" s="455"/>
      <c r="D78" s="456"/>
      <c r="E78" s="457"/>
      <c r="F78" s="422">
        <f t="shared" si="1"/>
        <v>0</v>
      </c>
      <c r="G78" s="423"/>
      <c r="H78" s="424">
        <f t="shared" si="2"/>
        <v>0</v>
      </c>
      <c r="I78" s="425" t="s">
        <v>42</v>
      </c>
      <c r="J78" s="426">
        <f t="shared" si="3"/>
        <v>0</v>
      </c>
      <c r="K78" s="200"/>
      <c r="L78" s="427"/>
      <c r="M78" s="200"/>
      <c r="N78" s="200"/>
      <c r="O78" s="200"/>
      <c r="P78" s="200"/>
      <c r="Q78" s="200"/>
      <c r="R78" s="200"/>
      <c r="S78" s="200"/>
      <c r="T78" s="200"/>
      <c r="U78" s="458"/>
      <c r="V78" s="430">
        <f t="shared" si="5"/>
        <v>0</v>
      </c>
      <c r="W78" s="431">
        <f t="shared" si="6"/>
        <v>0</v>
      </c>
      <c r="X78" s="459"/>
      <c r="Y78" s="460"/>
      <c r="Z78" s="461"/>
      <c r="AA78" s="461"/>
      <c r="AB78" s="426"/>
      <c r="AC78" s="426"/>
      <c r="AD78" s="200"/>
      <c r="AE78" s="200"/>
      <c r="AF78" s="200"/>
      <c r="AG78" s="200"/>
    </row>
    <row r="79" ht="15.75" customHeight="1">
      <c r="A79" s="417"/>
      <c r="B79" s="454"/>
      <c r="C79" s="462"/>
      <c r="D79" s="463"/>
      <c r="E79" s="457"/>
      <c r="F79" s="422">
        <f t="shared" si="1"/>
        <v>0</v>
      </c>
      <c r="G79" s="423"/>
      <c r="H79" s="424">
        <f t="shared" si="2"/>
        <v>0</v>
      </c>
      <c r="I79" s="425" t="s">
        <v>42</v>
      </c>
      <c r="J79" s="426">
        <f t="shared" si="3"/>
        <v>0</v>
      </c>
      <c r="K79" s="200"/>
      <c r="L79" s="427"/>
      <c r="M79" s="200"/>
      <c r="N79" s="200"/>
      <c r="O79" s="200"/>
      <c r="P79" s="200"/>
      <c r="Q79" s="200"/>
      <c r="R79" s="200"/>
      <c r="S79" s="200"/>
      <c r="T79" s="200"/>
      <c r="U79" s="458"/>
      <c r="V79" s="430">
        <f t="shared" si="5"/>
        <v>0</v>
      </c>
      <c r="W79" s="431">
        <f t="shared" si="6"/>
        <v>0</v>
      </c>
      <c r="X79" s="459"/>
      <c r="Y79" s="460"/>
      <c r="Z79" s="461"/>
      <c r="AA79" s="461"/>
      <c r="AB79" s="426"/>
      <c r="AC79" s="426"/>
      <c r="AD79" s="200"/>
      <c r="AE79" s="200"/>
      <c r="AF79" s="200"/>
      <c r="AG79" s="200"/>
    </row>
    <row r="80" ht="15.75" customHeight="1">
      <c r="A80" s="417"/>
      <c r="B80" s="454"/>
      <c r="C80" s="462"/>
      <c r="D80" s="463"/>
      <c r="E80" s="457"/>
      <c r="F80" s="422">
        <f t="shared" si="1"/>
        <v>0</v>
      </c>
      <c r="G80" s="423"/>
      <c r="H80" s="424">
        <f t="shared" si="2"/>
        <v>0</v>
      </c>
      <c r="I80" s="425" t="s">
        <v>42</v>
      </c>
      <c r="J80" s="426">
        <f t="shared" si="3"/>
        <v>0</v>
      </c>
      <c r="K80" s="200"/>
      <c r="L80" s="427"/>
      <c r="M80" s="200"/>
      <c r="N80" s="200"/>
      <c r="O80" s="200"/>
      <c r="P80" s="200"/>
      <c r="Q80" s="200"/>
      <c r="R80" s="200"/>
      <c r="S80" s="200"/>
      <c r="T80" s="200"/>
      <c r="U80" s="458"/>
      <c r="V80" s="430">
        <f t="shared" si="5"/>
        <v>0</v>
      </c>
      <c r="W80" s="431">
        <f t="shared" si="6"/>
        <v>0</v>
      </c>
      <c r="X80" s="459"/>
      <c r="Y80" s="460"/>
      <c r="Z80" s="461"/>
      <c r="AA80" s="461"/>
      <c r="AB80" s="426"/>
      <c r="AC80" s="426"/>
      <c r="AD80" s="200"/>
      <c r="AE80" s="200"/>
      <c r="AF80" s="200"/>
      <c r="AG80" s="200"/>
    </row>
    <row r="81" ht="15.75" customHeight="1">
      <c r="A81" s="417"/>
      <c r="B81" s="454"/>
      <c r="C81" s="462"/>
      <c r="D81" s="463"/>
      <c r="E81" s="457"/>
      <c r="F81" s="422">
        <f t="shared" si="1"/>
        <v>0</v>
      </c>
      <c r="G81" s="423"/>
      <c r="H81" s="424">
        <f t="shared" si="2"/>
        <v>0</v>
      </c>
      <c r="I81" s="425" t="s">
        <v>42</v>
      </c>
      <c r="J81" s="426">
        <f t="shared" si="3"/>
        <v>0</v>
      </c>
      <c r="K81" s="200"/>
      <c r="L81" s="427"/>
      <c r="M81" s="200"/>
      <c r="N81" s="200"/>
      <c r="O81" s="200"/>
      <c r="P81" s="200"/>
      <c r="Q81" s="200"/>
      <c r="R81" s="200"/>
      <c r="S81" s="200"/>
      <c r="T81" s="200"/>
      <c r="U81" s="458"/>
      <c r="V81" s="430">
        <f t="shared" si="5"/>
        <v>0</v>
      </c>
      <c r="W81" s="431">
        <f t="shared" si="6"/>
        <v>0</v>
      </c>
      <c r="X81" s="459"/>
      <c r="Y81" s="460"/>
      <c r="Z81" s="461"/>
      <c r="AA81" s="461"/>
      <c r="AB81" s="426"/>
      <c r="AC81" s="426"/>
      <c r="AD81" s="200"/>
      <c r="AE81" s="200"/>
      <c r="AF81" s="200"/>
      <c r="AG81" s="200"/>
    </row>
    <row r="82" ht="15.75" customHeight="1">
      <c r="A82" s="417"/>
      <c r="B82" s="454"/>
      <c r="C82" s="455"/>
      <c r="D82" s="456"/>
      <c r="E82" s="457"/>
      <c r="F82" s="422">
        <f t="shared" si="1"/>
        <v>0</v>
      </c>
      <c r="G82" s="423"/>
      <c r="H82" s="424">
        <f t="shared" si="2"/>
        <v>0</v>
      </c>
      <c r="I82" s="425" t="s">
        <v>42</v>
      </c>
      <c r="J82" s="426">
        <f t="shared" si="3"/>
        <v>0</v>
      </c>
      <c r="K82" s="200"/>
      <c r="L82" s="427"/>
      <c r="M82" s="200"/>
      <c r="N82" s="200"/>
      <c r="O82" s="200"/>
      <c r="P82" s="200"/>
      <c r="Q82" s="200"/>
      <c r="R82" s="200"/>
      <c r="S82" s="200"/>
      <c r="T82" s="200"/>
      <c r="U82" s="458"/>
      <c r="V82" s="430">
        <f t="shared" si="5"/>
        <v>0</v>
      </c>
      <c r="W82" s="431">
        <f t="shared" si="6"/>
        <v>0</v>
      </c>
      <c r="X82" s="459"/>
      <c r="Y82" s="460"/>
      <c r="Z82" s="461"/>
      <c r="AA82" s="461"/>
      <c r="AB82" s="426"/>
      <c r="AC82" s="426"/>
      <c r="AD82" s="200"/>
      <c r="AE82" s="200"/>
      <c r="AF82" s="200"/>
      <c r="AG82" s="200"/>
    </row>
    <row r="83" ht="15.75" customHeight="1">
      <c r="A83" s="417"/>
      <c r="B83" s="454"/>
      <c r="C83" s="455"/>
      <c r="D83" s="456"/>
      <c r="E83" s="457"/>
      <c r="F83" s="422">
        <f t="shared" si="1"/>
        <v>0</v>
      </c>
      <c r="G83" s="423"/>
      <c r="H83" s="424">
        <f t="shared" si="2"/>
        <v>0</v>
      </c>
      <c r="I83" s="425" t="s">
        <v>42</v>
      </c>
      <c r="J83" s="426">
        <f t="shared" si="3"/>
        <v>0</v>
      </c>
      <c r="K83" s="200"/>
      <c r="L83" s="427"/>
      <c r="M83" s="200"/>
      <c r="N83" s="200"/>
      <c r="O83" s="200"/>
      <c r="P83" s="200"/>
      <c r="Q83" s="200"/>
      <c r="R83" s="200"/>
      <c r="S83" s="200"/>
      <c r="T83" s="200"/>
      <c r="U83" s="458"/>
      <c r="V83" s="430">
        <f t="shared" si="5"/>
        <v>0</v>
      </c>
      <c r="W83" s="431">
        <f t="shared" si="6"/>
        <v>0</v>
      </c>
      <c r="X83" s="459"/>
      <c r="Y83" s="460"/>
      <c r="Z83" s="461"/>
      <c r="AA83" s="461"/>
      <c r="AB83" s="426"/>
      <c r="AC83" s="426"/>
      <c r="AD83" s="200"/>
      <c r="AE83" s="200"/>
      <c r="AF83" s="200"/>
      <c r="AG83" s="200"/>
    </row>
    <row r="84" ht="15.75" customHeight="1">
      <c r="A84" s="417"/>
      <c r="B84" s="454"/>
      <c r="C84" s="462"/>
      <c r="D84" s="463"/>
      <c r="E84" s="457"/>
      <c r="F84" s="422">
        <f t="shared" si="1"/>
        <v>0</v>
      </c>
      <c r="G84" s="423"/>
      <c r="H84" s="424">
        <f t="shared" si="2"/>
        <v>0</v>
      </c>
      <c r="I84" s="425" t="s">
        <v>42</v>
      </c>
      <c r="J84" s="426">
        <f t="shared" si="3"/>
        <v>0</v>
      </c>
      <c r="K84" s="200"/>
      <c r="L84" s="427"/>
      <c r="M84" s="200"/>
      <c r="N84" s="200"/>
      <c r="O84" s="200"/>
      <c r="P84" s="200"/>
      <c r="Q84" s="200"/>
      <c r="R84" s="200"/>
      <c r="S84" s="200"/>
      <c r="T84" s="200"/>
      <c r="U84" s="458"/>
      <c r="V84" s="430">
        <f t="shared" si="5"/>
        <v>0</v>
      </c>
      <c r="W84" s="431">
        <f t="shared" si="6"/>
        <v>0</v>
      </c>
      <c r="X84" s="459"/>
      <c r="Y84" s="460"/>
      <c r="Z84" s="461"/>
      <c r="AA84" s="461"/>
      <c r="AB84" s="426"/>
      <c r="AC84" s="426"/>
      <c r="AD84" s="200"/>
      <c r="AE84" s="200"/>
      <c r="AF84" s="200"/>
      <c r="AG84" s="200"/>
    </row>
    <row r="85" ht="15.75" customHeight="1">
      <c r="A85" s="417"/>
      <c r="B85" s="454"/>
      <c r="C85" s="462"/>
      <c r="D85" s="463"/>
      <c r="E85" s="457"/>
      <c r="F85" s="422">
        <f t="shared" si="1"/>
        <v>0</v>
      </c>
      <c r="G85" s="423"/>
      <c r="H85" s="424">
        <f t="shared" si="2"/>
        <v>0</v>
      </c>
      <c r="I85" s="425" t="s">
        <v>42</v>
      </c>
      <c r="J85" s="426">
        <f t="shared" si="3"/>
        <v>0</v>
      </c>
      <c r="K85" s="200"/>
      <c r="L85" s="427"/>
      <c r="M85" s="200"/>
      <c r="N85" s="200"/>
      <c r="O85" s="200"/>
      <c r="P85" s="200"/>
      <c r="Q85" s="200"/>
      <c r="R85" s="200"/>
      <c r="S85" s="200"/>
      <c r="T85" s="200"/>
      <c r="U85" s="458"/>
      <c r="V85" s="430">
        <f t="shared" si="5"/>
        <v>0</v>
      </c>
      <c r="W85" s="431">
        <f t="shared" si="6"/>
        <v>0</v>
      </c>
      <c r="X85" s="459"/>
      <c r="Y85" s="460"/>
      <c r="Z85" s="461"/>
      <c r="AA85" s="461"/>
      <c r="AB85" s="426"/>
      <c r="AC85" s="426"/>
      <c r="AD85" s="200"/>
      <c r="AE85" s="200"/>
      <c r="AF85" s="200"/>
      <c r="AG85" s="200"/>
    </row>
    <row r="86" ht="15.75" customHeight="1">
      <c r="A86" s="417"/>
      <c r="B86" s="454"/>
      <c r="C86" s="462"/>
      <c r="D86" s="463"/>
      <c r="E86" s="457"/>
      <c r="F86" s="422">
        <f t="shared" si="1"/>
        <v>0</v>
      </c>
      <c r="G86" s="423"/>
      <c r="H86" s="424">
        <f t="shared" si="2"/>
        <v>0</v>
      </c>
      <c r="I86" s="425" t="s">
        <v>42</v>
      </c>
      <c r="J86" s="426">
        <f t="shared" si="3"/>
        <v>0</v>
      </c>
      <c r="K86" s="200"/>
      <c r="L86" s="427"/>
      <c r="M86" s="200"/>
      <c r="N86" s="200"/>
      <c r="O86" s="200"/>
      <c r="P86" s="200"/>
      <c r="Q86" s="200"/>
      <c r="R86" s="200"/>
      <c r="S86" s="200"/>
      <c r="T86" s="200"/>
      <c r="U86" s="458"/>
      <c r="V86" s="430">
        <f t="shared" si="5"/>
        <v>0</v>
      </c>
      <c r="W86" s="431">
        <f t="shared" si="6"/>
        <v>0</v>
      </c>
      <c r="X86" s="459"/>
      <c r="Y86" s="460"/>
      <c r="Z86" s="461"/>
      <c r="AA86" s="461"/>
      <c r="AB86" s="426"/>
      <c r="AC86" s="426"/>
      <c r="AD86" s="200"/>
      <c r="AE86" s="200"/>
      <c r="AF86" s="200"/>
      <c r="AG86" s="200"/>
    </row>
    <row r="87" ht="15.75" customHeight="1">
      <c r="A87" s="417"/>
      <c r="B87" s="454"/>
      <c r="C87" s="462"/>
      <c r="D87" s="463"/>
      <c r="E87" s="457"/>
      <c r="F87" s="422">
        <f t="shared" si="1"/>
        <v>0</v>
      </c>
      <c r="G87" s="423"/>
      <c r="H87" s="424">
        <f t="shared" si="2"/>
        <v>0</v>
      </c>
      <c r="I87" s="425" t="s">
        <v>42</v>
      </c>
      <c r="J87" s="426">
        <f t="shared" si="3"/>
        <v>0</v>
      </c>
      <c r="K87" s="200"/>
      <c r="L87" s="427"/>
      <c r="M87" s="200"/>
      <c r="N87" s="200"/>
      <c r="O87" s="200"/>
      <c r="P87" s="200"/>
      <c r="Q87" s="200"/>
      <c r="R87" s="200"/>
      <c r="S87" s="200"/>
      <c r="T87" s="200"/>
      <c r="U87" s="458"/>
      <c r="V87" s="430">
        <f t="shared" si="5"/>
        <v>0</v>
      </c>
      <c r="W87" s="431">
        <f t="shared" si="6"/>
        <v>0</v>
      </c>
      <c r="X87" s="459"/>
      <c r="Y87" s="460"/>
      <c r="Z87" s="461"/>
      <c r="AA87" s="461"/>
      <c r="AB87" s="426"/>
      <c r="AC87" s="426"/>
      <c r="AD87" s="200"/>
      <c r="AE87" s="200"/>
      <c r="AF87" s="200"/>
      <c r="AG87" s="200"/>
    </row>
    <row r="88" ht="15.75" customHeight="1">
      <c r="A88" s="417"/>
      <c r="B88" s="454"/>
      <c r="C88" s="462"/>
      <c r="D88" s="463"/>
      <c r="E88" s="457"/>
      <c r="F88" s="422">
        <f t="shared" si="1"/>
        <v>0</v>
      </c>
      <c r="G88" s="423"/>
      <c r="H88" s="424">
        <f t="shared" si="2"/>
        <v>0</v>
      </c>
      <c r="I88" s="425" t="s">
        <v>42</v>
      </c>
      <c r="J88" s="426">
        <f t="shared" si="3"/>
        <v>0</v>
      </c>
      <c r="K88" s="200"/>
      <c r="L88" s="427"/>
      <c r="M88" s="200"/>
      <c r="N88" s="200"/>
      <c r="O88" s="200"/>
      <c r="P88" s="200"/>
      <c r="Q88" s="200"/>
      <c r="R88" s="200"/>
      <c r="S88" s="200"/>
      <c r="T88" s="200"/>
      <c r="U88" s="458"/>
      <c r="V88" s="430">
        <f t="shared" si="5"/>
        <v>0</v>
      </c>
      <c r="W88" s="431">
        <f t="shared" si="6"/>
        <v>0</v>
      </c>
      <c r="X88" s="459"/>
      <c r="Y88" s="460"/>
      <c r="Z88" s="461"/>
      <c r="AA88" s="461"/>
      <c r="AB88" s="426"/>
      <c r="AC88" s="426"/>
      <c r="AD88" s="200"/>
      <c r="AE88" s="200"/>
      <c r="AF88" s="200"/>
      <c r="AG88" s="200"/>
    </row>
    <row r="89" ht="15.75" customHeight="1">
      <c r="A89" s="417"/>
      <c r="B89" s="454"/>
      <c r="C89" s="462"/>
      <c r="D89" s="463"/>
      <c r="E89" s="457"/>
      <c r="F89" s="422">
        <f t="shared" si="1"/>
        <v>0</v>
      </c>
      <c r="G89" s="423"/>
      <c r="H89" s="424">
        <f t="shared" si="2"/>
        <v>0</v>
      </c>
      <c r="I89" s="425" t="s">
        <v>42</v>
      </c>
      <c r="J89" s="426">
        <f t="shared" si="3"/>
        <v>0</v>
      </c>
      <c r="K89" s="200"/>
      <c r="L89" s="427"/>
      <c r="M89" s="200"/>
      <c r="N89" s="200"/>
      <c r="O89" s="200"/>
      <c r="P89" s="200"/>
      <c r="Q89" s="200"/>
      <c r="R89" s="200"/>
      <c r="S89" s="200"/>
      <c r="T89" s="200"/>
      <c r="U89" s="458"/>
      <c r="V89" s="430">
        <f t="shared" si="5"/>
        <v>0</v>
      </c>
      <c r="W89" s="431">
        <f t="shared" si="6"/>
        <v>0</v>
      </c>
      <c r="X89" s="459"/>
      <c r="Y89" s="460"/>
      <c r="Z89" s="461"/>
      <c r="AA89" s="461"/>
      <c r="AB89" s="426"/>
      <c r="AC89" s="426"/>
      <c r="AD89" s="200"/>
      <c r="AE89" s="200"/>
      <c r="AF89" s="200"/>
      <c r="AG89" s="200"/>
    </row>
    <row r="90" ht="15.75" customHeight="1">
      <c r="A90" s="417"/>
      <c r="B90" s="454"/>
      <c r="C90" s="455"/>
      <c r="D90" s="456"/>
      <c r="E90" s="457"/>
      <c r="F90" s="422">
        <f t="shared" si="1"/>
        <v>0</v>
      </c>
      <c r="G90" s="423"/>
      <c r="H90" s="424">
        <f t="shared" si="2"/>
        <v>0</v>
      </c>
      <c r="I90" s="425" t="s">
        <v>42</v>
      </c>
      <c r="J90" s="426">
        <f t="shared" si="3"/>
        <v>0</v>
      </c>
      <c r="K90" s="200"/>
      <c r="L90" s="427"/>
      <c r="M90" s="200"/>
      <c r="N90" s="200"/>
      <c r="O90" s="200"/>
      <c r="P90" s="200"/>
      <c r="Q90" s="200"/>
      <c r="R90" s="200"/>
      <c r="S90" s="200"/>
      <c r="T90" s="200"/>
      <c r="U90" s="458"/>
      <c r="V90" s="430">
        <f t="shared" si="5"/>
        <v>0</v>
      </c>
      <c r="W90" s="431">
        <f t="shared" si="6"/>
        <v>0</v>
      </c>
      <c r="X90" s="459"/>
      <c r="Y90" s="460"/>
      <c r="Z90" s="461"/>
      <c r="AA90" s="461"/>
      <c r="AB90" s="426"/>
      <c r="AC90" s="426"/>
      <c r="AD90" s="200"/>
      <c r="AE90" s="200"/>
      <c r="AF90" s="200"/>
      <c r="AG90" s="200"/>
    </row>
    <row r="91" ht="15.75" customHeight="1">
      <c r="A91" s="417"/>
      <c r="B91" s="454"/>
      <c r="C91" s="455"/>
      <c r="D91" s="456"/>
      <c r="E91" s="457"/>
      <c r="F91" s="422">
        <f t="shared" si="1"/>
        <v>0</v>
      </c>
      <c r="G91" s="423"/>
      <c r="H91" s="424">
        <f t="shared" si="2"/>
        <v>0</v>
      </c>
      <c r="I91" s="425" t="s">
        <v>42</v>
      </c>
      <c r="J91" s="426">
        <f t="shared" si="3"/>
        <v>0</v>
      </c>
      <c r="K91" s="200"/>
      <c r="L91" s="427"/>
      <c r="M91" s="200"/>
      <c r="N91" s="200"/>
      <c r="O91" s="200"/>
      <c r="P91" s="200"/>
      <c r="Q91" s="200"/>
      <c r="R91" s="200"/>
      <c r="S91" s="200"/>
      <c r="T91" s="200"/>
      <c r="U91" s="458"/>
      <c r="V91" s="430">
        <f t="shared" si="5"/>
        <v>0</v>
      </c>
      <c r="W91" s="431">
        <f t="shared" si="6"/>
        <v>0</v>
      </c>
      <c r="X91" s="459"/>
      <c r="Y91" s="460"/>
      <c r="Z91" s="461"/>
      <c r="AA91" s="461"/>
      <c r="AB91" s="426"/>
      <c r="AC91" s="426"/>
      <c r="AD91" s="200"/>
      <c r="AE91" s="200"/>
      <c r="AF91" s="200"/>
      <c r="AG91" s="200"/>
    </row>
    <row r="92" ht="15.75" customHeight="1">
      <c r="A92" s="417"/>
      <c r="B92" s="454"/>
      <c r="C92" s="455"/>
      <c r="D92" s="456"/>
      <c r="E92" s="457"/>
      <c r="F92" s="422">
        <f t="shared" si="1"/>
        <v>0</v>
      </c>
      <c r="G92" s="423"/>
      <c r="H92" s="424">
        <f t="shared" si="2"/>
        <v>0</v>
      </c>
      <c r="I92" s="425" t="s">
        <v>42</v>
      </c>
      <c r="J92" s="426">
        <f t="shared" si="3"/>
        <v>0</v>
      </c>
      <c r="K92" s="200"/>
      <c r="L92" s="427"/>
      <c r="M92" s="200"/>
      <c r="N92" s="200"/>
      <c r="O92" s="200"/>
      <c r="P92" s="200"/>
      <c r="Q92" s="200"/>
      <c r="R92" s="200"/>
      <c r="S92" s="200"/>
      <c r="T92" s="200"/>
      <c r="U92" s="458"/>
      <c r="V92" s="430">
        <f t="shared" si="5"/>
        <v>0</v>
      </c>
      <c r="W92" s="431">
        <f t="shared" si="6"/>
        <v>0</v>
      </c>
      <c r="X92" s="459"/>
      <c r="Y92" s="460"/>
      <c r="Z92" s="461"/>
      <c r="AA92" s="461"/>
      <c r="AB92" s="426"/>
      <c r="AC92" s="426"/>
      <c r="AD92" s="200"/>
      <c r="AE92" s="200"/>
      <c r="AF92" s="200"/>
      <c r="AG92" s="200"/>
    </row>
    <row r="93" ht="15.75" customHeight="1">
      <c r="A93" s="417"/>
      <c r="B93" s="454"/>
      <c r="C93" s="455"/>
      <c r="D93" s="456"/>
      <c r="E93" s="465"/>
      <c r="F93" s="422">
        <f t="shared" si="1"/>
        <v>0</v>
      </c>
      <c r="G93" s="423"/>
      <c r="H93" s="424">
        <f t="shared" si="2"/>
        <v>0</v>
      </c>
      <c r="I93" s="425" t="s">
        <v>42</v>
      </c>
      <c r="J93" s="426">
        <f t="shared" si="3"/>
        <v>0</v>
      </c>
      <c r="K93" s="200"/>
      <c r="L93" s="427"/>
      <c r="M93" s="200"/>
      <c r="N93" s="200"/>
      <c r="O93" s="200"/>
      <c r="P93" s="200"/>
      <c r="Q93" s="200"/>
      <c r="R93" s="200"/>
      <c r="S93" s="200"/>
      <c r="T93" s="200"/>
      <c r="U93" s="458"/>
      <c r="V93" s="430">
        <f t="shared" si="5"/>
        <v>0</v>
      </c>
      <c r="W93" s="431">
        <f t="shared" si="6"/>
        <v>0</v>
      </c>
      <c r="X93" s="459"/>
      <c r="Y93" s="460"/>
      <c r="Z93" s="461"/>
      <c r="AA93" s="461"/>
      <c r="AB93" s="426"/>
      <c r="AC93" s="426"/>
      <c r="AD93" s="200"/>
      <c r="AE93" s="200"/>
      <c r="AF93" s="200"/>
      <c r="AG93" s="200"/>
    </row>
    <row r="94" ht="15.75" customHeight="1">
      <c r="A94" s="417"/>
      <c r="B94" s="454"/>
      <c r="C94" s="455"/>
      <c r="D94" s="456"/>
      <c r="E94" s="465"/>
      <c r="F94" s="422">
        <f t="shared" si="1"/>
        <v>0</v>
      </c>
      <c r="G94" s="423"/>
      <c r="H94" s="424">
        <f t="shared" si="2"/>
        <v>0</v>
      </c>
      <c r="I94" s="425" t="s">
        <v>42</v>
      </c>
      <c r="J94" s="426">
        <f t="shared" si="3"/>
        <v>0</v>
      </c>
      <c r="K94" s="200"/>
      <c r="L94" s="427"/>
      <c r="M94" s="200"/>
      <c r="N94" s="200"/>
      <c r="O94" s="200"/>
      <c r="P94" s="200"/>
      <c r="Q94" s="200"/>
      <c r="R94" s="200"/>
      <c r="S94" s="200"/>
      <c r="T94" s="200"/>
      <c r="U94" s="458"/>
      <c r="V94" s="430">
        <f t="shared" si="5"/>
        <v>0</v>
      </c>
      <c r="W94" s="431">
        <f t="shared" si="6"/>
        <v>0</v>
      </c>
      <c r="X94" s="459"/>
      <c r="Y94" s="460"/>
      <c r="Z94" s="461"/>
      <c r="AA94" s="461"/>
      <c r="AB94" s="426"/>
      <c r="AC94" s="426"/>
      <c r="AD94" s="200"/>
      <c r="AE94" s="200"/>
      <c r="AF94" s="200"/>
      <c r="AG94" s="200"/>
    </row>
    <row r="95" ht="15.75" customHeight="1">
      <c r="A95" s="417"/>
      <c r="B95" s="454"/>
      <c r="C95" s="455"/>
      <c r="D95" s="456"/>
      <c r="E95" s="457"/>
      <c r="F95" s="422">
        <f t="shared" si="1"/>
        <v>0</v>
      </c>
      <c r="G95" s="423"/>
      <c r="H95" s="424">
        <f t="shared" si="2"/>
        <v>0</v>
      </c>
      <c r="I95" s="425" t="s">
        <v>42</v>
      </c>
      <c r="J95" s="426">
        <f t="shared" ref="J95:J353" si="8">E95*57.99</f>
        <v>0</v>
      </c>
      <c r="K95" s="200"/>
      <c r="L95" s="427"/>
      <c r="M95" s="200"/>
      <c r="N95" s="200"/>
      <c r="O95" s="200"/>
      <c r="P95" s="200"/>
      <c r="Q95" s="200"/>
      <c r="R95" s="200"/>
      <c r="S95" s="200"/>
      <c r="T95" s="200"/>
      <c r="U95" s="458"/>
      <c r="V95" s="430">
        <f t="shared" si="5"/>
        <v>0</v>
      </c>
      <c r="W95" s="431">
        <f t="shared" si="6"/>
        <v>0</v>
      </c>
      <c r="X95" s="459"/>
      <c r="Y95" s="460"/>
      <c r="Z95" s="461"/>
      <c r="AA95" s="461"/>
      <c r="AB95" s="426"/>
      <c r="AC95" s="426"/>
      <c r="AD95" s="200"/>
      <c r="AE95" s="200"/>
      <c r="AF95" s="200"/>
      <c r="AG95" s="200"/>
    </row>
    <row r="96" ht="15.75" customHeight="1">
      <c r="A96" s="417"/>
      <c r="B96" s="454"/>
      <c r="C96" s="455"/>
      <c r="D96" s="456"/>
      <c r="E96" s="457"/>
      <c r="F96" s="422">
        <f t="shared" si="1"/>
        <v>0</v>
      </c>
      <c r="G96" s="423"/>
      <c r="H96" s="424">
        <f t="shared" si="2"/>
        <v>0</v>
      </c>
      <c r="I96" s="425" t="s">
        <v>42</v>
      </c>
      <c r="J96" s="426">
        <f t="shared" si="8"/>
        <v>0</v>
      </c>
      <c r="K96" s="200"/>
      <c r="L96" s="427"/>
      <c r="M96" s="200"/>
      <c r="N96" s="200"/>
      <c r="O96" s="200"/>
      <c r="P96" s="200"/>
      <c r="Q96" s="200"/>
      <c r="R96" s="200"/>
      <c r="S96" s="200"/>
      <c r="T96" s="200"/>
      <c r="U96" s="458"/>
      <c r="V96" s="430">
        <f t="shared" si="5"/>
        <v>0</v>
      </c>
      <c r="W96" s="431">
        <f t="shared" si="6"/>
        <v>0</v>
      </c>
      <c r="X96" s="459"/>
      <c r="Y96" s="460"/>
      <c r="Z96" s="461"/>
      <c r="AA96" s="461"/>
      <c r="AB96" s="426"/>
      <c r="AC96" s="426"/>
      <c r="AD96" s="200"/>
      <c r="AE96" s="200"/>
      <c r="AF96" s="200"/>
      <c r="AG96" s="200"/>
    </row>
    <row r="97" ht="15.75" customHeight="1">
      <c r="A97" s="417"/>
      <c r="B97" s="454"/>
      <c r="C97" s="455"/>
      <c r="D97" s="456"/>
      <c r="E97" s="457"/>
      <c r="F97" s="422">
        <f t="shared" si="1"/>
        <v>0</v>
      </c>
      <c r="G97" s="423"/>
      <c r="H97" s="424">
        <f t="shared" si="2"/>
        <v>0</v>
      </c>
      <c r="I97" s="425" t="s">
        <v>42</v>
      </c>
      <c r="J97" s="426">
        <f t="shared" si="8"/>
        <v>0</v>
      </c>
      <c r="K97" s="200"/>
      <c r="L97" s="427"/>
      <c r="M97" s="200"/>
      <c r="N97" s="200"/>
      <c r="O97" s="200"/>
      <c r="P97" s="200"/>
      <c r="Q97" s="200"/>
      <c r="R97" s="200"/>
      <c r="S97" s="200"/>
      <c r="T97" s="200"/>
      <c r="U97" s="458"/>
      <c r="V97" s="430">
        <f t="shared" si="5"/>
        <v>0</v>
      </c>
      <c r="W97" s="431">
        <f t="shared" si="6"/>
        <v>0</v>
      </c>
      <c r="X97" s="459"/>
      <c r="Y97" s="460"/>
      <c r="Z97" s="461"/>
      <c r="AA97" s="461"/>
      <c r="AB97" s="426"/>
      <c r="AC97" s="426"/>
      <c r="AD97" s="200"/>
      <c r="AE97" s="200"/>
      <c r="AF97" s="200"/>
      <c r="AG97" s="200"/>
    </row>
    <row r="98" ht="15.75" customHeight="1">
      <c r="A98" s="417"/>
      <c r="B98" s="454"/>
      <c r="C98" s="455"/>
      <c r="D98" s="456"/>
      <c r="E98" s="457"/>
      <c r="F98" s="422">
        <f t="shared" si="1"/>
        <v>0</v>
      </c>
      <c r="G98" s="423"/>
      <c r="H98" s="424">
        <f t="shared" si="2"/>
        <v>0</v>
      </c>
      <c r="I98" s="425" t="s">
        <v>42</v>
      </c>
      <c r="J98" s="426">
        <f t="shared" si="8"/>
        <v>0</v>
      </c>
      <c r="K98" s="200"/>
      <c r="L98" s="427"/>
      <c r="M98" s="200"/>
      <c r="N98" s="200"/>
      <c r="O98" s="200"/>
      <c r="P98" s="200"/>
      <c r="Q98" s="200"/>
      <c r="R98" s="200"/>
      <c r="S98" s="200"/>
      <c r="T98" s="200"/>
      <c r="U98" s="458"/>
      <c r="V98" s="430">
        <f t="shared" si="5"/>
        <v>0</v>
      </c>
      <c r="W98" s="431">
        <f t="shared" si="6"/>
        <v>0</v>
      </c>
      <c r="X98" s="459"/>
      <c r="Y98" s="460"/>
      <c r="Z98" s="461"/>
      <c r="AA98" s="461"/>
      <c r="AB98" s="426"/>
      <c r="AC98" s="426"/>
      <c r="AD98" s="200"/>
      <c r="AE98" s="200"/>
      <c r="AF98" s="200"/>
      <c r="AG98" s="200"/>
    </row>
    <row r="99" ht="15.75" customHeight="1">
      <c r="A99" s="417"/>
      <c r="B99" s="454"/>
      <c r="C99" s="455"/>
      <c r="D99" s="456"/>
      <c r="E99" s="457"/>
      <c r="F99" s="422">
        <f t="shared" si="1"/>
        <v>0</v>
      </c>
      <c r="G99" s="423"/>
      <c r="H99" s="424">
        <f t="shared" si="2"/>
        <v>0</v>
      </c>
      <c r="I99" s="425" t="s">
        <v>42</v>
      </c>
      <c r="J99" s="426">
        <f t="shared" si="8"/>
        <v>0</v>
      </c>
      <c r="K99" s="200"/>
      <c r="L99" s="427"/>
      <c r="M99" s="200"/>
      <c r="N99" s="200"/>
      <c r="O99" s="200"/>
      <c r="P99" s="200"/>
      <c r="Q99" s="200"/>
      <c r="R99" s="200"/>
      <c r="S99" s="200"/>
      <c r="T99" s="200"/>
      <c r="U99" s="458"/>
      <c r="V99" s="430">
        <f t="shared" si="5"/>
        <v>0</v>
      </c>
      <c r="W99" s="431">
        <f t="shared" si="6"/>
        <v>0</v>
      </c>
      <c r="X99" s="459"/>
      <c r="Y99" s="460"/>
      <c r="Z99" s="461"/>
      <c r="AA99" s="461"/>
      <c r="AB99" s="426"/>
      <c r="AC99" s="426"/>
      <c r="AD99" s="200"/>
      <c r="AE99" s="200"/>
      <c r="AF99" s="200"/>
      <c r="AG99" s="200"/>
    </row>
    <row r="100" ht="15.75" customHeight="1">
      <c r="A100" s="417"/>
      <c r="B100" s="454"/>
      <c r="C100" s="455"/>
      <c r="D100" s="456"/>
      <c r="E100" s="457"/>
      <c r="F100" s="422">
        <f t="shared" si="1"/>
        <v>0</v>
      </c>
      <c r="G100" s="423"/>
      <c r="H100" s="424">
        <f t="shared" si="2"/>
        <v>0</v>
      </c>
      <c r="I100" s="425" t="s">
        <v>42</v>
      </c>
      <c r="J100" s="426">
        <f t="shared" si="8"/>
        <v>0</v>
      </c>
      <c r="K100" s="200"/>
      <c r="L100" s="427"/>
      <c r="M100" s="200"/>
      <c r="N100" s="200"/>
      <c r="O100" s="200"/>
      <c r="P100" s="200"/>
      <c r="Q100" s="200"/>
      <c r="R100" s="200"/>
      <c r="S100" s="200"/>
      <c r="T100" s="200"/>
      <c r="U100" s="458"/>
      <c r="V100" s="430">
        <f t="shared" si="5"/>
        <v>0</v>
      </c>
      <c r="W100" s="431">
        <f t="shared" si="6"/>
        <v>0</v>
      </c>
      <c r="X100" s="459"/>
      <c r="Y100" s="460"/>
      <c r="Z100" s="461"/>
      <c r="AA100" s="461"/>
      <c r="AB100" s="426"/>
      <c r="AC100" s="426"/>
      <c r="AD100" s="200"/>
      <c r="AE100" s="200"/>
      <c r="AF100" s="200"/>
      <c r="AG100" s="200"/>
    </row>
    <row r="101" ht="15.75" customHeight="1">
      <c r="A101" s="417"/>
      <c r="B101" s="454"/>
      <c r="C101" s="455"/>
      <c r="D101" s="456"/>
      <c r="E101" s="457"/>
      <c r="F101" s="422">
        <f t="shared" si="1"/>
        <v>0</v>
      </c>
      <c r="G101" s="423"/>
      <c r="H101" s="424">
        <f t="shared" si="2"/>
        <v>0</v>
      </c>
      <c r="I101" s="425" t="s">
        <v>42</v>
      </c>
      <c r="J101" s="426">
        <f t="shared" si="8"/>
        <v>0</v>
      </c>
      <c r="K101" s="200"/>
      <c r="L101" s="427"/>
      <c r="M101" s="200"/>
      <c r="N101" s="200"/>
      <c r="O101" s="200"/>
      <c r="P101" s="200"/>
      <c r="Q101" s="200"/>
      <c r="R101" s="200"/>
      <c r="S101" s="200"/>
      <c r="T101" s="200"/>
      <c r="U101" s="458"/>
      <c r="V101" s="430">
        <f t="shared" si="5"/>
        <v>0</v>
      </c>
      <c r="W101" s="431">
        <f t="shared" si="6"/>
        <v>0</v>
      </c>
      <c r="X101" s="459"/>
      <c r="Y101" s="460"/>
      <c r="Z101" s="461"/>
      <c r="AA101" s="461"/>
      <c r="AB101" s="426"/>
      <c r="AC101" s="426"/>
      <c r="AD101" s="200"/>
      <c r="AE101" s="200"/>
      <c r="AF101" s="200"/>
      <c r="AG101" s="200"/>
    </row>
    <row r="102" ht="15.75" customHeight="1">
      <c r="A102" s="417"/>
      <c r="B102" s="454"/>
      <c r="C102" s="455"/>
      <c r="D102" s="456"/>
      <c r="E102" s="457"/>
      <c r="F102" s="422">
        <f t="shared" si="1"/>
        <v>0</v>
      </c>
      <c r="G102" s="423"/>
      <c r="H102" s="424">
        <f t="shared" si="2"/>
        <v>0</v>
      </c>
      <c r="I102" s="425" t="s">
        <v>42</v>
      </c>
      <c r="J102" s="426">
        <f t="shared" si="8"/>
        <v>0</v>
      </c>
      <c r="K102" s="200"/>
      <c r="L102" s="427"/>
      <c r="M102" s="200"/>
      <c r="N102" s="200"/>
      <c r="O102" s="200"/>
      <c r="P102" s="200"/>
      <c r="Q102" s="200"/>
      <c r="R102" s="200"/>
      <c r="S102" s="200"/>
      <c r="T102" s="200"/>
      <c r="U102" s="458"/>
      <c r="V102" s="430">
        <f t="shared" si="5"/>
        <v>0</v>
      </c>
      <c r="W102" s="431">
        <f t="shared" si="6"/>
        <v>0</v>
      </c>
      <c r="X102" s="459"/>
      <c r="Y102" s="460"/>
      <c r="Z102" s="461"/>
      <c r="AA102" s="461"/>
      <c r="AB102" s="426"/>
      <c r="AC102" s="426"/>
      <c r="AD102" s="200"/>
      <c r="AE102" s="200"/>
      <c r="AF102" s="200"/>
      <c r="AG102" s="200"/>
    </row>
    <row r="103" ht="15.75" customHeight="1">
      <c r="A103" s="417"/>
      <c r="B103" s="454"/>
      <c r="C103" s="455"/>
      <c r="D103" s="456"/>
      <c r="E103" s="457"/>
      <c r="F103" s="422">
        <f t="shared" si="1"/>
        <v>0</v>
      </c>
      <c r="G103" s="423"/>
      <c r="H103" s="424">
        <f t="shared" si="2"/>
        <v>0</v>
      </c>
      <c r="I103" s="425" t="s">
        <v>42</v>
      </c>
      <c r="J103" s="426">
        <f t="shared" si="8"/>
        <v>0</v>
      </c>
      <c r="K103" s="200"/>
      <c r="L103" s="427"/>
      <c r="M103" s="200"/>
      <c r="N103" s="200"/>
      <c r="O103" s="200"/>
      <c r="P103" s="200"/>
      <c r="Q103" s="200"/>
      <c r="R103" s="200"/>
      <c r="S103" s="200"/>
      <c r="T103" s="200"/>
      <c r="U103" s="458"/>
      <c r="V103" s="430">
        <f t="shared" si="5"/>
        <v>0</v>
      </c>
      <c r="W103" s="431">
        <f t="shared" si="6"/>
        <v>0</v>
      </c>
      <c r="X103" s="459"/>
      <c r="Y103" s="460"/>
      <c r="Z103" s="461"/>
      <c r="AA103" s="461"/>
      <c r="AB103" s="426"/>
      <c r="AC103" s="426"/>
      <c r="AD103" s="200"/>
      <c r="AE103" s="200"/>
      <c r="AF103" s="200"/>
      <c r="AG103" s="200"/>
    </row>
    <row r="104" ht="15.75" customHeight="1">
      <c r="A104" s="417"/>
      <c r="B104" s="454"/>
      <c r="C104" s="455"/>
      <c r="D104" s="456"/>
      <c r="E104" s="457"/>
      <c r="F104" s="422">
        <f t="shared" si="1"/>
        <v>0</v>
      </c>
      <c r="G104" s="423"/>
      <c r="H104" s="424">
        <f t="shared" si="2"/>
        <v>0</v>
      </c>
      <c r="I104" s="425" t="s">
        <v>42</v>
      </c>
      <c r="J104" s="426">
        <f t="shared" si="8"/>
        <v>0</v>
      </c>
      <c r="K104" s="200"/>
      <c r="L104" s="427"/>
      <c r="M104" s="200"/>
      <c r="N104" s="200"/>
      <c r="O104" s="200"/>
      <c r="P104" s="200"/>
      <c r="Q104" s="200"/>
      <c r="R104" s="200"/>
      <c r="S104" s="200"/>
      <c r="T104" s="200"/>
      <c r="U104" s="458"/>
      <c r="V104" s="430">
        <f t="shared" si="5"/>
        <v>0</v>
      </c>
      <c r="W104" s="431">
        <f t="shared" si="6"/>
        <v>0</v>
      </c>
      <c r="X104" s="459"/>
      <c r="Y104" s="461"/>
      <c r="Z104" s="461"/>
      <c r="AA104" s="461"/>
      <c r="AB104" s="426"/>
      <c r="AC104" s="426"/>
      <c r="AD104" s="200"/>
      <c r="AE104" s="200"/>
      <c r="AF104" s="200"/>
      <c r="AG104" s="200"/>
    </row>
    <row r="105" ht="15.75" customHeight="1">
      <c r="A105" s="417"/>
      <c r="B105" s="454"/>
      <c r="C105" s="455"/>
      <c r="D105" s="456"/>
      <c r="E105" s="457"/>
      <c r="F105" s="422">
        <f t="shared" si="1"/>
        <v>0</v>
      </c>
      <c r="G105" s="423"/>
      <c r="H105" s="424">
        <f t="shared" si="2"/>
        <v>0</v>
      </c>
      <c r="I105" s="425" t="s">
        <v>42</v>
      </c>
      <c r="J105" s="426">
        <f t="shared" si="8"/>
        <v>0</v>
      </c>
      <c r="K105" s="200"/>
      <c r="L105" s="427"/>
      <c r="M105" s="200"/>
      <c r="N105" s="200"/>
      <c r="O105" s="200"/>
      <c r="P105" s="200"/>
      <c r="Q105" s="200"/>
      <c r="R105" s="200"/>
      <c r="S105" s="200"/>
      <c r="T105" s="200"/>
      <c r="U105" s="458"/>
      <c r="V105" s="430">
        <f t="shared" si="5"/>
        <v>0</v>
      </c>
      <c r="W105" s="431">
        <f t="shared" si="6"/>
        <v>0</v>
      </c>
      <c r="X105" s="459"/>
      <c r="Y105" s="461"/>
      <c r="Z105" s="461"/>
      <c r="AA105" s="461"/>
      <c r="AB105" s="426"/>
      <c r="AC105" s="426"/>
      <c r="AD105" s="200"/>
      <c r="AE105" s="200"/>
      <c r="AF105" s="200"/>
      <c r="AG105" s="200"/>
    </row>
    <row r="106" ht="15.75" customHeight="1">
      <c r="A106" s="417"/>
      <c r="B106" s="454"/>
      <c r="C106" s="462"/>
      <c r="D106" s="463"/>
      <c r="E106" s="457"/>
      <c r="F106" s="422">
        <f t="shared" si="1"/>
        <v>0</v>
      </c>
      <c r="G106" s="423"/>
      <c r="H106" s="424">
        <f t="shared" si="2"/>
        <v>0</v>
      </c>
      <c r="I106" s="425" t="s">
        <v>42</v>
      </c>
      <c r="J106" s="426">
        <f t="shared" si="8"/>
        <v>0</v>
      </c>
      <c r="K106" s="200"/>
      <c r="L106" s="427"/>
      <c r="M106" s="200"/>
      <c r="N106" s="200"/>
      <c r="O106" s="200"/>
      <c r="P106" s="200"/>
      <c r="Q106" s="200"/>
      <c r="R106" s="200"/>
      <c r="S106" s="200"/>
      <c r="T106" s="200"/>
      <c r="U106" s="458"/>
      <c r="V106" s="430">
        <f t="shared" si="5"/>
        <v>0</v>
      </c>
      <c r="W106" s="431">
        <f t="shared" si="6"/>
        <v>0</v>
      </c>
      <c r="X106" s="459"/>
      <c r="Y106" s="461"/>
      <c r="Z106" s="461"/>
      <c r="AA106" s="461"/>
      <c r="AB106" s="426"/>
      <c r="AC106" s="426"/>
      <c r="AD106" s="200"/>
      <c r="AE106" s="200"/>
      <c r="AF106" s="200"/>
      <c r="AG106" s="200"/>
    </row>
    <row r="107" ht="15.75" customHeight="1">
      <c r="A107" s="417"/>
      <c r="B107" s="454"/>
      <c r="C107" s="462"/>
      <c r="D107" s="463"/>
      <c r="E107" s="457"/>
      <c r="F107" s="422">
        <f t="shared" si="1"/>
        <v>0</v>
      </c>
      <c r="G107" s="423"/>
      <c r="H107" s="424">
        <f t="shared" si="2"/>
        <v>0</v>
      </c>
      <c r="I107" s="425" t="s">
        <v>42</v>
      </c>
      <c r="J107" s="426">
        <f t="shared" si="8"/>
        <v>0</v>
      </c>
      <c r="K107" s="200"/>
      <c r="L107" s="427"/>
      <c r="M107" s="200"/>
      <c r="N107" s="200"/>
      <c r="O107" s="200"/>
      <c r="P107" s="200"/>
      <c r="Q107" s="200"/>
      <c r="R107" s="200"/>
      <c r="S107" s="200"/>
      <c r="T107" s="200"/>
      <c r="U107" s="458"/>
      <c r="V107" s="430">
        <f t="shared" si="5"/>
        <v>0</v>
      </c>
      <c r="W107" s="431">
        <f t="shared" si="6"/>
        <v>0</v>
      </c>
      <c r="X107" s="459"/>
      <c r="Y107" s="461"/>
      <c r="Z107" s="461"/>
      <c r="AA107" s="461"/>
      <c r="AB107" s="426"/>
      <c r="AC107" s="426"/>
      <c r="AD107" s="200"/>
      <c r="AE107" s="200"/>
      <c r="AF107" s="200"/>
      <c r="AG107" s="200"/>
    </row>
    <row r="108" ht="15.75" customHeight="1">
      <c r="A108" s="417"/>
      <c r="B108" s="454"/>
      <c r="C108" s="455"/>
      <c r="D108" s="456"/>
      <c r="E108" s="457"/>
      <c r="F108" s="422">
        <f t="shared" si="1"/>
        <v>0</v>
      </c>
      <c r="G108" s="423"/>
      <c r="H108" s="424">
        <f t="shared" si="2"/>
        <v>0</v>
      </c>
      <c r="I108" s="425" t="s">
        <v>42</v>
      </c>
      <c r="J108" s="426">
        <f t="shared" si="8"/>
        <v>0</v>
      </c>
      <c r="K108" s="200"/>
      <c r="L108" s="427"/>
      <c r="M108" s="200"/>
      <c r="N108" s="200"/>
      <c r="O108" s="200"/>
      <c r="P108" s="200"/>
      <c r="Q108" s="200"/>
      <c r="R108" s="200"/>
      <c r="S108" s="200"/>
      <c r="T108" s="200"/>
      <c r="U108" s="458"/>
      <c r="V108" s="430">
        <f t="shared" si="5"/>
        <v>0</v>
      </c>
      <c r="W108" s="431">
        <f t="shared" si="6"/>
        <v>0</v>
      </c>
      <c r="X108" s="459"/>
      <c r="Y108" s="461"/>
      <c r="Z108" s="461"/>
      <c r="AA108" s="461"/>
      <c r="AB108" s="426"/>
      <c r="AC108" s="426"/>
      <c r="AD108" s="200"/>
      <c r="AE108" s="200"/>
      <c r="AF108" s="200"/>
      <c r="AG108" s="200"/>
    </row>
    <row r="109" ht="15.75" customHeight="1">
      <c r="A109" s="417"/>
      <c r="B109" s="454"/>
      <c r="C109" s="455"/>
      <c r="D109" s="456"/>
      <c r="E109" s="457"/>
      <c r="F109" s="422">
        <f t="shared" si="1"/>
        <v>0</v>
      </c>
      <c r="G109" s="423"/>
      <c r="H109" s="424">
        <f t="shared" si="2"/>
        <v>0</v>
      </c>
      <c r="I109" s="425" t="s">
        <v>42</v>
      </c>
      <c r="J109" s="426">
        <f t="shared" si="8"/>
        <v>0</v>
      </c>
      <c r="K109" s="200"/>
      <c r="L109" s="427"/>
      <c r="M109" s="200"/>
      <c r="N109" s="200"/>
      <c r="O109" s="200"/>
      <c r="P109" s="200"/>
      <c r="Q109" s="200"/>
      <c r="R109" s="200"/>
      <c r="S109" s="200"/>
      <c r="T109" s="200"/>
      <c r="U109" s="458"/>
      <c r="V109" s="430">
        <f t="shared" si="5"/>
        <v>0</v>
      </c>
      <c r="W109" s="431">
        <f t="shared" si="6"/>
        <v>0</v>
      </c>
      <c r="X109" s="459"/>
      <c r="Y109" s="461"/>
      <c r="Z109" s="461"/>
      <c r="AA109" s="461"/>
      <c r="AB109" s="426"/>
      <c r="AC109" s="426"/>
      <c r="AD109" s="200"/>
      <c r="AE109" s="200"/>
      <c r="AF109" s="200"/>
      <c r="AG109" s="200"/>
    </row>
    <row r="110" ht="15.75" customHeight="1">
      <c r="A110" s="417"/>
      <c r="B110" s="454"/>
      <c r="C110" s="455"/>
      <c r="D110" s="456"/>
      <c r="E110" s="457"/>
      <c r="F110" s="422">
        <f t="shared" si="1"/>
        <v>0</v>
      </c>
      <c r="G110" s="423"/>
      <c r="H110" s="424">
        <f t="shared" si="2"/>
        <v>0</v>
      </c>
      <c r="I110" s="425" t="s">
        <v>42</v>
      </c>
      <c r="J110" s="426">
        <f t="shared" si="8"/>
        <v>0</v>
      </c>
      <c r="K110" s="200"/>
      <c r="L110" s="427"/>
      <c r="M110" s="200"/>
      <c r="N110" s="200"/>
      <c r="O110" s="200"/>
      <c r="P110" s="200"/>
      <c r="Q110" s="200"/>
      <c r="R110" s="200"/>
      <c r="S110" s="200"/>
      <c r="T110" s="200"/>
      <c r="U110" s="458"/>
      <c r="V110" s="430">
        <f t="shared" si="5"/>
        <v>0</v>
      </c>
      <c r="W110" s="431">
        <f t="shared" si="6"/>
        <v>0</v>
      </c>
      <c r="X110" s="459"/>
      <c r="Y110" s="461"/>
      <c r="Z110" s="461"/>
      <c r="AA110" s="461"/>
      <c r="AB110" s="426"/>
      <c r="AC110" s="426"/>
      <c r="AD110" s="200"/>
      <c r="AE110" s="200"/>
      <c r="AF110" s="200"/>
      <c r="AG110" s="200"/>
    </row>
    <row r="111" ht="15.75" customHeight="1">
      <c r="A111" s="417"/>
      <c r="B111" s="454"/>
      <c r="C111" s="462"/>
      <c r="D111" s="463"/>
      <c r="E111" s="457"/>
      <c r="F111" s="422">
        <f t="shared" si="1"/>
        <v>0</v>
      </c>
      <c r="G111" s="423"/>
      <c r="H111" s="424">
        <f t="shared" si="2"/>
        <v>0</v>
      </c>
      <c r="I111" s="425" t="s">
        <v>42</v>
      </c>
      <c r="J111" s="426">
        <f t="shared" si="8"/>
        <v>0</v>
      </c>
      <c r="K111" s="200"/>
      <c r="L111" s="427"/>
      <c r="M111" s="200"/>
      <c r="N111" s="200"/>
      <c r="O111" s="200"/>
      <c r="P111" s="200"/>
      <c r="Q111" s="200"/>
      <c r="R111" s="200"/>
      <c r="S111" s="200"/>
      <c r="T111" s="200"/>
      <c r="U111" s="458"/>
      <c r="V111" s="430">
        <f t="shared" si="5"/>
        <v>0</v>
      </c>
      <c r="W111" s="431">
        <f t="shared" si="6"/>
        <v>0</v>
      </c>
      <c r="X111" s="459"/>
      <c r="Y111" s="461"/>
      <c r="Z111" s="461"/>
      <c r="AA111" s="461"/>
      <c r="AB111" s="426"/>
      <c r="AC111" s="426"/>
      <c r="AD111" s="200"/>
      <c r="AE111" s="200"/>
      <c r="AF111" s="200"/>
      <c r="AG111" s="200"/>
    </row>
    <row r="112" ht="15.75" customHeight="1">
      <c r="A112" s="417"/>
      <c r="B112" s="454"/>
      <c r="C112" s="462"/>
      <c r="D112" s="463"/>
      <c r="E112" s="457"/>
      <c r="F112" s="422">
        <f t="shared" si="1"/>
        <v>0</v>
      </c>
      <c r="G112" s="423"/>
      <c r="H112" s="424">
        <f t="shared" si="2"/>
        <v>0</v>
      </c>
      <c r="I112" s="425" t="s">
        <v>42</v>
      </c>
      <c r="J112" s="426">
        <f t="shared" si="8"/>
        <v>0</v>
      </c>
      <c r="K112" s="200"/>
      <c r="L112" s="427"/>
      <c r="M112" s="200"/>
      <c r="N112" s="200"/>
      <c r="O112" s="200"/>
      <c r="P112" s="200"/>
      <c r="Q112" s="200"/>
      <c r="R112" s="200"/>
      <c r="S112" s="200"/>
      <c r="T112" s="200"/>
      <c r="U112" s="458"/>
      <c r="V112" s="430">
        <f t="shared" si="5"/>
        <v>0</v>
      </c>
      <c r="W112" s="431">
        <f t="shared" si="6"/>
        <v>0</v>
      </c>
      <c r="X112" s="459"/>
      <c r="Y112" s="461"/>
      <c r="Z112" s="461"/>
      <c r="AA112" s="461"/>
      <c r="AB112" s="426"/>
      <c r="AC112" s="426"/>
      <c r="AD112" s="200"/>
      <c r="AE112" s="200"/>
      <c r="AF112" s="200"/>
      <c r="AG112" s="200"/>
    </row>
    <row r="113" ht="15.75" customHeight="1">
      <c r="A113" s="417"/>
      <c r="B113" s="466"/>
      <c r="C113" s="455"/>
      <c r="D113" s="456"/>
      <c r="E113" s="465"/>
      <c r="F113" s="422">
        <f t="shared" si="1"/>
        <v>0</v>
      </c>
      <c r="G113" s="423"/>
      <c r="H113" s="424">
        <f t="shared" si="2"/>
        <v>0</v>
      </c>
      <c r="I113" s="425" t="s">
        <v>42</v>
      </c>
      <c r="J113" s="426">
        <f t="shared" si="8"/>
        <v>0</v>
      </c>
      <c r="K113" s="200"/>
      <c r="L113" s="427"/>
      <c r="M113" s="200"/>
      <c r="N113" s="200"/>
      <c r="O113" s="200"/>
      <c r="P113" s="200"/>
      <c r="Q113" s="200"/>
      <c r="R113" s="200"/>
      <c r="S113" s="200"/>
      <c r="T113" s="200"/>
      <c r="U113" s="458"/>
      <c r="V113" s="430">
        <f t="shared" si="5"/>
        <v>0</v>
      </c>
      <c r="W113" s="431">
        <f t="shared" si="6"/>
        <v>0</v>
      </c>
      <c r="X113" s="459"/>
      <c r="Y113" s="461"/>
      <c r="Z113" s="461"/>
      <c r="AA113" s="461"/>
      <c r="AB113" s="426"/>
      <c r="AC113" s="426"/>
      <c r="AD113" s="200"/>
      <c r="AE113" s="200"/>
      <c r="AF113" s="200"/>
      <c r="AG113" s="200"/>
    </row>
    <row r="114" ht="15.75" customHeight="1">
      <c r="A114" s="417"/>
      <c r="B114" s="466"/>
      <c r="C114" s="462"/>
      <c r="D114" s="463"/>
      <c r="E114" s="457"/>
      <c r="F114" s="422">
        <f t="shared" si="1"/>
        <v>0</v>
      </c>
      <c r="G114" s="423"/>
      <c r="H114" s="424">
        <f t="shared" si="2"/>
        <v>0</v>
      </c>
      <c r="I114" s="425" t="s">
        <v>42</v>
      </c>
      <c r="J114" s="426">
        <f t="shared" si="8"/>
        <v>0</v>
      </c>
      <c r="K114" s="200"/>
      <c r="L114" s="427"/>
      <c r="M114" s="200"/>
      <c r="N114" s="200"/>
      <c r="O114" s="200"/>
      <c r="P114" s="200"/>
      <c r="Q114" s="200"/>
      <c r="R114" s="200"/>
      <c r="S114" s="200"/>
      <c r="T114" s="200"/>
      <c r="U114" s="458"/>
      <c r="V114" s="430">
        <f t="shared" si="5"/>
        <v>0</v>
      </c>
      <c r="W114" s="431">
        <f t="shared" si="6"/>
        <v>0</v>
      </c>
      <c r="X114" s="459"/>
      <c r="Y114" s="461"/>
      <c r="Z114" s="461"/>
      <c r="AA114" s="461"/>
      <c r="AB114" s="426"/>
      <c r="AC114" s="426"/>
      <c r="AD114" s="200"/>
      <c r="AE114" s="200"/>
      <c r="AF114" s="200"/>
      <c r="AG114" s="200"/>
    </row>
    <row r="115" ht="15.75" customHeight="1">
      <c r="A115" s="417"/>
      <c r="B115" s="466"/>
      <c r="C115" s="462"/>
      <c r="D115" s="463"/>
      <c r="E115" s="457"/>
      <c r="F115" s="422">
        <f t="shared" si="1"/>
        <v>0</v>
      </c>
      <c r="G115" s="423"/>
      <c r="H115" s="424">
        <f t="shared" si="2"/>
        <v>0</v>
      </c>
      <c r="I115" s="425" t="s">
        <v>42</v>
      </c>
      <c r="J115" s="426">
        <f t="shared" si="8"/>
        <v>0</v>
      </c>
      <c r="K115" s="200"/>
      <c r="L115" s="427"/>
      <c r="M115" s="200"/>
      <c r="N115" s="200"/>
      <c r="O115" s="200"/>
      <c r="P115" s="200"/>
      <c r="Q115" s="200"/>
      <c r="R115" s="200"/>
      <c r="S115" s="200"/>
      <c r="T115" s="200"/>
      <c r="U115" s="458"/>
      <c r="V115" s="430">
        <f t="shared" si="5"/>
        <v>0</v>
      </c>
      <c r="W115" s="431">
        <f t="shared" si="6"/>
        <v>0</v>
      </c>
      <c r="X115" s="459"/>
      <c r="Y115" s="461"/>
      <c r="Z115" s="461"/>
      <c r="AA115" s="461"/>
      <c r="AB115" s="426"/>
      <c r="AC115" s="426"/>
      <c r="AD115" s="200"/>
      <c r="AE115" s="200"/>
      <c r="AF115" s="200"/>
      <c r="AG115" s="200"/>
    </row>
    <row r="116" ht="15.75" customHeight="1">
      <c r="A116" s="417"/>
      <c r="B116" s="466"/>
      <c r="C116" s="462"/>
      <c r="D116" s="463"/>
      <c r="E116" s="457"/>
      <c r="F116" s="422">
        <f t="shared" si="1"/>
        <v>0</v>
      </c>
      <c r="G116" s="423"/>
      <c r="H116" s="424">
        <f t="shared" si="2"/>
        <v>0</v>
      </c>
      <c r="I116" s="425" t="s">
        <v>42</v>
      </c>
      <c r="J116" s="426">
        <f t="shared" si="8"/>
        <v>0</v>
      </c>
      <c r="K116" s="200"/>
      <c r="L116" s="427"/>
      <c r="M116" s="200"/>
      <c r="N116" s="200"/>
      <c r="O116" s="200"/>
      <c r="P116" s="200"/>
      <c r="Q116" s="200"/>
      <c r="R116" s="200"/>
      <c r="S116" s="200"/>
      <c r="T116" s="200"/>
      <c r="U116" s="458"/>
      <c r="V116" s="430">
        <f t="shared" si="5"/>
        <v>0</v>
      </c>
      <c r="W116" s="431">
        <f t="shared" si="6"/>
        <v>0</v>
      </c>
      <c r="X116" s="459"/>
      <c r="Y116" s="461"/>
      <c r="Z116" s="461"/>
      <c r="AA116" s="461"/>
      <c r="AB116" s="426"/>
      <c r="AC116" s="426"/>
      <c r="AD116" s="200"/>
      <c r="AE116" s="200"/>
      <c r="AF116" s="200"/>
      <c r="AG116" s="200"/>
    </row>
    <row r="117" ht="15.75" customHeight="1">
      <c r="A117" s="417"/>
      <c r="B117" s="466"/>
      <c r="C117" s="462"/>
      <c r="D117" s="463"/>
      <c r="E117" s="457"/>
      <c r="F117" s="422">
        <f t="shared" si="1"/>
        <v>0</v>
      </c>
      <c r="G117" s="423"/>
      <c r="H117" s="424">
        <f t="shared" si="2"/>
        <v>0</v>
      </c>
      <c r="I117" s="425" t="s">
        <v>42</v>
      </c>
      <c r="J117" s="426">
        <f t="shared" si="8"/>
        <v>0</v>
      </c>
      <c r="K117" s="200"/>
      <c r="L117" s="427"/>
      <c r="M117" s="200"/>
      <c r="N117" s="200"/>
      <c r="O117" s="200"/>
      <c r="P117" s="200"/>
      <c r="Q117" s="200"/>
      <c r="R117" s="200"/>
      <c r="S117" s="200"/>
      <c r="T117" s="200"/>
      <c r="U117" s="458"/>
      <c r="V117" s="430">
        <f t="shared" si="5"/>
        <v>0</v>
      </c>
      <c r="W117" s="431">
        <f t="shared" si="6"/>
        <v>0</v>
      </c>
      <c r="X117" s="459"/>
      <c r="Y117" s="461"/>
      <c r="Z117" s="461"/>
      <c r="AA117" s="461"/>
      <c r="AB117" s="426"/>
      <c r="AC117" s="426"/>
      <c r="AD117" s="200"/>
      <c r="AE117" s="200"/>
      <c r="AF117" s="200"/>
      <c r="AG117" s="200"/>
    </row>
    <row r="118" ht="15.75" customHeight="1">
      <c r="A118" s="417"/>
      <c r="B118" s="466"/>
      <c r="C118" s="462"/>
      <c r="D118" s="463"/>
      <c r="E118" s="457"/>
      <c r="F118" s="422">
        <f t="shared" si="1"/>
        <v>0</v>
      </c>
      <c r="G118" s="423"/>
      <c r="H118" s="424">
        <f t="shared" si="2"/>
        <v>0</v>
      </c>
      <c r="I118" s="425" t="s">
        <v>42</v>
      </c>
      <c r="J118" s="426">
        <f t="shared" si="8"/>
        <v>0</v>
      </c>
      <c r="K118" s="200"/>
      <c r="L118" s="427"/>
      <c r="M118" s="200"/>
      <c r="N118" s="200"/>
      <c r="O118" s="200"/>
      <c r="P118" s="200"/>
      <c r="Q118" s="200"/>
      <c r="R118" s="200"/>
      <c r="S118" s="200"/>
      <c r="T118" s="200"/>
      <c r="U118" s="458"/>
      <c r="V118" s="430">
        <f t="shared" si="5"/>
        <v>0</v>
      </c>
      <c r="W118" s="431">
        <f t="shared" si="6"/>
        <v>0</v>
      </c>
      <c r="X118" s="459"/>
      <c r="Y118" s="461"/>
      <c r="Z118" s="461"/>
      <c r="AA118" s="461"/>
      <c r="AB118" s="426"/>
      <c r="AC118" s="426"/>
      <c r="AD118" s="200"/>
      <c r="AE118" s="200"/>
      <c r="AF118" s="200"/>
      <c r="AG118" s="200"/>
    </row>
    <row r="119" ht="15.75" customHeight="1">
      <c r="A119" s="417"/>
      <c r="B119" s="454"/>
      <c r="C119" s="455"/>
      <c r="D119" s="456"/>
      <c r="E119" s="457"/>
      <c r="F119" s="422">
        <f t="shared" si="1"/>
        <v>0</v>
      </c>
      <c r="G119" s="423"/>
      <c r="H119" s="424">
        <f t="shared" si="2"/>
        <v>0</v>
      </c>
      <c r="I119" s="425" t="s">
        <v>42</v>
      </c>
      <c r="J119" s="426">
        <f t="shared" si="8"/>
        <v>0</v>
      </c>
      <c r="K119" s="200"/>
      <c r="L119" s="427"/>
      <c r="M119" s="200"/>
      <c r="N119" s="200"/>
      <c r="O119" s="200"/>
      <c r="P119" s="200"/>
      <c r="Q119" s="200"/>
      <c r="R119" s="200"/>
      <c r="S119" s="200"/>
      <c r="T119" s="200"/>
      <c r="U119" s="458"/>
      <c r="V119" s="430">
        <f t="shared" si="5"/>
        <v>0</v>
      </c>
      <c r="W119" s="431">
        <f t="shared" si="6"/>
        <v>0</v>
      </c>
      <c r="X119" s="459"/>
      <c r="Y119" s="461"/>
      <c r="Z119" s="461"/>
      <c r="AA119" s="461"/>
      <c r="AB119" s="426"/>
      <c r="AC119" s="426"/>
      <c r="AD119" s="200"/>
      <c r="AE119" s="200"/>
      <c r="AF119" s="200"/>
      <c r="AG119" s="200"/>
    </row>
    <row r="120" ht="15.75" customHeight="1">
      <c r="A120" s="417"/>
      <c r="B120" s="454"/>
      <c r="C120" s="455"/>
      <c r="D120" s="456"/>
      <c r="E120" s="457"/>
      <c r="F120" s="422">
        <f t="shared" si="1"/>
        <v>0</v>
      </c>
      <c r="G120" s="423"/>
      <c r="H120" s="424">
        <f t="shared" si="2"/>
        <v>0</v>
      </c>
      <c r="I120" s="425" t="s">
        <v>42</v>
      </c>
      <c r="J120" s="426">
        <f t="shared" si="8"/>
        <v>0</v>
      </c>
      <c r="K120" s="200"/>
      <c r="L120" s="427"/>
      <c r="M120" s="200"/>
      <c r="N120" s="200"/>
      <c r="O120" s="200"/>
      <c r="P120" s="200"/>
      <c r="Q120" s="200"/>
      <c r="R120" s="200"/>
      <c r="S120" s="200"/>
      <c r="T120" s="200"/>
      <c r="U120" s="458"/>
      <c r="V120" s="430">
        <f t="shared" si="5"/>
        <v>0</v>
      </c>
      <c r="W120" s="431">
        <f t="shared" si="6"/>
        <v>0</v>
      </c>
      <c r="X120" s="459"/>
      <c r="Y120" s="461"/>
      <c r="Z120" s="461"/>
      <c r="AA120" s="461"/>
      <c r="AB120" s="426"/>
      <c r="AC120" s="426"/>
      <c r="AD120" s="200"/>
      <c r="AE120" s="200"/>
      <c r="AF120" s="200"/>
      <c r="AG120" s="200"/>
    </row>
    <row r="121" ht="15.75" customHeight="1">
      <c r="A121" s="417"/>
      <c r="B121" s="454"/>
      <c r="C121" s="455"/>
      <c r="D121" s="456"/>
      <c r="E121" s="457"/>
      <c r="F121" s="422">
        <f t="shared" si="1"/>
        <v>0</v>
      </c>
      <c r="G121" s="423"/>
      <c r="H121" s="424">
        <f t="shared" si="2"/>
        <v>0</v>
      </c>
      <c r="I121" s="425" t="s">
        <v>42</v>
      </c>
      <c r="J121" s="426">
        <f t="shared" si="8"/>
        <v>0</v>
      </c>
      <c r="K121" s="200"/>
      <c r="L121" s="427"/>
      <c r="M121" s="200"/>
      <c r="N121" s="200"/>
      <c r="O121" s="200"/>
      <c r="P121" s="200"/>
      <c r="Q121" s="200"/>
      <c r="R121" s="200"/>
      <c r="S121" s="200"/>
      <c r="T121" s="200"/>
      <c r="U121" s="458"/>
      <c r="V121" s="430">
        <f t="shared" si="5"/>
        <v>0</v>
      </c>
      <c r="W121" s="431">
        <f t="shared" si="6"/>
        <v>0</v>
      </c>
      <c r="X121" s="459"/>
      <c r="Y121" s="461"/>
      <c r="Z121" s="461"/>
      <c r="AA121" s="461"/>
      <c r="AB121" s="426"/>
      <c r="AC121" s="426"/>
      <c r="AD121" s="200"/>
      <c r="AE121" s="200"/>
      <c r="AF121" s="200"/>
      <c r="AG121" s="200"/>
    </row>
    <row r="122" ht="15.75" customHeight="1">
      <c r="A122" s="417"/>
      <c r="B122" s="454"/>
      <c r="C122" s="455"/>
      <c r="D122" s="456"/>
      <c r="E122" s="457"/>
      <c r="F122" s="422">
        <f t="shared" si="1"/>
        <v>0</v>
      </c>
      <c r="G122" s="423"/>
      <c r="H122" s="424">
        <f t="shared" si="2"/>
        <v>0</v>
      </c>
      <c r="I122" s="425" t="s">
        <v>42</v>
      </c>
      <c r="J122" s="426">
        <f t="shared" si="8"/>
        <v>0</v>
      </c>
      <c r="K122" s="200"/>
      <c r="L122" s="427"/>
      <c r="M122" s="200"/>
      <c r="N122" s="200"/>
      <c r="O122" s="200"/>
      <c r="P122" s="200"/>
      <c r="Q122" s="200"/>
      <c r="R122" s="200"/>
      <c r="S122" s="200"/>
      <c r="T122" s="200"/>
      <c r="U122" s="458"/>
      <c r="V122" s="430">
        <f t="shared" si="5"/>
        <v>0</v>
      </c>
      <c r="W122" s="431">
        <f t="shared" si="6"/>
        <v>0</v>
      </c>
      <c r="X122" s="459"/>
      <c r="Y122" s="461"/>
      <c r="Z122" s="461"/>
      <c r="AA122" s="461"/>
      <c r="AB122" s="426"/>
      <c r="AC122" s="426"/>
      <c r="AD122" s="200"/>
      <c r="AE122" s="200"/>
      <c r="AF122" s="200"/>
      <c r="AG122" s="200"/>
    </row>
    <row r="123" ht="15.75" customHeight="1">
      <c r="A123" s="417"/>
      <c r="B123" s="454"/>
      <c r="C123" s="455"/>
      <c r="D123" s="456"/>
      <c r="E123" s="457"/>
      <c r="F123" s="422">
        <f t="shared" si="1"/>
        <v>0</v>
      </c>
      <c r="G123" s="423"/>
      <c r="H123" s="424">
        <f t="shared" si="2"/>
        <v>0</v>
      </c>
      <c r="I123" s="425" t="s">
        <v>42</v>
      </c>
      <c r="J123" s="426">
        <f t="shared" si="8"/>
        <v>0</v>
      </c>
      <c r="K123" s="200"/>
      <c r="L123" s="427"/>
      <c r="M123" s="200"/>
      <c r="N123" s="200"/>
      <c r="O123" s="200"/>
      <c r="P123" s="200"/>
      <c r="Q123" s="200"/>
      <c r="R123" s="200"/>
      <c r="S123" s="200"/>
      <c r="T123" s="200"/>
      <c r="U123" s="458"/>
      <c r="V123" s="430">
        <f t="shared" si="5"/>
        <v>0</v>
      </c>
      <c r="W123" s="431">
        <f t="shared" si="6"/>
        <v>0</v>
      </c>
      <c r="X123" s="459"/>
      <c r="Y123" s="461"/>
      <c r="Z123" s="461"/>
      <c r="AA123" s="461"/>
      <c r="AB123" s="426"/>
      <c r="AC123" s="426"/>
      <c r="AD123" s="200"/>
      <c r="AE123" s="200"/>
      <c r="AF123" s="200"/>
      <c r="AG123" s="200"/>
    </row>
    <row r="124" ht="15.75" customHeight="1">
      <c r="A124" s="417"/>
      <c r="B124" s="454"/>
      <c r="C124" s="455"/>
      <c r="D124" s="456"/>
      <c r="E124" s="457"/>
      <c r="F124" s="422">
        <f t="shared" si="1"/>
        <v>0</v>
      </c>
      <c r="G124" s="423"/>
      <c r="H124" s="424">
        <f t="shared" si="2"/>
        <v>0</v>
      </c>
      <c r="I124" s="425" t="s">
        <v>42</v>
      </c>
      <c r="J124" s="426">
        <f t="shared" si="8"/>
        <v>0</v>
      </c>
      <c r="K124" s="200"/>
      <c r="L124" s="427"/>
      <c r="M124" s="200"/>
      <c r="N124" s="200"/>
      <c r="O124" s="200"/>
      <c r="P124" s="200"/>
      <c r="Q124" s="200"/>
      <c r="R124" s="200"/>
      <c r="S124" s="200"/>
      <c r="T124" s="200"/>
      <c r="U124" s="458"/>
      <c r="V124" s="430">
        <f t="shared" si="5"/>
        <v>0</v>
      </c>
      <c r="W124" s="431">
        <f t="shared" si="6"/>
        <v>0</v>
      </c>
      <c r="X124" s="459"/>
      <c r="Y124" s="461"/>
      <c r="Z124" s="461"/>
      <c r="AA124" s="461"/>
      <c r="AB124" s="426"/>
      <c r="AC124" s="426"/>
      <c r="AD124" s="200"/>
      <c r="AE124" s="200"/>
      <c r="AF124" s="200"/>
      <c r="AG124" s="200"/>
    </row>
    <row r="125" ht="15.75" customHeight="1">
      <c r="A125" s="417"/>
      <c r="B125" s="454"/>
      <c r="C125" s="455"/>
      <c r="D125" s="456"/>
      <c r="E125" s="457"/>
      <c r="F125" s="422">
        <f t="shared" si="1"/>
        <v>0</v>
      </c>
      <c r="G125" s="423"/>
      <c r="H125" s="424">
        <f t="shared" si="2"/>
        <v>0</v>
      </c>
      <c r="I125" s="425" t="s">
        <v>42</v>
      </c>
      <c r="J125" s="426">
        <f t="shared" si="8"/>
        <v>0</v>
      </c>
      <c r="K125" s="200"/>
      <c r="L125" s="427"/>
      <c r="M125" s="200"/>
      <c r="N125" s="200"/>
      <c r="O125" s="200"/>
      <c r="P125" s="200"/>
      <c r="Q125" s="200"/>
      <c r="R125" s="200"/>
      <c r="S125" s="200"/>
      <c r="T125" s="200"/>
      <c r="U125" s="458"/>
      <c r="V125" s="430">
        <f t="shared" si="5"/>
        <v>0</v>
      </c>
      <c r="W125" s="431">
        <f t="shared" si="6"/>
        <v>0</v>
      </c>
      <c r="X125" s="459"/>
      <c r="Y125" s="461"/>
      <c r="Z125" s="461"/>
      <c r="AA125" s="461"/>
      <c r="AB125" s="426"/>
      <c r="AC125" s="426"/>
      <c r="AD125" s="200"/>
      <c r="AE125" s="200"/>
      <c r="AF125" s="200"/>
      <c r="AG125" s="200"/>
    </row>
    <row r="126" ht="15.75" customHeight="1">
      <c r="A126" s="417"/>
      <c r="B126" s="454"/>
      <c r="C126" s="455"/>
      <c r="D126" s="456"/>
      <c r="E126" s="457"/>
      <c r="F126" s="422">
        <f t="shared" si="1"/>
        <v>0</v>
      </c>
      <c r="G126" s="423"/>
      <c r="H126" s="424">
        <f t="shared" si="2"/>
        <v>0</v>
      </c>
      <c r="I126" s="425" t="s">
        <v>42</v>
      </c>
      <c r="J126" s="426">
        <f t="shared" si="8"/>
        <v>0</v>
      </c>
      <c r="K126" s="200"/>
      <c r="L126" s="427"/>
      <c r="M126" s="200"/>
      <c r="N126" s="200"/>
      <c r="O126" s="200"/>
      <c r="P126" s="200"/>
      <c r="Q126" s="200"/>
      <c r="R126" s="200"/>
      <c r="S126" s="200"/>
      <c r="T126" s="200"/>
      <c r="U126" s="458"/>
      <c r="V126" s="430">
        <f t="shared" si="5"/>
        <v>0</v>
      </c>
      <c r="W126" s="431">
        <f t="shared" si="6"/>
        <v>0</v>
      </c>
      <c r="X126" s="459"/>
      <c r="Y126" s="461"/>
      <c r="Z126" s="461"/>
      <c r="AA126" s="461"/>
      <c r="AB126" s="426"/>
      <c r="AC126" s="426"/>
      <c r="AD126" s="200"/>
      <c r="AE126" s="200"/>
      <c r="AF126" s="200"/>
      <c r="AG126" s="200"/>
    </row>
    <row r="127" ht="15.75" customHeight="1">
      <c r="A127" s="417"/>
      <c r="B127" s="454"/>
      <c r="C127" s="455"/>
      <c r="D127" s="456"/>
      <c r="E127" s="457"/>
      <c r="F127" s="422">
        <f t="shared" si="1"/>
        <v>0</v>
      </c>
      <c r="G127" s="423"/>
      <c r="H127" s="424">
        <f t="shared" si="2"/>
        <v>0</v>
      </c>
      <c r="I127" s="425" t="s">
        <v>42</v>
      </c>
      <c r="J127" s="426">
        <f t="shared" si="8"/>
        <v>0</v>
      </c>
      <c r="K127" s="200"/>
      <c r="L127" s="427"/>
      <c r="M127" s="200"/>
      <c r="N127" s="200"/>
      <c r="O127" s="200"/>
      <c r="P127" s="200"/>
      <c r="Q127" s="200"/>
      <c r="R127" s="200"/>
      <c r="S127" s="200"/>
      <c r="T127" s="200"/>
      <c r="U127" s="458"/>
      <c r="V127" s="430">
        <f t="shared" si="5"/>
        <v>0</v>
      </c>
      <c r="W127" s="431">
        <f t="shared" si="6"/>
        <v>0</v>
      </c>
      <c r="X127" s="459"/>
      <c r="Y127" s="461"/>
      <c r="Z127" s="461"/>
      <c r="AA127" s="461"/>
      <c r="AB127" s="426"/>
      <c r="AC127" s="426"/>
      <c r="AD127" s="200"/>
      <c r="AE127" s="200"/>
      <c r="AF127" s="200"/>
      <c r="AG127" s="200"/>
    </row>
    <row r="128" ht="15.75" customHeight="1">
      <c r="A128" s="417"/>
      <c r="B128" s="454"/>
      <c r="C128" s="455"/>
      <c r="D128" s="456"/>
      <c r="E128" s="457"/>
      <c r="F128" s="422">
        <f t="shared" si="1"/>
        <v>0</v>
      </c>
      <c r="G128" s="423"/>
      <c r="H128" s="424">
        <f t="shared" si="2"/>
        <v>0</v>
      </c>
      <c r="I128" s="425" t="s">
        <v>42</v>
      </c>
      <c r="J128" s="426">
        <f t="shared" si="8"/>
        <v>0</v>
      </c>
      <c r="K128" s="200"/>
      <c r="L128" s="427"/>
      <c r="M128" s="200"/>
      <c r="N128" s="200"/>
      <c r="O128" s="200"/>
      <c r="P128" s="200"/>
      <c r="Q128" s="200"/>
      <c r="R128" s="200"/>
      <c r="S128" s="200"/>
      <c r="T128" s="200"/>
      <c r="U128" s="458"/>
      <c r="V128" s="430">
        <f t="shared" si="5"/>
        <v>0</v>
      </c>
      <c r="W128" s="431">
        <f t="shared" si="6"/>
        <v>0</v>
      </c>
      <c r="X128" s="459"/>
      <c r="Y128" s="461"/>
      <c r="Z128" s="461"/>
      <c r="AA128" s="461"/>
      <c r="AB128" s="426"/>
      <c r="AC128" s="426"/>
      <c r="AD128" s="200"/>
      <c r="AE128" s="200"/>
      <c r="AF128" s="200"/>
      <c r="AG128" s="200"/>
    </row>
    <row r="129" ht="15.75" customHeight="1">
      <c r="A129" s="417"/>
      <c r="B129" s="454"/>
      <c r="C129" s="467"/>
      <c r="D129" s="463"/>
      <c r="E129" s="468"/>
      <c r="F129" s="422">
        <f t="shared" si="1"/>
        <v>0</v>
      </c>
      <c r="G129" s="423"/>
      <c r="H129" s="424">
        <f t="shared" si="2"/>
        <v>0</v>
      </c>
      <c r="I129" s="425" t="s">
        <v>42</v>
      </c>
      <c r="J129" s="426">
        <f t="shared" si="8"/>
        <v>0</v>
      </c>
      <c r="K129" s="200"/>
      <c r="L129" s="427"/>
      <c r="M129" s="200"/>
      <c r="N129" s="200"/>
      <c r="O129" s="200"/>
      <c r="P129" s="200"/>
      <c r="Q129" s="200"/>
      <c r="R129" s="200"/>
      <c r="S129" s="200"/>
      <c r="T129" s="200"/>
      <c r="U129" s="458"/>
      <c r="V129" s="430">
        <f t="shared" si="5"/>
        <v>0</v>
      </c>
      <c r="W129" s="431">
        <f t="shared" si="6"/>
        <v>0</v>
      </c>
      <c r="X129" s="459"/>
      <c r="Y129" s="461"/>
      <c r="Z129" s="461"/>
      <c r="AA129" s="461"/>
      <c r="AB129" s="426"/>
      <c r="AC129" s="426"/>
      <c r="AD129" s="200"/>
      <c r="AE129" s="200"/>
      <c r="AF129" s="200"/>
      <c r="AG129" s="200"/>
    </row>
    <row r="130" ht="15.75" customHeight="1">
      <c r="A130" s="417"/>
      <c r="B130" s="454"/>
      <c r="C130" s="455"/>
      <c r="D130" s="456"/>
      <c r="E130" s="457"/>
      <c r="F130" s="422">
        <f t="shared" si="1"/>
        <v>0</v>
      </c>
      <c r="G130" s="423"/>
      <c r="H130" s="424">
        <f t="shared" si="2"/>
        <v>0</v>
      </c>
      <c r="I130" s="425" t="s">
        <v>42</v>
      </c>
      <c r="J130" s="426">
        <f t="shared" si="8"/>
        <v>0</v>
      </c>
      <c r="K130" s="200"/>
      <c r="L130" s="427"/>
      <c r="M130" s="200"/>
      <c r="N130" s="200"/>
      <c r="O130" s="200"/>
      <c r="P130" s="200"/>
      <c r="Q130" s="200"/>
      <c r="R130" s="200"/>
      <c r="S130" s="200"/>
      <c r="T130" s="200"/>
      <c r="U130" s="458"/>
      <c r="V130" s="430">
        <f t="shared" si="5"/>
        <v>0</v>
      </c>
      <c r="W130" s="431">
        <f t="shared" si="6"/>
        <v>0</v>
      </c>
      <c r="X130" s="459"/>
      <c r="Y130" s="461"/>
      <c r="Z130" s="461"/>
      <c r="AA130" s="461"/>
      <c r="AB130" s="426"/>
      <c r="AC130" s="426"/>
      <c r="AD130" s="200"/>
      <c r="AE130" s="200"/>
      <c r="AF130" s="200"/>
      <c r="AG130" s="200"/>
    </row>
    <row r="131" ht="15.75" customHeight="1">
      <c r="A131" s="417"/>
      <c r="B131" s="454"/>
      <c r="C131" s="455"/>
      <c r="D131" s="456"/>
      <c r="E131" s="457"/>
      <c r="F131" s="422">
        <f t="shared" si="1"/>
        <v>0</v>
      </c>
      <c r="G131" s="423"/>
      <c r="H131" s="424">
        <f t="shared" si="2"/>
        <v>0</v>
      </c>
      <c r="I131" s="425" t="s">
        <v>42</v>
      </c>
      <c r="J131" s="426">
        <f t="shared" si="8"/>
        <v>0</v>
      </c>
      <c r="K131" s="200"/>
      <c r="L131" s="427"/>
      <c r="M131" s="200"/>
      <c r="N131" s="200"/>
      <c r="O131" s="200"/>
      <c r="P131" s="200"/>
      <c r="Q131" s="200"/>
      <c r="R131" s="200"/>
      <c r="S131" s="200"/>
      <c r="T131" s="200"/>
      <c r="U131" s="458"/>
      <c r="V131" s="430">
        <f t="shared" si="5"/>
        <v>0</v>
      </c>
      <c r="W131" s="431">
        <f t="shared" si="6"/>
        <v>0</v>
      </c>
      <c r="X131" s="459"/>
      <c r="Y131" s="461"/>
      <c r="Z131" s="461"/>
      <c r="AA131" s="461"/>
      <c r="AB131" s="426"/>
      <c r="AC131" s="426"/>
      <c r="AD131" s="200"/>
      <c r="AE131" s="200"/>
      <c r="AF131" s="200"/>
      <c r="AG131" s="200"/>
    </row>
    <row r="132" ht="15.75" customHeight="1">
      <c r="A132" s="417"/>
      <c r="B132" s="454"/>
      <c r="C132" s="455"/>
      <c r="D132" s="456"/>
      <c r="E132" s="457"/>
      <c r="F132" s="422">
        <f t="shared" si="1"/>
        <v>0</v>
      </c>
      <c r="G132" s="423"/>
      <c r="H132" s="424">
        <f t="shared" si="2"/>
        <v>0</v>
      </c>
      <c r="I132" s="425" t="s">
        <v>42</v>
      </c>
      <c r="J132" s="426">
        <f t="shared" si="8"/>
        <v>0</v>
      </c>
      <c r="K132" s="200"/>
      <c r="L132" s="427"/>
      <c r="M132" s="200"/>
      <c r="N132" s="200"/>
      <c r="O132" s="200"/>
      <c r="P132" s="200"/>
      <c r="Q132" s="200"/>
      <c r="R132" s="200"/>
      <c r="S132" s="200"/>
      <c r="T132" s="200"/>
      <c r="U132" s="458"/>
      <c r="V132" s="430">
        <f t="shared" si="5"/>
        <v>0</v>
      </c>
      <c r="W132" s="431">
        <f t="shared" si="6"/>
        <v>0</v>
      </c>
      <c r="X132" s="459"/>
      <c r="Y132" s="461"/>
      <c r="Z132" s="461"/>
      <c r="AA132" s="461"/>
      <c r="AB132" s="426"/>
      <c r="AC132" s="426"/>
      <c r="AD132" s="200"/>
      <c r="AE132" s="200"/>
      <c r="AF132" s="200"/>
      <c r="AG132" s="200"/>
    </row>
    <row r="133" ht="15.75" customHeight="1">
      <c r="A133" s="417"/>
      <c r="B133" s="454"/>
      <c r="C133" s="455"/>
      <c r="D133" s="456"/>
      <c r="E133" s="457"/>
      <c r="F133" s="422">
        <f t="shared" si="1"/>
        <v>0</v>
      </c>
      <c r="G133" s="423"/>
      <c r="H133" s="424">
        <f t="shared" si="2"/>
        <v>0</v>
      </c>
      <c r="I133" s="425" t="s">
        <v>42</v>
      </c>
      <c r="J133" s="426">
        <f t="shared" si="8"/>
        <v>0</v>
      </c>
      <c r="K133" s="200"/>
      <c r="L133" s="427"/>
      <c r="M133" s="200"/>
      <c r="N133" s="200"/>
      <c r="O133" s="200"/>
      <c r="P133" s="200"/>
      <c r="Q133" s="200"/>
      <c r="R133" s="200"/>
      <c r="S133" s="200"/>
      <c r="T133" s="200"/>
      <c r="U133" s="458"/>
      <c r="V133" s="430">
        <f t="shared" si="5"/>
        <v>0</v>
      </c>
      <c r="W133" s="431">
        <f t="shared" si="6"/>
        <v>0</v>
      </c>
      <c r="X133" s="459"/>
      <c r="Y133" s="461"/>
      <c r="Z133" s="461"/>
      <c r="AA133" s="461"/>
      <c r="AB133" s="426"/>
      <c r="AC133" s="426"/>
      <c r="AD133" s="200"/>
      <c r="AE133" s="200"/>
      <c r="AF133" s="200"/>
      <c r="AG133" s="200"/>
    </row>
    <row r="134" ht="15.75" customHeight="1">
      <c r="A134" s="417"/>
      <c r="B134" s="454"/>
      <c r="C134" s="455"/>
      <c r="D134" s="456"/>
      <c r="E134" s="457"/>
      <c r="F134" s="422">
        <f t="shared" si="1"/>
        <v>0</v>
      </c>
      <c r="G134" s="423"/>
      <c r="H134" s="424">
        <f t="shared" si="2"/>
        <v>0</v>
      </c>
      <c r="I134" s="425" t="s">
        <v>42</v>
      </c>
      <c r="J134" s="426">
        <f t="shared" si="8"/>
        <v>0</v>
      </c>
      <c r="K134" s="200"/>
      <c r="L134" s="427"/>
      <c r="M134" s="200"/>
      <c r="N134" s="200"/>
      <c r="O134" s="200"/>
      <c r="P134" s="200"/>
      <c r="Q134" s="200"/>
      <c r="R134" s="200"/>
      <c r="S134" s="200"/>
      <c r="T134" s="200"/>
      <c r="U134" s="458"/>
      <c r="V134" s="430">
        <f t="shared" si="5"/>
        <v>0</v>
      </c>
      <c r="W134" s="431">
        <f t="shared" si="6"/>
        <v>0</v>
      </c>
      <c r="X134" s="459"/>
      <c r="Y134" s="461"/>
      <c r="Z134" s="461"/>
      <c r="AA134" s="461"/>
      <c r="AB134" s="426"/>
      <c r="AC134" s="426"/>
      <c r="AD134" s="200"/>
      <c r="AE134" s="200"/>
      <c r="AF134" s="200"/>
      <c r="AG134" s="200"/>
    </row>
    <row r="135" ht="15.75" customHeight="1">
      <c r="A135" s="268"/>
      <c r="B135" s="344"/>
      <c r="C135" s="469"/>
      <c r="D135" s="346"/>
      <c r="E135" s="347"/>
      <c r="F135" s="422">
        <f t="shared" si="1"/>
        <v>0</v>
      </c>
      <c r="G135" s="305"/>
      <c r="H135" s="424">
        <f t="shared" si="2"/>
        <v>0</v>
      </c>
      <c r="I135" s="425" t="s">
        <v>42</v>
      </c>
      <c r="J135" s="426">
        <f t="shared" si="8"/>
        <v>0</v>
      </c>
      <c r="L135" s="470"/>
      <c r="U135" s="471"/>
      <c r="V135" s="430">
        <f t="shared" si="5"/>
        <v>0</v>
      </c>
      <c r="W135" s="431">
        <f t="shared" si="6"/>
        <v>0</v>
      </c>
      <c r="X135" s="472"/>
      <c r="Y135" s="473"/>
      <c r="Z135" s="473"/>
      <c r="AA135" s="473"/>
      <c r="AB135" s="474"/>
      <c r="AC135" s="474"/>
    </row>
    <row r="136" ht="15.75" customHeight="1">
      <c r="A136" s="268"/>
      <c r="B136" s="344"/>
      <c r="C136" s="469"/>
      <c r="D136" s="348"/>
      <c r="E136" s="347"/>
      <c r="F136" s="422">
        <f t="shared" si="1"/>
        <v>0</v>
      </c>
      <c r="G136" s="305"/>
      <c r="H136" s="424">
        <f t="shared" si="2"/>
        <v>0</v>
      </c>
      <c r="I136" s="425" t="s">
        <v>42</v>
      </c>
      <c r="J136" s="426">
        <f t="shared" si="8"/>
        <v>0</v>
      </c>
      <c r="L136" s="470"/>
      <c r="U136" s="471"/>
      <c r="V136" s="430">
        <f t="shared" si="5"/>
        <v>0</v>
      </c>
      <c r="W136" s="431">
        <f t="shared" si="6"/>
        <v>0</v>
      </c>
      <c r="X136" s="472"/>
      <c r="Y136" s="473"/>
      <c r="Z136" s="473"/>
      <c r="AA136" s="473"/>
      <c r="AB136" s="474"/>
      <c r="AC136" s="474"/>
    </row>
    <row r="137" ht="15.75" customHeight="1">
      <c r="A137" s="268"/>
      <c r="B137" s="344"/>
      <c r="C137" s="469"/>
      <c r="D137" s="348"/>
      <c r="E137" s="347"/>
      <c r="F137" s="422">
        <f t="shared" si="1"/>
        <v>0</v>
      </c>
      <c r="G137" s="305"/>
      <c r="H137" s="424">
        <f t="shared" si="2"/>
        <v>0</v>
      </c>
      <c r="I137" s="425" t="s">
        <v>42</v>
      </c>
      <c r="J137" s="426">
        <f t="shared" si="8"/>
        <v>0</v>
      </c>
      <c r="L137" s="470"/>
      <c r="U137" s="471"/>
      <c r="V137" s="430">
        <f t="shared" si="5"/>
        <v>0</v>
      </c>
      <c r="W137" s="431">
        <f t="shared" si="6"/>
        <v>0</v>
      </c>
      <c r="X137" s="472"/>
      <c r="Y137" s="473"/>
      <c r="Z137" s="473"/>
      <c r="AA137" s="473"/>
      <c r="AB137" s="474"/>
      <c r="AC137" s="474"/>
    </row>
    <row r="138" ht="15.75" customHeight="1">
      <c r="A138" s="268"/>
      <c r="B138" s="344"/>
      <c r="C138" s="469"/>
      <c r="D138" s="348"/>
      <c r="E138" s="347"/>
      <c r="F138" s="422">
        <f t="shared" si="1"/>
        <v>0</v>
      </c>
      <c r="G138" s="305"/>
      <c r="H138" s="424">
        <f t="shared" si="2"/>
        <v>0</v>
      </c>
      <c r="I138" s="425" t="s">
        <v>42</v>
      </c>
      <c r="J138" s="426">
        <f t="shared" si="8"/>
        <v>0</v>
      </c>
      <c r="L138" s="470"/>
      <c r="U138" s="471"/>
      <c r="V138" s="430">
        <f t="shared" si="5"/>
        <v>0</v>
      </c>
      <c r="W138" s="431">
        <f t="shared" si="6"/>
        <v>0</v>
      </c>
      <c r="X138" s="472"/>
      <c r="Y138" s="473"/>
      <c r="Z138" s="473"/>
      <c r="AA138" s="473"/>
      <c r="AB138" s="474"/>
      <c r="AC138" s="474"/>
    </row>
    <row r="139" ht="15.75" customHeight="1">
      <c r="A139" s="268"/>
      <c r="B139" s="344"/>
      <c r="C139" s="469"/>
      <c r="D139" s="348"/>
      <c r="E139" s="347"/>
      <c r="F139" s="422">
        <f t="shared" si="1"/>
        <v>0</v>
      </c>
      <c r="G139" s="305"/>
      <c r="H139" s="424">
        <f t="shared" si="2"/>
        <v>0</v>
      </c>
      <c r="I139" s="425" t="s">
        <v>42</v>
      </c>
      <c r="J139" s="426">
        <f t="shared" si="8"/>
        <v>0</v>
      </c>
      <c r="L139" s="470"/>
      <c r="U139" s="471"/>
      <c r="V139" s="430">
        <f t="shared" si="5"/>
        <v>0</v>
      </c>
      <c r="W139" s="431">
        <f t="shared" si="6"/>
        <v>0</v>
      </c>
      <c r="X139" s="472"/>
      <c r="Y139" s="473"/>
      <c r="Z139" s="473"/>
      <c r="AA139" s="473"/>
      <c r="AB139" s="474"/>
      <c r="AC139" s="474"/>
    </row>
    <row r="140" ht="15.75" customHeight="1">
      <c r="A140" s="268"/>
      <c r="B140" s="344"/>
      <c r="C140" s="469"/>
      <c r="D140" s="348"/>
      <c r="E140" s="347"/>
      <c r="F140" s="422">
        <f t="shared" si="1"/>
        <v>0</v>
      </c>
      <c r="G140" s="305"/>
      <c r="H140" s="424">
        <f t="shared" si="2"/>
        <v>0</v>
      </c>
      <c r="I140" s="425" t="s">
        <v>42</v>
      </c>
      <c r="J140" s="426">
        <f t="shared" si="8"/>
        <v>0</v>
      </c>
      <c r="L140" s="470"/>
      <c r="U140" s="471"/>
      <c r="V140" s="430">
        <f t="shared" si="5"/>
        <v>0</v>
      </c>
      <c r="W140" s="431">
        <f t="shared" si="6"/>
        <v>0</v>
      </c>
      <c r="X140" s="472"/>
      <c r="Y140" s="473"/>
      <c r="Z140" s="473"/>
      <c r="AA140" s="473"/>
      <c r="AB140" s="474"/>
      <c r="AC140" s="474"/>
    </row>
    <row r="141" ht="15.75" customHeight="1">
      <c r="A141" s="268"/>
      <c r="B141" s="344"/>
      <c r="C141" s="469"/>
      <c r="D141" s="348"/>
      <c r="E141" s="347"/>
      <c r="F141" s="422">
        <f t="shared" si="1"/>
        <v>0</v>
      </c>
      <c r="G141" s="305"/>
      <c r="H141" s="424">
        <f t="shared" si="2"/>
        <v>0</v>
      </c>
      <c r="I141" s="425" t="s">
        <v>42</v>
      </c>
      <c r="J141" s="426">
        <f t="shared" si="8"/>
        <v>0</v>
      </c>
      <c r="L141" s="470"/>
      <c r="U141" s="471"/>
      <c r="V141" s="430">
        <f t="shared" si="5"/>
        <v>0</v>
      </c>
      <c r="W141" s="431">
        <f t="shared" si="6"/>
        <v>0</v>
      </c>
      <c r="X141" s="472"/>
      <c r="Y141" s="473"/>
      <c r="Z141" s="473"/>
      <c r="AA141" s="473"/>
      <c r="AB141" s="474"/>
      <c r="AC141" s="474"/>
    </row>
    <row r="142" ht="15.75" customHeight="1">
      <c r="A142" s="268"/>
      <c r="B142" s="344"/>
      <c r="C142" s="475"/>
      <c r="D142" s="350"/>
      <c r="E142" s="351"/>
      <c r="F142" s="422">
        <f t="shared" si="1"/>
        <v>0</v>
      </c>
      <c r="G142" s="305"/>
      <c r="H142" s="424">
        <f t="shared" si="2"/>
        <v>0</v>
      </c>
      <c r="I142" s="425" t="s">
        <v>42</v>
      </c>
      <c r="J142" s="426">
        <f t="shared" si="8"/>
        <v>0</v>
      </c>
      <c r="L142" s="470"/>
      <c r="U142" s="471"/>
      <c r="V142" s="430">
        <f t="shared" si="5"/>
        <v>0</v>
      </c>
      <c r="W142" s="431">
        <f t="shared" si="6"/>
        <v>0</v>
      </c>
      <c r="X142" s="472"/>
      <c r="Y142" s="473"/>
      <c r="Z142" s="473"/>
      <c r="AA142" s="473"/>
      <c r="AB142" s="474"/>
      <c r="AC142" s="474"/>
    </row>
    <row r="143" ht="15.75" customHeight="1">
      <c r="A143" s="268"/>
      <c r="B143" s="344"/>
      <c r="C143" s="475"/>
      <c r="D143" s="350"/>
      <c r="E143" s="351"/>
      <c r="F143" s="422">
        <f t="shared" si="1"/>
        <v>0</v>
      </c>
      <c r="G143" s="305"/>
      <c r="H143" s="424">
        <f t="shared" si="2"/>
        <v>0</v>
      </c>
      <c r="I143" s="425" t="s">
        <v>42</v>
      </c>
      <c r="J143" s="426">
        <f t="shared" si="8"/>
        <v>0</v>
      </c>
      <c r="L143" s="470"/>
      <c r="U143" s="471"/>
      <c r="V143" s="430">
        <f t="shared" si="5"/>
        <v>0</v>
      </c>
      <c r="W143" s="431">
        <f t="shared" si="6"/>
        <v>0</v>
      </c>
      <c r="X143" s="472"/>
      <c r="Y143" s="473"/>
      <c r="Z143" s="473"/>
      <c r="AA143" s="473"/>
      <c r="AB143" s="474"/>
      <c r="AC143" s="474"/>
    </row>
    <row r="144" ht="15.75" customHeight="1">
      <c r="A144" s="268"/>
      <c r="B144" s="344"/>
      <c r="C144" s="475"/>
      <c r="D144" s="350"/>
      <c r="E144" s="351"/>
      <c r="F144" s="422">
        <f t="shared" si="1"/>
        <v>0</v>
      </c>
      <c r="G144" s="305"/>
      <c r="H144" s="424">
        <f t="shared" si="2"/>
        <v>0</v>
      </c>
      <c r="I144" s="425" t="s">
        <v>42</v>
      </c>
      <c r="J144" s="426">
        <f t="shared" si="8"/>
        <v>0</v>
      </c>
      <c r="L144" s="470"/>
      <c r="U144" s="471"/>
      <c r="V144" s="430">
        <f t="shared" si="5"/>
        <v>0</v>
      </c>
      <c r="W144" s="431">
        <f t="shared" si="6"/>
        <v>0</v>
      </c>
      <c r="X144" s="472"/>
      <c r="Y144" s="473"/>
      <c r="Z144" s="473"/>
      <c r="AA144" s="473"/>
      <c r="AB144" s="474"/>
      <c r="AC144" s="474"/>
    </row>
    <row r="145" ht="15.75" customHeight="1">
      <c r="A145" s="268"/>
      <c r="B145" s="344"/>
      <c r="C145" s="476"/>
      <c r="D145" s="350"/>
      <c r="E145" s="351"/>
      <c r="F145" s="422">
        <f t="shared" si="1"/>
        <v>0</v>
      </c>
      <c r="G145" s="305"/>
      <c r="H145" s="424">
        <f t="shared" si="2"/>
        <v>0</v>
      </c>
      <c r="I145" s="425" t="s">
        <v>42</v>
      </c>
      <c r="J145" s="426">
        <f t="shared" si="8"/>
        <v>0</v>
      </c>
      <c r="L145" s="470"/>
      <c r="U145" s="471"/>
      <c r="V145" s="430">
        <f t="shared" si="5"/>
        <v>0</v>
      </c>
      <c r="W145" s="431">
        <f t="shared" si="6"/>
        <v>0</v>
      </c>
      <c r="X145" s="472"/>
      <c r="Y145" s="473"/>
      <c r="Z145" s="473"/>
      <c r="AA145" s="473"/>
      <c r="AB145" s="474"/>
      <c r="AC145" s="474"/>
    </row>
    <row r="146" ht="15.75" customHeight="1">
      <c r="A146" s="268"/>
      <c r="B146" s="344"/>
      <c r="C146" s="476"/>
      <c r="D146" s="350"/>
      <c r="E146" s="351"/>
      <c r="F146" s="422">
        <f t="shared" si="1"/>
        <v>0</v>
      </c>
      <c r="G146" s="305"/>
      <c r="H146" s="424">
        <f t="shared" si="2"/>
        <v>0</v>
      </c>
      <c r="I146" s="425" t="s">
        <v>42</v>
      </c>
      <c r="J146" s="426">
        <f t="shared" si="8"/>
        <v>0</v>
      </c>
      <c r="L146" s="470"/>
      <c r="U146" s="471"/>
      <c r="V146" s="430">
        <f t="shared" si="5"/>
        <v>0</v>
      </c>
      <c r="W146" s="431">
        <f t="shared" si="6"/>
        <v>0</v>
      </c>
      <c r="X146" s="472"/>
      <c r="Y146" s="473"/>
      <c r="Z146" s="473"/>
      <c r="AA146" s="473"/>
      <c r="AB146" s="474"/>
      <c r="AC146" s="474"/>
    </row>
    <row r="147" ht="15.75" customHeight="1">
      <c r="A147" s="268"/>
      <c r="B147" s="344"/>
      <c r="C147" s="476"/>
      <c r="D147" s="350"/>
      <c r="E147" s="351"/>
      <c r="F147" s="422">
        <f t="shared" si="1"/>
        <v>0</v>
      </c>
      <c r="G147" s="305"/>
      <c r="H147" s="424">
        <f t="shared" si="2"/>
        <v>0</v>
      </c>
      <c r="I147" s="425" t="s">
        <v>42</v>
      </c>
      <c r="J147" s="426">
        <f t="shared" si="8"/>
        <v>0</v>
      </c>
      <c r="L147" s="470"/>
      <c r="U147" s="471"/>
      <c r="V147" s="430">
        <f t="shared" si="5"/>
        <v>0</v>
      </c>
      <c r="W147" s="431">
        <f t="shared" si="6"/>
        <v>0</v>
      </c>
      <c r="X147" s="472"/>
      <c r="Y147" s="473"/>
      <c r="Z147" s="473"/>
      <c r="AA147" s="473"/>
      <c r="AB147" s="474"/>
      <c r="AC147" s="474"/>
    </row>
    <row r="148" ht="15.75" customHeight="1">
      <c r="A148" s="268"/>
      <c r="B148" s="344"/>
      <c r="C148" s="475"/>
      <c r="D148" s="350"/>
      <c r="E148" s="351"/>
      <c r="F148" s="422">
        <f t="shared" si="1"/>
        <v>0</v>
      </c>
      <c r="G148" s="305"/>
      <c r="H148" s="424">
        <f t="shared" si="2"/>
        <v>0</v>
      </c>
      <c r="I148" s="425" t="s">
        <v>42</v>
      </c>
      <c r="J148" s="426">
        <f t="shared" si="8"/>
        <v>0</v>
      </c>
      <c r="L148" s="470"/>
      <c r="U148" s="471"/>
      <c r="V148" s="430">
        <f t="shared" si="5"/>
        <v>0</v>
      </c>
      <c r="W148" s="431">
        <f t="shared" si="6"/>
        <v>0</v>
      </c>
      <c r="X148" s="472"/>
      <c r="Y148" s="473"/>
      <c r="Z148" s="473"/>
      <c r="AA148" s="473"/>
      <c r="AB148" s="474"/>
      <c r="AC148" s="474"/>
    </row>
    <row r="149" ht="15.75" customHeight="1">
      <c r="A149" s="268"/>
      <c r="B149" s="344"/>
      <c r="C149" s="475"/>
      <c r="D149" s="350"/>
      <c r="E149" s="351"/>
      <c r="F149" s="422">
        <f t="shared" si="1"/>
        <v>0</v>
      </c>
      <c r="G149" s="305"/>
      <c r="H149" s="424">
        <f t="shared" si="2"/>
        <v>0</v>
      </c>
      <c r="I149" s="425" t="s">
        <v>42</v>
      </c>
      <c r="J149" s="426">
        <f t="shared" si="8"/>
        <v>0</v>
      </c>
      <c r="L149" s="470"/>
      <c r="U149" s="471"/>
      <c r="V149" s="430">
        <f t="shared" si="5"/>
        <v>0</v>
      </c>
      <c r="W149" s="431">
        <f t="shared" si="6"/>
        <v>0</v>
      </c>
      <c r="X149" s="472"/>
      <c r="Y149" s="473"/>
      <c r="Z149" s="473"/>
      <c r="AA149" s="473"/>
      <c r="AB149" s="474"/>
      <c r="AC149" s="474"/>
    </row>
    <row r="150" ht="15.75" customHeight="1">
      <c r="A150" s="268"/>
      <c r="B150" s="344"/>
      <c r="C150" s="477"/>
      <c r="D150" s="350"/>
      <c r="E150" s="351"/>
      <c r="F150" s="422">
        <f t="shared" si="1"/>
        <v>0</v>
      </c>
      <c r="G150" s="305"/>
      <c r="H150" s="424">
        <f t="shared" si="2"/>
        <v>0</v>
      </c>
      <c r="I150" s="425" t="s">
        <v>42</v>
      </c>
      <c r="J150" s="426">
        <f t="shared" si="8"/>
        <v>0</v>
      </c>
      <c r="K150" s="233"/>
      <c r="L150" s="478"/>
      <c r="U150" s="471"/>
      <c r="V150" s="430">
        <f t="shared" si="5"/>
        <v>0</v>
      </c>
      <c r="W150" s="431">
        <f t="shared" si="6"/>
        <v>0</v>
      </c>
      <c r="X150" s="472"/>
      <c r="Y150" s="473"/>
      <c r="Z150" s="473"/>
      <c r="AA150" s="473"/>
      <c r="AB150" s="474"/>
      <c r="AC150" s="474"/>
    </row>
    <row r="151" ht="15.75" customHeight="1">
      <c r="A151" s="268"/>
      <c r="B151" s="344"/>
      <c r="C151" s="475"/>
      <c r="D151" s="350"/>
      <c r="E151" s="351"/>
      <c r="F151" s="422">
        <f t="shared" si="1"/>
        <v>0</v>
      </c>
      <c r="G151" s="305"/>
      <c r="H151" s="424">
        <f t="shared" si="2"/>
        <v>0</v>
      </c>
      <c r="I151" s="425" t="s">
        <v>42</v>
      </c>
      <c r="J151" s="426">
        <f t="shared" si="8"/>
        <v>0</v>
      </c>
      <c r="K151" s="233"/>
      <c r="L151" s="478"/>
      <c r="U151" s="471"/>
      <c r="V151" s="430">
        <f t="shared" si="5"/>
        <v>0</v>
      </c>
      <c r="W151" s="431">
        <f t="shared" si="6"/>
        <v>0</v>
      </c>
      <c r="X151" s="472"/>
      <c r="Y151" s="473"/>
      <c r="Z151" s="473"/>
      <c r="AA151" s="473"/>
      <c r="AB151" s="474"/>
      <c r="AC151" s="474"/>
    </row>
    <row r="152" ht="15.75" customHeight="1">
      <c r="A152" s="268"/>
      <c r="B152" s="344"/>
      <c r="C152" s="475"/>
      <c r="D152" s="350"/>
      <c r="E152" s="351"/>
      <c r="F152" s="422">
        <f t="shared" si="1"/>
        <v>0</v>
      </c>
      <c r="G152" s="305"/>
      <c r="H152" s="424">
        <f t="shared" si="2"/>
        <v>0</v>
      </c>
      <c r="I152" s="425" t="s">
        <v>42</v>
      </c>
      <c r="J152" s="426">
        <f t="shared" si="8"/>
        <v>0</v>
      </c>
      <c r="K152" s="233"/>
      <c r="L152" s="478"/>
      <c r="U152" s="471"/>
      <c r="V152" s="430">
        <f t="shared" si="5"/>
        <v>0</v>
      </c>
      <c r="W152" s="431">
        <f t="shared" si="6"/>
        <v>0</v>
      </c>
      <c r="X152" s="472"/>
      <c r="Y152" s="473"/>
      <c r="Z152" s="473"/>
      <c r="AA152" s="473"/>
      <c r="AB152" s="474"/>
      <c r="AC152" s="474"/>
    </row>
    <row r="153" ht="15.75" customHeight="1">
      <c r="A153" s="268"/>
      <c r="B153" s="344"/>
      <c r="C153" s="475"/>
      <c r="D153" s="350"/>
      <c r="E153" s="351"/>
      <c r="F153" s="422">
        <f t="shared" si="1"/>
        <v>0</v>
      </c>
      <c r="G153" s="305"/>
      <c r="H153" s="424">
        <f t="shared" si="2"/>
        <v>0</v>
      </c>
      <c r="I153" s="425" t="s">
        <v>42</v>
      </c>
      <c r="J153" s="426">
        <f t="shared" si="8"/>
        <v>0</v>
      </c>
      <c r="K153" s="233"/>
      <c r="L153" s="478"/>
      <c r="U153" s="471"/>
      <c r="V153" s="430">
        <f t="shared" si="5"/>
        <v>0</v>
      </c>
      <c r="W153" s="431">
        <f t="shared" si="6"/>
        <v>0</v>
      </c>
      <c r="X153" s="472"/>
      <c r="Y153" s="473"/>
      <c r="Z153" s="473"/>
      <c r="AA153" s="473"/>
      <c r="AB153" s="474"/>
      <c r="AC153" s="474"/>
    </row>
    <row r="154" ht="15.75" customHeight="1">
      <c r="A154" s="268"/>
      <c r="B154" s="344"/>
      <c r="C154" s="475"/>
      <c r="D154" s="350"/>
      <c r="E154" s="351"/>
      <c r="F154" s="422">
        <f t="shared" si="1"/>
        <v>0</v>
      </c>
      <c r="G154" s="305"/>
      <c r="H154" s="424">
        <f t="shared" si="2"/>
        <v>0</v>
      </c>
      <c r="I154" s="425" t="s">
        <v>42</v>
      </c>
      <c r="J154" s="426">
        <f t="shared" si="8"/>
        <v>0</v>
      </c>
      <c r="K154" s="233"/>
      <c r="L154" s="478"/>
      <c r="U154" s="471"/>
      <c r="V154" s="430">
        <f t="shared" si="5"/>
        <v>0</v>
      </c>
      <c r="W154" s="431">
        <f t="shared" si="6"/>
        <v>0</v>
      </c>
      <c r="X154" s="472"/>
      <c r="Y154" s="473"/>
      <c r="Z154" s="473"/>
      <c r="AA154" s="473"/>
      <c r="AB154" s="474"/>
      <c r="AC154" s="474"/>
    </row>
    <row r="155" ht="15.75" customHeight="1">
      <c r="A155" s="268"/>
      <c r="B155" s="344"/>
      <c r="C155" s="475"/>
      <c r="D155" s="350"/>
      <c r="E155" s="351"/>
      <c r="F155" s="422">
        <f t="shared" si="1"/>
        <v>0</v>
      </c>
      <c r="G155" s="305"/>
      <c r="H155" s="424">
        <f t="shared" si="2"/>
        <v>0</v>
      </c>
      <c r="I155" s="425" t="s">
        <v>42</v>
      </c>
      <c r="J155" s="426">
        <f t="shared" si="8"/>
        <v>0</v>
      </c>
      <c r="K155" s="233"/>
      <c r="L155" s="478"/>
      <c r="U155" s="471"/>
      <c r="V155" s="430">
        <f t="shared" si="5"/>
        <v>0</v>
      </c>
      <c r="W155" s="431">
        <f t="shared" si="6"/>
        <v>0</v>
      </c>
      <c r="X155" s="472"/>
      <c r="Y155" s="473"/>
      <c r="Z155" s="473"/>
      <c r="AA155" s="473"/>
      <c r="AB155" s="474"/>
      <c r="AC155" s="474"/>
    </row>
    <row r="156" ht="15.75" customHeight="1">
      <c r="A156" s="268"/>
      <c r="B156" s="344"/>
      <c r="C156" s="476"/>
      <c r="D156" s="350"/>
      <c r="E156" s="351"/>
      <c r="F156" s="422">
        <f t="shared" si="1"/>
        <v>0</v>
      </c>
      <c r="G156" s="305"/>
      <c r="H156" s="424">
        <f t="shared" si="2"/>
        <v>0</v>
      </c>
      <c r="I156" s="425" t="s">
        <v>42</v>
      </c>
      <c r="J156" s="426">
        <f t="shared" si="8"/>
        <v>0</v>
      </c>
      <c r="K156" s="233"/>
      <c r="L156" s="478"/>
      <c r="U156" s="471"/>
      <c r="V156" s="430">
        <f t="shared" si="5"/>
        <v>0</v>
      </c>
      <c r="W156" s="431">
        <f t="shared" si="6"/>
        <v>0</v>
      </c>
      <c r="X156" s="472"/>
      <c r="Y156" s="473"/>
      <c r="Z156" s="473"/>
      <c r="AA156" s="473"/>
      <c r="AB156" s="474"/>
      <c r="AC156" s="474"/>
    </row>
    <row r="157" ht="15.75" customHeight="1">
      <c r="A157" s="268"/>
      <c r="B157" s="344"/>
      <c r="C157" s="475"/>
      <c r="D157" s="350"/>
      <c r="E157" s="351"/>
      <c r="F157" s="422">
        <f t="shared" si="1"/>
        <v>0</v>
      </c>
      <c r="G157" s="305"/>
      <c r="H157" s="424">
        <f t="shared" si="2"/>
        <v>0</v>
      </c>
      <c r="I157" s="425" t="s">
        <v>42</v>
      </c>
      <c r="J157" s="426">
        <f t="shared" si="8"/>
        <v>0</v>
      </c>
      <c r="K157" s="233"/>
      <c r="L157" s="478"/>
      <c r="U157" s="471"/>
      <c r="V157" s="430">
        <f t="shared" si="5"/>
        <v>0</v>
      </c>
      <c r="W157" s="431">
        <f t="shared" si="6"/>
        <v>0</v>
      </c>
      <c r="X157" s="472"/>
      <c r="Y157" s="473"/>
      <c r="Z157" s="473"/>
      <c r="AA157" s="473"/>
      <c r="AB157" s="474"/>
      <c r="AC157" s="474"/>
    </row>
    <row r="158" ht="15.75" customHeight="1">
      <c r="A158" s="268"/>
      <c r="B158" s="344"/>
      <c r="C158" s="477"/>
      <c r="D158" s="354"/>
      <c r="E158" s="351"/>
      <c r="F158" s="422">
        <f t="shared" si="1"/>
        <v>0</v>
      </c>
      <c r="G158" s="305"/>
      <c r="H158" s="424">
        <f t="shared" si="2"/>
        <v>0</v>
      </c>
      <c r="I158" s="425" t="s">
        <v>42</v>
      </c>
      <c r="J158" s="426">
        <f t="shared" si="8"/>
        <v>0</v>
      </c>
      <c r="K158" s="233"/>
      <c r="L158" s="478"/>
      <c r="U158" s="471"/>
      <c r="V158" s="430">
        <f t="shared" si="5"/>
        <v>0</v>
      </c>
      <c r="W158" s="431">
        <f t="shared" si="6"/>
        <v>0</v>
      </c>
      <c r="X158" s="472"/>
      <c r="Y158" s="473"/>
      <c r="Z158" s="473"/>
      <c r="AA158" s="473"/>
      <c r="AB158" s="474"/>
      <c r="AC158" s="474"/>
    </row>
    <row r="159" ht="15.75" customHeight="1">
      <c r="A159" s="268"/>
      <c r="B159" s="344"/>
      <c r="C159" s="476"/>
      <c r="D159" s="350"/>
      <c r="E159" s="355"/>
      <c r="F159" s="422">
        <f t="shared" si="1"/>
        <v>0</v>
      </c>
      <c r="G159" s="305"/>
      <c r="H159" s="424">
        <f t="shared" si="2"/>
        <v>0</v>
      </c>
      <c r="I159" s="425" t="s">
        <v>42</v>
      </c>
      <c r="J159" s="426">
        <f t="shared" si="8"/>
        <v>0</v>
      </c>
      <c r="K159" s="233"/>
      <c r="L159" s="478"/>
      <c r="U159" s="471"/>
      <c r="V159" s="430">
        <f t="shared" si="5"/>
        <v>0</v>
      </c>
      <c r="W159" s="431">
        <f t="shared" si="6"/>
        <v>0</v>
      </c>
      <c r="X159" s="472"/>
      <c r="Y159" s="473"/>
      <c r="Z159" s="473"/>
      <c r="AA159" s="473"/>
      <c r="AB159" s="474"/>
      <c r="AC159" s="474"/>
    </row>
    <row r="160" ht="15.75" customHeight="1">
      <c r="A160" s="268"/>
      <c r="B160" s="344"/>
      <c r="C160" s="476"/>
      <c r="D160" s="350"/>
      <c r="E160" s="355"/>
      <c r="F160" s="422">
        <f t="shared" si="1"/>
        <v>0</v>
      </c>
      <c r="G160" s="305"/>
      <c r="H160" s="424">
        <f t="shared" si="2"/>
        <v>0</v>
      </c>
      <c r="I160" s="425" t="s">
        <v>42</v>
      </c>
      <c r="J160" s="426">
        <f t="shared" si="8"/>
        <v>0</v>
      </c>
      <c r="K160" s="233"/>
      <c r="L160" s="478"/>
      <c r="U160" s="471"/>
      <c r="V160" s="430">
        <f t="shared" si="5"/>
        <v>0</v>
      </c>
      <c r="W160" s="431">
        <f t="shared" si="6"/>
        <v>0</v>
      </c>
      <c r="X160" s="472"/>
      <c r="Y160" s="473"/>
      <c r="Z160" s="473"/>
      <c r="AA160" s="473"/>
      <c r="AB160" s="474"/>
      <c r="AC160" s="474"/>
    </row>
    <row r="161" ht="15.75" customHeight="1">
      <c r="A161" s="268"/>
      <c r="B161" s="344"/>
      <c r="C161" s="476"/>
      <c r="D161" s="350"/>
      <c r="E161" s="355"/>
      <c r="F161" s="422">
        <f t="shared" si="1"/>
        <v>0</v>
      </c>
      <c r="G161" s="305"/>
      <c r="H161" s="424">
        <f t="shared" si="2"/>
        <v>0</v>
      </c>
      <c r="I161" s="425" t="s">
        <v>42</v>
      </c>
      <c r="J161" s="426">
        <f t="shared" si="8"/>
        <v>0</v>
      </c>
      <c r="K161" s="233"/>
      <c r="L161" s="478"/>
      <c r="U161" s="471"/>
      <c r="V161" s="430">
        <f t="shared" si="5"/>
        <v>0</v>
      </c>
      <c r="W161" s="431">
        <f t="shared" si="6"/>
        <v>0</v>
      </c>
      <c r="X161" s="472"/>
      <c r="Y161" s="473"/>
      <c r="Z161" s="473"/>
      <c r="AA161" s="473"/>
      <c r="AB161" s="474"/>
      <c r="AC161" s="474"/>
    </row>
    <row r="162" ht="15.75" customHeight="1">
      <c r="A162" s="268"/>
      <c r="B162" s="344"/>
      <c r="C162" s="475"/>
      <c r="D162" s="350"/>
      <c r="E162" s="355"/>
      <c r="F162" s="422">
        <f t="shared" si="1"/>
        <v>0</v>
      </c>
      <c r="G162" s="305"/>
      <c r="H162" s="424">
        <f t="shared" si="2"/>
        <v>0</v>
      </c>
      <c r="I162" s="425" t="s">
        <v>42</v>
      </c>
      <c r="J162" s="426">
        <f t="shared" si="8"/>
        <v>0</v>
      </c>
      <c r="K162" s="233"/>
      <c r="L162" s="478"/>
      <c r="U162" s="471"/>
      <c r="V162" s="430">
        <f t="shared" si="5"/>
        <v>0</v>
      </c>
      <c r="W162" s="431">
        <f t="shared" si="6"/>
        <v>0</v>
      </c>
      <c r="X162" s="472"/>
      <c r="Y162" s="473"/>
      <c r="Z162" s="473"/>
      <c r="AA162" s="473"/>
      <c r="AB162" s="474"/>
      <c r="AC162" s="474"/>
    </row>
    <row r="163" ht="15.75" customHeight="1">
      <c r="A163" s="268"/>
      <c r="B163" s="344"/>
      <c r="C163" s="475"/>
      <c r="D163" s="350"/>
      <c r="E163" s="355"/>
      <c r="F163" s="422">
        <f t="shared" si="1"/>
        <v>0</v>
      </c>
      <c r="G163" s="305"/>
      <c r="H163" s="424">
        <f t="shared" si="2"/>
        <v>0</v>
      </c>
      <c r="I163" s="425" t="s">
        <v>42</v>
      </c>
      <c r="J163" s="426">
        <f t="shared" si="8"/>
        <v>0</v>
      </c>
      <c r="K163" s="233"/>
      <c r="L163" s="478"/>
      <c r="U163" s="471"/>
      <c r="V163" s="430">
        <f t="shared" si="5"/>
        <v>0</v>
      </c>
      <c r="W163" s="431">
        <f t="shared" si="6"/>
        <v>0</v>
      </c>
      <c r="X163" s="472"/>
      <c r="Y163" s="473"/>
      <c r="Z163" s="473"/>
      <c r="AA163" s="473"/>
      <c r="AB163" s="474"/>
      <c r="AC163" s="474"/>
    </row>
    <row r="164" ht="15.75" customHeight="1">
      <c r="A164" s="268"/>
      <c r="B164" s="344"/>
      <c r="C164" s="475"/>
      <c r="D164" s="350"/>
      <c r="E164" s="355"/>
      <c r="F164" s="422">
        <f t="shared" si="1"/>
        <v>0</v>
      </c>
      <c r="G164" s="305"/>
      <c r="H164" s="424">
        <f t="shared" si="2"/>
        <v>0</v>
      </c>
      <c r="I164" s="425" t="s">
        <v>42</v>
      </c>
      <c r="J164" s="426">
        <f t="shared" si="8"/>
        <v>0</v>
      </c>
      <c r="K164" s="233"/>
      <c r="L164" s="478"/>
      <c r="U164" s="471"/>
      <c r="V164" s="430">
        <f t="shared" si="5"/>
        <v>0</v>
      </c>
      <c r="W164" s="431">
        <f t="shared" si="6"/>
        <v>0</v>
      </c>
      <c r="X164" s="472"/>
      <c r="Y164" s="473"/>
      <c r="Z164" s="473"/>
      <c r="AA164" s="473"/>
      <c r="AB164" s="474"/>
      <c r="AC164" s="474"/>
    </row>
    <row r="165" ht="15.75" customHeight="1">
      <c r="A165" s="268"/>
      <c r="B165" s="344"/>
      <c r="C165" s="476"/>
      <c r="D165" s="350"/>
      <c r="E165" s="355"/>
      <c r="F165" s="422">
        <f t="shared" si="1"/>
        <v>0</v>
      </c>
      <c r="G165" s="305"/>
      <c r="H165" s="424">
        <f t="shared" si="2"/>
        <v>0</v>
      </c>
      <c r="I165" s="425" t="s">
        <v>42</v>
      </c>
      <c r="J165" s="426">
        <f t="shared" si="8"/>
        <v>0</v>
      </c>
      <c r="K165" s="233"/>
      <c r="L165" s="478"/>
      <c r="U165" s="471"/>
      <c r="V165" s="430">
        <f t="shared" si="5"/>
        <v>0</v>
      </c>
      <c r="W165" s="431">
        <f t="shared" si="6"/>
        <v>0</v>
      </c>
      <c r="X165" s="472"/>
      <c r="Y165" s="473"/>
      <c r="Z165" s="473"/>
      <c r="AA165" s="473"/>
      <c r="AB165" s="474"/>
      <c r="AC165" s="474"/>
    </row>
    <row r="166" ht="15.75" customHeight="1">
      <c r="A166" s="268"/>
      <c r="B166" s="344"/>
      <c r="C166" s="475"/>
      <c r="D166" s="350"/>
      <c r="E166" s="355"/>
      <c r="F166" s="422">
        <f t="shared" si="1"/>
        <v>0</v>
      </c>
      <c r="G166" s="305"/>
      <c r="H166" s="424">
        <f t="shared" si="2"/>
        <v>0</v>
      </c>
      <c r="I166" s="425" t="s">
        <v>42</v>
      </c>
      <c r="J166" s="426">
        <f t="shared" si="8"/>
        <v>0</v>
      </c>
      <c r="K166" s="233"/>
      <c r="L166" s="478"/>
      <c r="U166" s="471"/>
      <c r="V166" s="430">
        <f t="shared" si="5"/>
        <v>0</v>
      </c>
      <c r="W166" s="431">
        <f t="shared" si="6"/>
        <v>0</v>
      </c>
      <c r="X166" s="472"/>
      <c r="Y166" s="473"/>
      <c r="Z166" s="473"/>
      <c r="AA166" s="473"/>
      <c r="AB166" s="474"/>
      <c r="AC166" s="474"/>
    </row>
    <row r="167" ht="15.75" customHeight="1">
      <c r="A167" s="268"/>
      <c r="B167" s="344"/>
      <c r="C167" s="475"/>
      <c r="D167" s="350"/>
      <c r="E167" s="355"/>
      <c r="F167" s="422">
        <f t="shared" si="1"/>
        <v>0</v>
      </c>
      <c r="G167" s="305"/>
      <c r="H167" s="424">
        <f t="shared" si="2"/>
        <v>0</v>
      </c>
      <c r="I167" s="425" t="s">
        <v>42</v>
      </c>
      <c r="J167" s="426">
        <f t="shared" si="8"/>
        <v>0</v>
      </c>
      <c r="K167" s="233"/>
      <c r="L167" s="478"/>
      <c r="U167" s="471"/>
      <c r="V167" s="430">
        <f t="shared" si="5"/>
        <v>0</v>
      </c>
      <c r="W167" s="431">
        <f t="shared" si="6"/>
        <v>0</v>
      </c>
      <c r="X167" s="472"/>
      <c r="Y167" s="473"/>
      <c r="Z167" s="473"/>
      <c r="AA167" s="473"/>
      <c r="AB167" s="474"/>
      <c r="AC167" s="474"/>
    </row>
    <row r="168" ht="15.75" customHeight="1">
      <c r="A168" s="268"/>
      <c r="B168" s="344"/>
      <c r="C168" s="475"/>
      <c r="D168" s="350"/>
      <c r="E168" s="355"/>
      <c r="F168" s="422">
        <f t="shared" si="1"/>
        <v>0</v>
      </c>
      <c r="G168" s="305"/>
      <c r="H168" s="424">
        <f t="shared" si="2"/>
        <v>0</v>
      </c>
      <c r="I168" s="425" t="s">
        <v>42</v>
      </c>
      <c r="J168" s="426">
        <f t="shared" si="8"/>
        <v>0</v>
      </c>
      <c r="K168" s="233"/>
      <c r="L168" s="478"/>
      <c r="U168" s="471"/>
      <c r="V168" s="430">
        <f t="shared" si="5"/>
        <v>0</v>
      </c>
      <c r="W168" s="431">
        <f t="shared" si="6"/>
        <v>0</v>
      </c>
      <c r="X168" s="472"/>
      <c r="Y168" s="473"/>
      <c r="Z168" s="473"/>
      <c r="AA168" s="473"/>
      <c r="AB168" s="474"/>
      <c r="AC168" s="474"/>
    </row>
    <row r="169" ht="15.75" customHeight="1">
      <c r="A169" s="268"/>
      <c r="B169" s="344"/>
      <c r="C169" s="475"/>
      <c r="D169" s="350"/>
      <c r="E169" s="355"/>
      <c r="F169" s="422">
        <f t="shared" si="1"/>
        <v>0</v>
      </c>
      <c r="G169" s="305"/>
      <c r="H169" s="424">
        <f t="shared" si="2"/>
        <v>0</v>
      </c>
      <c r="I169" s="425" t="s">
        <v>42</v>
      </c>
      <c r="J169" s="426">
        <f t="shared" si="8"/>
        <v>0</v>
      </c>
      <c r="K169" s="233"/>
      <c r="L169" s="478"/>
      <c r="U169" s="471"/>
      <c r="V169" s="430">
        <f t="shared" si="5"/>
        <v>0</v>
      </c>
      <c r="W169" s="431">
        <f t="shared" si="6"/>
        <v>0</v>
      </c>
      <c r="X169" s="472"/>
      <c r="Y169" s="473"/>
      <c r="Z169" s="473"/>
      <c r="AA169" s="473"/>
      <c r="AB169" s="474"/>
      <c r="AC169" s="474"/>
    </row>
    <row r="170" ht="15.75" customHeight="1">
      <c r="A170" s="268"/>
      <c r="B170" s="344"/>
      <c r="C170" s="475"/>
      <c r="D170" s="350"/>
      <c r="E170" s="355"/>
      <c r="F170" s="422">
        <f t="shared" si="1"/>
        <v>0</v>
      </c>
      <c r="G170" s="305"/>
      <c r="H170" s="424">
        <f t="shared" si="2"/>
        <v>0</v>
      </c>
      <c r="I170" s="425" t="s">
        <v>42</v>
      </c>
      <c r="J170" s="426">
        <f t="shared" si="8"/>
        <v>0</v>
      </c>
      <c r="K170" s="233"/>
      <c r="L170" s="478"/>
      <c r="U170" s="471"/>
      <c r="V170" s="430">
        <f t="shared" si="5"/>
        <v>0</v>
      </c>
      <c r="W170" s="431">
        <f t="shared" si="6"/>
        <v>0</v>
      </c>
      <c r="X170" s="472"/>
      <c r="Y170" s="473"/>
      <c r="Z170" s="473"/>
      <c r="AA170" s="473"/>
      <c r="AB170" s="474"/>
      <c r="AC170" s="474"/>
    </row>
    <row r="171" ht="15.75" customHeight="1">
      <c r="A171" s="268"/>
      <c r="B171" s="344"/>
      <c r="C171" s="475"/>
      <c r="D171" s="350"/>
      <c r="E171" s="355"/>
      <c r="F171" s="422">
        <f t="shared" si="1"/>
        <v>0</v>
      </c>
      <c r="G171" s="305"/>
      <c r="H171" s="424">
        <f t="shared" si="2"/>
        <v>0</v>
      </c>
      <c r="I171" s="425" t="s">
        <v>42</v>
      </c>
      <c r="J171" s="426">
        <f t="shared" si="8"/>
        <v>0</v>
      </c>
      <c r="K171" s="233"/>
      <c r="L171" s="478"/>
      <c r="U171" s="471"/>
      <c r="V171" s="430">
        <f t="shared" si="5"/>
        <v>0</v>
      </c>
      <c r="W171" s="431">
        <f t="shared" si="6"/>
        <v>0</v>
      </c>
      <c r="X171" s="472"/>
      <c r="Y171" s="473"/>
      <c r="Z171" s="473"/>
      <c r="AA171" s="473"/>
      <c r="AB171" s="474"/>
      <c r="AC171" s="474"/>
    </row>
    <row r="172" ht="15.75" customHeight="1">
      <c r="A172" s="268"/>
      <c r="B172" s="344"/>
      <c r="C172" s="475"/>
      <c r="D172" s="350"/>
      <c r="E172" s="355"/>
      <c r="F172" s="422">
        <f t="shared" si="1"/>
        <v>0</v>
      </c>
      <c r="G172" s="305"/>
      <c r="H172" s="424">
        <f t="shared" si="2"/>
        <v>0</v>
      </c>
      <c r="I172" s="425" t="s">
        <v>42</v>
      </c>
      <c r="J172" s="426">
        <f t="shared" si="8"/>
        <v>0</v>
      </c>
      <c r="K172" s="233"/>
      <c r="L172" s="478"/>
      <c r="U172" s="471"/>
      <c r="V172" s="430">
        <f t="shared" si="5"/>
        <v>0</v>
      </c>
      <c r="W172" s="431">
        <f t="shared" si="6"/>
        <v>0</v>
      </c>
      <c r="X172" s="472"/>
      <c r="Y172" s="479"/>
      <c r="Z172" s="479"/>
      <c r="AA172" s="479"/>
      <c r="AB172" s="474"/>
      <c r="AC172" s="474"/>
    </row>
    <row r="173" ht="15.75" customHeight="1">
      <c r="A173" s="268"/>
      <c r="B173" s="344"/>
      <c r="C173" s="475"/>
      <c r="D173" s="350"/>
      <c r="E173" s="355"/>
      <c r="F173" s="422">
        <f t="shared" si="1"/>
        <v>0</v>
      </c>
      <c r="G173" s="305"/>
      <c r="H173" s="424">
        <f t="shared" si="2"/>
        <v>0</v>
      </c>
      <c r="I173" s="425" t="s">
        <v>42</v>
      </c>
      <c r="J173" s="426">
        <f t="shared" si="8"/>
        <v>0</v>
      </c>
      <c r="K173" s="233"/>
      <c r="L173" s="478"/>
      <c r="U173" s="471"/>
      <c r="V173" s="480"/>
      <c r="W173" s="431">
        <f t="shared" si="6"/>
        <v>0</v>
      </c>
      <c r="X173" s="472"/>
      <c r="Y173" s="479"/>
      <c r="Z173" s="479"/>
      <c r="AA173" s="479"/>
      <c r="AB173" s="474"/>
      <c r="AC173" s="474"/>
    </row>
    <row r="174" ht="15.75" customHeight="1">
      <c r="A174" s="268"/>
      <c r="B174" s="344"/>
      <c r="C174" s="477"/>
      <c r="D174" s="354"/>
      <c r="E174" s="355"/>
      <c r="F174" s="422">
        <f t="shared" si="1"/>
        <v>0</v>
      </c>
      <c r="G174" s="305"/>
      <c r="H174" s="424">
        <f t="shared" si="2"/>
        <v>0</v>
      </c>
      <c r="I174" s="425" t="s">
        <v>42</v>
      </c>
      <c r="J174" s="426">
        <f t="shared" si="8"/>
        <v>0</v>
      </c>
      <c r="K174" s="233"/>
      <c r="L174" s="478"/>
      <c r="U174" s="471"/>
      <c r="V174" s="480"/>
      <c r="W174" s="431">
        <f t="shared" si="6"/>
        <v>0</v>
      </c>
      <c r="X174" s="472"/>
      <c r="Y174" s="479"/>
      <c r="Z174" s="479"/>
      <c r="AA174" s="479"/>
      <c r="AB174" s="474"/>
      <c r="AC174" s="474"/>
    </row>
    <row r="175" ht="15.75" customHeight="1">
      <c r="A175" s="268"/>
      <c r="B175" s="344"/>
      <c r="C175" s="477"/>
      <c r="D175" s="354"/>
      <c r="E175" s="355"/>
      <c r="F175" s="422">
        <f t="shared" si="1"/>
        <v>0</v>
      </c>
      <c r="G175" s="305"/>
      <c r="H175" s="424">
        <f t="shared" si="2"/>
        <v>0</v>
      </c>
      <c r="I175" s="425" t="s">
        <v>42</v>
      </c>
      <c r="J175" s="426">
        <f t="shared" si="8"/>
        <v>0</v>
      </c>
      <c r="K175" s="233"/>
      <c r="L175" s="478"/>
      <c r="U175" s="471"/>
      <c r="V175" s="480"/>
      <c r="W175" s="431">
        <f t="shared" si="6"/>
        <v>0</v>
      </c>
      <c r="X175" s="479"/>
      <c r="Y175" s="479"/>
      <c r="Z175" s="479"/>
      <c r="AA175" s="479"/>
      <c r="AB175" s="474"/>
      <c r="AC175" s="474"/>
    </row>
    <row r="176" ht="15.75" customHeight="1">
      <c r="A176" s="268"/>
      <c r="B176" s="344"/>
      <c r="C176" s="475"/>
      <c r="D176" s="350"/>
      <c r="E176" s="355"/>
      <c r="F176" s="422">
        <f t="shared" si="1"/>
        <v>0</v>
      </c>
      <c r="G176" s="305"/>
      <c r="H176" s="424">
        <f t="shared" si="2"/>
        <v>0</v>
      </c>
      <c r="I176" s="425" t="s">
        <v>42</v>
      </c>
      <c r="J176" s="426">
        <f t="shared" si="8"/>
        <v>0</v>
      </c>
      <c r="K176" s="233"/>
      <c r="L176" s="478"/>
      <c r="U176" s="471"/>
      <c r="V176" s="480"/>
      <c r="W176" s="431">
        <f t="shared" si="6"/>
        <v>0</v>
      </c>
      <c r="X176" s="479"/>
      <c r="Y176" s="479"/>
      <c r="Z176" s="479"/>
      <c r="AA176" s="479"/>
      <c r="AB176" s="474"/>
      <c r="AC176" s="474"/>
    </row>
    <row r="177" ht="15.75" customHeight="1">
      <c r="A177" s="268"/>
      <c r="B177" s="344"/>
      <c r="C177" s="475"/>
      <c r="D177" s="350"/>
      <c r="E177" s="355"/>
      <c r="F177" s="422">
        <f t="shared" si="1"/>
        <v>0</v>
      </c>
      <c r="G177" s="305"/>
      <c r="H177" s="424">
        <f t="shared" si="2"/>
        <v>0</v>
      </c>
      <c r="I177" s="425" t="s">
        <v>42</v>
      </c>
      <c r="J177" s="426">
        <f t="shared" si="8"/>
        <v>0</v>
      </c>
      <c r="K177" s="233"/>
      <c r="L177" s="478"/>
      <c r="U177" s="471"/>
      <c r="V177" s="480"/>
      <c r="W177" s="431">
        <f t="shared" si="6"/>
        <v>0</v>
      </c>
      <c r="X177" s="479"/>
      <c r="Y177" s="479"/>
      <c r="Z177" s="479"/>
      <c r="AA177" s="479"/>
      <c r="AB177" s="474"/>
      <c r="AC177" s="474"/>
    </row>
    <row r="178" ht="15.75" customHeight="1">
      <c r="A178" s="268"/>
      <c r="B178" s="344"/>
      <c r="C178" s="475"/>
      <c r="D178" s="350"/>
      <c r="E178" s="355"/>
      <c r="F178" s="422">
        <f t="shared" si="1"/>
        <v>0</v>
      </c>
      <c r="G178" s="305"/>
      <c r="H178" s="424">
        <f t="shared" si="2"/>
        <v>0</v>
      </c>
      <c r="I178" s="425" t="s">
        <v>42</v>
      </c>
      <c r="J178" s="426">
        <f t="shared" si="8"/>
        <v>0</v>
      </c>
      <c r="K178" s="233"/>
      <c r="L178" s="478"/>
      <c r="U178" s="471"/>
      <c r="V178" s="480"/>
      <c r="W178" s="431">
        <f t="shared" si="6"/>
        <v>0</v>
      </c>
      <c r="X178" s="479"/>
      <c r="Y178" s="479"/>
      <c r="Z178" s="479"/>
      <c r="AA178" s="479"/>
      <c r="AB178" s="474"/>
      <c r="AC178" s="474"/>
    </row>
    <row r="179" ht="15.75" customHeight="1">
      <c r="A179" s="268"/>
      <c r="B179" s="344"/>
      <c r="C179" s="475"/>
      <c r="D179" s="350"/>
      <c r="E179" s="355"/>
      <c r="F179" s="422">
        <f t="shared" si="1"/>
        <v>0</v>
      </c>
      <c r="G179" s="305"/>
      <c r="H179" s="424">
        <f t="shared" si="2"/>
        <v>0</v>
      </c>
      <c r="I179" s="425" t="s">
        <v>42</v>
      </c>
      <c r="J179" s="426">
        <f t="shared" si="8"/>
        <v>0</v>
      </c>
      <c r="K179" s="233"/>
      <c r="L179" s="478"/>
      <c r="U179" s="471"/>
      <c r="V179" s="480"/>
      <c r="W179" s="431">
        <f t="shared" si="6"/>
        <v>0</v>
      </c>
      <c r="X179" s="479"/>
      <c r="Y179" s="479"/>
      <c r="Z179" s="479"/>
      <c r="AA179" s="479"/>
      <c r="AB179" s="474"/>
      <c r="AC179" s="474"/>
    </row>
    <row r="180" ht="15.75" customHeight="1">
      <c r="A180" s="268"/>
      <c r="B180" s="344"/>
      <c r="C180" s="475"/>
      <c r="D180" s="350"/>
      <c r="E180" s="355"/>
      <c r="F180" s="422">
        <f t="shared" si="1"/>
        <v>0</v>
      </c>
      <c r="G180" s="305"/>
      <c r="H180" s="424">
        <f t="shared" si="2"/>
        <v>0</v>
      </c>
      <c r="I180" s="425" t="s">
        <v>42</v>
      </c>
      <c r="J180" s="426">
        <f t="shared" si="8"/>
        <v>0</v>
      </c>
      <c r="K180" s="233"/>
      <c r="L180" s="478"/>
      <c r="U180" s="471"/>
      <c r="V180" s="480"/>
      <c r="W180" s="431">
        <f t="shared" si="6"/>
        <v>0</v>
      </c>
      <c r="X180" s="479"/>
      <c r="Y180" s="479"/>
      <c r="Z180" s="479"/>
      <c r="AA180" s="479"/>
      <c r="AB180" s="474"/>
      <c r="AC180" s="474"/>
    </row>
    <row r="181" ht="15.75" customHeight="1">
      <c r="A181" s="268"/>
      <c r="B181" s="344"/>
      <c r="C181" s="477"/>
      <c r="D181" s="350"/>
      <c r="E181" s="355"/>
      <c r="F181" s="422">
        <f t="shared" si="1"/>
        <v>0</v>
      </c>
      <c r="G181" s="305"/>
      <c r="H181" s="424">
        <f t="shared" si="2"/>
        <v>0</v>
      </c>
      <c r="I181" s="425" t="s">
        <v>42</v>
      </c>
      <c r="J181" s="426">
        <f t="shared" si="8"/>
        <v>0</v>
      </c>
      <c r="K181" s="233"/>
      <c r="L181" s="478"/>
      <c r="U181" s="471"/>
      <c r="V181" s="480"/>
      <c r="W181" s="431">
        <f t="shared" si="6"/>
        <v>0</v>
      </c>
      <c r="X181" s="479"/>
      <c r="Y181" s="479"/>
      <c r="Z181" s="479"/>
      <c r="AA181" s="479"/>
      <c r="AB181" s="474"/>
      <c r="AC181" s="474"/>
    </row>
    <row r="182" ht="15.75" customHeight="1">
      <c r="A182" s="268"/>
      <c r="B182" s="344"/>
      <c r="C182" s="475"/>
      <c r="D182" s="356"/>
      <c r="E182" s="355"/>
      <c r="F182" s="422">
        <f t="shared" si="1"/>
        <v>0</v>
      </c>
      <c r="G182" s="305"/>
      <c r="H182" s="424">
        <f t="shared" si="2"/>
        <v>0</v>
      </c>
      <c r="I182" s="425" t="s">
        <v>42</v>
      </c>
      <c r="J182" s="426">
        <f t="shared" si="8"/>
        <v>0</v>
      </c>
      <c r="K182" s="233"/>
      <c r="L182" s="478"/>
      <c r="U182" s="471"/>
      <c r="V182" s="480"/>
      <c r="W182" s="431">
        <f t="shared" si="6"/>
        <v>0</v>
      </c>
      <c r="X182" s="479"/>
      <c r="Y182" s="479"/>
      <c r="Z182" s="479"/>
      <c r="AA182" s="479"/>
      <c r="AB182" s="474"/>
      <c r="AC182" s="474"/>
    </row>
    <row r="183" ht="15.75" customHeight="1">
      <c r="A183" s="268"/>
      <c r="B183" s="344"/>
      <c r="C183" s="475"/>
      <c r="D183" s="356"/>
      <c r="E183" s="355"/>
      <c r="F183" s="422">
        <f t="shared" si="1"/>
        <v>0</v>
      </c>
      <c r="G183" s="305"/>
      <c r="H183" s="424">
        <f t="shared" si="2"/>
        <v>0</v>
      </c>
      <c r="I183" s="425" t="s">
        <v>42</v>
      </c>
      <c r="J183" s="426">
        <f t="shared" si="8"/>
        <v>0</v>
      </c>
      <c r="K183" s="233"/>
      <c r="L183" s="478"/>
      <c r="U183" s="471"/>
      <c r="V183" s="480"/>
      <c r="W183" s="431">
        <f t="shared" si="6"/>
        <v>0</v>
      </c>
      <c r="X183" s="479"/>
      <c r="Y183" s="479"/>
      <c r="Z183" s="479"/>
      <c r="AA183" s="479"/>
      <c r="AB183" s="474"/>
      <c r="AC183" s="474"/>
    </row>
    <row r="184" ht="15.75" customHeight="1">
      <c r="A184" s="268"/>
      <c r="B184" s="344"/>
      <c r="C184" s="475"/>
      <c r="D184" s="354"/>
      <c r="E184" s="355"/>
      <c r="F184" s="422">
        <f t="shared" si="1"/>
        <v>0</v>
      </c>
      <c r="G184" s="305"/>
      <c r="H184" s="424">
        <f t="shared" si="2"/>
        <v>0</v>
      </c>
      <c r="I184" s="425" t="s">
        <v>42</v>
      </c>
      <c r="J184" s="426">
        <f t="shared" si="8"/>
        <v>0</v>
      </c>
      <c r="K184" s="233"/>
      <c r="L184" s="478"/>
      <c r="U184" s="471"/>
      <c r="V184" s="480"/>
      <c r="W184" s="431">
        <f t="shared" si="6"/>
        <v>0</v>
      </c>
      <c r="X184" s="479"/>
      <c r="Y184" s="479"/>
      <c r="Z184" s="479"/>
      <c r="AA184" s="479"/>
      <c r="AB184" s="474"/>
      <c r="AC184" s="474"/>
    </row>
    <row r="185" ht="15.75" customHeight="1">
      <c r="A185" s="268"/>
      <c r="B185" s="344"/>
      <c r="C185" s="477"/>
      <c r="D185" s="354"/>
      <c r="E185" s="355"/>
      <c r="F185" s="422">
        <f t="shared" si="1"/>
        <v>0</v>
      </c>
      <c r="G185" s="305"/>
      <c r="H185" s="424">
        <f t="shared" si="2"/>
        <v>0</v>
      </c>
      <c r="I185" s="425" t="s">
        <v>42</v>
      </c>
      <c r="J185" s="426">
        <f t="shared" si="8"/>
        <v>0</v>
      </c>
      <c r="K185" s="233"/>
      <c r="L185" s="478"/>
      <c r="U185" s="471"/>
      <c r="V185" s="480"/>
      <c r="W185" s="431">
        <f t="shared" si="6"/>
        <v>0</v>
      </c>
      <c r="X185" s="479"/>
      <c r="Y185" s="479"/>
      <c r="Z185" s="479"/>
      <c r="AA185" s="479"/>
      <c r="AB185" s="474"/>
      <c r="AC185" s="474"/>
    </row>
    <row r="186" ht="15.75" customHeight="1">
      <c r="A186" s="268"/>
      <c r="B186" s="344"/>
      <c r="C186" s="477"/>
      <c r="D186" s="354"/>
      <c r="E186" s="355"/>
      <c r="F186" s="422">
        <f t="shared" si="1"/>
        <v>0</v>
      </c>
      <c r="G186" s="305"/>
      <c r="H186" s="424">
        <f t="shared" si="2"/>
        <v>0</v>
      </c>
      <c r="I186" s="425" t="s">
        <v>42</v>
      </c>
      <c r="J186" s="426">
        <f t="shared" si="8"/>
        <v>0</v>
      </c>
      <c r="K186" s="233"/>
      <c r="L186" s="478"/>
      <c r="U186" s="471"/>
      <c r="V186" s="480"/>
      <c r="W186" s="431">
        <f t="shared" si="6"/>
        <v>0</v>
      </c>
      <c r="X186" s="479"/>
      <c r="Y186" s="479"/>
      <c r="Z186" s="479"/>
      <c r="AA186" s="479"/>
      <c r="AB186" s="474"/>
      <c r="AC186" s="474"/>
    </row>
    <row r="187" ht="15.75" customHeight="1">
      <c r="A187" s="268"/>
      <c r="B187" s="344"/>
      <c r="C187" s="481"/>
      <c r="D187" s="358"/>
      <c r="E187" s="355"/>
      <c r="F187" s="422">
        <f t="shared" si="1"/>
        <v>0</v>
      </c>
      <c r="G187" s="305"/>
      <c r="H187" s="424">
        <f t="shared" si="2"/>
        <v>0</v>
      </c>
      <c r="I187" s="425" t="s">
        <v>42</v>
      </c>
      <c r="J187" s="426">
        <f t="shared" si="8"/>
        <v>0</v>
      </c>
      <c r="L187" s="470"/>
      <c r="U187" s="471"/>
      <c r="V187" s="480"/>
      <c r="W187" s="431">
        <f t="shared" si="6"/>
        <v>0</v>
      </c>
      <c r="X187" s="479"/>
      <c r="Y187" s="479"/>
      <c r="Z187" s="479"/>
      <c r="AA187" s="479"/>
      <c r="AB187" s="474"/>
      <c r="AC187" s="474"/>
    </row>
    <row r="188" ht="15.75" customHeight="1">
      <c r="A188" s="268"/>
      <c r="B188" s="344"/>
      <c r="C188" s="481"/>
      <c r="D188" s="358"/>
      <c r="E188" s="355"/>
      <c r="F188" s="422">
        <f t="shared" si="1"/>
        <v>0</v>
      </c>
      <c r="G188" s="305"/>
      <c r="H188" s="424">
        <f t="shared" si="2"/>
        <v>0</v>
      </c>
      <c r="I188" s="425" t="s">
        <v>42</v>
      </c>
      <c r="J188" s="426">
        <f t="shared" si="8"/>
        <v>0</v>
      </c>
      <c r="L188" s="470"/>
      <c r="U188" s="471"/>
      <c r="V188" s="480"/>
      <c r="W188" s="431">
        <f t="shared" si="6"/>
        <v>0</v>
      </c>
      <c r="X188" s="479"/>
      <c r="Y188" s="479"/>
      <c r="Z188" s="479"/>
      <c r="AA188" s="479"/>
      <c r="AB188" s="474"/>
      <c r="AC188" s="474"/>
    </row>
    <row r="189" ht="15.75" customHeight="1">
      <c r="A189" s="268"/>
      <c r="B189" s="344"/>
      <c r="C189" s="481"/>
      <c r="D189" s="358"/>
      <c r="E189" s="355"/>
      <c r="F189" s="422">
        <f t="shared" si="1"/>
        <v>0</v>
      </c>
      <c r="G189" s="305"/>
      <c r="H189" s="424">
        <f t="shared" si="2"/>
        <v>0</v>
      </c>
      <c r="I189" s="425" t="s">
        <v>42</v>
      </c>
      <c r="J189" s="426">
        <f t="shared" si="8"/>
        <v>0</v>
      </c>
      <c r="L189" s="470"/>
      <c r="U189" s="471"/>
      <c r="V189" s="480"/>
      <c r="W189" s="431">
        <f t="shared" si="6"/>
        <v>0</v>
      </c>
      <c r="X189" s="479"/>
      <c r="Y189" s="479"/>
      <c r="Z189" s="479"/>
      <c r="AA189" s="479"/>
      <c r="AB189" s="474"/>
      <c r="AC189" s="474"/>
    </row>
    <row r="190" ht="15.75" customHeight="1">
      <c r="A190" s="268"/>
      <c r="B190" s="344"/>
      <c r="C190" s="481"/>
      <c r="D190" s="358"/>
      <c r="E190" s="355"/>
      <c r="F190" s="422">
        <f t="shared" si="1"/>
        <v>0</v>
      </c>
      <c r="G190" s="305"/>
      <c r="H190" s="424">
        <f t="shared" si="2"/>
        <v>0</v>
      </c>
      <c r="I190" s="425" t="s">
        <v>42</v>
      </c>
      <c r="J190" s="426">
        <f t="shared" si="8"/>
        <v>0</v>
      </c>
      <c r="L190" s="470"/>
      <c r="U190" s="471"/>
      <c r="V190" s="480"/>
      <c r="W190" s="431">
        <f t="shared" si="6"/>
        <v>0</v>
      </c>
      <c r="X190" s="479"/>
      <c r="Y190" s="479"/>
      <c r="Z190" s="479"/>
      <c r="AA190" s="479"/>
      <c r="AB190" s="474"/>
      <c r="AC190" s="474"/>
    </row>
    <row r="191" ht="15.75" customHeight="1">
      <c r="A191" s="268"/>
      <c r="B191" s="344"/>
      <c r="C191" s="481"/>
      <c r="D191" s="358"/>
      <c r="E191" s="355"/>
      <c r="F191" s="422">
        <f t="shared" si="1"/>
        <v>0</v>
      </c>
      <c r="G191" s="305"/>
      <c r="H191" s="424">
        <f t="shared" si="2"/>
        <v>0</v>
      </c>
      <c r="I191" s="425" t="s">
        <v>42</v>
      </c>
      <c r="J191" s="426">
        <f t="shared" si="8"/>
        <v>0</v>
      </c>
      <c r="L191" s="470"/>
      <c r="U191" s="471"/>
      <c r="V191" s="480"/>
      <c r="W191" s="431">
        <f t="shared" si="6"/>
        <v>0</v>
      </c>
      <c r="X191" s="479"/>
      <c r="Y191" s="479"/>
      <c r="Z191" s="479"/>
      <c r="AA191" s="479"/>
      <c r="AB191" s="474"/>
      <c r="AC191" s="474"/>
    </row>
    <row r="192" ht="15.75" customHeight="1">
      <c r="A192" s="268"/>
      <c r="B192" s="344"/>
      <c r="C192" s="481"/>
      <c r="D192" s="358"/>
      <c r="E192" s="355"/>
      <c r="F192" s="422">
        <f t="shared" si="1"/>
        <v>0</v>
      </c>
      <c r="G192" s="305"/>
      <c r="H192" s="424">
        <f t="shared" si="2"/>
        <v>0</v>
      </c>
      <c r="I192" s="425" t="s">
        <v>42</v>
      </c>
      <c r="J192" s="426">
        <f t="shared" si="8"/>
        <v>0</v>
      </c>
      <c r="L192" s="470"/>
      <c r="U192" s="471"/>
      <c r="V192" s="480"/>
      <c r="W192" s="431">
        <f t="shared" si="6"/>
        <v>0</v>
      </c>
      <c r="X192" s="479"/>
      <c r="Y192" s="479"/>
      <c r="Z192" s="479"/>
      <c r="AA192" s="479"/>
      <c r="AB192" s="474"/>
      <c r="AC192" s="474"/>
    </row>
    <row r="193" ht="15.75" customHeight="1">
      <c r="A193" s="268"/>
      <c r="B193" s="344"/>
      <c r="C193" s="481"/>
      <c r="D193" s="358"/>
      <c r="E193" s="355"/>
      <c r="F193" s="422">
        <f t="shared" si="1"/>
        <v>0</v>
      </c>
      <c r="G193" s="305"/>
      <c r="H193" s="424">
        <f t="shared" si="2"/>
        <v>0</v>
      </c>
      <c r="I193" s="425" t="s">
        <v>42</v>
      </c>
      <c r="J193" s="426">
        <f t="shared" si="8"/>
        <v>0</v>
      </c>
      <c r="L193" s="470"/>
      <c r="U193" s="471"/>
      <c r="V193" s="480"/>
      <c r="W193" s="431">
        <f t="shared" si="6"/>
        <v>0</v>
      </c>
      <c r="X193" s="479"/>
      <c r="Y193" s="479"/>
      <c r="Z193" s="479"/>
      <c r="AA193" s="479"/>
      <c r="AB193" s="474"/>
      <c r="AC193" s="474"/>
    </row>
    <row r="194" ht="15.75" customHeight="1">
      <c r="A194" s="268"/>
      <c r="B194" s="344"/>
      <c r="C194" s="481"/>
      <c r="D194" s="358"/>
      <c r="E194" s="355"/>
      <c r="F194" s="422">
        <f t="shared" si="1"/>
        <v>0</v>
      </c>
      <c r="G194" s="305"/>
      <c r="H194" s="424">
        <f t="shared" si="2"/>
        <v>0</v>
      </c>
      <c r="I194" s="425" t="s">
        <v>42</v>
      </c>
      <c r="J194" s="426">
        <f t="shared" si="8"/>
        <v>0</v>
      </c>
      <c r="L194" s="470"/>
      <c r="U194" s="471"/>
      <c r="V194" s="480"/>
      <c r="W194" s="431">
        <f t="shared" si="6"/>
        <v>0</v>
      </c>
      <c r="X194" s="479"/>
      <c r="Y194" s="479"/>
      <c r="Z194" s="479"/>
      <c r="AA194" s="479"/>
      <c r="AB194" s="474"/>
      <c r="AC194" s="474"/>
    </row>
    <row r="195" ht="15.75" customHeight="1">
      <c r="A195" s="268"/>
      <c r="B195" s="344"/>
      <c r="C195" s="481"/>
      <c r="D195" s="358"/>
      <c r="E195" s="355"/>
      <c r="F195" s="422">
        <f t="shared" si="1"/>
        <v>0</v>
      </c>
      <c r="G195" s="305"/>
      <c r="H195" s="424">
        <f t="shared" si="2"/>
        <v>0</v>
      </c>
      <c r="I195" s="425" t="s">
        <v>42</v>
      </c>
      <c r="J195" s="426">
        <f t="shared" si="8"/>
        <v>0</v>
      </c>
      <c r="L195" s="470"/>
      <c r="U195" s="471"/>
      <c r="V195" s="480"/>
      <c r="W195" s="431">
        <f t="shared" si="6"/>
        <v>0</v>
      </c>
      <c r="X195" s="479"/>
      <c r="Y195" s="479"/>
      <c r="Z195" s="479"/>
      <c r="AA195" s="479"/>
      <c r="AB195" s="474"/>
      <c r="AC195" s="474"/>
    </row>
    <row r="196" ht="15.75" customHeight="1">
      <c r="A196" s="268"/>
      <c r="B196" s="344"/>
      <c r="C196" s="481"/>
      <c r="D196" s="358"/>
      <c r="E196" s="355"/>
      <c r="F196" s="422">
        <f t="shared" si="1"/>
        <v>0</v>
      </c>
      <c r="G196" s="305"/>
      <c r="H196" s="424">
        <f t="shared" si="2"/>
        <v>0</v>
      </c>
      <c r="I196" s="425" t="s">
        <v>42</v>
      </c>
      <c r="J196" s="426">
        <f t="shared" si="8"/>
        <v>0</v>
      </c>
      <c r="L196" s="470"/>
      <c r="U196" s="471"/>
      <c r="V196" s="480"/>
      <c r="W196" s="431">
        <f t="shared" si="6"/>
        <v>0</v>
      </c>
      <c r="X196" s="479"/>
      <c r="Y196" s="479"/>
      <c r="Z196" s="479"/>
      <c r="AA196" s="479"/>
      <c r="AB196" s="474"/>
      <c r="AC196" s="474"/>
    </row>
    <row r="197" ht="15.75" customHeight="1">
      <c r="A197" s="268"/>
      <c r="B197" s="344"/>
      <c r="C197" s="481"/>
      <c r="D197" s="358"/>
      <c r="E197" s="355"/>
      <c r="F197" s="422">
        <f t="shared" si="1"/>
        <v>0</v>
      </c>
      <c r="G197" s="305"/>
      <c r="H197" s="424">
        <f t="shared" si="2"/>
        <v>0</v>
      </c>
      <c r="I197" s="425" t="s">
        <v>42</v>
      </c>
      <c r="J197" s="426">
        <f t="shared" si="8"/>
        <v>0</v>
      </c>
      <c r="L197" s="470"/>
      <c r="U197" s="471"/>
      <c r="V197" s="480"/>
      <c r="W197" s="431">
        <f t="shared" si="6"/>
        <v>0</v>
      </c>
      <c r="X197" s="479"/>
      <c r="Y197" s="479"/>
      <c r="Z197" s="479"/>
      <c r="AA197" s="479"/>
      <c r="AB197" s="474"/>
      <c r="AC197" s="474"/>
    </row>
    <row r="198" ht="15.75" customHeight="1">
      <c r="A198" s="268"/>
      <c r="B198" s="344"/>
      <c r="C198" s="481"/>
      <c r="D198" s="358"/>
      <c r="E198" s="355"/>
      <c r="F198" s="422">
        <f t="shared" si="1"/>
        <v>0</v>
      </c>
      <c r="G198" s="305"/>
      <c r="H198" s="424">
        <f t="shared" si="2"/>
        <v>0</v>
      </c>
      <c r="I198" s="425" t="s">
        <v>42</v>
      </c>
      <c r="J198" s="426">
        <f t="shared" si="8"/>
        <v>0</v>
      </c>
      <c r="L198" s="470"/>
      <c r="U198" s="471"/>
      <c r="V198" s="480"/>
      <c r="W198" s="431">
        <f t="shared" si="6"/>
        <v>0</v>
      </c>
      <c r="X198" s="479"/>
      <c r="Y198" s="479"/>
      <c r="Z198" s="479"/>
      <c r="AA198" s="479"/>
      <c r="AB198" s="474"/>
      <c r="AC198" s="474"/>
    </row>
    <row r="199" ht="15.75" customHeight="1">
      <c r="A199" s="268"/>
      <c r="B199" s="344"/>
      <c r="C199" s="477"/>
      <c r="D199" s="358"/>
      <c r="E199" s="355"/>
      <c r="F199" s="422">
        <f t="shared" si="1"/>
        <v>0</v>
      </c>
      <c r="G199" s="305"/>
      <c r="H199" s="424">
        <f t="shared" si="2"/>
        <v>0</v>
      </c>
      <c r="I199" s="425" t="s">
        <v>42</v>
      </c>
      <c r="J199" s="426">
        <f t="shared" si="8"/>
        <v>0</v>
      </c>
      <c r="L199" s="470"/>
      <c r="U199" s="471"/>
      <c r="V199" s="480"/>
      <c r="W199" s="431">
        <f t="shared" si="6"/>
        <v>0</v>
      </c>
      <c r="X199" s="479"/>
      <c r="Y199" s="479"/>
      <c r="Z199" s="479"/>
      <c r="AA199" s="479"/>
      <c r="AB199" s="474"/>
      <c r="AC199" s="474"/>
    </row>
    <row r="200" ht="15.75" customHeight="1">
      <c r="A200" s="268"/>
      <c r="B200" s="344"/>
      <c r="C200" s="477"/>
      <c r="D200" s="358"/>
      <c r="E200" s="355"/>
      <c r="F200" s="422">
        <f t="shared" si="1"/>
        <v>0</v>
      </c>
      <c r="G200" s="305"/>
      <c r="H200" s="424">
        <f t="shared" si="2"/>
        <v>0</v>
      </c>
      <c r="I200" s="425" t="s">
        <v>42</v>
      </c>
      <c r="J200" s="426">
        <f t="shared" si="8"/>
        <v>0</v>
      </c>
      <c r="L200" s="470"/>
      <c r="U200" s="471"/>
      <c r="V200" s="480"/>
      <c r="W200" s="431">
        <f t="shared" si="6"/>
        <v>0</v>
      </c>
      <c r="X200" s="479"/>
      <c r="Y200" s="479"/>
      <c r="Z200" s="479"/>
      <c r="AA200" s="479"/>
      <c r="AB200" s="474"/>
      <c r="AC200" s="474"/>
    </row>
    <row r="201" ht="15.75" customHeight="1">
      <c r="A201" s="268"/>
      <c r="B201" s="344"/>
      <c r="C201" s="477"/>
      <c r="D201" s="358"/>
      <c r="E201" s="355"/>
      <c r="F201" s="422">
        <f t="shared" si="1"/>
        <v>0</v>
      </c>
      <c r="G201" s="305"/>
      <c r="H201" s="424">
        <f t="shared" si="2"/>
        <v>0</v>
      </c>
      <c r="I201" s="425" t="s">
        <v>42</v>
      </c>
      <c r="J201" s="426">
        <f t="shared" si="8"/>
        <v>0</v>
      </c>
      <c r="L201" s="470"/>
      <c r="U201" s="471"/>
      <c r="V201" s="480"/>
      <c r="W201" s="431">
        <f t="shared" si="6"/>
        <v>0</v>
      </c>
      <c r="X201" s="479"/>
      <c r="Y201" s="479"/>
      <c r="Z201" s="479"/>
      <c r="AA201" s="479"/>
      <c r="AB201" s="474"/>
      <c r="AC201" s="474"/>
    </row>
    <row r="202" ht="15.75" customHeight="1">
      <c r="A202" s="268"/>
      <c r="B202" s="344"/>
      <c r="C202" s="477"/>
      <c r="D202" s="358"/>
      <c r="E202" s="355"/>
      <c r="F202" s="422">
        <f t="shared" si="1"/>
        <v>0</v>
      </c>
      <c r="G202" s="305"/>
      <c r="H202" s="424">
        <f t="shared" si="2"/>
        <v>0</v>
      </c>
      <c r="I202" s="425" t="s">
        <v>42</v>
      </c>
      <c r="J202" s="426">
        <f t="shared" si="8"/>
        <v>0</v>
      </c>
      <c r="L202" s="470"/>
      <c r="U202" s="471"/>
      <c r="V202" s="480"/>
      <c r="W202" s="431">
        <f t="shared" si="6"/>
        <v>0</v>
      </c>
      <c r="X202" s="479"/>
      <c r="Y202" s="479"/>
      <c r="Z202" s="479"/>
      <c r="AA202" s="479"/>
      <c r="AB202" s="474"/>
      <c r="AC202" s="474"/>
    </row>
    <row r="203" ht="15.75" customHeight="1">
      <c r="A203" s="268"/>
      <c r="B203" s="344"/>
      <c r="C203" s="477"/>
      <c r="D203" s="358"/>
      <c r="E203" s="355"/>
      <c r="F203" s="422">
        <f t="shared" si="1"/>
        <v>0</v>
      </c>
      <c r="G203" s="305"/>
      <c r="H203" s="424">
        <f t="shared" si="2"/>
        <v>0</v>
      </c>
      <c r="I203" s="425" t="s">
        <v>42</v>
      </c>
      <c r="J203" s="426">
        <f t="shared" si="8"/>
        <v>0</v>
      </c>
      <c r="L203" s="470"/>
      <c r="U203" s="471"/>
      <c r="V203" s="480"/>
      <c r="W203" s="431">
        <f t="shared" si="6"/>
        <v>0</v>
      </c>
      <c r="X203" s="479"/>
      <c r="Y203" s="479"/>
      <c r="Z203" s="479"/>
      <c r="AA203" s="479"/>
      <c r="AB203" s="474"/>
      <c r="AC203" s="474"/>
    </row>
    <row r="204" ht="15.75" customHeight="1">
      <c r="A204" s="268"/>
      <c r="B204" s="344"/>
      <c r="C204" s="476"/>
      <c r="D204" s="354"/>
      <c r="E204" s="355"/>
      <c r="F204" s="422">
        <f t="shared" si="1"/>
        <v>0</v>
      </c>
      <c r="G204" s="305"/>
      <c r="H204" s="424">
        <f t="shared" si="2"/>
        <v>0</v>
      </c>
      <c r="I204" s="425" t="s">
        <v>42</v>
      </c>
      <c r="J204" s="426">
        <f t="shared" si="8"/>
        <v>0</v>
      </c>
      <c r="L204" s="470"/>
      <c r="U204" s="471"/>
      <c r="V204" s="480"/>
      <c r="W204" s="431">
        <f t="shared" si="6"/>
        <v>0</v>
      </c>
      <c r="X204" s="479"/>
      <c r="Y204" s="479"/>
      <c r="Z204" s="479"/>
      <c r="AA204" s="479"/>
      <c r="AB204" s="474"/>
      <c r="AC204" s="474"/>
    </row>
    <row r="205" ht="15.75" customHeight="1">
      <c r="A205" s="268"/>
      <c r="B205" s="344"/>
      <c r="C205" s="481"/>
      <c r="D205" s="354"/>
      <c r="E205" s="355"/>
      <c r="F205" s="422">
        <f t="shared" si="1"/>
        <v>0</v>
      </c>
      <c r="G205" s="305"/>
      <c r="H205" s="424">
        <f t="shared" si="2"/>
        <v>0</v>
      </c>
      <c r="I205" s="425" t="s">
        <v>42</v>
      </c>
      <c r="J205" s="426">
        <f t="shared" si="8"/>
        <v>0</v>
      </c>
      <c r="L205" s="470"/>
      <c r="U205" s="471"/>
      <c r="V205" s="480"/>
      <c r="W205" s="431">
        <f t="shared" si="6"/>
        <v>0</v>
      </c>
      <c r="X205" s="479"/>
      <c r="Y205" s="479"/>
      <c r="Z205" s="479"/>
      <c r="AA205" s="479"/>
      <c r="AB205" s="474"/>
      <c r="AC205" s="474"/>
    </row>
    <row r="206" ht="15.75" customHeight="1">
      <c r="A206" s="268"/>
      <c r="B206" s="344"/>
      <c r="C206" s="481"/>
      <c r="D206" s="354"/>
      <c r="E206" s="355"/>
      <c r="F206" s="422">
        <f t="shared" si="1"/>
        <v>0</v>
      </c>
      <c r="G206" s="305"/>
      <c r="H206" s="424">
        <f t="shared" si="2"/>
        <v>0</v>
      </c>
      <c r="I206" s="425" t="s">
        <v>42</v>
      </c>
      <c r="J206" s="426">
        <f t="shared" si="8"/>
        <v>0</v>
      </c>
      <c r="L206" s="470"/>
      <c r="U206" s="471"/>
      <c r="V206" s="480"/>
      <c r="W206" s="431">
        <f t="shared" si="6"/>
        <v>0</v>
      </c>
      <c r="X206" s="479"/>
      <c r="Y206" s="479"/>
      <c r="Z206" s="479"/>
      <c r="AA206" s="479"/>
      <c r="AB206" s="474"/>
      <c r="AC206" s="474"/>
    </row>
    <row r="207" ht="15.75" customHeight="1">
      <c r="A207" s="268"/>
      <c r="B207" s="344"/>
      <c r="C207" s="481"/>
      <c r="D207" s="354"/>
      <c r="E207" s="355"/>
      <c r="F207" s="422">
        <f t="shared" si="1"/>
        <v>0</v>
      </c>
      <c r="G207" s="305"/>
      <c r="H207" s="424">
        <f t="shared" si="2"/>
        <v>0</v>
      </c>
      <c r="I207" s="425" t="s">
        <v>42</v>
      </c>
      <c r="J207" s="426">
        <f t="shared" si="8"/>
        <v>0</v>
      </c>
      <c r="L207" s="470"/>
      <c r="U207" s="471"/>
      <c r="V207" s="480"/>
      <c r="W207" s="431">
        <f t="shared" si="6"/>
        <v>0</v>
      </c>
      <c r="X207" s="479"/>
      <c r="Y207" s="479"/>
      <c r="Z207" s="479"/>
      <c r="AA207" s="479"/>
      <c r="AB207" s="474"/>
      <c r="AC207" s="474"/>
    </row>
    <row r="208" ht="15.75" customHeight="1">
      <c r="A208" s="268"/>
      <c r="B208" s="344"/>
      <c r="C208" s="476"/>
      <c r="D208" s="354"/>
      <c r="E208" s="355"/>
      <c r="F208" s="422">
        <f t="shared" si="1"/>
        <v>0</v>
      </c>
      <c r="G208" s="305"/>
      <c r="H208" s="424">
        <f t="shared" si="2"/>
        <v>0</v>
      </c>
      <c r="I208" s="425" t="s">
        <v>42</v>
      </c>
      <c r="J208" s="426">
        <f t="shared" si="8"/>
        <v>0</v>
      </c>
      <c r="L208" s="470"/>
      <c r="U208" s="471"/>
      <c r="V208" s="480"/>
      <c r="W208" s="431">
        <f t="shared" si="6"/>
        <v>0</v>
      </c>
      <c r="X208" s="479"/>
      <c r="Y208" s="479"/>
      <c r="Z208" s="479"/>
      <c r="AA208" s="479"/>
      <c r="AB208" s="474"/>
      <c r="AC208" s="474"/>
    </row>
    <row r="209" ht="15.75" customHeight="1">
      <c r="A209" s="268"/>
      <c r="B209" s="344"/>
      <c r="C209" s="481"/>
      <c r="D209" s="354"/>
      <c r="E209" s="355"/>
      <c r="F209" s="422">
        <f t="shared" si="1"/>
        <v>0</v>
      </c>
      <c r="G209" s="305"/>
      <c r="H209" s="424">
        <f t="shared" si="2"/>
        <v>0</v>
      </c>
      <c r="I209" s="425" t="s">
        <v>42</v>
      </c>
      <c r="J209" s="426">
        <f t="shared" si="8"/>
        <v>0</v>
      </c>
      <c r="L209" s="470"/>
      <c r="U209" s="471"/>
      <c r="V209" s="480"/>
      <c r="W209" s="431">
        <f t="shared" si="6"/>
        <v>0</v>
      </c>
      <c r="X209" s="479"/>
      <c r="Y209" s="479"/>
      <c r="Z209" s="479"/>
      <c r="AA209" s="479"/>
      <c r="AB209" s="474"/>
      <c r="AC209" s="474"/>
    </row>
    <row r="210" ht="15.75" customHeight="1">
      <c r="A210" s="268"/>
      <c r="B210" s="344"/>
      <c r="C210" s="481"/>
      <c r="D210" s="354"/>
      <c r="E210" s="355"/>
      <c r="F210" s="422">
        <f t="shared" si="1"/>
        <v>0</v>
      </c>
      <c r="G210" s="305"/>
      <c r="H210" s="424">
        <f t="shared" si="2"/>
        <v>0</v>
      </c>
      <c r="I210" s="425" t="s">
        <v>42</v>
      </c>
      <c r="J210" s="426">
        <f t="shared" si="8"/>
        <v>0</v>
      </c>
      <c r="L210" s="470"/>
      <c r="U210" s="471"/>
      <c r="V210" s="480"/>
      <c r="W210" s="431">
        <f t="shared" si="6"/>
        <v>0</v>
      </c>
      <c r="X210" s="479"/>
      <c r="Y210" s="479"/>
      <c r="Z210" s="479"/>
      <c r="AA210" s="479"/>
      <c r="AB210" s="474"/>
      <c r="AC210" s="474"/>
    </row>
    <row r="211" ht="15.75" customHeight="1">
      <c r="A211" s="268"/>
      <c r="B211" s="344"/>
      <c r="C211" s="477"/>
      <c r="D211" s="354"/>
      <c r="E211" s="355"/>
      <c r="F211" s="422">
        <f t="shared" si="1"/>
        <v>0</v>
      </c>
      <c r="G211" s="305"/>
      <c r="H211" s="424">
        <f t="shared" si="2"/>
        <v>0</v>
      </c>
      <c r="I211" s="425" t="s">
        <v>42</v>
      </c>
      <c r="J211" s="426">
        <f t="shared" si="8"/>
        <v>0</v>
      </c>
      <c r="L211" s="470"/>
      <c r="U211" s="471"/>
      <c r="V211" s="480"/>
      <c r="W211" s="431">
        <f t="shared" si="6"/>
        <v>0</v>
      </c>
      <c r="X211" s="479"/>
      <c r="Y211" s="479"/>
      <c r="Z211" s="479"/>
      <c r="AA211" s="479"/>
      <c r="AB211" s="474"/>
      <c r="AC211" s="474"/>
    </row>
    <row r="212" ht="15.75" customHeight="1">
      <c r="A212" s="268"/>
      <c r="B212" s="344"/>
      <c r="C212" s="477"/>
      <c r="D212" s="354"/>
      <c r="E212" s="355"/>
      <c r="F212" s="422">
        <f t="shared" si="1"/>
        <v>0</v>
      </c>
      <c r="G212" s="305"/>
      <c r="H212" s="424">
        <f t="shared" si="2"/>
        <v>0</v>
      </c>
      <c r="I212" s="425" t="s">
        <v>42</v>
      </c>
      <c r="J212" s="426">
        <f t="shared" si="8"/>
        <v>0</v>
      </c>
      <c r="L212" s="470"/>
      <c r="U212" s="471"/>
      <c r="V212" s="480"/>
      <c r="W212" s="431">
        <f t="shared" si="6"/>
        <v>0</v>
      </c>
      <c r="X212" s="479"/>
      <c r="Y212" s="479"/>
      <c r="Z212" s="479"/>
      <c r="AA212" s="479"/>
      <c r="AB212" s="474"/>
      <c r="AC212" s="474"/>
    </row>
    <row r="213" ht="15.75" customHeight="1">
      <c r="A213" s="268"/>
      <c r="B213" s="344"/>
      <c r="C213" s="481"/>
      <c r="D213" s="354"/>
      <c r="E213" s="355"/>
      <c r="F213" s="422">
        <f t="shared" si="1"/>
        <v>0</v>
      </c>
      <c r="G213" s="305"/>
      <c r="H213" s="424">
        <f t="shared" si="2"/>
        <v>0</v>
      </c>
      <c r="I213" s="425" t="s">
        <v>42</v>
      </c>
      <c r="J213" s="426">
        <f t="shared" si="8"/>
        <v>0</v>
      </c>
      <c r="L213" s="470"/>
      <c r="U213" s="471"/>
      <c r="V213" s="480"/>
      <c r="W213" s="431">
        <f t="shared" si="6"/>
        <v>0</v>
      </c>
      <c r="X213" s="479"/>
      <c r="Y213" s="479"/>
      <c r="Z213" s="479"/>
      <c r="AA213" s="479"/>
      <c r="AB213" s="474"/>
      <c r="AC213" s="474"/>
    </row>
    <row r="214" ht="15.75" customHeight="1">
      <c r="A214" s="268"/>
      <c r="B214" s="344"/>
      <c r="C214" s="477"/>
      <c r="D214" s="358"/>
      <c r="E214" s="355"/>
      <c r="F214" s="422">
        <f t="shared" si="1"/>
        <v>0</v>
      </c>
      <c r="G214" s="305"/>
      <c r="H214" s="424">
        <f t="shared" si="2"/>
        <v>0</v>
      </c>
      <c r="I214" s="425" t="s">
        <v>42</v>
      </c>
      <c r="J214" s="426">
        <f t="shared" si="8"/>
        <v>0</v>
      </c>
      <c r="L214" s="470"/>
      <c r="U214" s="471"/>
      <c r="V214" s="480"/>
      <c r="W214" s="431">
        <f t="shared" si="6"/>
        <v>0</v>
      </c>
      <c r="X214" s="479"/>
      <c r="Y214" s="479"/>
      <c r="Z214" s="479"/>
      <c r="AA214" s="479"/>
      <c r="AB214" s="474"/>
      <c r="AC214" s="474"/>
    </row>
    <row r="215" ht="15.75" customHeight="1">
      <c r="A215" s="268"/>
      <c r="B215" s="344"/>
      <c r="C215" s="477"/>
      <c r="D215" s="358"/>
      <c r="E215" s="355"/>
      <c r="F215" s="422">
        <f t="shared" si="1"/>
        <v>0</v>
      </c>
      <c r="G215" s="305"/>
      <c r="H215" s="424">
        <f t="shared" si="2"/>
        <v>0</v>
      </c>
      <c r="I215" s="425" t="s">
        <v>42</v>
      </c>
      <c r="J215" s="426">
        <f t="shared" si="8"/>
        <v>0</v>
      </c>
      <c r="L215" s="470"/>
      <c r="U215" s="471"/>
      <c r="V215" s="480"/>
      <c r="W215" s="431">
        <f t="shared" si="6"/>
        <v>0</v>
      </c>
      <c r="X215" s="479"/>
      <c r="Y215" s="479"/>
      <c r="Z215" s="479"/>
      <c r="AA215" s="479"/>
      <c r="AB215" s="474"/>
      <c r="AC215" s="474"/>
    </row>
    <row r="216" ht="15.75" customHeight="1">
      <c r="A216" s="359"/>
      <c r="B216" s="360"/>
      <c r="C216" s="482"/>
      <c r="D216" s="362"/>
      <c r="E216" s="363"/>
      <c r="F216" s="422">
        <f t="shared" si="1"/>
        <v>0</v>
      </c>
      <c r="G216" s="364"/>
      <c r="H216" s="424">
        <f t="shared" si="2"/>
        <v>0</v>
      </c>
      <c r="I216" s="425" t="s">
        <v>42</v>
      </c>
      <c r="J216" s="426">
        <f t="shared" si="8"/>
        <v>0</v>
      </c>
      <c r="L216" s="470"/>
      <c r="U216" s="471"/>
      <c r="V216" s="480"/>
      <c r="W216" s="431">
        <f t="shared" si="6"/>
        <v>0</v>
      </c>
      <c r="X216" s="479"/>
      <c r="Y216" s="479"/>
      <c r="Z216" s="479"/>
      <c r="AA216" s="479"/>
      <c r="AB216" s="474"/>
      <c r="AC216" s="474"/>
    </row>
    <row r="217" ht="15.75" customHeight="1">
      <c r="A217" s="359"/>
      <c r="B217" s="365"/>
      <c r="C217" s="483"/>
      <c r="D217" s="367"/>
      <c r="E217" s="368"/>
      <c r="F217" s="422">
        <f t="shared" si="1"/>
        <v>0</v>
      </c>
      <c r="G217" s="364"/>
      <c r="H217" s="424">
        <f t="shared" si="2"/>
        <v>0</v>
      </c>
      <c r="I217" s="425" t="s">
        <v>42</v>
      </c>
      <c r="J217" s="426">
        <f t="shared" si="8"/>
        <v>0</v>
      </c>
      <c r="L217" s="470"/>
      <c r="U217" s="471"/>
      <c r="V217" s="480"/>
      <c r="W217" s="431">
        <f t="shared" si="6"/>
        <v>0</v>
      </c>
      <c r="X217" s="479"/>
      <c r="Y217" s="479"/>
      <c r="Z217" s="479"/>
      <c r="AA217" s="479"/>
      <c r="AB217" s="474"/>
      <c r="AC217" s="474"/>
    </row>
    <row r="218" ht="15.75" customHeight="1">
      <c r="A218" s="359"/>
      <c r="B218" s="365"/>
      <c r="C218" s="483"/>
      <c r="D218" s="367"/>
      <c r="E218" s="368"/>
      <c r="F218" s="422">
        <f t="shared" si="1"/>
        <v>0</v>
      </c>
      <c r="G218" s="364"/>
      <c r="H218" s="424">
        <f t="shared" si="2"/>
        <v>0</v>
      </c>
      <c r="I218" s="425" t="s">
        <v>42</v>
      </c>
      <c r="J218" s="426">
        <f t="shared" si="8"/>
        <v>0</v>
      </c>
      <c r="L218" s="470"/>
      <c r="U218" s="471"/>
      <c r="V218" s="480"/>
      <c r="W218" s="431">
        <f t="shared" si="6"/>
        <v>0</v>
      </c>
      <c r="X218" s="479"/>
      <c r="Y218" s="479"/>
      <c r="Z218" s="479"/>
      <c r="AA218" s="479"/>
      <c r="AB218" s="474"/>
      <c r="AC218" s="474"/>
    </row>
    <row r="219" ht="15.75" customHeight="1">
      <c r="A219" s="359"/>
      <c r="B219" s="365"/>
      <c r="C219" s="483"/>
      <c r="D219" s="367"/>
      <c r="E219" s="368"/>
      <c r="F219" s="422">
        <f t="shared" si="1"/>
        <v>0</v>
      </c>
      <c r="G219" s="364"/>
      <c r="H219" s="424">
        <f t="shared" si="2"/>
        <v>0</v>
      </c>
      <c r="I219" s="425" t="s">
        <v>42</v>
      </c>
      <c r="J219" s="426">
        <f t="shared" si="8"/>
        <v>0</v>
      </c>
      <c r="L219" s="470"/>
      <c r="U219" s="471"/>
      <c r="V219" s="480"/>
      <c r="W219" s="431">
        <f t="shared" si="6"/>
        <v>0</v>
      </c>
      <c r="X219" s="479"/>
      <c r="Y219" s="479"/>
      <c r="Z219" s="479"/>
      <c r="AA219" s="479"/>
      <c r="AB219" s="474"/>
      <c r="AC219" s="474"/>
    </row>
    <row r="220" ht="15.75" customHeight="1">
      <c r="A220" s="359"/>
      <c r="B220" s="365"/>
      <c r="C220" s="483"/>
      <c r="D220" s="367"/>
      <c r="E220" s="368"/>
      <c r="F220" s="422">
        <f t="shared" si="1"/>
        <v>0</v>
      </c>
      <c r="G220" s="364"/>
      <c r="H220" s="424">
        <f t="shared" si="2"/>
        <v>0</v>
      </c>
      <c r="I220" s="425" t="s">
        <v>42</v>
      </c>
      <c r="J220" s="426">
        <f t="shared" si="8"/>
        <v>0</v>
      </c>
      <c r="L220" s="470"/>
      <c r="U220" s="471"/>
      <c r="V220" s="480"/>
      <c r="W220" s="431">
        <f t="shared" si="6"/>
        <v>0</v>
      </c>
      <c r="X220" s="479"/>
      <c r="Y220" s="479"/>
      <c r="Z220" s="479"/>
      <c r="AA220" s="479"/>
      <c r="AB220" s="474"/>
      <c r="AC220" s="474"/>
    </row>
    <row r="221" ht="15.75" customHeight="1">
      <c r="A221" s="359"/>
      <c r="B221" s="365"/>
      <c r="C221" s="483"/>
      <c r="D221" s="367"/>
      <c r="E221" s="368"/>
      <c r="F221" s="422">
        <f t="shared" si="1"/>
        <v>0</v>
      </c>
      <c r="G221" s="364"/>
      <c r="H221" s="424">
        <f t="shared" si="2"/>
        <v>0</v>
      </c>
      <c r="I221" s="425" t="s">
        <v>42</v>
      </c>
      <c r="J221" s="426">
        <f t="shared" si="8"/>
        <v>0</v>
      </c>
      <c r="L221" s="470"/>
      <c r="U221" s="471"/>
      <c r="V221" s="480"/>
      <c r="W221" s="431">
        <f t="shared" si="6"/>
        <v>0</v>
      </c>
      <c r="X221" s="479"/>
      <c r="Y221" s="479"/>
      <c r="Z221" s="479"/>
      <c r="AA221" s="479"/>
      <c r="AB221" s="474"/>
      <c r="AC221" s="474"/>
    </row>
    <row r="222" ht="15.75" customHeight="1">
      <c r="A222" s="359"/>
      <c r="B222" s="365"/>
      <c r="C222" s="483"/>
      <c r="D222" s="367"/>
      <c r="E222" s="368"/>
      <c r="F222" s="422">
        <f t="shared" si="1"/>
        <v>0</v>
      </c>
      <c r="G222" s="364"/>
      <c r="H222" s="424">
        <f t="shared" si="2"/>
        <v>0</v>
      </c>
      <c r="I222" s="425" t="s">
        <v>42</v>
      </c>
      <c r="J222" s="426">
        <f t="shared" si="8"/>
        <v>0</v>
      </c>
      <c r="L222" s="470"/>
      <c r="U222" s="471"/>
      <c r="V222" s="480"/>
      <c r="W222" s="431">
        <f t="shared" si="6"/>
        <v>0</v>
      </c>
      <c r="X222" s="479"/>
      <c r="Y222" s="479"/>
      <c r="Z222" s="479"/>
      <c r="AA222" s="479"/>
      <c r="AB222" s="474"/>
      <c r="AC222" s="474"/>
    </row>
    <row r="223" ht="15.75" customHeight="1">
      <c r="A223" s="359"/>
      <c r="B223" s="365"/>
      <c r="C223" s="483"/>
      <c r="D223" s="367"/>
      <c r="E223" s="368"/>
      <c r="F223" s="422">
        <f t="shared" si="1"/>
        <v>0</v>
      </c>
      <c r="G223" s="364"/>
      <c r="H223" s="424">
        <f t="shared" si="2"/>
        <v>0</v>
      </c>
      <c r="I223" s="425" t="s">
        <v>42</v>
      </c>
      <c r="J223" s="426">
        <f t="shared" si="8"/>
        <v>0</v>
      </c>
      <c r="L223" s="470"/>
      <c r="U223" s="471"/>
      <c r="V223" s="480"/>
      <c r="W223" s="431">
        <f t="shared" si="6"/>
        <v>0</v>
      </c>
      <c r="X223" s="479"/>
      <c r="Y223" s="479"/>
      <c r="Z223" s="479"/>
      <c r="AA223" s="479"/>
      <c r="AB223" s="474"/>
      <c r="AC223" s="474"/>
    </row>
    <row r="224" ht="15.75" customHeight="1">
      <c r="A224" s="359"/>
      <c r="B224" s="365"/>
      <c r="C224" s="484"/>
      <c r="D224" s="367"/>
      <c r="E224" s="368"/>
      <c r="F224" s="422">
        <f t="shared" si="1"/>
        <v>0</v>
      </c>
      <c r="G224" s="364"/>
      <c r="H224" s="424">
        <f t="shared" si="2"/>
        <v>0</v>
      </c>
      <c r="I224" s="425" t="s">
        <v>42</v>
      </c>
      <c r="J224" s="426">
        <f t="shared" si="8"/>
        <v>0</v>
      </c>
      <c r="L224" s="470"/>
      <c r="U224" s="471"/>
      <c r="V224" s="480"/>
      <c r="W224" s="431">
        <f t="shared" si="6"/>
        <v>0</v>
      </c>
      <c r="X224" s="479"/>
      <c r="Y224" s="479"/>
      <c r="Z224" s="479"/>
      <c r="AA224" s="479"/>
      <c r="AB224" s="474"/>
      <c r="AC224" s="474"/>
    </row>
    <row r="225" ht="15.75" customHeight="1">
      <c r="A225" s="359"/>
      <c r="B225" s="365"/>
      <c r="C225" s="267"/>
      <c r="D225" s="367"/>
      <c r="E225" s="371"/>
      <c r="F225" s="422">
        <f t="shared" si="1"/>
        <v>0</v>
      </c>
      <c r="G225" s="364"/>
      <c r="H225" s="424">
        <f t="shared" si="2"/>
        <v>0</v>
      </c>
      <c r="I225" s="425" t="s">
        <v>42</v>
      </c>
      <c r="J225" s="426">
        <f t="shared" si="8"/>
        <v>0</v>
      </c>
      <c r="L225" s="470"/>
      <c r="U225" s="471"/>
      <c r="V225" s="480"/>
      <c r="W225" s="431">
        <f t="shared" si="6"/>
        <v>0</v>
      </c>
      <c r="X225" s="479"/>
      <c r="Y225" s="479"/>
      <c r="Z225" s="479"/>
      <c r="AA225" s="479"/>
      <c r="AB225" s="474"/>
      <c r="AC225" s="474"/>
    </row>
    <row r="226" ht="15.75" customHeight="1">
      <c r="A226" s="359"/>
      <c r="B226" s="365"/>
      <c r="C226" s="267"/>
      <c r="D226" s="367"/>
      <c r="E226" s="371"/>
      <c r="F226" s="422">
        <f t="shared" si="1"/>
        <v>0</v>
      </c>
      <c r="G226" s="364"/>
      <c r="H226" s="424">
        <f t="shared" si="2"/>
        <v>0</v>
      </c>
      <c r="I226" s="425" t="s">
        <v>42</v>
      </c>
      <c r="J226" s="426">
        <f t="shared" si="8"/>
        <v>0</v>
      </c>
      <c r="L226" s="470"/>
      <c r="U226" s="471"/>
      <c r="V226" s="480"/>
      <c r="W226" s="431">
        <f t="shared" si="6"/>
        <v>0</v>
      </c>
      <c r="X226" s="479"/>
      <c r="Y226" s="479"/>
      <c r="Z226" s="479"/>
      <c r="AA226" s="479"/>
      <c r="AB226" s="474"/>
      <c r="AC226" s="474"/>
    </row>
    <row r="227" ht="15.75" customHeight="1">
      <c r="A227" s="359"/>
      <c r="B227" s="365"/>
      <c r="C227" s="267"/>
      <c r="D227" s="367"/>
      <c r="E227" s="371"/>
      <c r="F227" s="422">
        <f t="shared" si="1"/>
        <v>0</v>
      </c>
      <c r="G227" s="364"/>
      <c r="H227" s="424">
        <f t="shared" si="2"/>
        <v>0</v>
      </c>
      <c r="I227" s="425" t="s">
        <v>42</v>
      </c>
      <c r="J227" s="426">
        <f t="shared" si="8"/>
        <v>0</v>
      </c>
      <c r="L227" s="470"/>
      <c r="U227" s="471"/>
      <c r="V227" s="480"/>
      <c r="W227" s="431">
        <f t="shared" si="6"/>
        <v>0</v>
      </c>
      <c r="X227" s="479"/>
      <c r="Y227" s="479"/>
      <c r="Z227" s="479"/>
      <c r="AA227" s="479"/>
      <c r="AB227" s="474"/>
      <c r="AC227" s="474"/>
    </row>
    <row r="228" ht="15.75" customHeight="1">
      <c r="A228" s="359"/>
      <c r="B228" s="365"/>
      <c r="C228" s="267"/>
      <c r="D228" s="372"/>
      <c r="E228" s="371"/>
      <c r="F228" s="422">
        <f t="shared" si="1"/>
        <v>0</v>
      </c>
      <c r="G228" s="364"/>
      <c r="H228" s="424">
        <f t="shared" si="2"/>
        <v>0</v>
      </c>
      <c r="I228" s="425" t="s">
        <v>42</v>
      </c>
      <c r="J228" s="426">
        <f t="shared" si="8"/>
        <v>0</v>
      </c>
      <c r="L228" s="470"/>
      <c r="U228" s="471"/>
      <c r="V228" s="480"/>
      <c r="W228" s="431">
        <f t="shared" si="6"/>
        <v>0</v>
      </c>
      <c r="X228" s="479"/>
      <c r="Y228" s="479"/>
      <c r="Z228" s="479"/>
      <c r="AA228" s="479"/>
      <c r="AB228" s="474"/>
      <c r="AC228" s="474"/>
    </row>
    <row r="229" ht="15.75" customHeight="1">
      <c r="A229" s="359"/>
      <c r="B229" s="365"/>
      <c r="C229" s="267"/>
      <c r="D229" s="367"/>
      <c r="E229" s="371"/>
      <c r="F229" s="422">
        <f t="shared" si="1"/>
        <v>0</v>
      </c>
      <c r="G229" s="364"/>
      <c r="H229" s="424">
        <f t="shared" si="2"/>
        <v>0</v>
      </c>
      <c r="I229" s="425" t="s">
        <v>42</v>
      </c>
      <c r="J229" s="426">
        <f t="shared" si="8"/>
        <v>0</v>
      </c>
      <c r="L229" s="470"/>
      <c r="U229" s="471"/>
      <c r="V229" s="480"/>
      <c r="W229" s="431">
        <f t="shared" si="6"/>
        <v>0</v>
      </c>
      <c r="X229" s="479"/>
      <c r="Y229" s="479"/>
      <c r="Z229" s="479"/>
      <c r="AA229" s="479"/>
      <c r="AB229" s="474"/>
      <c r="AC229" s="474"/>
    </row>
    <row r="230" ht="15.75" customHeight="1">
      <c r="A230" s="359"/>
      <c r="B230" s="365"/>
      <c r="C230" s="267"/>
      <c r="D230" s="367"/>
      <c r="E230" s="371"/>
      <c r="F230" s="422">
        <f t="shared" si="1"/>
        <v>0</v>
      </c>
      <c r="G230" s="364"/>
      <c r="H230" s="424">
        <f t="shared" si="2"/>
        <v>0</v>
      </c>
      <c r="I230" s="425" t="s">
        <v>42</v>
      </c>
      <c r="J230" s="426">
        <f t="shared" si="8"/>
        <v>0</v>
      </c>
      <c r="L230" s="470"/>
      <c r="U230" s="471"/>
      <c r="V230" s="480"/>
      <c r="W230" s="431">
        <f t="shared" si="6"/>
        <v>0</v>
      </c>
      <c r="X230" s="479"/>
      <c r="Y230" s="479"/>
      <c r="Z230" s="479"/>
      <c r="AA230" s="479"/>
      <c r="AB230" s="474"/>
      <c r="AC230" s="474"/>
    </row>
    <row r="231" ht="15.75" customHeight="1">
      <c r="A231" s="359"/>
      <c r="B231" s="365"/>
      <c r="C231" s="267"/>
      <c r="D231" s="367"/>
      <c r="E231" s="371"/>
      <c r="F231" s="422">
        <f t="shared" si="1"/>
        <v>0</v>
      </c>
      <c r="G231" s="364"/>
      <c r="H231" s="424">
        <f t="shared" si="2"/>
        <v>0</v>
      </c>
      <c r="I231" s="425" t="s">
        <v>42</v>
      </c>
      <c r="J231" s="426">
        <f t="shared" si="8"/>
        <v>0</v>
      </c>
      <c r="L231" s="470"/>
      <c r="U231" s="471"/>
      <c r="V231" s="480"/>
      <c r="W231" s="431">
        <f t="shared" si="6"/>
        <v>0</v>
      </c>
      <c r="X231" s="479"/>
      <c r="Y231" s="479"/>
      <c r="Z231" s="479"/>
      <c r="AA231" s="479"/>
      <c r="AB231" s="474"/>
      <c r="AC231" s="474"/>
    </row>
    <row r="232" ht="15.75" customHeight="1">
      <c r="A232" s="359"/>
      <c r="B232" s="365"/>
      <c r="C232" s="267"/>
      <c r="D232" s="367"/>
      <c r="E232" s="371"/>
      <c r="F232" s="422">
        <f t="shared" si="1"/>
        <v>0</v>
      </c>
      <c r="G232" s="364"/>
      <c r="H232" s="424">
        <f t="shared" si="2"/>
        <v>0</v>
      </c>
      <c r="I232" s="425" t="s">
        <v>42</v>
      </c>
      <c r="J232" s="426">
        <f t="shared" si="8"/>
        <v>0</v>
      </c>
      <c r="L232" s="470"/>
      <c r="U232" s="471"/>
      <c r="V232" s="480"/>
      <c r="W232" s="431">
        <f t="shared" si="6"/>
        <v>0</v>
      </c>
      <c r="X232" s="479"/>
      <c r="Y232" s="479"/>
      <c r="Z232" s="479"/>
      <c r="AA232" s="479"/>
      <c r="AB232" s="474"/>
      <c r="AC232" s="474"/>
    </row>
    <row r="233" ht="15.75" customHeight="1">
      <c r="A233" s="359"/>
      <c r="B233" s="365"/>
      <c r="C233" s="267"/>
      <c r="D233" s="367"/>
      <c r="E233" s="371"/>
      <c r="F233" s="422">
        <f t="shared" si="1"/>
        <v>0</v>
      </c>
      <c r="G233" s="364"/>
      <c r="H233" s="424">
        <f t="shared" si="2"/>
        <v>0</v>
      </c>
      <c r="I233" s="425" t="s">
        <v>42</v>
      </c>
      <c r="J233" s="426">
        <f t="shared" si="8"/>
        <v>0</v>
      </c>
      <c r="L233" s="470"/>
      <c r="U233" s="471"/>
      <c r="V233" s="480"/>
      <c r="W233" s="431">
        <f t="shared" si="6"/>
        <v>0</v>
      </c>
      <c r="X233" s="479"/>
      <c r="Y233" s="479"/>
      <c r="Z233" s="479"/>
      <c r="AA233" s="479"/>
      <c r="AB233" s="474"/>
      <c r="AC233" s="474"/>
    </row>
    <row r="234" ht="15.75" customHeight="1">
      <c r="A234" s="359"/>
      <c r="B234" s="365"/>
      <c r="C234" s="267"/>
      <c r="D234" s="367"/>
      <c r="E234" s="371"/>
      <c r="F234" s="422">
        <f t="shared" si="1"/>
        <v>0</v>
      </c>
      <c r="G234" s="364"/>
      <c r="H234" s="424">
        <f t="shared" si="2"/>
        <v>0</v>
      </c>
      <c r="I234" s="425" t="s">
        <v>42</v>
      </c>
      <c r="J234" s="426">
        <f t="shared" si="8"/>
        <v>0</v>
      </c>
      <c r="L234" s="470"/>
      <c r="U234" s="471"/>
      <c r="V234" s="480"/>
      <c r="W234" s="431">
        <f t="shared" si="6"/>
        <v>0</v>
      </c>
      <c r="X234" s="479"/>
      <c r="Y234" s="479"/>
      <c r="Z234" s="479"/>
      <c r="AA234" s="479"/>
      <c r="AB234" s="474"/>
      <c r="AC234" s="474"/>
    </row>
    <row r="235" ht="15.75" customHeight="1">
      <c r="A235" s="359"/>
      <c r="B235" s="365"/>
      <c r="C235" s="267"/>
      <c r="D235" s="367"/>
      <c r="E235" s="368"/>
      <c r="F235" s="422">
        <f t="shared" si="1"/>
        <v>0</v>
      </c>
      <c r="G235" s="364"/>
      <c r="H235" s="424">
        <f t="shared" si="2"/>
        <v>0</v>
      </c>
      <c r="I235" s="425" t="s">
        <v>42</v>
      </c>
      <c r="J235" s="426">
        <f t="shared" si="8"/>
        <v>0</v>
      </c>
      <c r="L235" s="470"/>
      <c r="U235" s="471"/>
      <c r="V235" s="480"/>
      <c r="W235" s="431">
        <f t="shared" si="6"/>
        <v>0</v>
      </c>
      <c r="X235" s="479"/>
      <c r="Y235" s="479"/>
      <c r="Z235" s="479"/>
      <c r="AA235" s="479"/>
      <c r="AB235" s="474"/>
      <c r="AC235" s="474"/>
    </row>
    <row r="236" ht="15.75" customHeight="1">
      <c r="A236" s="359"/>
      <c r="B236" s="365"/>
      <c r="C236" s="267"/>
      <c r="D236" s="372"/>
      <c r="E236" s="373"/>
      <c r="F236" s="422">
        <f t="shared" si="1"/>
        <v>0</v>
      </c>
      <c r="G236" s="364"/>
      <c r="H236" s="424">
        <f t="shared" si="2"/>
        <v>0</v>
      </c>
      <c r="I236" s="425" t="s">
        <v>42</v>
      </c>
      <c r="J236" s="426">
        <f t="shared" si="8"/>
        <v>0</v>
      </c>
      <c r="L236" s="470"/>
      <c r="U236" s="471"/>
      <c r="V236" s="480"/>
      <c r="W236" s="431">
        <f t="shared" si="6"/>
        <v>0</v>
      </c>
      <c r="X236" s="479"/>
      <c r="Y236" s="479"/>
      <c r="Z236" s="479"/>
      <c r="AA236" s="479"/>
      <c r="AB236" s="474"/>
      <c r="AC236" s="474"/>
    </row>
    <row r="237" ht="15.75" customHeight="1">
      <c r="A237" s="359"/>
      <c r="B237" s="365"/>
      <c r="C237" s="267"/>
      <c r="D237" s="374"/>
      <c r="E237" s="373"/>
      <c r="F237" s="422">
        <f t="shared" si="1"/>
        <v>0</v>
      </c>
      <c r="G237" s="364"/>
      <c r="H237" s="424">
        <f t="shared" si="2"/>
        <v>0</v>
      </c>
      <c r="I237" s="425" t="s">
        <v>42</v>
      </c>
      <c r="J237" s="426">
        <f t="shared" si="8"/>
        <v>0</v>
      </c>
      <c r="L237" s="470"/>
      <c r="U237" s="471"/>
      <c r="V237" s="480"/>
      <c r="W237" s="431">
        <f t="shared" si="6"/>
        <v>0</v>
      </c>
      <c r="X237" s="479"/>
      <c r="Y237" s="479"/>
      <c r="Z237" s="479"/>
      <c r="AA237" s="479"/>
      <c r="AB237" s="474"/>
      <c r="AC237" s="474"/>
    </row>
    <row r="238" ht="15.75" customHeight="1">
      <c r="A238" s="359"/>
      <c r="B238" s="365"/>
      <c r="C238" s="267"/>
      <c r="D238" s="372"/>
      <c r="E238" s="373"/>
      <c r="F238" s="422">
        <f t="shared" si="1"/>
        <v>0</v>
      </c>
      <c r="G238" s="364"/>
      <c r="H238" s="424">
        <f t="shared" si="2"/>
        <v>0</v>
      </c>
      <c r="I238" s="425" t="s">
        <v>42</v>
      </c>
      <c r="J238" s="426">
        <f t="shared" si="8"/>
        <v>0</v>
      </c>
      <c r="L238" s="470"/>
      <c r="U238" s="471"/>
      <c r="V238" s="480"/>
      <c r="W238" s="431">
        <f t="shared" si="6"/>
        <v>0</v>
      </c>
      <c r="X238" s="479"/>
      <c r="Y238" s="479"/>
      <c r="Z238" s="479"/>
      <c r="AA238" s="479"/>
      <c r="AB238" s="474"/>
      <c r="AC238" s="474"/>
    </row>
    <row r="239" ht="15.75" customHeight="1">
      <c r="A239" s="359"/>
      <c r="B239" s="365"/>
      <c r="C239" s="267"/>
      <c r="D239" s="372"/>
      <c r="E239" s="373"/>
      <c r="F239" s="422">
        <f t="shared" si="1"/>
        <v>0</v>
      </c>
      <c r="G239" s="364"/>
      <c r="H239" s="424">
        <f t="shared" si="2"/>
        <v>0</v>
      </c>
      <c r="I239" s="425" t="s">
        <v>42</v>
      </c>
      <c r="J239" s="426">
        <f t="shared" si="8"/>
        <v>0</v>
      </c>
      <c r="L239" s="470"/>
      <c r="U239" s="471"/>
      <c r="W239" s="431">
        <f t="shared" si="6"/>
        <v>0</v>
      </c>
      <c r="X239" s="479"/>
      <c r="Y239" s="479"/>
      <c r="Z239" s="479"/>
      <c r="AA239" s="479"/>
      <c r="AB239" s="474"/>
      <c r="AC239" s="474"/>
    </row>
    <row r="240" ht="15.75" customHeight="1">
      <c r="A240" s="359"/>
      <c r="B240" s="365"/>
      <c r="C240" s="267"/>
      <c r="D240" s="372"/>
      <c r="E240" s="373"/>
      <c r="F240" s="422">
        <f t="shared" si="1"/>
        <v>0</v>
      </c>
      <c r="G240" s="364"/>
      <c r="H240" s="424">
        <f t="shared" si="2"/>
        <v>0</v>
      </c>
      <c r="I240" s="425" t="s">
        <v>42</v>
      </c>
      <c r="J240" s="426">
        <f t="shared" si="8"/>
        <v>0</v>
      </c>
      <c r="L240" s="470"/>
      <c r="U240" s="471"/>
      <c r="W240" s="431">
        <f t="shared" si="6"/>
        <v>0</v>
      </c>
      <c r="X240" s="479"/>
      <c r="Y240" s="479"/>
      <c r="Z240" s="479"/>
      <c r="AA240" s="479"/>
      <c r="AB240" s="474"/>
      <c r="AC240" s="474"/>
    </row>
    <row r="241" ht="15.75" customHeight="1">
      <c r="A241" s="359"/>
      <c r="B241" s="365"/>
      <c r="C241" s="267"/>
      <c r="D241" s="372"/>
      <c r="E241" s="373"/>
      <c r="F241" s="422">
        <f t="shared" si="1"/>
        <v>0</v>
      </c>
      <c r="G241" s="364"/>
      <c r="H241" s="424">
        <f t="shared" si="2"/>
        <v>0</v>
      </c>
      <c r="I241" s="425" t="s">
        <v>42</v>
      </c>
      <c r="J241" s="426">
        <f t="shared" si="8"/>
        <v>0</v>
      </c>
      <c r="L241" s="470"/>
      <c r="U241" s="471"/>
      <c r="W241" s="431">
        <f t="shared" si="6"/>
        <v>0</v>
      </c>
      <c r="X241" s="479"/>
      <c r="Y241" s="479"/>
      <c r="Z241" s="479"/>
      <c r="AA241" s="479"/>
      <c r="AB241" s="474"/>
      <c r="AC241" s="474"/>
    </row>
    <row r="242" ht="15.75" customHeight="1">
      <c r="A242" s="359"/>
      <c r="B242" s="365"/>
      <c r="C242" s="267"/>
      <c r="D242" s="372"/>
      <c r="E242" s="371"/>
      <c r="F242" s="422">
        <f t="shared" si="1"/>
        <v>0</v>
      </c>
      <c r="G242" s="364"/>
      <c r="H242" s="424">
        <f t="shared" si="2"/>
        <v>0</v>
      </c>
      <c r="I242" s="425" t="s">
        <v>42</v>
      </c>
      <c r="J242" s="426">
        <f t="shared" si="8"/>
        <v>0</v>
      </c>
      <c r="L242" s="470"/>
      <c r="U242" s="471"/>
      <c r="W242" s="431">
        <f t="shared" si="6"/>
        <v>0</v>
      </c>
      <c r="X242" s="479"/>
      <c r="Y242" s="479"/>
      <c r="Z242" s="479"/>
      <c r="AA242" s="479"/>
      <c r="AB242" s="474"/>
      <c r="AC242" s="474"/>
    </row>
    <row r="243" ht="15.75" customHeight="1">
      <c r="A243" s="359"/>
      <c r="B243" s="365"/>
      <c r="C243" s="485"/>
      <c r="D243" s="372"/>
      <c r="E243" s="371"/>
      <c r="F243" s="422">
        <f t="shared" si="1"/>
        <v>0</v>
      </c>
      <c r="G243" s="364"/>
      <c r="H243" s="424">
        <f t="shared" si="2"/>
        <v>0</v>
      </c>
      <c r="I243" s="425" t="s">
        <v>42</v>
      </c>
      <c r="J243" s="426">
        <f t="shared" si="8"/>
        <v>0</v>
      </c>
      <c r="L243" s="470"/>
      <c r="U243" s="471"/>
      <c r="W243" s="431">
        <f t="shared" si="6"/>
        <v>0</v>
      </c>
      <c r="X243" s="479"/>
      <c r="Y243" s="479"/>
      <c r="Z243" s="479"/>
      <c r="AA243" s="479"/>
      <c r="AB243" s="474"/>
      <c r="AC243" s="474"/>
    </row>
    <row r="244" ht="15.75" customHeight="1">
      <c r="A244" s="359"/>
      <c r="B244" s="365"/>
      <c r="C244" s="484"/>
      <c r="D244" s="367"/>
      <c r="E244" s="371"/>
      <c r="F244" s="422">
        <f t="shared" si="1"/>
        <v>0</v>
      </c>
      <c r="G244" s="364"/>
      <c r="H244" s="424">
        <f t="shared" si="2"/>
        <v>0</v>
      </c>
      <c r="I244" s="425" t="s">
        <v>42</v>
      </c>
      <c r="J244" s="426">
        <f t="shared" si="8"/>
        <v>0</v>
      </c>
      <c r="L244" s="470"/>
      <c r="U244" s="471"/>
      <c r="W244" s="431">
        <f t="shared" si="6"/>
        <v>0</v>
      </c>
      <c r="X244" s="479"/>
      <c r="Y244" s="479"/>
      <c r="Z244" s="479"/>
      <c r="AA244" s="479"/>
      <c r="AB244" s="474"/>
      <c r="AC244" s="474"/>
    </row>
    <row r="245" ht="15.75" customHeight="1">
      <c r="A245" s="359"/>
      <c r="B245" s="365"/>
      <c r="C245" s="484"/>
      <c r="D245" s="367"/>
      <c r="E245" s="371"/>
      <c r="F245" s="422">
        <f t="shared" si="1"/>
        <v>0</v>
      </c>
      <c r="G245" s="364"/>
      <c r="H245" s="424">
        <f t="shared" si="2"/>
        <v>0</v>
      </c>
      <c r="I245" s="425" t="s">
        <v>42</v>
      </c>
      <c r="J245" s="426">
        <f t="shared" si="8"/>
        <v>0</v>
      </c>
      <c r="L245" s="470"/>
      <c r="U245" s="471"/>
      <c r="W245" s="431">
        <f t="shared" si="6"/>
        <v>0</v>
      </c>
      <c r="X245" s="479"/>
      <c r="Y245" s="479"/>
      <c r="Z245" s="479"/>
      <c r="AA245" s="479"/>
      <c r="AB245" s="474"/>
      <c r="AC245" s="474"/>
    </row>
    <row r="246" ht="15.75" customHeight="1">
      <c r="A246" s="359"/>
      <c r="B246" s="365"/>
      <c r="C246" s="484"/>
      <c r="D246" s="367"/>
      <c r="E246" s="371"/>
      <c r="F246" s="422">
        <f t="shared" si="1"/>
        <v>0</v>
      </c>
      <c r="G246" s="364"/>
      <c r="H246" s="424">
        <f t="shared" si="2"/>
        <v>0</v>
      </c>
      <c r="I246" s="425" t="s">
        <v>42</v>
      </c>
      <c r="J246" s="426">
        <f t="shared" si="8"/>
        <v>0</v>
      </c>
      <c r="L246" s="470"/>
      <c r="U246" s="471"/>
      <c r="W246" s="431">
        <f t="shared" si="6"/>
        <v>0</v>
      </c>
      <c r="X246" s="479"/>
      <c r="Y246" s="479"/>
      <c r="Z246" s="479"/>
      <c r="AA246" s="479"/>
      <c r="AB246" s="474"/>
      <c r="AC246" s="474"/>
    </row>
    <row r="247" ht="15.75" customHeight="1">
      <c r="A247" s="359"/>
      <c r="B247" s="365"/>
      <c r="C247" s="484"/>
      <c r="D247" s="367"/>
      <c r="E247" s="371"/>
      <c r="F247" s="422">
        <f t="shared" si="1"/>
        <v>0</v>
      </c>
      <c r="G247" s="364"/>
      <c r="H247" s="424">
        <f t="shared" si="2"/>
        <v>0</v>
      </c>
      <c r="I247" s="425" t="s">
        <v>42</v>
      </c>
      <c r="J247" s="426">
        <f t="shared" si="8"/>
        <v>0</v>
      </c>
      <c r="L247" s="470"/>
      <c r="U247" s="471"/>
      <c r="W247" s="431">
        <f t="shared" si="6"/>
        <v>0</v>
      </c>
      <c r="X247" s="479"/>
      <c r="Y247" s="479"/>
      <c r="Z247" s="479"/>
      <c r="AA247" s="479"/>
      <c r="AB247" s="474"/>
      <c r="AC247" s="474"/>
    </row>
    <row r="248" ht="15.75" customHeight="1">
      <c r="A248" s="359"/>
      <c r="B248" s="365"/>
      <c r="C248" s="267"/>
      <c r="D248" s="367"/>
      <c r="E248" s="371"/>
      <c r="F248" s="422">
        <f t="shared" si="1"/>
        <v>0</v>
      </c>
      <c r="G248" s="364"/>
      <c r="H248" s="424">
        <f t="shared" si="2"/>
        <v>0</v>
      </c>
      <c r="I248" s="425" t="s">
        <v>42</v>
      </c>
      <c r="J248" s="426">
        <f t="shared" si="8"/>
        <v>0</v>
      </c>
      <c r="L248" s="470"/>
      <c r="U248" s="471"/>
      <c r="W248" s="431">
        <f t="shared" si="6"/>
        <v>0</v>
      </c>
      <c r="X248" s="479"/>
      <c r="Y248" s="479"/>
      <c r="Z248" s="479"/>
      <c r="AA248" s="479"/>
      <c r="AB248" s="474"/>
      <c r="AC248" s="474"/>
    </row>
    <row r="249" ht="15.75" customHeight="1">
      <c r="A249" s="359"/>
      <c r="B249" s="365"/>
      <c r="C249" s="483"/>
      <c r="D249" s="367"/>
      <c r="E249" s="371"/>
      <c r="F249" s="422">
        <f t="shared" si="1"/>
        <v>0</v>
      </c>
      <c r="G249" s="364"/>
      <c r="H249" s="424">
        <f t="shared" si="2"/>
        <v>0</v>
      </c>
      <c r="I249" s="425" t="s">
        <v>42</v>
      </c>
      <c r="J249" s="426">
        <f t="shared" si="8"/>
        <v>0</v>
      </c>
      <c r="L249" s="470"/>
      <c r="U249" s="471"/>
      <c r="W249" s="431">
        <f t="shared" si="6"/>
        <v>0</v>
      </c>
      <c r="X249" s="479"/>
      <c r="Y249" s="479"/>
      <c r="Z249" s="479"/>
      <c r="AA249" s="479"/>
      <c r="AB249" s="474"/>
      <c r="AC249" s="474"/>
    </row>
    <row r="250" ht="15.75" customHeight="1">
      <c r="A250" s="359"/>
      <c r="B250" s="365"/>
      <c r="C250" s="486"/>
      <c r="D250" s="367"/>
      <c r="E250" s="371"/>
      <c r="F250" s="422">
        <f t="shared" si="1"/>
        <v>0</v>
      </c>
      <c r="G250" s="364"/>
      <c r="H250" s="424">
        <f t="shared" si="2"/>
        <v>0</v>
      </c>
      <c r="I250" s="425" t="s">
        <v>42</v>
      </c>
      <c r="J250" s="426">
        <f t="shared" si="8"/>
        <v>0</v>
      </c>
      <c r="L250" s="470"/>
      <c r="U250" s="471"/>
      <c r="W250" s="431">
        <f t="shared" si="6"/>
        <v>0</v>
      </c>
      <c r="X250" s="479"/>
      <c r="Y250" s="479"/>
      <c r="Z250" s="479"/>
      <c r="AA250" s="479"/>
      <c r="AB250" s="474"/>
      <c r="AC250" s="474"/>
    </row>
    <row r="251" ht="15.75" customHeight="1">
      <c r="A251" s="359"/>
      <c r="B251" s="365"/>
      <c r="C251" s="484"/>
      <c r="D251" s="367"/>
      <c r="E251" s="371"/>
      <c r="F251" s="422">
        <f t="shared" si="1"/>
        <v>0</v>
      </c>
      <c r="G251" s="364"/>
      <c r="H251" s="424">
        <f t="shared" si="2"/>
        <v>0</v>
      </c>
      <c r="I251" s="425" t="s">
        <v>42</v>
      </c>
      <c r="J251" s="426">
        <f t="shared" si="8"/>
        <v>0</v>
      </c>
      <c r="L251" s="470"/>
      <c r="U251" s="471"/>
      <c r="W251" s="431">
        <f t="shared" si="6"/>
        <v>0</v>
      </c>
      <c r="X251" s="479"/>
      <c r="Y251" s="479"/>
      <c r="Z251" s="479"/>
      <c r="AA251" s="479"/>
      <c r="AB251" s="474"/>
      <c r="AC251" s="474"/>
    </row>
    <row r="252" ht="15.75" customHeight="1">
      <c r="A252" s="359"/>
      <c r="B252" s="365"/>
      <c r="C252" s="483"/>
      <c r="D252" s="367"/>
      <c r="E252" s="371"/>
      <c r="F252" s="422">
        <f t="shared" si="1"/>
        <v>0</v>
      </c>
      <c r="G252" s="364"/>
      <c r="H252" s="424">
        <f t="shared" si="2"/>
        <v>0</v>
      </c>
      <c r="I252" s="425" t="s">
        <v>42</v>
      </c>
      <c r="J252" s="426">
        <f t="shared" si="8"/>
        <v>0</v>
      </c>
      <c r="L252" s="470"/>
      <c r="U252" s="471"/>
      <c r="W252" s="431">
        <f t="shared" si="6"/>
        <v>0</v>
      </c>
      <c r="X252" s="479"/>
      <c r="Y252" s="479"/>
      <c r="Z252" s="479"/>
      <c r="AA252" s="479"/>
      <c r="AB252" s="474"/>
      <c r="AC252" s="474"/>
    </row>
    <row r="253" ht="15.75" customHeight="1">
      <c r="A253" s="359"/>
      <c r="B253" s="365"/>
      <c r="C253" s="483"/>
      <c r="D253" s="367"/>
      <c r="E253" s="371"/>
      <c r="F253" s="422">
        <f t="shared" si="1"/>
        <v>0</v>
      </c>
      <c r="G253" s="364"/>
      <c r="H253" s="424">
        <f t="shared" si="2"/>
        <v>0</v>
      </c>
      <c r="I253" s="425" t="s">
        <v>42</v>
      </c>
      <c r="J253" s="426">
        <f t="shared" si="8"/>
        <v>0</v>
      </c>
      <c r="L253" s="470"/>
      <c r="U253" s="471"/>
      <c r="W253" s="431">
        <f t="shared" si="6"/>
        <v>0</v>
      </c>
      <c r="X253" s="479"/>
      <c r="Y253" s="479"/>
      <c r="Z253" s="479"/>
      <c r="AA253" s="479"/>
      <c r="AB253" s="474"/>
      <c r="AC253" s="474"/>
    </row>
    <row r="254" ht="15.75" customHeight="1">
      <c r="A254" s="359"/>
      <c r="B254" s="365"/>
      <c r="C254" s="483"/>
      <c r="D254" s="367"/>
      <c r="E254" s="371"/>
      <c r="F254" s="422">
        <f t="shared" si="1"/>
        <v>0</v>
      </c>
      <c r="G254" s="364"/>
      <c r="H254" s="424">
        <f t="shared" si="2"/>
        <v>0</v>
      </c>
      <c r="I254" s="425" t="s">
        <v>42</v>
      </c>
      <c r="J254" s="426">
        <f t="shared" si="8"/>
        <v>0</v>
      </c>
      <c r="L254" s="470"/>
      <c r="U254" s="471"/>
      <c r="W254" s="431">
        <f t="shared" si="6"/>
        <v>0</v>
      </c>
      <c r="X254" s="479"/>
      <c r="Y254" s="479"/>
      <c r="Z254" s="479"/>
      <c r="AA254" s="479"/>
      <c r="AB254" s="474"/>
      <c r="AC254" s="474"/>
    </row>
    <row r="255" ht="15.75" customHeight="1">
      <c r="A255" s="359"/>
      <c r="B255" s="365"/>
      <c r="C255" s="483"/>
      <c r="D255" s="367"/>
      <c r="E255" s="371"/>
      <c r="F255" s="422">
        <f t="shared" si="1"/>
        <v>0</v>
      </c>
      <c r="G255" s="364"/>
      <c r="H255" s="424">
        <f t="shared" si="2"/>
        <v>0</v>
      </c>
      <c r="I255" s="425" t="s">
        <v>42</v>
      </c>
      <c r="J255" s="426">
        <f t="shared" si="8"/>
        <v>0</v>
      </c>
      <c r="L255" s="470"/>
      <c r="U255" s="471"/>
      <c r="W255" s="431">
        <f t="shared" si="6"/>
        <v>0</v>
      </c>
      <c r="X255" s="479"/>
      <c r="Y255" s="479"/>
      <c r="Z255" s="479"/>
      <c r="AA255" s="479"/>
      <c r="AB255" s="474"/>
      <c r="AC255" s="474"/>
    </row>
    <row r="256" ht="15.75" customHeight="1">
      <c r="A256" s="359"/>
      <c r="B256" s="365"/>
      <c r="C256" s="483"/>
      <c r="D256" s="367"/>
      <c r="E256" s="371"/>
      <c r="F256" s="422">
        <f t="shared" si="1"/>
        <v>0</v>
      </c>
      <c r="G256" s="364"/>
      <c r="H256" s="424">
        <f t="shared" si="2"/>
        <v>0</v>
      </c>
      <c r="I256" s="425" t="s">
        <v>42</v>
      </c>
      <c r="J256" s="426">
        <f t="shared" si="8"/>
        <v>0</v>
      </c>
      <c r="L256" s="470"/>
      <c r="U256" s="471"/>
      <c r="W256" s="431">
        <f t="shared" si="6"/>
        <v>0</v>
      </c>
      <c r="X256" s="479"/>
      <c r="Y256" s="479"/>
      <c r="Z256" s="479"/>
      <c r="AA256" s="479"/>
      <c r="AB256" s="474"/>
      <c r="AC256" s="474"/>
    </row>
    <row r="257" ht="15.75" customHeight="1">
      <c r="A257" s="359"/>
      <c r="B257" s="365"/>
      <c r="C257" s="483"/>
      <c r="D257" s="367"/>
      <c r="E257" s="371"/>
      <c r="F257" s="422">
        <f t="shared" si="1"/>
        <v>0</v>
      </c>
      <c r="G257" s="364"/>
      <c r="H257" s="424">
        <f t="shared" si="2"/>
        <v>0</v>
      </c>
      <c r="I257" s="425" t="s">
        <v>42</v>
      </c>
      <c r="J257" s="426">
        <f t="shared" si="8"/>
        <v>0</v>
      </c>
      <c r="L257" s="470"/>
      <c r="U257" s="471"/>
      <c r="W257" s="431">
        <f t="shared" si="6"/>
        <v>0</v>
      </c>
      <c r="X257" s="479"/>
      <c r="Y257" s="479"/>
      <c r="Z257" s="479"/>
      <c r="AA257" s="479"/>
      <c r="AB257" s="474"/>
      <c r="AC257" s="474"/>
    </row>
    <row r="258" ht="15.75" customHeight="1">
      <c r="A258" s="359"/>
      <c r="B258" s="365"/>
      <c r="C258" s="483"/>
      <c r="D258" s="377"/>
      <c r="E258" s="371"/>
      <c r="F258" s="422">
        <f t="shared" si="1"/>
        <v>0</v>
      </c>
      <c r="G258" s="364"/>
      <c r="H258" s="424">
        <f t="shared" si="2"/>
        <v>0</v>
      </c>
      <c r="I258" s="425" t="s">
        <v>42</v>
      </c>
      <c r="J258" s="426">
        <f t="shared" si="8"/>
        <v>0</v>
      </c>
      <c r="L258" s="470"/>
      <c r="U258" s="471"/>
      <c r="W258" s="431">
        <f t="shared" si="6"/>
        <v>0</v>
      </c>
      <c r="X258" s="479"/>
      <c r="Y258" s="479"/>
      <c r="Z258" s="479"/>
      <c r="AA258" s="479"/>
      <c r="AB258" s="474"/>
      <c r="AC258" s="474"/>
    </row>
    <row r="259" ht="15.75" customHeight="1">
      <c r="A259" s="359"/>
      <c r="B259" s="365"/>
      <c r="C259" s="483"/>
      <c r="D259" s="377"/>
      <c r="E259" s="371"/>
      <c r="F259" s="422">
        <f t="shared" si="1"/>
        <v>0</v>
      </c>
      <c r="G259" s="364"/>
      <c r="H259" s="424">
        <f t="shared" si="2"/>
        <v>0</v>
      </c>
      <c r="I259" s="425" t="s">
        <v>42</v>
      </c>
      <c r="J259" s="426">
        <f t="shared" si="8"/>
        <v>0</v>
      </c>
      <c r="L259" s="470"/>
      <c r="U259" s="471"/>
      <c r="W259" s="431">
        <f t="shared" si="6"/>
        <v>0</v>
      </c>
      <c r="X259" s="479"/>
      <c r="Y259" s="479"/>
      <c r="Z259" s="479"/>
      <c r="AA259" s="479"/>
      <c r="AB259" s="474"/>
      <c r="AC259" s="474"/>
    </row>
    <row r="260" ht="15.75" customHeight="1">
      <c r="A260" s="359"/>
      <c r="B260" s="365"/>
      <c r="C260" s="483"/>
      <c r="D260" s="377"/>
      <c r="E260" s="371"/>
      <c r="F260" s="422">
        <f t="shared" si="1"/>
        <v>0</v>
      </c>
      <c r="G260" s="364"/>
      <c r="H260" s="424">
        <f t="shared" si="2"/>
        <v>0</v>
      </c>
      <c r="I260" s="425" t="s">
        <v>42</v>
      </c>
      <c r="J260" s="426">
        <f t="shared" si="8"/>
        <v>0</v>
      </c>
      <c r="L260" s="470"/>
      <c r="U260" s="471"/>
      <c r="W260" s="431">
        <f t="shared" si="6"/>
        <v>0</v>
      </c>
      <c r="X260" s="479"/>
      <c r="Y260" s="479"/>
      <c r="Z260" s="479"/>
      <c r="AA260" s="479"/>
      <c r="AB260" s="474"/>
      <c r="AC260" s="474"/>
    </row>
    <row r="261" ht="15.75" customHeight="1">
      <c r="A261" s="359"/>
      <c r="B261" s="365"/>
      <c r="C261" s="483"/>
      <c r="D261" s="377"/>
      <c r="E261" s="371"/>
      <c r="F261" s="422">
        <f t="shared" si="1"/>
        <v>0</v>
      </c>
      <c r="G261" s="364"/>
      <c r="H261" s="424">
        <f t="shared" si="2"/>
        <v>0</v>
      </c>
      <c r="I261" s="425" t="s">
        <v>42</v>
      </c>
      <c r="J261" s="426">
        <f t="shared" si="8"/>
        <v>0</v>
      </c>
      <c r="L261" s="470"/>
      <c r="U261" s="471"/>
      <c r="W261" s="431">
        <f t="shared" si="6"/>
        <v>0</v>
      </c>
      <c r="X261" s="479"/>
      <c r="Y261" s="479"/>
      <c r="Z261" s="479"/>
      <c r="AA261" s="479"/>
      <c r="AB261" s="474"/>
      <c r="AC261" s="474"/>
    </row>
    <row r="262" ht="15.75" customHeight="1">
      <c r="A262" s="359"/>
      <c r="B262" s="365"/>
      <c r="C262" s="483"/>
      <c r="D262" s="377"/>
      <c r="E262" s="371"/>
      <c r="F262" s="422">
        <f t="shared" si="1"/>
        <v>0</v>
      </c>
      <c r="G262" s="364"/>
      <c r="H262" s="424">
        <f t="shared" si="2"/>
        <v>0</v>
      </c>
      <c r="I262" s="425" t="s">
        <v>42</v>
      </c>
      <c r="J262" s="426">
        <f t="shared" si="8"/>
        <v>0</v>
      </c>
      <c r="L262" s="470"/>
      <c r="U262" s="471"/>
      <c r="W262" s="431">
        <f t="shared" si="6"/>
        <v>0</v>
      </c>
      <c r="X262" s="479"/>
      <c r="Y262" s="479"/>
      <c r="Z262" s="479"/>
      <c r="AA262" s="479"/>
      <c r="AB262" s="474"/>
      <c r="AC262" s="474"/>
    </row>
    <row r="263" ht="15.75" customHeight="1">
      <c r="A263" s="359"/>
      <c r="B263" s="365"/>
      <c r="C263" s="267"/>
      <c r="D263" s="377"/>
      <c r="E263" s="371"/>
      <c r="F263" s="422">
        <f t="shared" si="1"/>
        <v>0</v>
      </c>
      <c r="G263" s="364"/>
      <c r="H263" s="424">
        <f t="shared" si="2"/>
        <v>0</v>
      </c>
      <c r="I263" s="425" t="s">
        <v>42</v>
      </c>
      <c r="J263" s="426">
        <f t="shared" si="8"/>
        <v>0</v>
      </c>
      <c r="L263" s="470"/>
      <c r="U263" s="471"/>
      <c r="W263" s="431">
        <f t="shared" si="6"/>
        <v>0</v>
      </c>
      <c r="X263" s="479"/>
      <c r="Y263" s="479"/>
      <c r="Z263" s="479"/>
      <c r="AA263" s="479"/>
      <c r="AB263" s="474"/>
      <c r="AC263" s="474"/>
    </row>
    <row r="264" ht="15.75" customHeight="1">
      <c r="A264" s="359"/>
      <c r="B264" s="365"/>
      <c r="C264" s="267"/>
      <c r="D264" s="378"/>
      <c r="E264" s="371"/>
      <c r="F264" s="422">
        <f t="shared" si="1"/>
        <v>0</v>
      </c>
      <c r="G264" s="364"/>
      <c r="H264" s="424">
        <f t="shared" si="2"/>
        <v>0</v>
      </c>
      <c r="I264" s="425" t="s">
        <v>42</v>
      </c>
      <c r="J264" s="426">
        <f t="shared" si="8"/>
        <v>0</v>
      </c>
      <c r="L264" s="470"/>
      <c r="U264" s="471"/>
      <c r="W264" s="431">
        <f t="shared" si="6"/>
        <v>0</v>
      </c>
      <c r="X264" s="479"/>
      <c r="Y264" s="479"/>
      <c r="Z264" s="479"/>
      <c r="AA264" s="479"/>
      <c r="AB264" s="474"/>
      <c r="AC264" s="474"/>
    </row>
    <row r="265" ht="15.75" customHeight="1">
      <c r="A265" s="359"/>
      <c r="B265" s="365"/>
      <c r="C265" s="267"/>
      <c r="D265" s="378"/>
      <c r="E265" s="371"/>
      <c r="F265" s="422">
        <f t="shared" si="1"/>
        <v>0</v>
      </c>
      <c r="G265" s="364"/>
      <c r="H265" s="424">
        <f t="shared" si="2"/>
        <v>0</v>
      </c>
      <c r="I265" s="425" t="s">
        <v>42</v>
      </c>
      <c r="J265" s="426">
        <f t="shared" si="8"/>
        <v>0</v>
      </c>
      <c r="L265" s="470"/>
      <c r="U265" s="471"/>
      <c r="W265" s="431">
        <f t="shared" si="6"/>
        <v>0</v>
      </c>
      <c r="X265" s="479"/>
      <c r="Y265" s="479"/>
      <c r="Z265" s="479"/>
      <c r="AA265" s="479"/>
      <c r="AB265" s="474"/>
      <c r="AC265" s="474"/>
    </row>
    <row r="266" ht="15.75" customHeight="1">
      <c r="A266" s="359"/>
      <c r="B266" s="365"/>
      <c r="C266" s="267"/>
      <c r="D266" s="377"/>
      <c r="E266" s="371"/>
      <c r="F266" s="422">
        <f t="shared" si="1"/>
        <v>0</v>
      </c>
      <c r="G266" s="364"/>
      <c r="H266" s="424">
        <f t="shared" si="2"/>
        <v>0</v>
      </c>
      <c r="I266" s="425" t="s">
        <v>42</v>
      </c>
      <c r="J266" s="426">
        <f t="shared" si="8"/>
        <v>0</v>
      </c>
      <c r="L266" s="470"/>
      <c r="U266" s="471"/>
      <c r="W266" s="431">
        <f t="shared" si="6"/>
        <v>0</v>
      </c>
      <c r="X266" s="479"/>
      <c r="Y266" s="479"/>
      <c r="Z266" s="479"/>
      <c r="AA266" s="479"/>
      <c r="AB266" s="474"/>
      <c r="AC266" s="474"/>
    </row>
    <row r="267" ht="15.75" customHeight="1">
      <c r="A267" s="359"/>
      <c r="B267" s="365"/>
      <c r="C267" s="483"/>
      <c r="D267" s="377"/>
      <c r="E267" s="371"/>
      <c r="F267" s="422">
        <f t="shared" si="1"/>
        <v>0</v>
      </c>
      <c r="G267" s="364"/>
      <c r="H267" s="424">
        <f t="shared" si="2"/>
        <v>0</v>
      </c>
      <c r="I267" s="425" t="s">
        <v>42</v>
      </c>
      <c r="J267" s="426">
        <f t="shared" si="8"/>
        <v>0</v>
      </c>
      <c r="L267" s="470"/>
      <c r="U267" s="471"/>
      <c r="W267" s="431">
        <f t="shared" si="6"/>
        <v>0</v>
      </c>
      <c r="X267" s="479"/>
      <c r="Y267" s="479"/>
      <c r="Z267" s="479"/>
      <c r="AA267" s="479"/>
      <c r="AB267" s="474"/>
      <c r="AC267" s="474"/>
    </row>
    <row r="268" ht="15.75" customHeight="1">
      <c r="A268" s="359"/>
      <c r="B268" s="365"/>
      <c r="C268" s="483"/>
      <c r="D268" s="377"/>
      <c r="E268" s="371"/>
      <c r="F268" s="422">
        <f t="shared" si="1"/>
        <v>0</v>
      </c>
      <c r="G268" s="364"/>
      <c r="H268" s="424">
        <f t="shared" si="2"/>
        <v>0</v>
      </c>
      <c r="I268" s="425" t="s">
        <v>42</v>
      </c>
      <c r="J268" s="426">
        <f t="shared" si="8"/>
        <v>0</v>
      </c>
      <c r="L268" s="470"/>
      <c r="U268" s="471"/>
      <c r="W268" s="431">
        <f t="shared" si="6"/>
        <v>0</v>
      </c>
      <c r="X268" s="479"/>
      <c r="Y268" s="479"/>
      <c r="Z268" s="479"/>
      <c r="AA268" s="479"/>
      <c r="AB268" s="474"/>
      <c r="AC268" s="474"/>
    </row>
    <row r="269" ht="15.75" customHeight="1">
      <c r="A269" s="359"/>
      <c r="B269" s="365"/>
      <c r="C269" s="483"/>
      <c r="D269" s="377"/>
      <c r="E269" s="371"/>
      <c r="F269" s="422">
        <f t="shared" si="1"/>
        <v>0</v>
      </c>
      <c r="G269" s="364"/>
      <c r="H269" s="424">
        <f t="shared" si="2"/>
        <v>0</v>
      </c>
      <c r="I269" s="425" t="s">
        <v>42</v>
      </c>
      <c r="J269" s="426">
        <f t="shared" si="8"/>
        <v>0</v>
      </c>
      <c r="L269" s="470"/>
      <c r="U269" s="471"/>
      <c r="W269" s="431">
        <f t="shared" si="6"/>
        <v>0</v>
      </c>
      <c r="X269" s="479"/>
      <c r="Y269" s="479"/>
      <c r="Z269" s="479"/>
      <c r="AA269" s="479"/>
      <c r="AB269" s="474"/>
      <c r="AC269" s="474"/>
    </row>
    <row r="270" ht="15.75" customHeight="1">
      <c r="A270" s="359"/>
      <c r="B270" s="365"/>
      <c r="C270" s="483"/>
      <c r="D270" s="377"/>
      <c r="E270" s="371"/>
      <c r="F270" s="422">
        <f t="shared" si="1"/>
        <v>0</v>
      </c>
      <c r="G270" s="364"/>
      <c r="H270" s="424">
        <f t="shared" si="2"/>
        <v>0</v>
      </c>
      <c r="I270" s="425" t="s">
        <v>42</v>
      </c>
      <c r="J270" s="426">
        <f t="shared" si="8"/>
        <v>0</v>
      </c>
      <c r="L270" s="470"/>
      <c r="U270" s="471"/>
      <c r="W270" s="431">
        <f t="shared" si="6"/>
        <v>0</v>
      </c>
      <c r="X270" s="479"/>
      <c r="Y270" s="479"/>
      <c r="Z270" s="479"/>
      <c r="AA270" s="479"/>
      <c r="AB270" s="474"/>
      <c r="AC270" s="474"/>
    </row>
    <row r="271" ht="15.75" customHeight="1">
      <c r="A271" s="359"/>
      <c r="B271" s="365"/>
      <c r="C271" s="483"/>
      <c r="D271" s="377"/>
      <c r="E271" s="371"/>
      <c r="F271" s="422">
        <f t="shared" si="1"/>
        <v>0</v>
      </c>
      <c r="G271" s="364"/>
      <c r="H271" s="424">
        <f t="shared" si="2"/>
        <v>0</v>
      </c>
      <c r="I271" s="425" t="s">
        <v>42</v>
      </c>
      <c r="J271" s="426">
        <f t="shared" si="8"/>
        <v>0</v>
      </c>
      <c r="L271" s="470"/>
      <c r="U271" s="471"/>
      <c r="W271" s="431">
        <f t="shared" si="6"/>
        <v>0</v>
      </c>
      <c r="X271" s="479"/>
      <c r="Y271" s="479"/>
      <c r="Z271" s="479"/>
      <c r="AA271" s="479"/>
      <c r="AB271" s="474"/>
      <c r="AC271" s="474"/>
    </row>
    <row r="272" ht="15.75" customHeight="1">
      <c r="A272" s="359"/>
      <c r="B272" s="365"/>
      <c r="C272" s="483"/>
      <c r="D272" s="377"/>
      <c r="E272" s="371"/>
      <c r="F272" s="422">
        <f t="shared" si="1"/>
        <v>0</v>
      </c>
      <c r="G272" s="364"/>
      <c r="H272" s="424">
        <f t="shared" si="2"/>
        <v>0</v>
      </c>
      <c r="I272" s="425" t="s">
        <v>42</v>
      </c>
      <c r="J272" s="426">
        <f t="shared" si="8"/>
        <v>0</v>
      </c>
      <c r="L272" s="470"/>
      <c r="U272" s="471"/>
      <c r="W272" s="431">
        <f t="shared" si="6"/>
        <v>0</v>
      </c>
      <c r="X272" s="479"/>
      <c r="Y272" s="479"/>
      <c r="Z272" s="479"/>
      <c r="AA272" s="479"/>
      <c r="AB272" s="474"/>
      <c r="AC272" s="474"/>
    </row>
    <row r="273" ht="15.75" customHeight="1">
      <c r="A273" s="359"/>
      <c r="B273" s="365"/>
      <c r="C273" s="483"/>
      <c r="D273" s="377"/>
      <c r="E273" s="371"/>
      <c r="F273" s="422">
        <f t="shared" si="1"/>
        <v>0</v>
      </c>
      <c r="G273" s="364"/>
      <c r="H273" s="424">
        <f t="shared" si="2"/>
        <v>0</v>
      </c>
      <c r="I273" s="425" t="s">
        <v>42</v>
      </c>
      <c r="J273" s="426">
        <f t="shared" si="8"/>
        <v>0</v>
      </c>
      <c r="L273" s="470"/>
      <c r="U273" s="471"/>
      <c r="W273" s="431">
        <f t="shared" si="6"/>
        <v>0</v>
      </c>
      <c r="X273" s="479"/>
      <c r="Y273" s="479"/>
      <c r="Z273" s="479"/>
      <c r="AA273" s="479"/>
      <c r="AB273" s="474"/>
      <c r="AC273" s="474"/>
    </row>
    <row r="274" ht="15.75" customHeight="1">
      <c r="A274" s="359"/>
      <c r="B274" s="365"/>
      <c r="C274" s="483"/>
      <c r="D274" s="377"/>
      <c r="E274" s="371"/>
      <c r="F274" s="422">
        <f t="shared" si="1"/>
        <v>0</v>
      </c>
      <c r="G274" s="364"/>
      <c r="H274" s="424">
        <f t="shared" si="2"/>
        <v>0</v>
      </c>
      <c r="I274" s="425" t="s">
        <v>42</v>
      </c>
      <c r="J274" s="426">
        <f t="shared" si="8"/>
        <v>0</v>
      </c>
      <c r="L274" s="470"/>
      <c r="U274" s="471"/>
      <c r="W274" s="431">
        <f t="shared" si="6"/>
        <v>0</v>
      </c>
      <c r="X274" s="479"/>
      <c r="Y274" s="479"/>
      <c r="Z274" s="479"/>
      <c r="AA274" s="479"/>
      <c r="AB274" s="474"/>
      <c r="AC274" s="474"/>
    </row>
    <row r="275" ht="15.75" customHeight="1">
      <c r="A275" s="359"/>
      <c r="B275" s="365"/>
      <c r="C275" s="267"/>
      <c r="D275" s="378"/>
      <c r="E275" s="371"/>
      <c r="F275" s="422">
        <f t="shared" si="1"/>
        <v>0</v>
      </c>
      <c r="G275" s="364"/>
      <c r="H275" s="424">
        <f t="shared" si="2"/>
        <v>0</v>
      </c>
      <c r="I275" s="425" t="s">
        <v>42</v>
      </c>
      <c r="J275" s="426">
        <f t="shared" si="8"/>
        <v>0</v>
      </c>
      <c r="L275" s="470"/>
      <c r="U275" s="471"/>
      <c r="W275" s="431">
        <f t="shared" si="6"/>
        <v>0</v>
      </c>
      <c r="X275" s="479"/>
      <c r="Y275" s="479"/>
      <c r="Z275" s="479"/>
      <c r="AA275" s="479"/>
      <c r="AB275" s="474"/>
      <c r="AC275" s="474"/>
    </row>
    <row r="276" ht="15.75" customHeight="1">
      <c r="A276" s="359"/>
      <c r="B276" s="365"/>
      <c r="C276" s="267"/>
      <c r="D276" s="378"/>
      <c r="E276" s="371"/>
      <c r="F276" s="422">
        <f t="shared" si="1"/>
        <v>0</v>
      </c>
      <c r="G276" s="364"/>
      <c r="H276" s="424">
        <f t="shared" si="2"/>
        <v>0</v>
      </c>
      <c r="I276" s="425" t="s">
        <v>42</v>
      </c>
      <c r="J276" s="426">
        <f t="shared" si="8"/>
        <v>0</v>
      </c>
      <c r="L276" s="470"/>
      <c r="U276" s="471"/>
      <c r="W276" s="431">
        <f t="shared" si="6"/>
        <v>0</v>
      </c>
      <c r="X276" s="479"/>
      <c r="Y276" s="479"/>
      <c r="Z276" s="479"/>
      <c r="AA276" s="479"/>
      <c r="AB276" s="474"/>
      <c r="AC276" s="474"/>
    </row>
    <row r="277" ht="15.75" customHeight="1">
      <c r="A277" s="359"/>
      <c r="B277" s="365"/>
      <c r="C277" s="484"/>
      <c r="D277" s="377"/>
      <c r="E277" s="371"/>
      <c r="F277" s="422">
        <f t="shared" si="1"/>
        <v>0</v>
      </c>
      <c r="G277" s="364"/>
      <c r="H277" s="424">
        <f t="shared" si="2"/>
        <v>0</v>
      </c>
      <c r="I277" s="425" t="s">
        <v>42</v>
      </c>
      <c r="J277" s="426">
        <f t="shared" si="8"/>
        <v>0</v>
      </c>
      <c r="L277" s="470"/>
      <c r="U277" s="471"/>
      <c r="W277" s="431">
        <f t="shared" si="6"/>
        <v>0</v>
      </c>
      <c r="X277" s="479"/>
      <c r="Y277" s="479"/>
      <c r="Z277" s="479"/>
      <c r="AA277" s="479"/>
      <c r="AB277" s="474"/>
      <c r="AC277" s="474"/>
    </row>
    <row r="278" ht="15.75" customHeight="1">
      <c r="A278" s="359"/>
      <c r="B278" s="365"/>
      <c r="C278" s="483"/>
      <c r="D278" s="377"/>
      <c r="E278" s="371"/>
      <c r="F278" s="422">
        <f t="shared" si="1"/>
        <v>0</v>
      </c>
      <c r="G278" s="364"/>
      <c r="H278" s="424">
        <f t="shared" si="2"/>
        <v>0</v>
      </c>
      <c r="I278" s="425" t="s">
        <v>42</v>
      </c>
      <c r="J278" s="426">
        <f t="shared" si="8"/>
        <v>0</v>
      </c>
      <c r="L278" s="470"/>
      <c r="U278" s="471"/>
      <c r="W278" s="431">
        <f t="shared" si="6"/>
        <v>0</v>
      </c>
      <c r="X278" s="479"/>
      <c r="Y278" s="479"/>
      <c r="Z278" s="479"/>
      <c r="AA278" s="479"/>
      <c r="AB278" s="474"/>
      <c r="AC278" s="474"/>
    </row>
    <row r="279" ht="15.75" customHeight="1">
      <c r="A279" s="359"/>
      <c r="B279" s="365"/>
      <c r="C279" s="483"/>
      <c r="D279" s="377"/>
      <c r="E279" s="371"/>
      <c r="F279" s="422">
        <f t="shared" si="1"/>
        <v>0</v>
      </c>
      <c r="G279" s="364"/>
      <c r="H279" s="424">
        <f t="shared" si="2"/>
        <v>0</v>
      </c>
      <c r="I279" s="425" t="s">
        <v>42</v>
      </c>
      <c r="J279" s="426">
        <f t="shared" si="8"/>
        <v>0</v>
      </c>
      <c r="L279" s="470"/>
      <c r="U279" s="471"/>
      <c r="W279" s="431">
        <f t="shared" si="6"/>
        <v>0</v>
      </c>
      <c r="X279" s="479"/>
      <c r="Y279" s="479"/>
      <c r="Z279" s="479"/>
      <c r="AA279" s="479"/>
      <c r="AB279" s="474"/>
      <c r="AC279" s="474"/>
    </row>
    <row r="280" ht="15.75" customHeight="1">
      <c r="A280" s="359"/>
      <c r="B280" s="365"/>
      <c r="C280" s="484"/>
      <c r="D280" s="377"/>
      <c r="E280" s="371"/>
      <c r="F280" s="422">
        <f t="shared" si="1"/>
        <v>0</v>
      </c>
      <c r="G280" s="364"/>
      <c r="H280" s="424">
        <f t="shared" si="2"/>
        <v>0</v>
      </c>
      <c r="I280" s="425" t="s">
        <v>42</v>
      </c>
      <c r="J280" s="426">
        <f t="shared" si="8"/>
        <v>0</v>
      </c>
      <c r="L280" s="470"/>
      <c r="U280" s="471"/>
      <c r="W280" s="431">
        <f t="shared" si="6"/>
        <v>0</v>
      </c>
      <c r="X280" s="479"/>
      <c r="Y280" s="479"/>
      <c r="Z280" s="479"/>
      <c r="AA280" s="479"/>
      <c r="AB280" s="474"/>
      <c r="AC280" s="474"/>
    </row>
    <row r="281" ht="15.75" customHeight="1">
      <c r="A281" s="359"/>
      <c r="B281" s="365"/>
      <c r="C281" s="484"/>
      <c r="D281" s="377"/>
      <c r="E281" s="371"/>
      <c r="F281" s="422">
        <f t="shared" si="1"/>
        <v>0</v>
      </c>
      <c r="G281" s="364"/>
      <c r="H281" s="424">
        <f t="shared" si="2"/>
        <v>0</v>
      </c>
      <c r="I281" s="425" t="s">
        <v>42</v>
      </c>
      <c r="J281" s="426">
        <f t="shared" si="8"/>
        <v>0</v>
      </c>
      <c r="L281" s="470"/>
      <c r="U281" s="471"/>
      <c r="W281" s="431">
        <f t="shared" si="6"/>
        <v>0</v>
      </c>
      <c r="X281" s="479"/>
      <c r="Y281" s="479"/>
      <c r="Z281" s="479"/>
      <c r="AA281" s="479"/>
      <c r="AB281" s="474"/>
      <c r="AC281" s="474"/>
    </row>
    <row r="282" ht="15.75" customHeight="1">
      <c r="A282" s="359"/>
      <c r="B282" s="365"/>
      <c r="C282" s="484"/>
      <c r="D282" s="378"/>
      <c r="E282" s="371"/>
      <c r="F282" s="422">
        <f t="shared" si="1"/>
        <v>0</v>
      </c>
      <c r="G282" s="364"/>
      <c r="H282" s="424">
        <f t="shared" si="2"/>
        <v>0</v>
      </c>
      <c r="I282" s="425" t="s">
        <v>42</v>
      </c>
      <c r="J282" s="426">
        <f t="shared" si="8"/>
        <v>0</v>
      </c>
      <c r="L282" s="470"/>
      <c r="U282" s="471"/>
      <c r="W282" s="431">
        <f t="shared" si="6"/>
        <v>0</v>
      </c>
      <c r="X282" s="479"/>
      <c r="Y282" s="479"/>
      <c r="Z282" s="479"/>
      <c r="AA282" s="479"/>
      <c r="AB282" s="474"/>
      <c r="AC282" s="474"/>
    </row>
    <row r="283" ht="15.75" customHeight="1">
      <c r="A283" s="359"/>
      <c r="B283" s="365"/>
      <c r="C283" s="487"/>
      <c r="D283" s="380"/>
      <c r="E283" s="371"/>
      <c r="F283" s="422">
        <f t="shared" si="1"/>
        <v>0</v>
      </c>
      <c r="G283" s="364"/>
      <c r="H283" s="424">
        <f t="shared" si="2"/>
        <v>0</v>
      </c>
      <c r="I283" s="425" t="s">
        <v>42</v>
      </c>
      <c r="J283" s="426">
        <f t="shared" si="8"/>
        <v>0</v>
      </c>
      <c r="L283" s="470"/>
      <c r="U283" s="471"/>
      <c r="W283" s="431">
        <f t="shared" si="6"/>
        <v>0</v>
      </c>
      <c r="X283" s="479"/>
      <c r="Y283" s="479"/>
      <c r="Z283" s="479"/>
      <c r="AA283" s="479"/>
      <c r="AB283" s="474"/>
      <c r="AC283" s="474"/>
    </row>
    <row r="284" ht="15.75" customHeight="1">
      <c r="A284" s="359"/>
      <c r="B284" s="365"/>
      <c r="C284" s="485"/>
      <c r="D284" s="268"/>
      <c r="E284" s="371"/>
      <c r="F284" s="422">
        <f t="shared" si="1"/>
        <v>0</v>
      </c>
      <c r="G284" s="364"/>
      <c r="H284" s="424">
        <f t="shared" si="2"/>
        <v>0</v>
      </c>
      <c r="I284" s="425" t="s">
        <v>42</v>
      </c>
      <c r="J284" s="426">
        <f t="shared" si="8"/>
        <v>0</v>
      </c>
      <c r="L284" s="470"/>
      <c r="U284" s="471"/>
      <c r="W284" s="431">
        <f t="shared" si="6"/>
        <v>0</v>
      </c>
      <c r="X284" s="479"/>
      <c r="Y284" s="479"/>
      <c r="Z284" s="479"/>
      <c r="AA284" s="479"/>
      <c r="AB284" s="474"/>
      <c r="AC284" s="474"/>
    </row>
    <row r="285" ht="15.75" customHeight="1">
      <c r="A285" s="359"/>
      <c r="B285" s="365"/>
      <c r="C285" s="483"/>
      <c r="D285" s="378"/>
      <c r="E285" s="371"/>
      <c r="F285" s="422">
        <f t="shared" si="1"/>
        <v>0</v>
      </c>
      <c r="G285" s="364"/>
      <c r="H285" s="424">
        <f t="shared" si="2"/>
        <v>0</v>
      </c>
      <c r="I285" s="425" t="s">
        <v>42</v>
      </c>
      <c r="J285" s="426">
        <f t="shared" si="8"/>
        <v>0</v>
      </c>
      <c r="L285" s="470"/>
      <c r="U285" s="471"/>
      <c r="W285" s="431">
        <f t="shared" si="6"/>
        <v>0</v>
      </c>
      <c r="X285" s="479"/>
      <c r="Y285" s="479"/>
      <c r="Z285" s="479"/>
      <c r="AA285" s="479"/>
      <c r="AB285" s="474"/>
      <c r="AC285" s="474"/>
    </row>
    <row r="286" ht="15.75" customHeight="1">
      <c r="A286" s="359"/>
      <c r="B286" s="365"/>
      <c r="C286" s="483"/>
      <c r="D286" s="378"/>
      <c r="E286" s="371"/>
      <c r="F286" s="422">
        <f t="shared" si="1"/>
        <v>0</v>
      </c>
      <c r="G286" s="364"/>
      <c r="H286" s="424">
        <f t="shared" si="2"/>
        <v>0</v>
      </c>
      <c r="I286" s="425" t="s">
        <v>42</v>
      </c>
      <c r="J286" s="426">
        <f t="shared" si="8"/>
        <v>0</v>
      </c>
      <c r="L286" s="470"/>
      <c r="U286" s="471"/>
      <c r="W286" s="431">
        <f t="shared" si="6"/>
        <v>0</v>
      </c>
      <c r="X286" s="479"/>
      <c r="Y286" s="479"/>
      <c r="Z286" s="479"/>
      <c r="AA286" s="479"/>
      <c r="AB286" s="474"/>
      <c r="AC286" s="474"/>
    </row>
    <row r="287" ht="15.75" customHeight="1">
      <c r="A287" s="359"/>
      <c r="B287" s="365"/>
      <c r="C287" s="483"/>
      <c r="D287" s="378"/>
      <c r="E287" s="371"/>
      <c r="F287" s="422">
        <f t="shared" si="1"/>
        <v>0</v>
      </c>
      <c r="G287" s="364"/>
      <c r="H287" s="424">
        <f t="shared" si="2"/>
        <v>0</v>
      </c>
      <c r="I287" s="425" t="s">
        <v>42</v>
      </c>
      <c r="J287" s="426">
        <f t="shared" si="8"/>
        <v>0</v>
      </c>
      <c r="L287" s="470"/>
      <c r="U287" s="471"/>
      <c r="W287" s="431">
        <f t="shared" si="6"/>
        <v>0</v>
      </c>
      <c r="X287" s="479"/>
      <c r="Y287" s="479"/>
      <c r="Z287" s="479"/>
      <c r="AA287" s="479"/>
      <c r="AB287" s="474"/>
      <c r="AC287" s="474"/>
    </row>
    <row r="288" ht="15.75" customHeight="1">
      <c r="A288" s="359"/>
      <c r="B288" s="365"/>
      <c r="C288" s="483"/>
      <c r="D288" s="378"/>
      <c r="E288" s="371"/>
      <c r="F288" s="422">
        <f t="shared" si="1"/>
        <v>0</v>
      </c>
      <c r="G288" s="364"/>
      <c r="H288" s="424">
        <f t="shared" si="2"/>
        <v>0</v>
      </c>
      <c r="I288" s="425" t="s">
        <v>42</v>
      </c>
      <c r="J288" s="426">
        <f t="shared" si="8"/>
        <v>0</v>
      </c>
      <c r="L288" s="470"/>
      <c r="U288" s="471"/>
      <c r="W288" s="431">
        <f t="shared" si="6"/>
        <v>0</v>
      </c>
      <c r="X288" s="479"/>
      <c r="Y288" s="479"/>
      <c r="Z288" s="479"/>
      <c r="AA288" s="479"/>
      <c r="AB288" s="474"/>
      <c r="AC288" s="474"/>
    </row>
    <row r="289" ht="15.75" customHeight="1">
      <c r="A289" s="359"/>
      <c r="B289" s="365"/>
      <c r="C289" s="485"/>
      <c r="D289" s="381"/>
      <c r="E289" s="371"/>
      <c r="F289" s="422">
        <f t="shared" si="1"/>
        <v>0</v>
      </c>
      <c r="G289" s="364"/>
      <c r="H289" s="424">
        <f t="shared" si="2"/>
        <v>0</v>
      </c>
      <c r="I289" s="425" t="s">
        <v>42</v>
      </c>
      <c r="J289" s="426">
        <f t="shared" si="8"/>
        <v>0</v>
      </c>
      <c r="L289" s="470"/>
      <c r="U289" s="471"/>
      <c r="W289" s="431">
        <f t="shared" si="6"/>
        <v>0</v>
      </c>
      <c r="X289" s="479"/>
      <c r="Y289" s="479"/>
      <c r="Z289" s="479"/>
      <c r="AA289" s="479"/>
      <c r="AB289" s="474"/>
      <c r="AC289" s="474"/>
    </row>
    <row r="290" ht="15.75" customHeight="1">
      <c r="A290" s="359"/>
      <c r="B290" s="365"/>
      <c r="C290" s="485"/>
      <c r="D290" s="381"/>
      <c r="E290" s="371"/>
      <c r="F290" s="422">
        <f t="shared" si="1"/>
        <v>0</v>
      </c>
      <c r="G290" s="364"/>
      <c r="H290" s="424">
        <f t="shared" si="2"/>
        <v>0</v>
      </c>
      <c r="I290" s="425" t="s">
        <v>42</v>
      </c>
      <c r="J290" s="426">
        <f t="shared" si="8"/>
        <v>0</v>
      </c>
      <c r="L290" s="470"/>
      <c r="U290" s="471"/>
      <c r="W290" s="431">
        <f t="shared" si="6"/>
        <v>0</v>
      </c>
      <c r="X290" s="479"/>
      <c r="Y290" s="479"/>
      <c r="Z290" s="479"/>
      <c r="AA290" s="479"/>
      <c r="AB290" s="474"/>
      <c r="AC290" s="474"/>
    </row>
    <row r="291" ht="15.75" customHeight="1">
      <c r="A291" s="359"/>
      <c r="B291" s="365"/>
      <c r="C291" s="485"/>
      <c r="D291" s="268"/>
      <c r="E291" s="371"/>
      <c r="F291" s="422">
        <f t="shared" si="1"/>
        <v>0</v>
      </c>
      <c r="G291" s="364"/>
      <c r="H291" s="424">
        <f t="shared" si="2"/>
        <v>0</v>
      </c>
      <c r="I291" s="425" t="s">
        <v>42</v>
      </c>
      <c r="J291" s="426">
        <f t="shared" si="8"/>
        <v>0</v>
      </c>
      <c r="L291" s="470"/>
      <c r="U291" s="471"/>
      <c r="W291" s="431">
        <f t="shared" si="6"/>
        <v>0</v>
      </c>
      <c r="X291" s="479"/>
      <c r="Y291" s="479"/>
      <c r="Z291" s="479"/>
      <c r="AA291" s="479"/>
      <c r="AB291" s="474"/>
      <c r="AC291" s="474"/>
    </row>
    <row r="292" ht="15.75" customHeight="1">
      <c r="A292" s="359"/>
      <c r="B292" s="365"/>
      <c r="C292" s="267"/>
      <c r="D292" s="378"/>
      <c r="E292" s="371"/>
      <c r="F292" s="422">
        <f t="shared" si="1"/>
        <v>0</v>
      </c>
      <c r="G292" s="364"/>
      <c r="H292" s="424">
        <f t="shared" si="2"/>
        <v>0</v>
      </c>
      <c r="I292" s="425" t="s">
        <v>42</v>
      </c>
      <c r="J292" s="426">
        <f t="shared" si="8"/>
        <v>0</v>
      </c>
      <c r="L292" s="470"/>
      <c r="U292" s="471"/>
      <c r="W292" s="431">
        <f t="shared" si="6"/>
        <v>0</v>
      </c>
      <c r="X292" s="479"/>
      <c r="Y292" s="479"/>
      <c r="Z292" s="479"/>
      <c r="AA292" s="479"/>
      <c r="AB292" s="474"/>
      <c r="AC292" s="474"/>
    </row>
    <row r="293" ht="15.75" customHeight="1">
      <c r="A293" s="359"/>
      <c r="B293" s="365"/>
      <c r="C293" s="267"/>
      <c r="D293" s="378"/>
      <c r="E293" s="371"/>
      <c r="F293" s="422">
        <f t="shared" si="1"/>
        <v>0</v>
      </c>
      <c r="G293" s="364"/>
      <c r="H293" s="424">
        <f t="shared" si="2"/>
        <v>0</v>
      </c>
      <c r="I293" s="425" t="s">
        <v>42</v>
      </c>
      <c r="J293" s="426">
        <f t="shared" si="8"/>
        <v>0</v>
      </c>
      <c r="L293" s="470"/>
      <c r="U293" s="471"/>
      <c r="W293" s="431">
        <f t="shared" si="6"/>
        <v>0</v>
      </c>
      <c r="X293" s="479"/>
      <c r="Y293" s="479"/>
      <c r="Z293" s="479"/>
      <c r="AA293" s="479"/>
      <c r="AB293" s="474"/>
      <c r="AC293" s="474"/>
    </row>
    <row r="294" ht="15.75" customHeight="1">
      <c r="A294" s="359"/>
      <c r="B294" s="365"/>
      <c r="C294" s="267"/>
      <c r="D294" s="378"/>
      <c r="E294" s="371"/>
      <c r="F294" s="422">
        <f t="shared" si="1"/>
        <v>0</v>
      </c>
      <c r="G294" s="364"/>
      <c r="H294" s="424">
        <f t="shared" si="2"/>
        <v>0</v>
      </c>
      <c r="I294" s="425" t="s">
        <v>42</v>
      </c>
      <c r="J294" s="426">
        <f t="shared" si="8"/>
        <v>0</v>
      </c>
      <c r="L294" s="470"/>
      <c r="U294" s="471"/>
      <c r="W294" s="431">
        <f t="shared" si="6"/>
        <v>0</v>
      </c>
      <c r="X294" s="479"/>
      <c r="Y294" s="479"/>
      <c r="Z294" s="479"/>
      <c r="AA294" s="479"/>
      <c r="AB294" s="474"/>
      <c r="AC294" s="474"/>
    </row>
    <row r="295" ht="15.75" customHeight="1">
      <c r="A295" s="359"/>
      <c r="B295" s="365"/>
      <c r="C295" s="267"/>
      <c r="D295" s="378"/>
      <c r="E295" s="371"/>
      <c r="F295" s="422">
        <f t="shared" si="1"/>
        <v>0</v>
      </c>
      <c r="G295" s="364"/>
      <c r="H295" s="424">
        <f t="shared" si="2"/>
        <v>0</v>
      </c>
      <c r="I295" s="425" t="s">
        <v>42</v>
      </c>
      <c r="J295" s="426">
        <f t="shared" si="8"/>
        <v>0</v>
      </c>
      <c r="L295" s="470"/>
      <c r="U295" s="471"/>
      <c r="W295" s="431">
        <f t="shared" si="6"/>
        <v>0</v>
      </c>
      <c r="X295" s="479"/>
      <c r="Y295" s="479"/>
      <c r="Z295" s="479"/>
      <c r="AA295" s="479"/>
      <c r="AB295" s="474"/>
      <c r="AC295" s="474"/>
    </row>
    <row r="296" ht="15.75" customHeight="1">
      <c r="A296" s="359"/>
      <c r="B296" s="365"/>
      <c r="C296" s="267"/>
      <c r="D296" s="378"/>
      <c r="E296" s="371"/>
      <c r="F296" s="422">
        <f t="shared" si="1"/>
        <v>0</v>
      </c>
      <c r="G296" s="364"/>
      <c r="H296" s="424">
        <f t="shared" si="2"/>
        <v>0</v>
      </c>
      <c r="I296" s="425" t="s">
        <v>42</v>
      </c>
      <c r="J296" s="426">
        <f t="shared" si="8"/>
        <v>0</v>
      </c>
      <c r="L296" s="470"/>
      <c r="U296" s="471"/>
      <c r="W296" s="431">
        <f t="shared" si="6"/>
        <v>0</v>
      </c>
      <c r="X296" s="479"/>
      <c r="Y296" s="479"/>
      <c r="Z296" s="479"/>
      <c r="AA296" s="479"/>
      <c r="AB296" s="474"/>
      <c r="AC296" s="474"/>
    </row>
    <row r="297" ht="15.75" customHeight="1">
      <c r="A297" s="359"/>
      <c r="B297" s="365"/>
      <c r="C297" s="267"/>
      <c r="D297" s="378"/>
      <c r="E297" s="371"/>
      <c r="F297" s="422">
        <f t="shared" si="1"/>
        <v>0</v>
      </c>
      <c r="G297" s="364"/>
      <c r="H297" s="424">
        <f t="shared" si="2"/>
        <v>0</v>
      </c>
      <c r="I297" s="425" t="s">
        <v>42</v>
      </c>
      <c r="J297" s="426">
        <f t="shared" si="8"/>
        <v>0</v>
      </c>
      <c r="L297" s="470"/>
      <c r="U297" s="471"/>
      <c r="W297" s="431">
        <f t="shared" si="6"/>
        <v>0</v>
      </c>
      <c r="X297" s="479"/>
      <c r="Y297" s="479"/>
      <c r="Z297" s="479"/>
      <c r="AA297" s="479"/>
      <c r="AB297" s="474"/>
      <c r="AC297" s="474"/>
    </row>
    <row r="298" ht="15.75" customHeight="1">
      <c r="A298" s="359"/>
      <c r="B298" s="365"/>
      <c r="C298" s="267"/>
      <c r="D298" s="378"/>
      <c r="E298" s="371"/>
      <c r="F298" s="422">
        <f t="shared" si="1"/>
        <v>0</v>
      </c>
      <c r="G298" s="364"/>
      <c r="H298" s="424">
        <f t="shared" si="2"/>
        <v>0</v>
      </c>
      <c r="I298" s="425" t="s">
        <v>42</v>
      </c>
      <c r="J298" s="426">
        <f t="shared" si="8"/>
        <v>0</v>
      </c>
      <c r="L298" s="470"/>
      <c r="U298" s="471"/>
      <c r="W298" s="431">
        <f t="shared" si="6"/>
        <v>0</v>
      </c>
      <c r="X298" s="479"/>
      <c r="Y298" s="479"/>
      <c r="Z298" s="479"/>
      <c r="AA298" s="479"/>
      <c r="AB298" s="474"/>
      <c r="AC298" s="474"/>
    </row>
    <row r="299" ht="15.75" customHeight="1">
      <c r="A299" s="359"/>
      <c r="B299" s="365"/>
      <c r="C299" s="487"/>
      <c r="D299" s="378"/>
      <c r="E299" s="371"/>
      <c r="F299" s="422">
        <f t="shared" si="1"/>
        <v>0</v>
      </c>
      <c r="G299" s="364"/>
      <c r="H299" s="424">
        <f t="shared" si="2"/>
        <v>0</v>
      </c>
      <c r="I299" s="425" t="s">
        <v>42</v>
      </c>
      <c r="J299" s="426">
        <f t="shared" si="8"/>
        <v>0</v>
      </c>
      <c r="L299" s="470"/>
      <c r="U299" s="471"/>
      <c r="W299" s="431">
        <f t="shared" si="6"/>
        <v>0</v>
      </c>
      <c r="X299" s="479"/>
      <c r="Y299" s="479"/>
      <c r="Z299" s="479"/>
      <c r="AA299" s="479"/>
      <c r="AB299" s="474"/>
      <c r="AC299" s="474"/>
    </row>
    <row r="300" ht="15.75" customHeight="1">
      <c r="A300" s="359"/>
      <c r="B300" s="365"/>
      <c r="C300" s="267"/>
      <c r="D300" s="268"/>
      <c r="E300" s="371"/>
      <c r="F300" s="422">
        <f t="shared" si="1"/>
        <v>0</v>
      </c>
      <c r="G300" s="364"/>
      <c r="H300" s="424">
        <f t="shared" si="2"/>
        <v>0</v>
      </c>
      <c r="I300" s="425" t="s">
        <v>42</v>
      </c>
      <c r="J300" s="426">
        <f t="shared" si="8"/>
        <v>0</v>
      </c>
      <c r="L300" s="470"/>
      <c r="U300" s="471"/>
      <c r="W300" s="431">
        <f t="shared" si="6"/>
        <v>0</v>
      </c>
      <c r="X300" s="479"/>
      <c r="Y300" s="479"/>
      <c r="Z300" s="479"/>
      <c r="AA300" s="479"/>
      <c r="AB300" s="474"/>
      <c r="AC300" s="474"/>
    </row>
    <row r="301" ht="15.75" customHeight="1">
      <c r="A301" s="359"/>
      <c r="B301" s="365"/>
      <c r="C301" s="267"/>
      <c r="D301" s="382"/>
      <c r="E301" s="371"/>
      <c r="F301" s="422">
        <f t="shared" si="1"/>
        <v>0</v>
      </c>
      <c r="G301" s="364"/>
      <c r="H301" s="424">
        <f t="shared" si="2"/>
        <v>0</v>
      </c>
      <c r="I301" s="425" t="s">
        <v>42</v>
      </c>
      <c r="J301" s="426">
        <f t="shared" si="8"/>
        <v>0</v>
      </c>
      <c r="L301" s="470"/>
      <c r="U301" s="471"/>
      <c r="W301" s="431">
        <f t="shared" si="6"/>
        <v>0</v>
      </c>
      <c r="X301" s="479"/>
      <c r="Y301" s="479"/>
      <c r="Z301" s="479"/>
      <c r="AA301" s="479"/>
      <c r="AB301" s="474"/>
      <c r="AC301" s="474"/>
    </row>
    <row r="302" ht="15.75" customHeight="1">
      <c r="A302" s="359"/>
      <c r="B302" s="365"/>
      <c r="C302" s="488"/>
      <c r="D302" s="384"/>
      <c r="E302" s="385"/>
      <c r="F302" s="422">
        <f t="shared" si="1"/>
        <v>0</v>
      </c>
      <c r="G302" s="364"/>
      <c r="H302" s="424">
        <f t="shared" si="2"/>
        <v>0</v>
      </c>
      <c r="I302" s="425" t="s">
        <v>42</v>
      </c>
      <c r="J302" s="426">
        <f t="shared" si="8"/>
        <v>0</v>
      </c>
      <c r="L302" s="470"/>
      <c r="U302" s="471"/>
      <c r="W302" s="431">
        <f t="shared" si="6"/>
        <v>0</v>
      </c>
      <c r="X302" s="479"/>
      <c r="Y302" s="479"/>
      <c r="Z302" s="479"/>
      <c r="AA302" s="479"/>
      <c r="AB302" s="474"/>
      <c r="AC302" s="474"/>
    </row>
    <row r="303" ht="15.75" customHeight="1">
      <c r="A303" s="359"/>
      <c r="B303" s="365"/>
      <c r="C303" s="484"/>
      <c r="D303" s="377"/>
      <c r="E303" s="386"/>
      <c r="F303" s="422">
        <f t="shared" si="1"/>
        <v>0</v>
      </c>
      <c r="G303" s="364"/>
      <c r="H303" s="424">
        <f t="shared" si="2"/>
        <v>0</v>
      </c>
      <c r="I303" s="425" t="s">
        <v>42</v>
      </c>
      <c r="J303" s="426">
        <f t="shared" si="8"/>
        <v>0</v>
      </c>
      <c r="L303" s="470"/>
      <c r="U303" s="471"/>
      <c r="W303" s="431">
        <f t="shared" si="6"/>
        <v>0</v>
      </c>
      <c r="X303" s="479"/>
      <c r="Y303" s="479"/>
      <c r="Z303" s="479"/>
      <c r="AA303" s="479"/>
      <c r="AB303" s="474"/>
      <c r="AC303" s="474"/>
    </row>
    <row r="304" ht="15.75" customHeight="1">
      <c r="A304" s="359"/>
      <c r="B304" s="365"/>
      <c r="C304" s="484"/>
      <c r="D304" s="377"/>
      <c r="E304" s="386"/>
      <c r="F304" s="422">
        <f t="shared" si="1"/>
        <v>0</v>
      </c>
      <c r="G304" s="364"/>
      <c r="H304" s="424">
        <f t="shared" si="2"/>
        <v>0</v>
      </c>
      <c r="I304" s="425" t="s">
        <v>42</v>
      </c>
      <c r="J304" s="426">
        <f t="shared" si="8"/>
        <v>0</v>
      </c>
      <c r="L304" s="470"/>
      <c r="U304" s="471"/>
      <c r="W304" s="431">
        <f t="shared" si="6"/>
        <v>0</v>
      </c>
      <c r="X304" s="479"/>
      <c r="Y304" s="479"/>
      <c r="Z304" s="479"/>
      <c r="AA304" s="479"/>
      <c r="AB304" s="474"/>
      <c r="AC304" s="474"/>
    </row>
    <row r="305" ht="15.75" customHeight="1">
      <c r="A305" s="359"/>
      <c r="B305" s="365"/>
      <c r="C305" s="484"/>
      <c r="D305" s="377"/>
      <c r="E305" s="386"/>
      <c r="F305" s="422">
        <f t="shared" si="1"/>
        <v>0</v>
      </c>
      <c r="G305" s="364"/>
      <c r="H305" s="424">
        <f t="shared" si="2"/>
        <v>0</v>
      </c>
      <c r="I305" s="425" t="s">
        <v>42</v>
      </c>
      <c r="J305" s="426">
        <f t="shared" si="8"/>
        <v>0</v>
      </c>
      <c r="L305" s="470"/>
      <c r="U305" s="471"/>
      <c r="W305" s="431">
        <f t="shared" si="6"/>
        <v>0</v>
      </c>
      <c r="X305" s="479"/>
      <c r="Y305" s="479"/>
      <c r="Z305" s="479"/>
      <c r="AA305" s="479"/>
      <c r="AB305" s="474"/>
      <c r="AC305" s="474"/>
    </row>
    <row r="306" ht="15.75" customHeight="1">
      <c r="A306" s="359"/>
      <c r="B306" s="365"/>
      <c r="C306" s="484"/>
      <c r="D306" s="377"/>
      <c r="E306" s="386"/>
      <c r="F306" s="422">
        <f t="shared" si="1"/>
        <v>0</v>
      </c>
      <c r="G306" s="364"/>
      <c r="H306" s="424">
        <f t="shared" si="2"/>
        <v>0</v>
      </c>
      <c r="I306" s="425" t="s">
        <v>42</v>
      </c>
      <c r="J306" s="426">
        <f t="shared" si="8"/>
        <v>0</v>
      </c>
      <c r="L306" s="470"/>
      <c r="U306" s="471"/>
      <c r="W306" s="431">
        <f t="shared" si="6"/>
        <v>0</v>
      </c>
      <c r="X306" s="479"/>
      <c r="Y306" s="479"/>
      <c r="Z306" s="479"/>
      <c r="AA306" s="479"/>
      <c r="AB306" s="474"/>
      <c r="AC306" s="474"/>
    </row>
    <row r="307" ht="15.75" customHeight="1">
      <c r="A307" s="359"/>
      <c r="B307" s="365"/>
      <c r="C307" s="484"/>
      <c r="D307" s="377"/>
      <c r="E307" s="386"/>
      <c r="F307" s="422">
        <f t="shared" si="1"/>
        <v>0</v>
      </c>
      <c r="G307" s="364"/>
      <c r="H307" s="424">
        <f t="shared" si="2"/>
        <v>0</v>
      </c>
      <c r="I307" s="425" t="s">
        <v>42</v>
      </c>
      <c r="J307" s="426">
        <f t="shared" si="8"/>
        <v>0</v>
      </c>
      <c r="L307" s="470"/>
      <c r="U307" s="471"/>
      <c r="W307" s="431">
        <f t="shared" si="6"/>
        <v>0</v>
      </c>
      <c r="X307" s="479"/>
      <c r="Y307" s="479"/>
      <c r="Z307" s="479"/>
      <c r="AA307" s="479"/>
      <c r="AB307" s="474"/>
      <c r="AC307" s="474"/>
    </row>
    <row r="308" ht="15.75" customHeight="1">
      <c r="A308" s="359"/>
      <c r="B308" s="365"/>
      <c r="C308" s="484"/>
      <c r="D308" s="377"/>
      <c r="E308" s="386"/>
      <c r="F308" s="422">
        <f t="shared" si="1"/>
        <v>0</v>
      </c>
      <c r="G308" s="364"/>
      <c r="H308" s="424">
        <f t="shared" si="2"/>
        <v>0</v>
      </c>
      <c r="I308" s="425" t="s">
        <v>42</v>
      </c>
      <c r="J308" s="426">
        <f t="shared" si="8"/>
        <v>0</v>
      </c>
      <c r="L308" s="470"/>
      <c r="U308" s="471"/>
      <c r="W308" s="431">
        <f t="shared" si="6"/>
        <v>0</v>
      </c>
      <c r="X308" s="479"/>
      <c r="Y308" s="479"/>
      <c r="Z308" s="479"/>
      <c r="AA308" s="479"/>
      <c r="AB308" s="474"/>
      <c r="AC308" s="474"/>
    </row>
    <row r="309" ht="15.75" customHeight="1">
      <c r="A309" s="359"/>
      <c r="B309" s="365"/>
      <c r="C309" s="484"/>
      <c r="D309" s="377"/>
      <c r="E309" s="368"/>
      <c r="F309" s="422">
        <f t="shared" si="1"/>
        <v>0</v>
      </c>
      <c r="G309" s="364"/>
      <c r="H309" s="424">
        <f t="shared" si="2"/>
        <v>0</v>
      </c>
      <c r="I309" s="425" t="s">
        <v>42</v>
      </c>
      <c r="J309" s="426">
        <f t="shared" si="8"/>
        <v>0</v>
      </c>
      <c r="L309" s="470"/>
      <c r="U309" s="471"/>
      <c r="W309" s="431">
        <f t="shared" si="6"/>
        <v>0</v>
      </c>
      <c r="X309" s="479"/>
      <c r="Y309" s="479"/>
      <c r="Z309" s="479"/>
      <c r="AA309" s="479"/>
      <c r="AB309" s="474"/>
      <c r="AC309" s="474"/>
    </row>
    <row r="310" ht="15.75" customHeight="1">
      <c r="A310" s="359"/>
      <c r="B310" s="365"/>
      <c r="C310" s="267"/>
      <c r="D310" s="378"/>
      <c r="E310" s="387"/>
      <c r="F310" s="422">
        <f t="shared" si="1"/>
        <v>0</v>
      </c>
      <c r="G310" s="364"/>
      <c r="H310" s="424">
        <f t="shared" si="2"/>
        <v>0</v>
      </c>
      <c r="I310" s="425" t="s">
        <v>42</v>
      </c>
      <c r="J310" s="426">
        <f t="shared" si="8"/>
        <v>0</v>
      </c>
      <c r="L310" s="470"/>
      <c r="U310" s="471"/>
      <c r="W310" s="431">
        <f t="shared" si="6"/>
        <v>0</v>
      </c>
      <c r="X310" s="479"/>
      <c r="Y310" s="479"/>
      <c r="Z310" s="479"/>
      <c r="AA310" s="479"/>
      <c r="AB310" s="474"/>
      <c r="AC310" s="474"/>
    </row>
    <row r="311" ht="15.75" customHeight="1">
      <c r="A311" s="265"/>
      <c r="B311" s="266"/>
      <c r="C311" s="267"/>
      <c r="D311" s="268"/>
      <c r="E311" s="269"/>
      <c r="F311" s="422">
        <f t="shared" si="1"/>
        <v>0</v>
      </c>
      <c r="G311" s="388"/>
      <c r="H311" s="424">
        <f t="shared" si="2"/>
        <v>0</v>
      </c>
      <c r="I311" s="425" t="s">
        <v>42</v>
      </c>
      <c r="J311" s="426">
        <f t="shared" si="8"/>
        <v>0</v>
      </c>
      <c r="L311" s="470"/>
      <c r="U311" s="471"/>
      <c r="W311" s="431">
        <f t="shared" si="6"/>
        <v>0</v>
      </c>
      <c r="X311" s="479"/>
      <c r="Y311" s="479"/>
      <c r="Z311" s="479"/>
      <c r="AA311" s="479"/>
      <c r="AB311" s="474"/>
      <c r="AC311" s="474"/>
    </row>
    <row r="312" ht="15.75" customHeight="1">
      <c r="A312" s="265"/>
      <c r="B312" s="266"/>
      <c r="C312" s="267"/>
      <c r="D312" s="268"/>
      <c r="E312" s="269"/>
      <c r="F312" s="422">
        <f t="shared" si="1"/>
        <v>0</v>
      </c>
      <c r="G312" s="388"/>
      <c r="H312" s="424">
        <f t="shared" si="2"/>
        <v>0</v>
      </c>
      <c r="I312" s="425" t="s">
        <v>42</v>
      </c>
      <c r="J312" s="426">
        <f t="shared" si="8"/>
        <v>0</v>
      </c>
      <c r="L312" s="470"/>
      <c r="U312" s="471"/>
      <c r="W312" s="431">
        <f t="shared" si="6"/>
        <v>0</v>
      </c>
      <c r="X312" s="479"/>
      <c r="Y312" s="479"/>
      <c r="Z312" s="479"/>
      <c r="AA312" s="479"/>
      <c r="AB312" s="474"/>
      <c r="AC312" s="474"/>
    </row>
    <row r="313" ht="15.75" customHeight="1">
      <c r="A313" s="265"/>
      <c r="B313" s="266"/>
      <c r="C313" s="267"/>
      <c r="D313" s="268"/>
      <c r="E313" s="269"/>
      <c r="F313" s="422">
        <f t="shared" si="1"/>
        <v>0</v>
      </c>
      <c r="G313" s="388"/>
      <c r="H313" s="424">
        <f t="shared" si="2"/>
        <v>0</v>
      </c>
      <c r="I313" s="425" t="s">
        <v>42</v>
      </c>
      <c r="J313" s="426">
        <f t="shared" si="8"/>
        <v>0</v>
      </c>
      <c r="L313" s="470"/>
      <c r="U313" s="471"/>
      <c r="W313" s="431">
        <f t="shared" si="6"/>
        <v>0</v>
      </c>
      <c r="X313" s="479"/>
      <c r="Y313" s="479"/>
      <c r="Z313" s="479"/>
      <c r="AA313" s="479"/>
      <c r="AB313" s="474"/>
      <c r="AC313" s="474"/>
    </row>
    <row r="314" ht="15.75" customHeight="1">
      <c r="A314" s="265"/>
      <c r="B314" s="266"/>
      <c r="C314" s="267"/>
      <c r="D314" s="268"/>
      <c r="E314" s="269"/>
      <c r="F314" s="422">
        <f t="shared" si="1"/>
        <v>0</v>
      </c>
      <c r="G314" s="388"/>
      <c r="H314" s="424">
        <f t="shared" si="2"/>
        <v>0</v>
      </c>
      <c r="I314" s="425" t="s">
        <v>42</v>
      </c>
      <c r="J314" s="426">
        <f t="shared" si="8"/>
        <v>0</v>
      </c>
      <c r="L314" s="470"/>
      <c r="U314" s="471"/>
      <c r="W314" s="431">
        <f t="shared" si="6"/>
        <v>0</v>
      </c>
      <c r="X314" s="479"/>
      <c r="Y314" s="479"/>
      <c r="Z314" s="479"/>
      <c r="AA314" s="479"/>
      <c r="AB314" s="474"/>
      <c r="AC314" s="474"/>
    </row>
    <row r="315" ht="15.75" customHeight="1">
      <c r="A315" s="265"/>
      <c r="B315" s="266"/>
      <c r="C315" s="267"/>
      <c r="D315" s="268"/>
      <c r="E315" s="269"/>
      <c r="F315" s="422">
        <f t="shared" si="1"/>
        <v>0</v>
      </c>
      <c r="G315" s="388"/>
      <c r="H315" s="272"/>
      <c r="I315" s="276"/>
      <c r="J315" s="426">
        <f t="shared" si="8"/>
        <v>0</v>
      </c>
      <c r="L315" s="470"/>
      <c r="U315" s="471"/>
      <c r="W315" s="431">
        <f t="shared" si="6"/>
        <v>0</v>
      </c>
      <c r="X315" s="479"/>
      <c r="Y315" s="479"/>
      <c r="Z315" s="479"/>
      <c r="AA315" s="479"/>
      <c r="AB315" s="474"/>
      <c r="AC315" s="474"/>
    </row>
    <row r="316" ht="15.75" customHeight="1">
      <c r="A316" s="265"/>
      <c r="B316" s="266"/>
      <c r="C316" s="267"/>
      <c r="D316" s="268"/>
      <c r="E316" s="269"/>
      <c r="F316" s="422">
        <f t="shared" si="1"/>
        <v>0</v>
      </c>
      <c r="G316" s="388"/>
      <c r="H316" s="272"/>
      <c r="I316" s="276"/>
      <c r="J316" s="426">
        <f t="shared" si="8"/>
        <v>0</v>
      </c>
      <c r="L316" s="470"/>
      <c r="U316" s="471"/>
      <c r="W316" s="431">
        <f t="shared" si="6"/>
        <v>0</v>
      </c>
      <c r="X316" s="479"/>
      <c r="Y316" s="479"/>
      <c r="Z316" s="479"/>
      <c r="AA316" s="479"/>
      <c r="AB316" s="474"/>
      <c r="AC316" s="474"/>
    </row>
    <row r="317" ht="15.75" customHeight="1">
      <c r="A317" s="265"/>
      <c r="B317" s="266"/>
      <c r="C317" s="267"/>
      <c r="D317" s="268"/>
      <c r="E317" s="269"/>
      <c r="F317" s="422">
        <f t="shared" si="1"/>
        <v>0</v>
      </c>
      <c r="G317" s="388"/>
      <c r="H317" s="272"/>
      <c r="I317" s="276"/>
      <c r="J317" s="426">
        <f t="shared" si="8"/>
        <v>0</v>
      </c>
      <c r="L317" s="470"/>
      <c r="U317" s="471"/>
      <c r="W317" s="431">
        <f t="shared" si="6"/>
        <v>0</v>
      </c>
      <c r="X317" s="479"/>
      <c r="Y317" s="479"/>
      <c r="Z317" s="479"/>
      <c r="AA317" s="479"/>
      <c r="AB317" s="474"/>
      <c r="AC317" s="474"/>
    </row>
    <row r="318" ht="15.75" customHeight="1">
      <c r="A318" s="265"/>
      <c r="B318" s="266"/>
      <c r="C318" s="267"/>
      <c r="D318" s="268"/>
      <c r="E318" s="269"/>
      <c r="F318" s="422">
        <f t="shared" si="1"/>
        <v>0</v>
      </c>
      <c r="G318" s="388"/>
      <c r="H318" s="272"/>
      <c r="I318" s="276"/>
      <c r="J318" s="426">
        <f t="shared" si="8"/>
        <v>0</v>
      </c>
      <c r="L318" s="470"/>
      <c r="U318" s="471"/>
      <c r="W318" s="431">
        <f t="shared" si="6"/>
        <v>0</v>
      </c>
      <c r="X318" s="479"/>
      <c r="Y318" s="479"/>
      <c r="Z318" s="479"/>
      <c r="AA318" s="479"/>
      <c r="AB318" s="474"/>
      <c r="AC318" s="474"/>
    </row>
    <row r="319" ht="15.75" customHeight="1">
      <c r="A319" s="265"/>
      <c r="B319" s="266"/>
      <c r="C319" s="267"/>
      <c r="D319" s="268"/>
      <c r="E319" s="269"/>
      <c r="F319" s="422">
        <f t="shared" si="1"/>
        <v>0</v>
      </c>
      <c r="G319" s="388"/>
      <c r="H319" s="272"/>
      <c r="I319" s="276"/>
      <c r="J319" s="426">
        <f t="shared" si="8"/>
        <v>0</v>
      </c>
      <c r="L319" s="470"/>
      <c r="U319" s="471"/>
      <c r="W319" s="431">
        <f t="shared" si="6"/>
        <v>0</v>
      </c>
      <c r="X319" s="479"/>
      <c r="Y319" s="479"/>
      <c r="Z319" s="479"/>
      <c r="AA319" s="479"/>
      <c r="AB319" s="474"/>
      <c r="AC319" s="474"/>
    </row>
    <row r="320" ht="15.75" customHeight="1">
      <c r="A320" s="265"/>
      <c r="B320" s="266"/>
      <c r="C320" s="267"/>
      <c r="D320" s="268"/>
      <c r="E320" s="269"/>
      <c r="F320" s="422">
        <f t="shared" si="1"/>
        <v>0</v>
      </c>
      <c r="G320" s="388"/>
      <c r="H320" s="272"/>
      <c r="I320" s="276"/>
      <c r="J320" s="426">
        <f t="shared" si="8"/>
        <v>0</v>
      </c>
      <c r="L320" s="470"/>
      <c r="U320" s="471"/>
      <c r="W320" s="431">
        <f t="shared" si="6"/>
        <v>0</v>
      </c>
      <c r="X320" s="479"/>
      <c r="Y320" s="479"/>
      <c r="Z320" s="479"/>
      <c r="AA320" s="479"/>
      <c r="AB320" s="474"/>
      <c r="AC320" s="474"/>
    </row>
    <row r="321" ht="15.75" customHeight="1">
      <c r="A321" s="265"/>
      <c r="B321" s="266"/>
      <c r="C321" s="267"/>
      <c r="D321" s="268"/>
      <c r="E321" s="269"/>
      <c r="F321" s="422">
        <f t="shared" si="1"/>
        <v>0</v>
      </c>
      <c r="G321" s="388"/>
      <c r="H321" s="272"/>
      <c r="I321" s="276"/>
      <c r="J321" s="426">
        <f t="shared" si="8"/>
        <v>0</v>
      </c>
      <c r="L321" s="470"/>
      <c r="U321" s="471"/>
      <c r="W321" s="431">
        <f t="shared" si="6"/>
        <v>0</v>
      </c>
      <c r="X321" s="479"/>
      <c r="Y321" s="479"/>
      <c r="Z321" s="479"/>
      <c r="AA321" s="479"/>
      <c r="AB321" s="474"/>
      <c r="AC321" s="474"/>
    </row>
    <row r="322" ht="15.75" customHeight="1">
      <c r="A322" s="265"/>
      <c r="B322" s="266"/>
      <c r="C322" s="267"/>
      <c r="D322" s="268"/>
      <c r="E322" s="269"/>
      <c r="F322" s="422">
        <f t="shared" si="1"/>
        <v>0</v>
      </c>
      <c r="G322" s="388"/>
      <c r="H322" s="272"/>
      <c r="I322" s="276"/>
      <c r="J322" s="426">
        <f t="shared" si="8"/>
        <v>0</v>
      </c>
      <c r="L322" s="470"/>
      <c r="U322" s="471"/>
      <c r="W322" s="431">
        <f t="shared" si="6"/>
        <v>0</v>
      </c>
      <c r="X322" s="479"/>
      <c r="Y322" s="479"/>
      <c r="Z322" s="479"/>
      <c r="AA322" s="479"/>
      <c r="AB322" s="474"/>
      <c r="AC322" s="474"/>
    </row>
    <row r="323" ht="15.75" customHeight="1">
      <c r="A323" s="265"/>
      <c r="B323" s="266"/>
      <c r="C323" s="267"/>
      <c r="D323" s="268"/>
      <c r="E323" s="269"/>
      <c r="F323" s="422">
        <f t="shared" si="1"/>
        <v>0</v>
      </c>
      <c r="G323" s="388"/>
      <c r="H323" s="272"/>
      <c r="I323" s="276"/>
      <c r="J323" s="426">
        <f t="shared" si="8"/>
        <v>0</v>
      </c>
      <c r="L323" s="470"/>
      <c r="U323" s="471"/>
      <c r="W323" s="431">
        <f t="shared" si="6"/>
        <v>0</v>
      </c>
      <c r="X323" s="479"/>
      <c r="Y323" s="479"/>
      <c r="Z323" s="479"/>
      <c r="AA323" s="479"/>
      <c r="AB323" s="474"/>
      <c r="AC323" s="474"/>
    </row>
    <row r="324" ht="15.75" customHeight="1">
      <c r="A324" s="265"/>
      <c r="B324" s="266"/>
      <c r="C324" s="267"/>
      <c r="D324" s="268"/>
      <c r="E324" s="269"/>
      <c r="F324" s="422">
        <f t="shared" si="1"/>
        <v>0</v>
      </c>
      <c r="G324" s="388"/>
      <c r="H324" s="272"/>
      <c r="I324" s="276"/>
      <c r="J324" s="426">
        <f t="shared" si="8"/>
        <v>0</v>
      </c>
      <c r="L324" s="470"/>
      <c r="U324" s="471"/>
      <c r="W324" s="431">
        <f t="shared" si="6"/>
        <v>0</v>
      </c>
      <c r="X324" s="479"/>
      <c r="Y324" s="479"/>
      <c r="Z324" s="479"/>
      <c r="AA324" s="479"/>
      <c r="AB324" s="474"/>
      <c r="AC324" s="474"/>
    </row>
    <row r="325" ht="15.75" customHeight="1">
      <c r="A325" s="265"/>
      <c r="B325" s="266"/>
      <c r="C325" s="267"/>
      <c r="D325" s="268"/>
      <c r="E325" s="269"/>
      <c r="F325" s="422">
        <f t="shared" si="1"/>
        <v>0</v>
      </c>
      <c r="G325" s="388"/>
      <c r="H325" s="272"/>
      <c r="I325" s="276"/>
      <c r="J325" s="426">
        <f t="shared" si="8"/>
        <v>0</v>
      </c>
      <c r="L325" s="470"/>
      <c r="U325" s="471"/>
      <c r="W325" s="431">
        <f t="shared" si="6"/>
        <v>0</v>
      </c>
      <c r="X325" s="479"/>
      <c r="Y325" s="479"/>
      <c r="Z325" s="479"/>
      <c r="AA325" s="479"/>
      <c r="AB325" s="474"/>
      <c r="AC325" s="474"/>
    </row>
    <row r="326" ht="15.75" customHeight="1">
      <c r="A326" s="265"/>
      <c r="B326" s="266"/>
      <c r="C326" s="267"/>
      <c r="D326" s="268"/>
      <c r="E326" s="269"/>
      <c r="F326" s="422">
        <f t="shared" si="1"/>
        <v>0</v>
      </c>
      <c r="G326" s="388"/>
      <c r="H326" s="272"/>
      <c r="I326" s="276"/>
      <c r="J326" s="426">
        <f t="shared" si="8"/>
        <v>0</v>
      </c>
      <c r="L326" s="470"/>
      <c r="U326" s="471"/>
      <c r="W326" s="431">
        <f t="shared" si="6"/>
        <v>0</v>
      </c>
      <c r="X326" s="479"/>
      <c r="Y326" s="479"/>
      <c r="Z326" s="479"/>
      <c r="AA326" s="479"/>
      <c r="AB326" s="474"/>
      <c r="AC326" s="474"/>
    </row>
    <row r="327" ht="15.75" customHeight="1">
      <c r="A327" s="265"/>
      <c r="B327" s="266"/>
      <c r="C327" s="267"/>
      <c r="D327" s="268"/>
      <c r="E327" s="269"/>
      <c r="F327" s="422">
        <f t="shared" si="1"/>
        <v>0</v>
      </c>
      <c r="G327" s="388"/>
      <c r="H327" s="272"/>
      <c r="I327" s="276"/>
      <c r="J327" s="426">
        <f t="shared" si="8"/>
        <v>0</v>
      </c>
      <c r="L327" s="470"/>
      <c r="U327" s="471"/>
      <c r="W327" s="431">
        <f t="shared" si="6"/>
        <v>0</v>
      </c>
      <c r="X327" s="479"/>
      <c r="Y327" s="479"/>
      <c r="Z327" s="479"/>
      <c r="AA327" s="479"/>
      <c r="AB327" s="474"/>
      <c r="AC327" s="474"/>
    </row>
    <row r="328" ht="15.75" customHeight="1">
      <c r="A328" s="265"/>
      <c r="B328" s="266"/>
      <c r="C328" s="267"/>
      <c r="D328" s="268"/>
      <c r="E328" s="269"/>
      <c r="F328" s="422">
        <f t="shared" si="1"/>
        <v>0</v>
      </c>
      <c r="G328" s="388"/>
      <c r="H328" s="272"/>
      <c r="I328" s="276"/>
      <c r="J328" s="426">
        <f t="shared" si="8"/>
        <v>0</v>
      </c>
      <c r="L328" s="470"/>
      <c r="U328" s="471"/>
      <c r="W328" s="431">
        <f t="shared" si="6"/>
        <v>0</v>
      </c>
      <c r="X328" s="479"/>
      <c r="Y328" s="479"/>
      <c r="Z328" s="479"/>
      <c r="AA328" s="479"/>
      <c r="AB328" s="474"/>
      <c r="AC328" s="474"/>
    </row>
    <row r="329" ht="15.75" customHeight="1">
      <c r="A329" s="265"/>
      <c r="B329" s="266"/>
      <c r="C329" s="267"/>
      <c r="D329" s="268"/>
      <c r="E329" s="269"/>
      <c r="F329" s="422">
        <f t="shared" si="1"/>
        <v>0</v>
      </c>
      <c r="G329" s="388"/>
      <c r="H329" s="272"/>
      <c r="I329" s="276"/>
      <c r="J329" s="426">
        <f t="shared" si="8"/>
        <v>0</v>
      </c>
      <c r="L329" s="470"/>
      <c r="U329" s="471"/>
      <c r="W329" s="431">
        <f t="shared" si="6"/>
        <v>0</v>
      </c>
      <c r="X329" s="479"/>
      <c r="Y329" s="479"/>
      <c r="Z329" s="479"/>
      <c r="AA329" s="479"/>
      <c r="AB329" s="474"/>
      <c r="AC329" s="474"/>
    </row>
    <row r="330" ht="15.75" customHeight="1">
      <c r="A330" s="265"/>
      <c r="B330" s="266"/>
      <c r="C330" s="267"/>
      <c r="D330" s="268"/>
      <c r="E330" s="269"/>
      <c r="F330" s="422">
        <f t="shared" si="1"/>
        <v>0</v>
      </c>
      <c r="G330" s="388"/>
      <c r="H330" s="272"/>
      <c r="I330" s="276"/>
      <c r="J330" s="426">
        <f t="shared" si="8"/>
        <v>0</v>
      </c>
      <c r="L330" s="470"/>
      <c r="U330" s="471"/>
      <c r="W330" s="431">
        <f t="shared" si="6"/>
        <v>0</v>
      </c>
      <c r="X330" s="479"/>
      <c r="Y330" s="479"/>
      <c r="Z330" s="479"/>
      <c r="AA330" s="479"/>
      <c r="AB330" s="474"/>
      <c r="AC330" s="474"/>
    </row>
    <row r="331" ht="15.75" customHeight="1">
      <c r="A331" s="265"/>
      <c r="B331" s="266"/>
      <c r="C331" s="267"/>
      <c r="D331" s="268"/>
      <c r="E331" s="269"/>
      <c r="F331" s="422">
        <f t="shared" si="1"/>
        <v>0</v>
      </c>
      <c r="G331" s="388"/>
      <c r="H331" s="272"/>
      <c r="I331" s="276"/>
      <c r="J331" s="426">
        <f t="shared" si="8"/>
        <v>0</v>
      </c>
      <c r="L331" s="470"/>
      <c r="U331" s="471"/>
      <c r="W331" s="431">
        <f t="shared" si="6"/>
        <v>0</v>
      </c>
      <c r="X331" s="479"/>
      <c r="Y331" s="479"/>
      <c r="Z331" s="479"/>
      <c r="AA331" s="479"/>
      <c r="AB331" s="474"/>
      <c r="AC331" s="474"/>
    </row>
    <row r="332" ht="15.75" customHeight="1">
      <c r="A332" s="265"/>
      <c r="B332" s="266"/>
      <c r="C332" s="267"/>
      <c r="D332" s="268"/>
      <c r="E332" s="269"/>
      <c r="F332" s="422">
        <f t="shared" si="1"/>
        <v>0</v>
      </c>
      <c r="G332" s="388"/>
      <c r="H332" s="272"/>
      <c r="I332" s="276"/>
      <c r="J332" s="426">
        <f t="shared" si="8"/>
        <v>0</v>
      </c>
      <c r="L332" s="470"/>
      <c r="U332" s="471"/>
      <c r="W332" s="431">
        <f t="shared" si="6"/>
        <v>0</v>
      </c>
      <c r="X332" s="479"/>
      <c r="Y332" s="479"/>
      <c r="Z332" s="479"/>
      <c r="AA332" s="479"/>
      <c r="AB332" s="474"/>
      <c r="AC332" s="474"/>
    </row>
    <row r="333" ht="15.75" customHeight="1">
      <c r="A333" s="265"/>
      <c r="B333" s="266"/>
      <c r="C333" s="267"/>
      <c r="D333" s="268"/>
      <c r="E333" s="269"/>
      <c r="F333" s="422">
        <f t="shared" si="1"/>
        <v>0</v>
      </c>
      <c r="G333" s="388"/>
      <c r="H333" s="272"/>
      <c r="I333" s="276"/>
      <c r="J333" s="426">
        <f t="shared" si="8"/>
        <v>0</v>
      </c>
      <c r="L333" s="470"/>
      <c r="U333" s="471"/>
      <c r="W333" s="431">
        <f t="shared" si="6"/>
        <v>0</v>
      </c>
      <c r="X333" s="479"/>
      <c r="Y333" s="479"/>
      <c r="Z333" s="479"/>
      <c r="AA333" s="479"/>
      <c r="AB333" s="474"/>
      <c r="AC333" s="474"/>
    </row>
    <row r="334" ht="15.75" customHeight="1">
      <c r="A334" s="265"/>
      <c r="B334" s="266"/>
      <c r="C334" s="267"/>
      <c r="D334" s="268"/>
      <c r="E334" s="269"/>
      <c r="F334" s="422">
        <f t="shared" si="1"/>
        <v>0</v>
      </c>
      <c r="G334" s="388"/>
      <c r="H334" s="272"/>
      <c r="I334" s="276"/>
      <c r="J334" s="426">
        <f t="shared" si="8"/>
        <v>0</v>
      </c>
      <c r="L334" s="470"/>
      <c r="U334" s="471"/>
      <c r="W334" s="431">
        <f t="shared" si="6"/>
        <v>0</v>
      </c>
      <c r="X334" s="479"/>
      <c r="Y334" s="479"/>
      <c r="Z334" s="479"/>
      <c r="AA334" s="479"/>
      <c r="AB334" s="474"/>
      <c r="AC334" s="474"/>
    </row>
    <row r="335" ht="15.75" customHeight="1">
      <c r="A335" s="265"/>
      <c r="B335" s="266"/>
      <c r="C335" s="267"/>
      <c r="D335" s="268"/>
      <c r="E335" s="269"/>
      <c r="F335" s="422">
        <f t="shared" si="1"/>
        <v>0</v>
      </c>
      <c r="G335" s="388"/>
      <c r="H335" s="272"/>
      <c r="I335" s="276"/>
      <c r="J335" s="426">
        <f t="shared" si="8"/>
        <v>0</v>
      </c>
      <c r="L335" s="470"/>
      <c r="U335" s="471"/>
      <c r="W335" s="431">
        <f t="shared" si="6"/>
        <v>0</v>
      </c>
      <c r="X335" s="479"/>
      <c r="Y335" s="479"/>
      <c r="Z335" s="479"/>
      <c r="AA335" s="479"/>
      <c r="AB335" s="474"/>
      <c r="AC335" s="474"/>
    </row>
    <row r="336" ht="15.75" customHeight="1">
      <c r="A336" s="265"/>
      <c r="B336" s="266"/>
      <c r="C336" s="267"/>
      <c r="D336" s="268"/>
      <c r="E336" s="269"/>
      <c r="F336" s="422">
        <f t="shared" si="1"/>
        <v>0</v>
      </c>
      <c r="G336" s="388"/>
      <c r="H336" s="272"/>
      <c r="I336" s="276"/>
      <c r="J336" s="426">
        <f t="shared" si="8"/>
        <v>0</v>
      </c>
      <c r="L336" s="470"/>
      <c r="U336" s="471"/>
      <c r="W336" s="431">
        <f t="shared" si="6"/>
        <v>0</v>
      </c>
      <c r="X336" s="479"/>
      <c r="Y336" s="479"/>
      <c r="Z336" s="479"/>
      <c r="AA336" s="479"/>
      <c r="AB336" s="474"/>
      <c r="AC336" s="474"/>
    </row>
    <row r="337" ht="15.75" customHeight="1">
      <c r="A337" s="265"/>
      <c r="B337" s="266"/>
      <c r="C337" s="267"/>
      <c r="D337" s="268"/>
      <c r="E337" s="269"/>
      <c r="F337" s="422">
        <f t="shared" si="1"/>
        <v>0</v>
      </c>
      <c r="G337" s="388"/>
      <c r="H337" s="272"/>
      <c r="I337" s="276"/>
      <c r="J337" s="426">
        <f t="shared" si="8"/>
        <v>0</v>
      </c>
      <c r="L337" s="470"/>
      <c r="U337" s="471"/>
      <c r="W337" s="431">
        <f t="shared" si="6"/>
        <v>0</v>
      </c>
      <c r="X337" s="479"/>
      <c r="Y337" s="479"/>
      <c r="Z337" s="479"/>
      <c r="AA337" s="479"/>
      <c r="AB337" s="474"/>
      <c r="AC337" s="474"/>
    </row>
    <row r="338" ht="15.75" customHeight="1">
      <c r="A338" s="265"/>
      <c r="B338" s="266"/>
      <c r="C338" s="267"/>
      <c r="D338" s="268"/>
      <c r="E338" s="269"/>
      <c r="F338" s="422">
        <f t="shared" si="1"/>
        <v>0</v>
      </c>
      <c r="G338" s="388"/>
      <c r="H338" s="272"/>
      <c r="I338" s="276"/>
      <c r="J338" s="426">
        <f t="shared" si="8"/>
        <v>0</v>
      </c>
      <c r="L338" s="470"/>
      <c r="U338" s="471"/>
      <c r="W338" s="431">
        <f t="shared" si="6"/>
        <v>0</v>
      </c>
      <c r="X338" s="479"/>
      <c r="Y338" s="479"/>
      <c r="Z338" s="479"/>
      <c r="AA338" s="479"/>
      <c r="AB338" s="474"/>
      <c r="AC338" s="474"/>
    </row>
    <row r="339" ht="15.75" customHeight="1">
      <c r="A339" s="265"/>
      <c r="B339" s="266"/>
      <c r="C339" s="267"/>
      <c r="D339" s="268"/>
      <c r="E339" s="269"/>
      <c r="F339" s="422">
        <f t="shared" si="1"/>
        <v>0</v>
      </c>
      <c r="G339" s="388"/>
      <c r="H339" s="272"/>
      <c r="I339" s="276"/>
      <c r="J339" s="426">
        <f t="shared" si="8"/>
        <v>0</v>
      </c>
      <c r="L339" s="470"/>
      <c r="U339" s="471"/>
      <c r="W339" s="431">
        <f t="shared" si="6"/>
        <v>0</v>
      </c>
      <c r="X339" s="479"/>
      <c r="Y339" s="479"/>
      <c r="Z339" s="479"/>
      <c r="AA339" s="479"/>
      <c r="AB339" s="474"/>
      <c r="AC339" s="474"/>
    </row>
    <row r="340" ht="15.75" customHeight="1">
      <c r="A340" s="265"/>
      <c r="B340" s="266"/>
      <c r="C340" s="267"/>
      <c r="D340" s="268"/>
      <c r="E340" s="269"/>
      <c r="F340" s="422">
        <f t="shared" si="1"/>
        <v>0</v>
      </c>
      <c r="G340" s="388"/>
      <c r="H340" s="272"/>
      <c r="I340" s="276"/>
      <c r="J340" s="426">
        <f t="shared" si="8"/>
        <v>0</v>
      </c>
      <c r="L340" s="470"/>
      <c r="U340" s="471"/>
      <c r="W340" s="431">
        <f t="shared" si="6"/>
        <v>0</v>
      </c>
      <c r="X340" s="479"/>
      <c r="Y340" s="479"/>
      <c r="Z340" s="479"/>
      <c r="AA340" s="479"/>
      <c r="AB340" s="474"/>
      <c r="AC340" s="474"/>
    </row>
    <row r="341" ht="15.75" customHeight="1">
      <c r="A341" s="265"/>
      <c r="B341" s="266"/>
      <c r="C341" s="267"/>
      <c r="D341" s="268"/>
      <c r="E341" s="269"/>
      <c r="F341" s="422">
        <f t="shared" si="1"/>
        <v>0</v>
      </c>
      <c r="G341" s="388"/>
      <c r="H341" s="272"/>
      <c r="I341" s="276"/>
      <c r="J341" s="426">
        <f t="shared" si="8"/>
        <v>0</v>
      </c>
      <c r="L341" s="470"/>
      <c r="U341" s="471"/>
      <c r="W341" s="431">
        <f t="shared" si="6"/>
        <v>0</v>
      </c>
      <c r="X341" s="479"/>
      <c r="Y341" s="479"/>
      <c r="Z341" s="479"/>
      <c r="AA341" s="479"/>
      <c r="AB341" s="474"/>
      <c r="AC341" s="474"/>
    </row>
    <row r="342" ht="15.75" customHeight="1">
      <c r="A342" s="265"/>
      <c r="B342" s="266"/>
      <c r="C342" s="267"/>
      <c r="D342" s="268"/>
      <c r="E342" s="269"/>
      <c r="F342" s="422">
        <f t="shared" si="1"/>
        <v>0</v>
      </c>
      <c r="G342" s="388"/>
      <c r="H342" s="272"/>
      <c r="I342" s="276"/>
      <c r="J342" s="426">
        <f t="shared" si="8"/>
        <v>0</v>
      </c>
      <c r="L342" s="470"/>
      <c r="U342" s="471"/>
      <c r="W342" s="431">
        <f t="shared" si="6"/>
        <v>0</v>
      </c>
      <c r="X342" s="479"/>
      <c r="Y342" s="479"/>
      <c r="Z342" s="479"/>
      <c r="AA342" s="479"/>
      <c r="AB342" s="474"/>
      <c r="AC342" s="474"/>
    </row>
    <row r="343" ht="15.75" customHeight="1">
      <c r="A343" s="265"/>
      <c r="B343" s="266"/>
      <c r="C343" s="267"/>
      <c r="D343" s="268"/>
      <c r="E343" s="269"/>
      <c r="F343" s="422">
        <f t="shared" si="1"/>
        <v>0</v>
      </c>
      <c r="G343" s="388"/>
      <c r="H343" s="272"/>
      <c r="I343" s="276"/>
      <c r="J343" s="426">
        <f t="shared" si="8"/>
        <v>0</v>
      </c>
      <c r="L343" s="470"/>
      <c r="U343" s="471"/>
      <c r="W343" s="431">
        <f t="shared" si="6"/>
        <v>0</v>
      </c>
      <c r="X343" s="479"/>
      <c r="Y343" s="479"/>
      <c r="Z343" s="479"/>
      <c r="AA343" s="479"/>
      <c r="AB343" s="474"/>
      <c r="AC343" s="474"/>
    </row>
    <row r="344" ht="15.75" customHeight="1">
      <c r="A344" s="265"/>
      <c r="B344" s="266"/>
      <c r="C344" s="267"/>
      <c r="D344" s="268"/>
      <c r="E344" s="269"/>
      <c r="F344" s="422">
        <f t="shared" si="1"/>
        <v>0</v>
      </c>
      <c r="G344" s="388"/>
      <c r="H344" s="272"/>
      <c r="I344" s="276"/>
      <c r="J344" s="426">
        <f t="shared" si="8"/>
        <v>0</v>
      </c>
      <c r="L344" s="470"/>
      <c r="U344" s="471"/>
      <c r="W344" s="431">
        <f t="shared" si="6"/>
        <v>0</v>
      </c>
      <c r="X344" s="479"/>
      <c r="Y344" s="479"/>
      <c r="Z344" s="479"/>
      <c r="AA344" s="479"/>
      <c r="AB344" s="474"/>
      <c r="AC344" s="474"/>
    </row>
    <row r="345" ht="15.75" customHeight="1">
      <c r="A345" s="265"/>
      <c r="B345" s="266"/>
      <c r="C345" s="267"/>
      <c r="D345" s="268"/>
      <c r="E345" s="269"/>
      <c r="F345" s="422">
        <f t="shared" si="1"/>
        <v>0</v>
      </c>
      <c r="G345" s="388"/>
      <c r="H345" s="272"/>
      <c r="I345" s="276"/>
      <c r="J345" s="426">
        <f t="shared" si="8"/>
        <v>0</v>
      </c>
      <c r="L345" s="470"/>
      <c r="U345" s="471"/>
      <c r="W345" s="431">
        <f t="shared" si="6"/>
        <v>0</v>
      </c>
      <c r="X345" s="479"/>
      <c r="Y345" s="479"/>
      <c r="Z345" s="479"/>
      <c r="AA345" s="479"/>
      <c r="AB345" s="474"/>
      <c r="AC345" s="474"/>
    </row>
    <row r="346" ht="15.75" customHeight="1">
      <c r="A346" s="265"/>
      <c r="B346" s="266"/>
      <c r="C346" s="267"/>
      <c r="D346" s="268"/>
      <c r="E346" s="269"/>
      <c r="F346" s="422">
        <f t="shared" si="1"/>
        <v>0</v>
      </c>
      <c r="G346" s="388"/>
      <c r="H346" s="272"/>
      <c r="I346" s="276"/>
      <c r="J346" s="426">
        <f t="shared" si="8"/>
        <v>0</v>
      </c>
      <c r="L346" s="470"/>
      <c r="U346" s="471"/>
      <c r="W346" s="431">
        <f t="shared" si="6"/>
        <v>0</v>
      </c>
      <c r="X346" s="479"/>
      <c r="Y346" s="479"/>
      <c r="Z346" s="479"/>
      <c r="AA346" s="479"/>
      <c r="AB346" s="474"/>
      <c r="AC346" s="474"/>
    </row>
    <row r="347" ht="15.75" customHeight="1">
      <c r="A347" s="265"/>
      <c r="B347" s="266"/>
      <c r="C347" s="267"/>
      <c r="D347" s="268"/>
      <c r="E347" s="269"/>
      <c r="F347" s="422">
        <f t="shared" si="1"/>
        <v>0</v>
      </c>
      <c r="G347" s="388"/>
      <c r="H347" s="272"/>
      <c r="I347" s="276"/>
      <c r="J347" s="426">
        <f t="shared" si="8"/>
        <v>0</v>
      </c>
      <c r="L347" s="470"/>
      <c r="U347" s="471"/>
      <c r="W347" s="431">
        <f t="shared" si="6"/>
        <v>0</v>
      </c>
      <c r="X347" s="479"/>
      <c r="Y347" s="479"/>
      <c r="Z347" s="479"/>
      <c r="AA347" s="479"/>
      <c r="AB347" s="474"/>
      <c r="AC347" s="474"/>
    </row>
    <row r="348" ht="15.75" customHeight="1">
      <c r="A348" s="265"/>
      <c r="B348" s="266"/>
      <c r="C348" s="267"/>
      <c r="D348" s="268"/>
      <c r="E348" s="269"/>
      <c r="F348" s="422">
        <f t="shared" si="1"/>
        <v>0</v>
      </c>
      <c r="G348" s="388"/>
      <c r="H348" s="272"/>
      <c r="I348" s="276"/>
      <c r="J348" s="426">
        <f t="shared" si="8"/>
        <v>0</v>
      </c>
      <c r="L348" s="470"/>
      <c r="U348" s="471"/>
      <c r="W348" s="431">
        <f t="shared" si="6"/>
        <v>0</v>
      </c>
      <c r="X348" s="479"/>
      <c r="Y348" s="479"/>
      <c r="Z348" s="479"/>
      <c r="AA348" s="479"/>
      <c r="AB348" s="474"/>
      <c r="AC348" s="474"/>
    </row>
    <row r="349" ht="15.75" customHeight="1">
      <c r="A349" s="265"/>
      <c r="B349" s="266"/>
      <c r="C349" s="267"/>
      <c r="D349" s="268"/>
      <c r="E349" s="269"/>
      <c r="F349" s="422">
        <f t="shared" si="1"/>
        <v>0</v>
      </c>
      <c r="G349" s="388"/>
      <c r="H349" s="272"/>
      <c r="I349" s="276"/>
      <c r="J349" s="426">
        <f t="shared" si="8"/>
        <v>0</v>
      </c>
      <c r="L349" s="470"/>
      <c r="U349" s="471"/>
      <c r="W349" s="431">
        <f t="shared" si="6"/>
        <v>0</v>
      </c>
      <c r="X349" s="479"/>
      <c r="Y349" s="479"/>
      <c r="Z349" s="479"/>
      <c r="AA349" s="479"/>
      <c r="AB349" s="474"/>
      <c r="AC349" s="474"/>
    </row>
    <row r="350" ht="15.75" customHeight="1">
      <c r="A350" s="265"/>
      <c r="B350" s="266"/>
      <c r="C350" s="267"/>
      <c r="D350" s="268"/>
      <c r="E350" s="269"/>
      <c r="F350" s="422">
        <f t="shared" si="1"/>
        <v>0</v>
      </c>
      <c r="G350" s="388"/>
      <c r="H350" s="272"/>
      <c r="I350" s="276"/>
      <c r="J350" s="426">
        <f t="shared" si="8"/>
        <v>0</v>
      </c>
      <c r="L350" s="470"/>
      <c r="U350" s="471"/>
      <c r="W350" s="431">
        <f t="shared" si="6"/>
        <v>0</v>
      </c>
      <c r="X350" s="479"/>
      <c r="Y350" s="479"/>
      <c r="Z350" s="479"/>
      <c r="AA350" s="479"/>
      <c r="AB350" s="474"/>
      <c r="AC350" s="474"/>
    </row>
    <row r="351" ht="15.75" customHeight="1">
      <c r="A351" s="265"/>
      <c r="B351" s="266"/>
      <c r="C351" s="267"/>
      <c r="D351" s="268"/>
      <c r="E351" s="269"/>
      <c r="F351" s="422">
        <f t="shared" si="1"/>
        <v>0</v>
      </c>
      <c r="G351" s="388"/>
      <c r="H351" s="272"/>
      <c r="I351" s="276"/>
      <c r="J351" s="426">
        <f t="shared" si="8"/>
        <v>0</v>
      </c>
      <c r="L351" s="470"/>
      <c r="U351" s="471"/>
      <c r="W351" s="431">
        <f t="shared" si="6"/>
        <v>0</v>
      </c>
      <c r="X351" s="479"/>
      <c r="Y351" s="479"/>
      <c r="Z351" s="479"/>
      <c r="AA351" s="479"/>
      <c r="AB351" s="474"/>
      <c r="AC351" s="474"/>
    </row>
    <row r="352" ht="15.75" customHeight="1">
      <c r="A352" s="265"/>
      <c r="B352" s="266"/>
      <c r="C352" s="267"/>
      <c r="D352" s="268"/>
      <c r="E352" s="269"/>
      <c r="F352" s="422">
        <f t="shared" si="1"/>
        <v>0</v>
      </c>
      <c r="G352" s="388"/>
      <c r="H352" s="272"/>
      <c r="I352" s="276"/>
      <c r="J352" s="426">
        <f t="shared" si="8"/>
        <v>0</v>
      </c>
      <c r="L352" s="470"/>
      <c r="U352" s="471"/>
      <c r="W352" s="431">
        <f t="shared" si="6"/>
        <v>0</v>
      </c>
      <c r="X352" s="479"/>
      <c r="Y352" s="479"/>
      <c r="Z352" s="479"/>
      <c r="AA352" s="479"/>
      <c r="AB352" s="474"/>
      <c r="AC352" s="474"/>
    </row>
    <row r="353" ht="15.75" customHeight="1">
      <c r="A353" s="265"/>
      <c r="B353" s="266"/>
      <c r="C353" s="267"/>
      <c r="D353" s="268"/>
      <c r="E353" s="269"/>
      <c r="F353" s="422">
        <f t="shared" si="1"/>
        <v>0</v>
      </c>
      <c r="G353" s="388"/>
      <c r="H353" s="272"/>
      <c r="I353" s="276"/>
      <c r="J353" s="426">
        <f t="shared" si="8"/>
        <v>0</v>
      </c>
      <c r="L353" s="470"/>
      <c r="U353" s="471"/>
      <c r="W353" s="431">
        <f t="shared" si="6"/>
        <v>0</v>
      </c>
      <c r="X353" s="479"/>
      <c r="Y353" s="479"/>
      <c r="Z353" s="479"/>
      <c r="AA353" s="479"/>
      <c r="AB353" s="474"/>
      <c r="AC353" s="474"/>
    </row>
    <row r="354" ht="15.75" customHeight="1">
      <c r="A354" s="265"/>
      <c r="B354" s="266"/>
      <c r="C354" s="267"/>
      <c r="D354" s="268"/>
      <c r="E354" s="269"/>
      <c r="F354" s="489"/>
      <c r="G354" s="388"/>
      <c r="H354" s="272"/>
      <c r="I354" s="276"/>
      <c r="J354" s="490"/>
      <c r="L354" s="470"/>
      <c r="U354" s="471"/>
      <c r="W354" s="431">
        <f t="shared" si="6"/>
        <v>0</v>
      </c>
      <c r="X354" s="479"/>
      <c r="Y354" s="479"/>
      <c r="Z354" s="479"/>
      <c r="AA354" s="479"/>
      <c r="AB354" s="474"/>
      <c r="AC354" s="474"/>
    </row>
    <row r="355" ht="15.75" customHeight="1">
      <c r="A355" s="265"/>
      <c r="B355" s="266"/>
      <c r="C355" s="267"/>
      <c r="D355" s="268"/>
      <c r="E355" s="269"/>
      <c r="F355" s="489"/>
      <c r="G355" s="388"/>
      <c r="H355" s="272"/>
      <c r="I355" s="276"/>
      <c r="J355" s="490"/>
      <c r="L355" s="470"/>
      <c r="U355" s="471"/>
      <c r="W355" s="431">
        <f t="shared" si="6"/>
        <v>0</v>
      </c>
      <c r="X355" s="479"/>
      <c r="Y355" s="479"/>
      <c r="Z355" s="479"/>
      <c r="AA355" s="479"/>
      <c r="AB355" s="474"/>
      <c r="AC355" s="474"/>
    </row>
    <row r="356" ht="15.75" customHeight="1">
      <c r="A356" s="265"/>
      <c r="B356" s="266"/>
      <c r="C356" s="267"/>
      <c r="D356" s="268"/>
      <c r="E356" s="269"/>
      <c r="F356" s="489"/>
      <c r="G356" s="388"/>
      <c r="H356" s="272"/>
      <c r="I356" s="276"/>
      <c r="J356" s="490"/>
      <c r="L356" s="470"/>
      <c r="U356" s="471"/>
      <c r="W356" s="431">
        <f t="shared" si="6"/>
        <v>0</v>
      </c>
      <c r="X356" s="479"/>
      <c r="Y356" s="479"/>
      <c r="Z356" s="479"/>
      <c r="AA356" s="479"/>
      <c r="AB356" s="474"/>
      <c r="AC356" s="474"/>
    </row>
    <row r="357" ht="15.75" customHeight="1">
      <c r="A357" s="265"/>
      <c r="B357" s="266"/>
      <c r="C357" s="267"/>
      <c r="D357" s="268"/>
      <c r="E357" s="269"/>
      <c r="F357" s="489"/>
      <c r="G357" s="388"/>
      <c r="H357" s="272"/>
      <c r="I357" s="276"/>
      <c r="J357" s="490"/>
      <c r="L357" s="470"/>
      <c r="U357" s="471"/>
      <c r="W357" s="431">
        <f t="shared" si="6"/>
        <v>0</v>
      </c>
      <c r="X357" s="479"/>
      <c r="Y357" s="479"/>
      <c r="Z357" s="479"/>
      <c r="AA357" s="479"/>
      <c r="AB357" s="474"/>
      <c r="AC357" s="474"/>
    </row>
    <row r="358" ht="15.75" customHeight="1">
      <c r="A358" s="265"/>
      <c r="B358" s="266"/>
      <c r="C358" s="267"/>
      <c r="D358" s="268"/>
      <c r="E358" s="269"/>
      <c r="F358" s="489"/>
      <c r="G358" s="388"/>
      <c r="H358" s="272"/>
      <c r="I358" s="276"/>
      <c r="J358" s="490"/>
      <c r="L358" s="470"/>
      <c r="U358" s="471"/>
      <c r="W358" s="431">
        <f t="shared" si="6"/>
        <v>0</v>
      </c>
      <c r="X358" s="479"/>
      <c r="Y358" s="479"/>
      <c r="Z358" s="479"/>
      <c r="AA358" s="479"/>
      <c r="AB358" s="474"/>
      <c r="AC358" s="474"/>
    </row>
    <row r="359" ht="15.75" customHeight="1">
      <c r="A359" s="265"/>
      <c r="B359" s="266"/>
      <c r="C359" s="267"/>
      <c r="D359" s="268"/>
      <c r="E359" s="269"/>
      <c r="F359" s="489"/>
      <c r="G359" s="388"/>
      <c r="H359" s="272"/>
      <c r="I359" s="276"/>
      <c r="J359" s="490"/>
      <c r="L359" s="470"/>
      <c r="U359" s="471"/>
      <c r="W359" s="431">
        <f t="shared" si="6"/>
        <v>0</v>
      </c>
      <c r="X359" s="479"/>
      <c r="Y359" s="479"/>
      <c r="Z359" s="479"/>
      <c r="AA359" s="479"/>
      <c r="AB359" s="474"/>
      <c r="AC359" s="474"/>
    </row>
    <row r="360" ht="15.75" customHeight="1">
      <c r="A360" s="265"/>
      <c r="B360" s="266"/>
      <c r="C360" s="267"/>
      <c r="D360" s="268"/>
      <c r="E360" s="269"/>
      <c r="F360" s="489"/>
      <c r="G360" s="388"/>
      <c r="H360" s="272"/>
      <c r="I360" s="276"/>
      <c r="J360" s="490"/>
      <c r="L360" s="470"/>
      <c r="U360" s="471"/>
      <c r="W360" s="431">
        <f t="shared" si="6"/>
        <v>0</v>
      </c>
      <c r="X360" s="479"/>
      <c r="Y360" s="479"/>
      <c r="Z360" s="479"/>
      <c r="AA360" s="479"/>
      <c r="AB360" s="474"/>
      <c r="AC360" s="474"/>
    </row>
    <row r="361" ht="15.75" customHeight="1">
      <c r="A361" s="265"/>
      <c r="B361" s="266"/>
      <c r="C361" s="267"/>
      <c r="D361" s="268"/>
      <c r="E361" s="269"/>
      <c r="F361" s="489"/>
      <c r="G361" s="388"/>
      <c r="H361" s="272"/>
      <c r="I361" s="276"/>
      <c r="J361" s="490"/>
      <c r="L361" s="470"/>
      <c r="U361" s="471"/>
      <c r="W361" s="431">
        <f t="shared" si="6"/>
        <v>0</v>
      </c>
      <c r="X361" s="479"/>
      <c r="Y361" s="479"/>
      <c r="Z361" s="479"/>
      <c r="AA361" s="479"/>
      <c r="AB361" s="474"/>
      <c r="AC361" s="474"/>
    </row>
    <row r="362" ht="15.75" customHeight="1">
      <c r="A362" s="265"/>
      <c r="B362" s="266"/>
      <c r="C362" s="267"/>
      <c r="D362" s="268"/>
      <c r="E362" s="269"/>
      <c r="F362" s="489"/>
      <c r="G362" s="388"/>
      <c r="H362" s="272"/>
      <c r="I362" s="276"/>
      <c r="J362" s="490"/>
      <c r="L362" s="470"/>
      <c r="U362" s="471"/>
      <c r="W362" s="431">
        <f t="shared" si="6"/>
        <v>0</v>
      </c>
      <c r="X362" s="479"/>
      <c r="Y362" s="479"/>
      <c r="Z362" s="479"/>
      <c r="AA362" s="479"/>
      <c r="AB362" s="474"/>
      <c r="AC362" s="474"/>
    </row>
    <row r="363" ht="15.75" customHeight="1">
      <c r="A363" s="265"/>
      <c r="B363" s="266"/>
      <c r="C363" s="267"/>
      <c r="D363" s="268"/>
      <c r="E363" s="269"/>
      <c r="F363" s="489"/>
      <c r="G363" s="388"/>
      <c r="H363" s="272"/>
      <c r="I363" s="276"/>
      <c r="J363" s="490"/>
      <c r="L363" s="470"/>
      <c r="U363" s="471"/>
      <c r="W363" s="431">
        <f t="shared" si="6"/>
        <v>0</v>
      </c>
      <c r="X363" s="479"/>
      <c r="Y363" s="479"/>
      <c r="Z363" s="479"/>
      <c r="AA363" s="479"/>
      <c r="AB363" s="474"/>
      <c r="AC363" s="474"/>
    </row>
    <row r="364" ht="15.75" customHeight="1">
      <c r="A364" s="265"/>
      <c r="B364" s="266"/>
      <c r="C364" s="267"/>
      <c r="D364" s="268"/>
      <c r="E364" s="269"/>
      <c r="F364" s="489"/>
      <c r="G364" s="388"/>
      <c r="H364" s="272"/>
      <c r="I364" s="276"/>
      <c r="J364" s="490"/>
      <c r="L364" s="470"/>
      <c r="U364" s="471"/>
      <c r="W364" s="431">
        <f t="shared" si="6"/>
        <v>0</v>
      </c>
      <c r="X364" s="479"/>
      <c r="Y364" s="479"/>
      <c r="Z364" s="479"/>
      <c r="AA364" s="479"/>
      <c r="AB364" s="474"/>
      <c r="AC364" s="474"/>
    </row>
    <row r="365" ht="15.75" customHeight="1">
      <c r="A365" s="265"/>
      <c r="B365" s="266"/>
      <c r="C365" s="267"/>
      <c r="D365" s="268"/>
      <c r="E365" s="269"/>
      <c r="F365" s="489"/>
      <c r="G365" s="388"/>
      <c r="H365" s="272"/>
      <c r="I365" s="276"/>
      <c r="J365" s="490"/>
      <c r="L365" s="470"/>
      <c r="U365" s="471"/>
      <c r="W365" s="431">
        <f t="shared" si="6"/>
        <v>0</v>
      </c>
      <c r="X365" s="479"/>
      <c r="Y365" s="479"/>
      <c r="Z365" s="479"/>
      <c r="AA365" s="479"/>
      <c r="AB365" s="474"/>
      <c r="AC365" s="474"/>
    </row>
    <row r="366" ht="15.75" customHeight="1">
      <c r="A366" s="265"/>
      <c r="B366" s="266"/>
      <c r="C366" s="267"/>
      <c r="D366" s="268"/>
      <c r="E366" s="269"/>
      <c r="F366" s="489"/>
      <c r="G366" s="388"/>
      <c r="H366" s="272"/>
      <c r="I366" s="276"/>
      <c r="J366" s="490"/>
      <c r="L366" s="470"/>
      <c r="U366" s="471"/>
      <c r="W366" s="431">
        <f t="shared" si="6"/>
        <v>0</v>
      </c>
      <c r="X366" s="479"/>
      <c r="Y366" s="479"/>
      <c r="Z366" s="479"/>
      <c r="AA366" s="479"/>
      <c r="AB366" s="474"/>
      <c r="AC366" s="474"/>
    </row>
    <row r="367" ht="15.75" customHeight="1">
      <c r="A367" s="265"/>
      <c r="B367" s="266"/>
      <c r="C367" s="267"/>
      <c r="D367" s="268"/>
      <c r="E367" s="269"/>
      <c r="F367" s="489"/>
      <c r="G367" s="388"/>
      <c r="H367" s="272"/>
      <c r="I367" s="276"/>
      <c r="J367" s="490"/>
      <c r="L367" s="470"/>
      <c r="U367" s="471"/>
      <c r="W367" s="431">
        <f t="shared" si="6"/>
        <v>0</v>
      </c>
      <c r="X367" s="479"/>
      <c r="Y367" s="479"/>
      <c r="Z367" s="479"/>
      <c r="AA367" s="479"/>
      <c r="AB367" s="474"/>
      <c r="AC367" s="474"/>
    </row>
    <row r="368" ht="15.75" customHeight="1">
      <c r="A368" s="265"/>
      <c r="B368" s="266"/>
      <c r="C368" s="267"/>
      <c r="D368" s="268"/>
      <c r="E368" s="269"/>
      <c r="F368" s="489"/>
      <c r="G368" s="388"/>
      <c r="H368" s="272"/>
      <c r="I368" s="276"/>
      <c r="J368" s="490"/>
      <c r="L368" s="470"/>
      <c r="U368" s="471"/>
      <c r="W368" s="491"/>
      <c r="X368" s="479"/>
      <c r="Y368" s="479"/>
      <c r="Z368" s="479"/>
      <c r="AA368" s="479"/>
      <c r="AB368" s="474"/>
      <c r="AC368" s="474"/>
    </row>
    <row r="369" ht="15.75" customHeight="1">
      <c r="A369" s="265"/>
      <c r="B369" s="266"/>
      <c r="C369" s="267"/>
      <c r="D369" s="268"/>
      <c r="E369" s="269"/>
      <c r="F369" s="489"/>
      <c r="G369" s="388"/>
      <c r="H369" s="272"/>
      <c r="I369" s="276"/>
      <c r="J369" s="490"/>
      <c r="L369" s="470"/>
      <c r="U369" s="471"/>
      <c r="W369" s="491"/>
      <c r="X369" s="479"/>
      <c r="Y369" s="479"/>
      <c r="Z369" s="479"/>
      <c r="AA369" s="479"/>
      <c r="AB369" s="474"/>
      <c r="AC369" s="474"/>
    </row>
    <row r="370" ht="15.75" customHeight="1">
      <c r="A370" s="265"/>
      <c r="B370" s="266"/>
      <c r="C370" s="267"/>
      <c r="D370" s="268"/>
      <c r="E370" s="269"/>
      <c r="F370" s="489"/>
      <c r="G370" s="388"/>
      <c r="H370" s="272"/>
      <c r="I370" s="276"/>
      <c r="J370" s="490"/>
      <c r="L370" s="470"/>
      <c r="U370" s="471"/>
      <c r="W370" s="491"/>
      <c r="X370" s="479"/>
      <c r="Y370" s="479"/>
      <c r="Z370" s="479"/>
      <c r="AA370" s="479"/>
      <c r="AB370" s="474"/>
      <c r="AC370" s="474"/>
    </row>
    <row r="371" ht="15.75" customHeight="1">
      <c r="A371" s="265"/>
      <c r="B371" s="266"/>
      <c r="C371" s="267"/>
      <c r="D371" s="268"/>
      <c r="E371" s="269"/>
      <c r="F371" s="489"/>
      <c r="G371" s="388"/>
      <c r="H371" s="272"/>
      <c r="I371" s="276"/>
      <c r="J371" s="490"/>
      <c r="L371" s="470"/>
      <c r="U371" s="471"/>
      <c r="W371" s="491"/>
      <c r="X371" s="479"/>
      <c r="Y371" s="479"/>
      <c r="Z371" s="479"/>
      <c r="AA371" s="479"/>
      <c r="AB371" s="474"/>
      <c r="AC371" s="474"/>
    </row>
    <row r="372" ht="15.75" customHeight="1">
      <c r="A372" s="265"/>
      <c r="B372" s="266"/>
      <c r="C372" s="267"/>
      <c r="D372" s="268"/>
      <c r="E372" s="269"/>
      <c r="F372" s="489"/>
      <c r="G372" s="388"/>
      <c r="H372" s="272"/>
      <c r="I372" s="276"/>
      <c r="J372" s="490"/>
      <c r="L372" s="470"/>
      <c r="U372" s="471"/>
      <c r="W372" s="491"/>
      <c r="X372" s="479"/>
      <c r="Y372" s="479"/>
      <c r="Z372" s="479"/>
      <c r="AA372" s="479"/>
      <c r="AB372" s="474"/>
      <c r="AC372" s="474"/>
    </row>
    <row r="373" ht="15.75" customHeight="1">
      <c r="A373" s="265"/>
      <c r="B373" s="266"/>
      <c r="C373" s="267"/>
      <c r="D373" s="268"/>
      <c r="E373" s="269"/>
      <c r="F373" s="489"/>
      <c r="G373" s="388"/>
      <c r="H373" s="272"/>
      <c r="I373" s="276"/>
      <c r="J373" s="490"/>
      <c r="L373" s="470"/>
      <c r="U373" s="471"/>
      <c r="W373" s="491"/>
      <c r="X373" s="479"/>
      <c r="Y373" s="479"/>
      <c r="Z373" s="479"/>
      <c r="AA373" s="479"/>
      <c r="AB373" s="474"/>
      <c r="AC373" s="474"/>
    </row>
    <row r="374" ht="15.75" customHeight="1">
      <c r="A374" s="265"/>
      <c r="B374" s="266"/>
      <c r="C374" s="267"/>
      <c r="D374" s="268"/>
      <c r="E374" s="269"/>
      <c r="F374" s="489"/>
      <c r="G374" s="388"/>
      <c r="H374" s="272"/>
      <c r="I374" s="276"/>
      <c r="J374" s="490"/>
      <c r="L374" s="470"/>
      <c r="U374" s="471"/>
      <c r="W374" s="491"/>
      <c r="X374" s="479"/>
      <c r="Y374" s="479"/>
      <c r="Z374" s="479"/>
      <c r="AA374" s="479"/>
      <c r="AB374" s="474"/>
      <c r="AC374" s="474"/>
    </row>
    <row r="375" ht="15.75" customHeight="1">
      <c r="A375" s="265"/>
      <c r="B375" s="266"/>
      <c r="C375" s="267"/>
      <c r="D375" s="268"/>
      <c r="E375" s="269"/>
      <c r="F375" s="489"/>
      <c r="G375" s="388"/>
      <c r="H375" s="272"/>
      <c r="I375" s="276"/>
      <c r="J375" s="490"/>
      <c r="L375" s="470"/>
      <c r="U375" s="471"/>
      <c r="W375" s="491"/>
      <c r="X375" s="479"/>
      <c r="Y375" s="479"/>
      <c r="Z375" s="479"/>
      <c r="AA375" s="479"/>
      <c r="AB375" s="474"/>
      <c r="AC375" s="474"/>
    </row>
    <row r="376" ht="15.75" customHeight="1">
      <c r="A376" s="265"/>
      <c r="B376" s="266"/>
      <c r="C376" s="267"/>
      <c r="D376" s="268"/>
      <c r="E376" s="269"/>
      <c r="F376" s="489"/>
      <c r="G376" s="388"/>
      <c r="H376" s="272"/>
      <c r="I376" s="276"/>
      <c r="J376" s="490"/>
      <c r="L376" s="470"/>
      <c r="U376" s="471"/>
      <c r="W376" s="491"/>
      <c r="X376" s="479"/>
      <c r="Y376" s="479"/>
      <c r="Z376" s="479"/>
      <c r="AA376" s="479"/>
      <c r="AB376" s="474"/>
      <c r="AC376" s="474"/>
    </row>
    <row r="377" ht="15.75" customHeight="1">
      <c r="A377" s="265"/>
      <c r="B377" s="266"/>
      <c r="C377" s="267"/>
      <c r="D377" s="268"/>
      <c r="E377" s="269"/>
      <c r="F377" s="489"/>
      <c r="G377" s="388"/>
      <c r="H377" s="272"/>
      <c r="I377" s="276"/>
      <c r="J377" s="490"/>
      <c r="L377" s="470"/>
      <c r="U377" s="471"/>
      <c r="W377" s="491"/>
      <c r="X377" s="479"/>
      <c r="Y377" s="479"/>
      <c r="Z377" s="479"/>
      <c r="AA377" s="479"/>
      <c r="AB377" s="474"/>
      <c r="AC377" s="474"/>
    </row>
    <row r="378" ht="15.75" customHeight="1">
      <c r="A378" s="265"/>
      <c r="B378" s="266"/>
      <c r="C378" s="267"/>
      <c r="D378" s="268"/>
      <c r="E378" s="269"/>
      <c r="F378" s="489"/>
      <c r="G378" s="388"/>
      <c r="H378" s="272"/>
      <c r="I378" s="276"/>
      <c r="J378" s="490"/>
      <c r="L378" s="470"/>
      <c r="U378" s="471"/>
      <c r="W378" s="491"/>
      <c r="X378" s="479"/>
      <c r="Y378" s="479"/>
      <c r="Z378" s="479"/>
      <c r="AA378" s="479"/>
      <c r="AB378" s="474"/>
      <c r="AC378" s="474"/>
    </row>
    <row r="379" ht="15.75" customHeight="1">
      <c r="A379" s="265"/>
      <c r="B379" s="266"/>
      <c r="C379" s="267"/>
      <c r="D379" s="268"/>
      <c r="E379" s="269"/>
      <c r="F379" s="489"/>
      <c r="G379" s="388"/>
      <c r="H379" s="272"/>
      <c r="I379" s="276"/>
      <c r="J379" s="490"/>
      <c r="L379" s="470"/>
      <c r="U379" s="471"/>
      <c r="W379" s="491"/>
      <c r="X379" s="479"/>
      <c r="Y379" s="479"/>
      <c r="Z379" s="479"/>
      <c r="AA379" s="479"/>
      <c r="AB379" s="474"/>
      <c r="AC379" s="474"/>
    </row>
    <row r="380" ht="15.75" customHeight="1">
      <c r="A380" s="265"/>
      <c r="B380" s="266"/>
      <c r="C380" s="267"/>
      <c r="D380" s="268"/>
      <c r="E380" s="269"/>
      <c r="F380" s="489"/>
      <c r="G380" s="388"/>
      <c r="H380" s="272"/>
      <c r="I380" s="276"/>
      <c r="J380" s="490"/>
      <c r="L380" s="470"/>
      <c r="U380" s="471"/>
      <c r="W380" s="491"/>
      <c r="X380" s="479"/>
      <c r="Y380" s="479"/>
      <c r="Z380" s="479"/>
      <c r="AA380" s="479"/>
      <c r="AB380" s="474"/>
      <c r="AC380" s="474"/>
    </row>
    <row r="381" ht="15.75" customHeight="1">
      <c r="A381" s="265"/>
      <c r="B381" s="266"/>
      <c r="C381" s="267"/>
      <c r="D381" s="268"/>
      <c r="E381" s="269"/>
      <c r="F381" s="489"/>
      <c r="G381" s="388"/>
      <c r="H381" s="272"/>
      <c r="I381" s="276"/>
      <c r="J381" s="490"/>
      <c r="L381" s="470"/>
      <c r="U381" s="471"/>
      <c r="W381" s="491"/>
      <c r="X381" s="479"/>
      <c r="Y381" s="479"/>
      <c r="Z381" s="479"/>
      <c r="AA381" s="479"/>
      <c r="AB381" s="474"/>
      <c r="AC381" s="474"/>
    </row>
    <row r="382" ht="15.75" customHeight="1">
      <c r="A382" s="265"/>
      <c r="B382" s="266"/>
      <c r="C382" s="267"/>
      <c r="D382" s="268"/>
      <c r="E382" s="269"/>
      <c r="F382" s="489"/>
      <c r="G382" s="388"/>
      <c r="H382" s="272"/>
      <c r="I382" s="276"/>
      <c r="J382" s="490"/>
      <c r="L382" s="470"/>
      <c r="U382" s="471"/>
      <c r="W382" s="491"/>
      <c r="X382" s="479"/>
      <c r="Y382" s="479"/>
      <c r="Z382" s="479"/>
      <c r="AA382" s="479"/>
      <c r="AB382" s="474"/>
      <c r="AC382" s="474"/>
    </row>
    <row r="383" ht="15.75" customHeight="1">
      <c r="A383" s="265"/>
      <c r="B383" s="266"/>
      <c r="C383" s="267"/>
      <c r="D383" s="268"/>
      <c r="E383" s="269"/>
      <c r="F383" s="489"/>
      <c r="G383" s="388"/>
      <c r="H383" s="272"/>
      <c r="I383" s="276"/>
      <c r="J383" s="490"/>
      <c r="L383" s="470"/>
      <c r="U383" s="471"/>
      <c r="W383" s="491"/>
      <c r="X383" s="479"/>
      <c r="Y383" s="479"/>
      <c r="Z383" s="479"/>
      <c r="AA383" s="479"/>
      <c r="AB383" s="474"/>
      <c r="AC383" s="474"/>
    </row>
    <row r="384" ht="15.75" customHeight="1">
      <c r="A384" s="265"/>
      <c r="B384" s="266"/>
      <c r="C384" s="267"/>
      <c r="D384" s="268"/>
      <c r="E384" s="269"/>
      <c r="F384" s="489"/>
      <c r="G384" s="388"/>
      <c r="H384" s="272"/>
      <c r="I384" s="276"/>
      <c r="J384" s="490"/>
      <c r="L384" s="470"/>
      <c r="U384" s="471"/>
      <c r="W384" s="491"/>
      <c r="X384" s="479"/>
      <c r="Y384" s="479"/>
      <c r="Z384" s="479"/>
      <c r="AA384" s="479"/>
      <c r="AB384" s="474"/>
      <c r="AC384" s="474"/>
    </row>
    <row r="385" ht="15.75" customHeight="1">
      <c r="A385" s="265"/>
      <c r="B385" s="266"/>
      <c r="C385" s="267"/>
      <c r="D385" s="268"/>
      <c r="E385" s="269"/>
      <c r="F385" s="489"/>
      <c r="G385" s="388"/>
      <c r="H385" s="272"/>
      <c r="I385" s="276"/>
      <c r="J385" s="490"/>
      <c r="L385" s="470"/>
      <c r="U385" s="471"/>
      <c r="W385" s="491"/>
      <c r="X385" s="479"/>
      <c r="Y385" s="479"/>
      <c r="Z385" s="479"/>
      <c r="AA385" s="479"/>
      <c r="AB385" s="474"/>
      <c r="AC385" s="474"/>
    </row>
    <row r="386" ht="15.75" customHeight="1">
      <c r="A386" s="265"/>
      <c r="B386" s="266"/>
      <c r="C386" s="267"/>
      <c r="D386" s="268"/>
      <c r="E386" s="269"/>
      <c r="F386" s="489"/>
      <c r="G386" s="388"/>
      <c r="H386" s="272"/>
      <c r="I386" s="276"/>
      <c r="J386" s="490"/>
      <c r="L386" s="470"/>
      <c r="U386" s="471"/>
      <c r="W386" s="491"/>
      <c r="X386" s="479"/>
      <c r="Y386" s="479"/>
      <c r="Z386" s="479"/>
      <c r="AA386" s="479"/>
      <c r="AB386" s="474"/>
      <c r="AC386" s="474"/>
    </row>
    <row r="387" ht="15.75" customHeight="1">
      <c r="A387" s="265"/>
      <c r="B387" s="266"/>
      <c r="C387" s="267"/>
      <c r="D387" s="268"/>
      <c r="E387" s="269"/>
      <c r="F387" s="489"/>
      <c r="G387" s="388"/>
      <c r="H387" s="272"/>
      <c r="I387" s="276"/>
      <c r="J387" s="490"/>
      <c r="L387" s="470"/>
      <c r="U387" s="471"/>
      <c r="W387" s="491"/>
      <c r="X387" s="479"/>
      <c r="Y387" s="479"/>
      <c r="Z387" s="479"/>
      <c r="AA387" s="479"/>
      <c r="AB387" s="474"/>
      <c r="AC387" s="474"/>
    </row>
    <row r="388" ht="15.75" customHeight="1">
      <c r="A388" s="265"/>
      <c r="B388" s="266"/>
      <c r="C388" s="267"/>
      <c r="D388" s="268"/>
      <c r="E388" s="269"/>
      <c r="F388" s="489"/>
      <c r="G388" s="388"/>
      <c r="H388" s="272"/>
      <c r="I388" s="276"/>
      <c r="J388" s="490"/>
      <c r="L388" s="470"/>
      <c r="U388" s="471"/>
      <c r="W388" s="491"/>
      <c r="X388" s="479"/>
      <c r="Y388" s="479"/>
      <c r="Z388" s="479"/>
      <c r="AA388" s="479"/>
      <c r="AB388" s="474"/>
      <c r="AC388" s="474"/>
    </row>
    <row r="389" ht="15.75" customHeight="1">
      <c r="A389" s="265"/>
      <c r="B389" s="266"/>
      <c r="C389" s="267"/>
      <c r="D389" s="268"/>
      <c r="E389" s="269"/>
      <c r="F389" s="489"/>
      <c r="G389" s="388"/>
      <c r="H389" s="272"/>
      <c r="I389" s="276"/>
      <c r="J389" s="490"/>
      <c r="L389" s="470"/>
      <c r="U389" s="471"/>
      <c r="W389" s="491"/>
      <c r="X389" s="479"/>
      <c r="Y389" s="479"/>
      <c r="Z389" s="479"/>
      <c r="AA389" s="479"/>
      <c r="AB389" s="474"/>
      <c r="AC389" s="474"/>
    </row>
    <row r="390" ht="15.75" customHeight="1">
      <c r="A390" s="265"/>
      <c r="B390" s="266"/>
      <c r="C390" s="267"/>
      <c r="D390" s="268"/>
      <c r="E390" s="269"/>
      <c r="F390" s="489"/>
      <c r="G390" s="388"/>
      <c r="H390" s="272"/>
      <c r="I390" s="276"/>
      <c r="J390" s="490"/>
      <c r="L390" s="470"/>
      <c r="U390" s="471"/>
      <c r="W390" s="491"/>
      <c r="X390" s="479"/>
      <c r="Y390" s="479"/>
      <c r="Z390" s="479"/>
      <c r="AA390" s="479"/>
      <c r="AB390" s="474"/>
      <c r="AC390" s="474"/>
    </row>
    <row r="391" ht="15.75" customHeight="1">
      <c r="A391" s="265"/>
      <c r="B391" s="266"/>
      <c r="C391" s="267"/>
      <c r="D391" s="268"/>
      <c r="E391" s="269"/>
      <c r="F391" s="489"/>
      <c r="G391" s="388"/>
      <c r="H391" s="272"/>
      <c r="I391" s="276"/>
      <c r="J391" s="490"/>
      <c r="L391" s="470"/>
      <c r="U391" s="471"/>
      <c r="W391" s="491"/>
      <c r="X391" s="479"/>
      <c r="Y391" s="479"/>
      <c r="Z391" s="479"/>
      <c r="AA391" s="479"/>
      <c r="AB391" s="474"/>
      <c r="AC391" s="474"/>
    </row>
    <row r="392" ht="15.75" customHeight="1">
      <c r="A392" s="265"/>
      <c r="B392" s="266"/>
      <c r="C392" s="267"/>
      <c r="D392" s="268"/>
      <c r="E392" s="269"/>
      <c r="F392" s="489"/>
      <c r="G392" s="388"/>
      <c r="H392" s="272"/>
      <c r="I392" s="276"/>
      <c r="J392" s="490"/>
      <c r="L392" s="470"/>
      <c r="U392" s="471"/>
      <c r="W392" s="491"/>
      <c r="X392" s="479"/>
      <c r="Y392" s="479"/>
      <c r="Z392" s="479"/>
      <c r="AA392" s="479"/>
      <c r="AB392" s="474"/>
      <c r="AC392" s="474"/>
    </row>
    <row r="393" ht="15.75" customHeight="1">
      <c r="A393" s="265"/>
      <c r="B393" s="266"/>
      <c r="C393" s="267"/>
      <c r="D393" s="268"/>
      <c r="E393" s="269"/>
      <c r="F393" s="489"/>
      <c r="G393" s="388"/>
      <c r="H393" s="272"/>
      <c r="I393" s="276"/>
      <c r="J393" s="490"/>
      <c r="L393" s="470"/>
      <c r="U393" s="471"/>
      <c r="W393" s="491"/>
      <c r="X393" s="479"/>
      <c r="Y393" s="479"/>
      <c r="Z393" s="479"/>
      <c r="AA393" s="479"/>
      <c r="AB393" s="474"/>
      <c r="AC393" s="474"/>
    </row>
    <row r="394" ht="15.75" customHeight="1">
      <c r="A394" s="265"/>
      <c r="B394" s="266"/>
      <c r="C394" s="267"/>
      <c r="D394" s="268"/>
      <c r="E394" s="269"/>
      <c r="F394" s="489"/>
      <c r="G394" s="388"/>
      <c r="H394" s="272"/>
      <c r="I394" s="276"/>
      <c r="J394" s="490"/>
      <c r="L394" s="470"/>
      <c r="U394" s="471"/>
      <c r="W394" s="491"/>
      <c r="X394" s="479"/>
      <c r="Y394" s="479"/>
      <c r="Z394" s="479"/>
      <c r="AA394" s="479"/>
      <c r="AB394" s="474"/>
      <c r="AC394" s="474"/>
    </row>
    <row r="395" ht="15.75" customHeight="1">
      <c r="A395" s="265"/>
      <c r="B395" s="266"/>
      <c r="C395" s="267"/>
      <c r="D395" s="268"/>
      <c r="E395" s="269"/>
      <c r="F395" s="489"/>
      <c r="G395" s="388"/>
      <c r="H395" s="272"/>
      <c r="I395" s="276"/>
      <c r="J395" s="490"/>
      <c r="L395" s="470"/>
      <c r="U395" s="471"/>
      <c r="W395" s="491"/>
      <c r="X395" s="479"/>
      <c r="Y395" s="479"/>
      <c r="Z395" s="479"/>
      <c r="AA395" s="479"/>
      <c r="AB395" s="474"/>
      <c r="AC395" s="474"/>
    </row>
    <row r="396" ht="15.75" customHeight="1">
      <c r="A396" s="265"/>
      <c r="B396" s="266"/>
      <c r="C396" s="267"/>
      <c r="D396" s="268"/>
      <c r="E396" s="269"/>
      <c r="F396" s="489"/>
      <c r="G396" s="388"/>
      <c r="H396" s="272"/>
      <c r="I396" s="276"/>
      <c r="J396" s="490"/>
      <c r="L396" s="470"/>
      <c r="U396" s="471"/>
      <c r="W396" s="491"/>
      <c r="X396" s="479"/>
      <c r="Y396" s="479"/>
      <c r="Z396" s="479"/>
      <c r="AA396" s="479"/>
      <c r="AB396" s="474"/>
      <c r="AC396" s="474"/>
    </row>
    <row r="397" ht="15.75" customHeight="1">
      <c r="A397" s="265"/>
      <c r="B397" s="266"/>
      <c r="C397" s="267"/>
      <c r="D397" s="268"/>
      <c r="E397" s="269"/>
      <c r="F397" s="489"/>
      <c r="G397" s="388"/>
      <c r="H397" s="272"/>
      <c r="I397" s="276"/>
      <c r="J397" s="490"/>
      <c r="L397" s="470"/>
      <c r="U397" s="471"/>
      <c r="W397" s="491"/>
      <c r="X397" s="479"/>
      <c r="Y397" s="479"/>
      <c r="Z397" s="479"/>
      <c r="AA397" s="479"/>
      <c r="AB397" s="474"/>
      <c r="AC397" s="474"/>
    </row>
    <row r="398" ht="15.75" customHeight="1">
      <c r="A398" s="265"/>
      <c r="B398" s="266"/>
      <c r="C398" s="267"/>
      <c r="D398" s="268"/>
      <c r="E398" s="269"/>
      <c r="F398" s="489"/>
      <c r="G398" s="388"/>
      <c r="H398" s="272"/>
      <c r="I398" s="276"/>
      <c r="J398" s="490"/>
      <c r="L398" s="470"/>
      <c r="U398" s="471"/>
      <c r="W398" s="491"/>
      <c r="X398" s="479"/>
      <c r="Y398" s="479"/>
      <c r="Z398" s="479"/>
      <c r="AA398" s="479"/>
      <c r="AB398" s="474"/>
      <c r="AC398" s="474"/>
    </row>
    <row r="399" ht="15.75" customHeight="1">
      <c r="A399" s="265"/>
      <c r="B399" s="266"/>
      <c r="C399" s="267"/>
      <c r="D399" s="268"/>
      <c r="E399" s="269"/>
      <c r="F399" s="489"/>
      <c r="G399" s="388"/>
      <c r="H399" s="272"/>
      <c r="I399" s="276"/>
      <c r="J399" s="490"/>
      <c r="L399" s="470"/>
      <c r="U399" s="471"/>
      <c r="W399" s="491"/>
      <c r="X399" s="479"/>
      <c r="Y399" s="479"/>
      <c r="Z399" s="479"/>
      <c r="AA399" s="479"/>
      <c r="AB399" s="474"/>
      <c r="AC399" s="474"/>
    </row>
    <row r="400" ht="15.75" customHeight="1">
      <c r="A400" s="265"/>
      <c r="B400" s="266"/>
      <c r="C400" s="267"/>
      <c r="D400" s="268"/>
      <c r="E400" s="269"/>
      <c r="F400" s="489"/>
      <c r="G400" s="388"/>
      <c r="H400" s="272"/>
      <c r="I400" s="276"/>
      <c r="J400" s="490"/>
      <c r="L400" s="470"/>
      <c r="U400" s="471"/>
      <c r="W400" s="491"/>
      <c r="X400" s="479"/>
      <c r="Y400" s="479"/>
      <c r="Z400" s="479"/>
      <c r="AA400" s="479"/>
      <c r="AB400" s="474"/>
      <c r="AC400" s="474"/>
    </row>
    <row r="401" ht="15.75" customHeight="1">
      <c r="A401" s="265"/>
      <c r="B401" s="266"/>
      <c r="C401" s="267"/>
      <c r="D401" s="268"/>
      <c r="E401" s="269"/>
      <c r="F401" s="489"/>
      <c r="G401" s="388"/>
      <c r="H401" s="272"/>
      <c r="I401" s="276"/>
      <c r="J401" s="490"/>
      <c r="L401" s="470"/>
      <c r="U401" s="471"/>
      <c r="W401" s="491"/>
      <c r="X401" s="479"/>
      <c r="Y401" s="479"/>
      <c r="Z401" s="479"/>
      <c r="AA401" s="479"/>
      <c r="AB401" s="474"/>
      <c r="AC401" s="474"/>
    </row>
    <row r="402" ht="15.75" customHeight="1">
      <c r="A402" s="265"/>
      <c r="B402" s="266"/>
      <c r="C402" s="267"/>
      <c r="D402" s="268"/>
      <c r="E402" s="269"/>
      <c r="F402" s="489"/>
      <c r="G402" s="388"/>
      <c r="H402" s="272"/>
      <c r="I402" s="276"/>
      <c r="J402" s="490"/>
      <c r="L402" s="470"/>
      <c r="U402" s="471"/>
      <c r="W402" s="491"/>
      <c r="X402" s="479"/>
      <c r="Y402" s="479"/>
      <c r="Z402" s="479"/>
      <c r="AA402" s="479"/>
      <c r="AB402" s="474"/>
      <c r="AC402" s="474"/>
    </row>
    <row r="403" ht="15.75" customHeight="1">
      <c r="A403" s="265"/>
      <c r="B403" s="266"/>
      <c r="C403" s="267"/>
      <c r="D403" s="268"/>
      <c r="E403" s="269"/>
      <c r="F403" s="489"/>
      <c r="G403" s="388"/>
      <c r="H403" s="272"/>
      <c r="I403" s="276"/>
      <c r="J403" s="490"/>
      <c r="L403" s="470"/>
      <c r="U403" s="471"/>
      <c r="W403" s="491"/>
      <c r="X403" s="479"/>
      <c r="Y403" s="479"/>
      <c r="Z403" s="479"/>
      <c r="AA403" s="479"/>
      <c r="AB403" s="474"/>
      <c r="AC403" s="474"/>
    </row>
    <row r="404" ht="15.75" customHeight="1">
      <c r="A404" s="265"/>
      <c r="B404" s="266"/>
      <c r="C404" s="267"/>
      <c r="D404" s="268"/>
      <c r="E404" s="269"/>
      <c r="F404" s="489"/>
      <c r="G404" s="388"/>
      <c r="H404" s="272"/>
      <c r="I404" s="276"/>
      <c r="J404" s="490"/>
      <c r="L404" s="470"/>
      <c r="U404" s="471"/>
      <c r="W404" s="491"/>
      <c r="X404" s="479"/>
      <c r="Y404" s="479"/>
      <c r="Z404" s="479"/>
      <c r="AA404" s="479"/>
      <c r="AB404" s="474"/>
      <c r="AC404" s="474"/>
    </row>
    <row r="405" ht="15.75" customHeight="1">
      <c r="A405" s="265"/>
      <c r="B405" s="266"/>
      <c r="C405" s="267"/>
      <c r="D405" s="268"/>
      <c r="E405" s="269"/>
      <c r="F405" s="489"/>
      <c r="G405" s="388"/>
      <c r="H405" s="272"/>
      <c r="I405" s="276"/>
      <c r="J405" s="490"/>
      <c r="L405" s="470"/>
      <c r="U405" s="471"/>
      <c r="W405" s="491"/>
      <c r="X405" s="479"/>
      <c r="Y405" s="479"/>
      <c r="Z405" s="479"/>
      <c r="AA405" s="479"/>
      <c r="AB405" s="474"/>
      <c r="AC405" s="474"/>
    </row>
    <row r="406" ht="15.75" customHeight="1">
      <c r="A406" s="265"/>
      <c r="B406" s="266"/>
      <c r="C406" s="267"/>
      <c r="D406" s="268"/>
      <c r="E406" s="269"/>
      <c r="F406" s="489"/>
      <c r="G406" s="388"/>
      <c r="H406" s="272"/>
      <c r="I406" s="276"/>
      <c r="J406" s="490"/>
      <c r="L406" s="470"/>
      <c r="U406" s="471"/>
      <c r="W406" s="491"/>
      <c r="X406" s="479"/>
      <c r="Y406" s="479"/>
      <c r="Z406" s="479"/>
      <c r="AA406" s="479"/>
      <c r="AB406" s="474"/>
      <c r="AC406" s="474"/>
    </row>
    <row r="407" ht="15.75" customHeight="1">
      <c r="A407" s="265"/>
      <c r="B407" s="266"/>
      <c r="C407" s="267"/>
      <c r="D407" s="268"/>
      <c r="E407" s="269"/>
      <c r="F407" s="489"/>
      <c r="G407" s="388"/>
      <c r="H407" s="272"/>
      <c r="I407" s="276"/>
      <c r="J407" s="490"/>
      <c r="L407" s="470"/>
      <c r="U407" s="471"/>
      <c r="W407" s="491"/>
      <c r="X407" s="479"/>
      <c r="Y407" s="479"/>
      <c r="Z407" s="479"/>
      <c r="AA407" s="479"/>
      <c r="AB407" s="474"/>
      <c r="AC407" s="474"/>
    </row>
    <row r="408" ht="15.75" customHeight="1">
      <c r="A408" s="265"/>
      <c r="B408" s="266"/>
      <c r="C408" s="267"/>
      <c r="D408" s="268"/>
      <c r="E408" s="269"/>
      <c r="F408" s="489"/>
      <c r="G408" s="388"/>
      <c r="H408" s="272"/>
      <c r="I408" s="276"/>
      <c r="J408" s="490"/>
      <c r="L408" s="470"/>
      <c r="U408" s="471"/>
      <c r="W408" s="491"/>
      <c r="X408" s="479"/>
      <c r="Y408" s="479"/>
      <c r="Z408" s="479"/>
      <c r="AA408" s="479"/>
      <c r="AB408" s="474"/>
      <c r="AC408" s="474"/>
    </row>
    <row r="409" ht="15.75" customHeight="1">
      <c r="A409" s="265"/>
      <c r="B409" s="266"/>
      <c r="C409" s="267"/>
      <c r="D409" s="268"/>
      <c r="E409" s="269"/>
      <c r="F409" s="489"/>
      <c r="G409" s="388"/>
      <c r="H409" s="272"/>
      <c r="I409" s="276"/>
      <c r="J409" s="490"/>
      <c r="L409" s="470"/>
      <c r="U409" s="471"/>
      <c r="W409" s="491"/>
      <c r="X409" s="479"/>
      <c r="Y409" s="479"/>
      <c r="Z409" s="479"/>
      <c r="AA409" s="479"/>
      <c r="AB409" s="474"/>
      <c r="AC409" s="474"/>
    </row>
    <row r="410" ht="15.75" customHeight="1">
      <c r="A410" s="265"/>
      <c r="B410" s="266"/>
      <c r="C410" s="267"/>
      <c r="D410" s="268"/>
      <c r="E410" s="269"/>
      <c r="F410" s="489"/>
      <c r="G410" s="388"/>
      <c r="H410" s="272"/>
      <c r="I410" s="276"/>
      <c r="J410" s="490"/>
      <c r="L410" s="470"/>
      <c r="U410" s="471"/>
      <c r="W410" s="491"/>
      <c r="X410" s="479"/>
      <c r="Y410" s="479"/>
      <c r="Z410" s="479"/>
      <c r="AA410" s="479"/>
      <c r="AB410" s="474"/>
      <c r="AC410" s="474"/>
    </row>
    <row r="411" ht="15.75" customHeight="1">
      <c r="A411" s="265"/>
      <c r="B411" s="266"/>
      <c r="C411" s="267"/>
      <c r="D411" s="268"/>
      <c r="E411" s="269"/>
      <c r="F411" s="489"/>
      <c r="G411" s="388"/>
      <c r="H411" s="272"/>
      <c r="I411" s="276"/>
      <c r="J411" s="490"/>
      <c r="L411" s="470"/>
      <c r="U411" s="471"/>
      <c r="W411" s="491"/>
      <c r="X411" s="479"/>
      <c r="Y411" s="479"/>
      <c r="Z411" s="479"/>
      <c r="AA411" s="479"/>
      <c r="AB411" s="474"/>
      <c r="AC411" s="474"/>
    </row>
    <row r="412" ht="15.75" customHeight="1">
      <c r="A412" s="265"/>
      <c r="B412" s="266"/>
      <c r="C412" s="267"/>
      <c r="D412" s="268"/>
      <c r="E412" s="269"/>
      <c r="F412" s="489"/>
      <c r="G412" s="388"/>
      <c r="H412" s="272"/>
      <c r="I412" s="276"/>
      <c r="J412" s="490"/>
      <c r="L412" s="470"/>
      <c r="U412" s="471"/>
      <c r="W412" s="491"/>
      <c r="X412" s="479"/>
      <c r="Y412" s="479"/>
      <c r="Z412" s="479"/>
      <c r="AA412" s="479"/>
      <c r="AB412" s="474"/>
      <c r="AC412" s="474"/>
    </row>
    <row r="413" ht="15.75" customHeight="1">
      <c r="A413" s="265"/>
      <c r="B413" s="266"/>
      <c r="C413" s="267"/>
      <c r="D413" s="268"/>
      <c r="E413" s="269"/>
      <c r="F413" s="489"/>
      <c r="G413" s="388"/>
      <c r="H413" s="272"/>
      <c r="I413" s="276"/>
      <c r="J413" s="490"/>
      <c r="L413" s="470"/>
      <c r="U413" s="471"/>
      <c r="W413" s="491"/>
      <c r="X413" s="479"/>
      <c r="Y413" s="479"/>
      <c r="Z413" s="479"/>
      <c r="AA413" s="479"/>
      <c r="AB413" s="474"/>
      <c r="AC413" s="474"/>
    </row>
    <row r="414" ht="15.75" customHeight="1">
      <c r="A414" s="265"/>
      <c r="B414" s="266"/>
      <c r="C414" s="267"/>
      <c r="D414" s="268"/>
      <c r="E414" s="269"/>
      <c r="F414" s="489"/>
      <c r="G414" s="388"/>
      <c r="H414" s="272"/>
      <c r="I414" s="276"/>
      <c r="J414" s="490"/>
      <c r="L414" s="470"/>
      <c r="U414" s="471"/>
      <c r="W414" s="491"/>
      <c r="X414" s="479"/>
      <c r="Y414" s="479"/>
      <c r="Z414" s="479"/>
      <c r="AA414" s="479"/>
      <c r="AB414" s="474"/>
      <c r="AC414" s="474"/>
    </row>
    <row r="415" ht="15.75" customHeight="1">
      <c r="A415" s="265"/>
      <c r="B415" s="266"/>
      <c r="C415" s="267"/>
      <c r="D415" s="268"/>
      <c r="E415" s="269"/>
      <c r="F415" s="489"/>
      <c r="G415" s="388"/>
      <c r="H415" s="272"/>
      <c r="I415" s="276"/>
      <c r="J415" s="490"/>
      <c r="L415" s="470"/>
      <c r="U415" s="471"/>
      <c r="W415" s="491"/>
      <c r="X415" s="479"/>
      <c r="Y415" s="479"/>
      <c r="Z415" s="479"/>
      <c r="AA415" s="479"/>
      <c r="AB415" s="474"/>
      <c r="AC415" s="474"/>
    </row>
    <row r="416" ht="15.75" customHeight="1">
      <c r="A416" s="265"/>
      <c r="B416" s="266"/>
      <c r="C416" s="267"/>
      <c r="D416" s="268"/>
      <c r="E416" s="269"/>
      <c r="F416" s="489"/>
      <c r="G416" s="388"/>
      <c r="H416" s="272"/>
      <c r="I416" s="276"/>
      <c r="J416" s="490"/>
      <c r="L416" s="470"/>
      <c r="U416" s="471"/>
      <c r="W416" s="491"/>
      <c r="X416" s="479"/>
      <c r="Y416" s="479"/>
      <c r="Z416" s="479"/>
      <c r="AA416" s="479"/>
      <c r="AB416" s="474"/>
      <c r="AC416" s="474"/>
    </row>
    <row r="417" ht="15.75" customHeight="1">
      <c r="A417" s="265"/>
      <c r="B417" s="266"/>
      <c r="C417" s="267"/>
      <c r="D417" s="268"/>
      <c r="E417" s="269"/>
      <c r="F417" s="489"/>
      <c r="G417" s="388"/>
      <c r="H417" s="272"/>
      <c r="I417" s="276"/>
      <c r="J417" s="490"/>
      <c r="L417" s="470"/>
      <c r="U417" s="471"/>
      <c r="W417" s="491"/>
      <c r="X417" s="479"/>
      <c r="Y417" s="479"/>
      <c r="Z417" s="479"/>
      <c r="AA417" s="479"/>
      <c r="AB417" s="474"/>
      <c r="AC417" s="474"/>
    </row>
    <row r="418" ht="15.75" customHeight="1">
      <c r="A418" s="265"/>
      <c r="B418" s="266"/>
      <c r="C418" s="267"/>
      <c r="D418" s="268"/>
      <c r="E418" s="269"/>
      <c r="F418" s="489"/>
      <c r="G418" s="388"/>
      <c r="H418" s="272"/>
      <c r="I418" s="276"/>
      <c r="J418" s="490"/>
      <c r="L418" s="470"/>
      <c r="U418" s="471"/>
      <c r="W418" s="491"/>
      <c r="X418" s="479"/>
      <c r="Y418" s="479"/>
      <c r="Z418" s="479"/>
      <c r="AA418" s="479"/>
      <c r="AB418" s="474"/>
      <c r="AC418" s="474"/>
    </row>
    <row r="419" ht="15.75" customHeight="1">
      <c r="A419" s="265"/>
      <c r="B419" s="266"/>
      <c r="C419" s="267"/>
      <c r="D419" s="268"/>
      <c r="E419" s="269"/>
      <c r="F419" s="489"/>
      <c r="G419" s="388"/>
      <c r="H419" s="272"/>
      <c r="I419" s="276"/>
      <c r="J419" s="490"/>
      <c r="L419" s="470"/>
      <c r="U419" s="471"/>
      <c r="W419" s="491"/>
      <c r="X419" s="479"/>
      <c r="Y419" s="479"/>
      <c r="Z419" s="479"/>
      <c r="AA419" s="479"/>
      <c r="AB419" s="474"/>
      <c r="AC419" s="474"/>
    </row>
    <row r="420" ht="15.75" customHeight="1">
      <c r="A420" s="265"/>
      <c r="B420" s="266"/>
      <c r="C420" s="267"/>
      <c r="D420" s="268"/>
      <c r="E420" s="269"/>
      <c r="F420" s="489"/>
      <c r="G420" s="388"/>
      <c r="H420" s="272"/>
      <c r="I420" s="276"/>
      <c r="J420" s="490"/>
      <c r="L420" s="470"/>
      <c r="U420" s="471"/>
      <c r="W420" s="491"/>
      <c r="X420" s="479"/>
      <c r="Y420" s="479"/>
      <c r="Z420" s="479"/>
      <c r="AA420" s="479"/>
      <c r="AB420" s="474"/>
      <c r="AC420" s="474"/>
    </row>
    <row r="421" ht="15.75" customHeight="1">
      <c r="A421" s="265"/>
      <c r="B421" s="266"/>
      <c r="C421" s="267"/>
      <c r="D421" s="268"/>
      <c r="E421" s="269"/>
      <c r="F421" s="489"/>
      <c r="G421" s="388"/>
      <c r="H421" s="272"/>
      <c r="I421" s="276"/>
      <c r="J421" s="490"/>
      <c r="L421" s="470"/>
      <c r="U421" s="471"/>
      <c r="W421" s="491"/>
      <c r="X421" s="479"/>
      <c r="Y421" s="479"/>
      <c r="Z421" s="479"/>
      <c r="AA421" s="479"/>
      <c r="AB421" s="474"/>
      <c r="AC421" s="474"/>
    </row>
    <row r="422" ht="15.75" customHeight="1">
      <c r="A422" s="265"/>
      <c r="B422" s="266"/>
      <c r="C422" s="267"/>
      <c r="D422" s="268"/>
      <c r="E422" s="269"/>
      <c r="F422" s="489"/>
      <c r="G422" s="388"/>
      <c r="H422" s="272"/>
      <c r="I422" s="276"/>
      <c r="J422" s="490"/>
      <c r="L422" s="470"/>
      <c r="U422" s="471"/>
      <c r="W422" s="491"/>
      <c r="X422" s="479"/>
      <c r="Y422" s="479"/>
      <c r="Z422" s="479"/>
      <c r="AA422" s="479"/>
      <c r="AB422" s="474"/>
      <c r="AC422" s="474"/>
    </row>
    <row r="423" ht="15.75" customHeight="1">
      <c r="A423" s="265"/>
      <c r="B423" s="266"/>
      <c r="C423" s="267"/>
      <c r="D423" s="268"/>
      <c r="E423" s="269"/>
      <c r="F423" s="489"/>
      <c r="G423" s="388"/>
      <c r="H423" s="272"/>
      <c r="I423" s="276"/>
      <c r="J423" s="490"/>
      <c r="L423" s="470"/>
      <c r="U423" s="471"/>
      <c r="W423" s="491"/>
      <c r="X423" s="479"/>
      <c r="Y423" s="479"/>
      <c r="Z423" s="479"/>
      <c r="AA423" s="479"/>
      <c r="AB423" s="474"/>
      <c r="AC423" s="474"/>
    </row>
    <row r="424" ht="15.75" customHeight="1">
      <c r="A424" s="265"/>
      <c r="B424" s="266"/>
      <c r="C424" s="267"/>
      <c r="D424" s="268"/>
      <c r="E424" s="269"/>
      <c r="F424" s="489"/>
      <c r="G424" s="388"/>
      <c r="H424" s="272"/>
      <c r="I424" s="276"/>
      <c r="J424" s="490"/>
      <c r="L424" s="470"/>
      <c r="U424" s="471"/>
      <c r="W424" s="491"/>
      <c r="X424" s="479"/>
      <c r="Y424" s="479"/>
      <c r="Z424" s="479"/>
      <c r="AA424" s="479"/>
      <c r="AB424" s="474"/>
      <c r="AC424" s="474"/>
    </row>
    <row r="425" ht="15.75" customHeight="1">
      <c r="A425" s="265"/>
      <c r="B425" s="266"/>
      <c r="C425" s="267"/>
      <c r="D425" s="268"/>
      <c r="E425" s="269"/>
      <c r="F425" s="489"/>
      <c r="G425" s="388"/>
      <c r="H425" s="272"/>
      <c r="I425" s="276"/>
      <c r="J425" s="490"/>
      <c r="L425" s="470"/>
      <c r="U425" s="471"/>
      <c r="W425" s="491"/>
      <c r="X425" s="479"/>
      <c r="Y425" s="479"/>
      <c r="Z425" s="479"/>
      <c r="AA425" s="479"/>
      <c r="AB425" s="474"/>
      <c r="AC425" s="474"/>
    </row>
    <row r="426" ht="15.75" customHeight="1">
      <c r="A426" s="265"/>
      <c r="B426" s="266"/>
      <c r="C426" s="267"/>
      <c r="D426" s="268"/>
      <c r="E426" s="269"/>
      <c r="F426" s="489"/>
      <c r="G426" s="388"/>
      <c r="H426" s="272"/>
      <c r="I426" s="276"/>
      <c r="J426" s="490"/>
      <c r="L426" s="470"/>
      <c r="U426" s="471"/>
      <c r="W426" s="491"/>
      <c r="X426" s="479"/>
      <c r="Y426" s="479"/>
      <c r="Z426" s="479"/>
      <c r="AA426" s="479"/>
      <c r="AB426" s="474"/>
      <c r="AC426" s="474"/>
    </row>
    <row r="427" ht="15.75" customHeight="1">
      <c r="A427" s="265"/>
      <c r="B427" s="266"/>
      <c r="C427" s="267"/>
      <c r="D427" s="268"/>
      <c r="E427" s="269"/>
      <c r="F427" s="489"/>
      <c r="G427" s="388"/>
      <c r="H427" s="272"/>
      <c r="I427" s="276"/>
      <c r="J427" s="490"/>
      <c r="L427" s="470"/>
      <c r="U427" s="471"/>
      <c r="W427" s="491"/>
      <c r="X427" s="479"/>
      <c r="Y427" s="479"/>
      <c r="Z427" s="479"/>
      <c r="AA427" s="479"/>
      <c r="AB427" s="474"/>
      <c r="AC427" s="474"/>
    </row>
    <row r="428" ht="15.75" customHeight="1">
      <c r="A428" s="265"/>
      <c r="B428" s="266"/>
      <c r="C428" s="267"/>
      <c r="D428" s="268"/>
      <c r="E428" s="269"/>
      <c r="F428" s="489"/>
      <c r="G428" s="388"/>
      <c r="H428" s="272"/>
      <c r="I428" s="276"/>
      <c r="J428" s="490"/>
      <c r="L428" s="470"/>
      <c r="U428" s="471"/>
      <c r="W428" s="491"/>
      <c r="X428" s="479"/>
      <c r="Y428" s="479"/>
      <c r="Z428" s="479"/>
      <c r="AA428" s="479"/>
      <c r="AB428" s="474"/>
      <c r="AC428" s="474"/>
    </row>
    <row r="429" ht="15.75" customHeight="1">
      <c r="A429" s="265"/>
      <c r="B429" s="266"/>
      <c r="C429" s="267"/>
      <c r="D429" s="268"/>
      <c r="E429" s="269"/>
      <c r="F429" s="489"/>
      <c r="G429" s="388"/>
      <c r="H429" s="272"/>
      <c r="I429" s="276"/>
      <c r="J429" s="490"/>
      <c r="L429" s="470"/>
      <c r="U429" s="471"/>
      <c r="W429" s="491"/>
      <c r="X429" s="479"/>
      <c r="Y429" s="479"/>
      <c r="Z429" s="479"/>
      <c r="AA429" s="479"/>
      <c r="AB429" s="474"/>
      <c r="AC429" s="474"/>
    </row>
    <row r="430" ht="15.75" customHeight="1">
      <c r="A430" s="265"/>
      <c r="B430" s="266"/>
      <c r="C430" s="267"/>
      <c r="D430" s="268"/>
      <c r="E430" s="269"/>
      <c r="F430" s="489"/>
      <c r="G430" s="388"/>
      <c r="H430" s="272"/>
      <c r="I430" s="276"/>
      <c r="J430" s="490"/>
      <c r="L430" s="470"/>
      <c r="U430" s="471"/>
      <c r="W430" s="491"/>
      <c r="X430" s="479"/>
      <c r="Y430" s="479"/>
      <c r="Z430" s="479"/>
      <c r="AA430" s="479"/>
      <c r="AB430" s="474"/>
      <c r="AC430" s="474"/>
    </row>
    <row r="431" ht="15.75" customHeight="1">
      <c r="A431" s="265"/>
      <c r="B431" s="266"/>
      <c r="C431" s="267"/>
      <c r="D431" s="268"/>
      <c r="E431" s="269"/>
      <c r="F431" s="489"/>
      <c r="G431" s="388"/>
      <c r="H431" s="272"/>
      <c r="I431" s="276"/>
      <c r="J431" s="490"/>
      <c r="L431" s="470"/>
      <c r="U431" s="471"/>
      <c r="W431" s="491"/>
      <c r="X431" s="479"/>
      <c r="Y431" s="479"/>
      <c r="Z431" s="479"/>
      <c r="AA431" s="479"/>
      <c r="AB431" s="474"/>
      <c r="AC431" s="474"/>
    </row>
    <row r="432" ht="15.75" customHeight="1">
      <c r="A432" s="265"/>
      <c r="B432" s="266"/>
      <c r="C432" s="267"/>
      <c r="D432" s="268"/>
      <c r="E432" s="269"/>
      <c r="F432" s="489"/>
      <c r="G432" s="388"/>
      <c r="H432" s="272"/>
      <c r="I432" s="276"/>
      <c r="J432" s="490"/>
      <c r="L432" s="470"/>
      <c r="U432" s="471"/>
      <c r="W432" s="491"/>
      <c r="X432" s="479"/>
      <c r="Y432" s="479"/>
      <c r="Z432" s="479"/>
      <c r="AA432" s="479"/>
      <c r="AB432" s="474"/>
      <c r="AC432" s="474"/>
    </row>
    <row r="433" ht="15.75" customHeight="1">
      <c r="A433" s="265"/>
      <c r="B433" s="266"/>
      <c r="C433" s="267"/>
      <c r="D433" s="268"/>
      <c r="E433" s="269"/>
      <c r="F433" s="489"/>
      <c r="G433" s="388"/>
      <c r="H433" s="272"/>
      <c r="I433" s="276"/>
      <c r="J433" s="490"/>
      <c r="L433" s="470"/>
      <c r="U433" s="471"/>
      <c r="W433" s="491"/>
      <c r="X433" s="479"/>
      <c r="Y433" s="479"/>
      <c r="Z433" s="479"/>
      <c r="AA433" s="479"/>
      <c r="AB433" s="474"/>
      <c r="AC433" s="474"/>
    </row>
    <row r="434" ht="15.75" customHeight="1">
      <c r="A434" s="265"/>
      <c r="B434" s="266"/>
      <c r="C434" s="267"/>
      <c r="D434" s="268"/>
      <c r="E434" s="269"/>
      <c r="F434" s="489"/>
      <c r="G434" s="388"/>
      <c r="H434" s="272"/>
      <c r="I434" s="276"/>
      <c r="J434" s="490"/>
      <c r="L434" s="470"/>
      <c r="U434" s="471"/>
      <c r="W434" s="491"/>
      <c r="X434" s="479"/>
      <c r="Y434" s="479"/>
      <c r="Z434" s="479"/>
      <c r="AA434" s="479"/>
      <c r="AB434" s="474"/>
      <c r="AC434" s="474"/>
    </row>
    <row r="435" ht="15.75" customHeight="1">
      <c r="A435" s="265"/>
      <c r="B435" s="266"/>
      <c r="C435" s="267"/>
      <c r="D435" s="268"/>
      <c r="E435" s="269"/>
      <c r="F435" s="489"/>
      <c r="G435" s="388"/>
      <c r="H435" s="272"/>
      <c r="I435" s="276"/>
      <c r="J435" s="490"/>
      <c r="L435" s="470"/>
      <c r="U435" s="471"/>
      <c r="W435" s="491"/>
      <c r="X435" s="479"/>
      <c r="Y435" s="479"/>
      <c r="Z435" s="479"/>
      <c r="AA435" s="479"/>
      <c r="AB435" s="474"/>
      <c r="AC435" s="474"/>
    </row>
    <row r="436" ht="15.75" customHeight="1">
      <c r="A436" s="265"/>
      <c r="B436" s="266"/>
      <c r="C436" s="267"/>
      <c r="D436" s="268"/>
      <c r="E436" s="269"/>
      <c r="F436" s="489"/>
      <c r="G436" s="388"/>
      <c r="H436" s="272"/>
      <c r="I436" s="276"/>
      <c r="J436" s="490"/>
      <c r="L436" s="470"/>
      <c r="U436" s="471"/>
      <c r="W436" s="491"/>
      <c r="X436" s="479"/>
      <c r="Y436" s="479"/>
      <c r="Z436" s="479"/>
      <c r="AA436" s="479"/>
      <c r="AB436" s="474"/>
      <c r="AC436" s="474"/>
    </row>
    <row r="437" ht="15.75" customHeight="1">
      <c r="A437" s="265"/>
      <c r="B437" s="266"/>
      <c r="C437" s="267"/>
      <c r="D437" s="268"/>
      <c r="E437" s="269"/>
      <c r="F437" s="489"/>
      <c r="G437" s="388"/>
      <c r="H437" s="272"/>
      <c r="I437" s="276"/>
      <c r="J437" s="490"/>
      <c r="L437" s="470"/>
      <c r="U437" s="471"/>
      <c r="W437" s="491"/>
      <c r="X437" s="479"/>
      <c r="Y437" s="479"/>
      <c r="Z437" s="479"/>
      <c r="AA437" s="479"/>
      <c r="AB437" s="474"/>
      <c r="AC437" s="474"/>
    </row>
    <row r="438" ht="15.75" customHeight="1">
      <c r="A438" s="265"/>
      <c r="B438" s="266"/>
      <c r="C438" s="267"/>
      <c r="D438" s="268"/>
      <c r="E438" s="269"/>
      <c r="F438" s="489"/>
      <c r="G438" s="388"/>
      <c r="H438" s="272"/>
      <c r="I438" s="276"/>
      <c r="J438" s="490"/>
      <c r="L438" s="470"/>
      <c r="U438" s="471"/>
      <c r="W438" s="491"/>
      <c r="X438" s="479"/>
      <c r="Y438" s="479"/>
      <c r="Z438" s="479"/>
      <c r="AA438" s="479"/>
      <c r="AB438" s="474"/>
      <c r="AC438" s="474"/>
    </row>
    <row r="439" ht="15.75" customHeight="1">
      <c r="A439" s="265"/>
      <c r="B439" s="266"/>
      <c r="C439" s="267"/>
      <c r="D439" s="268"/>
      <c r="E439" s="269"/>
      <c r="F439" s="489"/>
      <c r="G439" s="388"/>
      <c r="H439" s="272"/>
      <c r="I439" s="276"/>
      <c r="J439" s="490"/>
      <c r="L439" s="470"/>
      <c r="U439" s="471"/>
      <c r="W439" s="491"/>
      <c r="X439" s="479"/>
      <c r="Y439" s="479"/>
      <c r="Z439" s="479"/>
      <c r="AA439" s="479"/>
      <c r="AB439" s="474"/>
      <c r="AC439" s="474"/>
    </row>
    <row r="440" ht="15.75" customHeight="1">
      <c r="A440" s="265"/>
      <c r="B440" s="266"/>
      <c r="C440" s="267"/>
      <c r="D440" s="268"/>
      <c r="E440" s="269"/>
      <c r="F440" s="489"/>
      <c r="G440" s="388"/>
      <c r="H440" s="272"/>
      <c r="I440" s="276"/>
      <c r="J440" s="490"/>
      <c r="L440" s="470"/>
      <c r="U440" s="471"/>
      <c r="W440" s="491"/>
      <c r="X440" s="479"/>
      <c r="Y440" s="479"/>
      <c r="Z440" s="479"/>
      <c r="AA440" s="479"/>
      <c r="AB440" s="474"/>
      <c r="AC440" s="474"/>
    </row>
    <row r="441" ht="15.75" customHeight="1">
      <c r="A441" s="265"/>
      <c r="B441" s="266"/>
      <c r="C441" s="267"/>
      <c r="D441" s="268"/>
      <c r="E441" s="269"/>
      <c r="F441" s="489"/>
      <c r="G441" s="388"/>
      <c r="H441" s="272"/>
      <c r="I441" s="276"/>
      <c r="J441" s="490"/>
      <c r="L441" s="470"/>
      <c r="U441" s="471"/>
      <c r="W441" s="491"/>
      <c r="X441" s="479"/>
      <c r="Y441" s="479"/>
      <c r="Z441" s="479"/>
      <c r="AA441" s="479"/>
      <c r="AB441" s="474"/>
      <c r="AC441" s="474"/>
    </row>
    <row r="442" ht="15.75" customHeight="1">
      <c r="A442" s="265"/>
      <c r="B442" s="266"/>
      <c r="C442" s="267"/>
      <c r="D442" s="268"/>
      <c r="E442" s="269"/>
      <c r="F442" s="489"/>
      <c r="G442" s="388"/>
      <c r="H442" s="272"/>
      <c r="I442" s="276"/>
      <c r="J442" s="490"/>
      <c r="L442" s="470"/>
      <c r="U442" s="471"/>
      <c r="W442" s="491"/>
      <c r="X442" s="479"/>
      <c r="Y442" s="479"/>
      <c r="Z442" s="479"/>
      <c r="AA442" s="479"/>
      <c r="AB442" s="474"/>
      <c r="AC442" s="474"/>
    </row>
    <row r="443" ht="15.75" customHeight="1">
      <c r="A443" s="265"/>
      <c r="B443" s="266"/>
      <c r="C443" s="267"/>
      <c r="D443" s="268"/>
      <c r="E443" s="269"/>
      <c r="F443" s="489"/>
      <c r="G443" s="388"/>
      <c r="H443" s="272"/>
      <c r="I443" s="276"/>
      <c r="J443" s="490"/>
      <c r="L443" s="470"/>
      <c r="U443" s="471"/>
      <c r="W443" s="491"/>
      <c r="X443" s="479"/>
      <c r="Y443" s="479"/>
      <c r="Z443" s="479"/>
      <c r="AA443" s="479"/>
      <c r="AB443" s="474"/>
      <c r="AC443" s="474"/>
    </row>
    <row r="444" ht="15.75" customHeight="1">
      <c r="A444" s="265"/>
      <c r="B444" s="266"/>
      <c r="C444" s="267"/>
      <c r="D444" s="268"/>
      <c r="E444" s="269"/>
      <c r="F444" s="489"/>
      <c r="G444" s="388"/>
      <c r="H444" s="272"/>
      <c r="I444" s="276"/>
      <c r="J444" s="490"/>
      <c r="L444" s="470"/>
      <c r="U444" s="471"/>
      <c r="W444" s="491"/>
      <c r="X444" s="479"/>
      <c r="Y444" s="479"/>
      <c r="Z444" s="479"/>
      <c r="AA444" s="479"/>
      <c r="AB444" s="474"/>
      <c r="AC444" s="474"/>
    </row>
    <row r="445" ht="15.75" customHeight="1">
      <c r="A445" s="265"/>
      <c r="B445" s="266"/>
      <c r="C445" s="267"/>
      <c r="D445" s="268"/>
      <c r="E445" s="269"/>
      <c r="F445" s="489"/>
      <c r="G445" s="388"/>
      <c r="H445" s="272"/>
      <c r="I445" s="276"/>
      <c r="J445" s="490"/>
      <c r="L445" s="470"/>
      <c r="U445" s="471"/>
      <c r="W445" s="491"/>
      <c r="X445" s="479"/>
      <c r="Y445" s="479"/>
      <c r="Z445" s="479"/>
      <c r="AA445" s="479"/>
      <c r="AB445" s="474"/>
      <c r="AC445" s="474"/>
    </row>
    <row r="446" ht="15.75" customHeight="1">
      <c r="A446" s="265"/>
      <c r="B446" s="266"/>
      <c r="C446" s="267"/>
      <c r="D446" s="268"/>
      <c r="E446" s="269"/>
      <c r="F446" s="489"/>
      <c r="G446" s="388"/>
      <c r="H446" s="272"/>
      <c r="I446" s="276"/>
      <c r="J446" s="490"/>
      <c r="L446" s="470"/>
      <c r="U446" s="471"/>
      <c r="W446" s="491"/>
      <c r="X446" s="479"/>
      <c r="Y446" s="479"/>
      <c r="Z446" s="479"/>
      <c r="AA446" s="479"/>
      <c r="AB446" s="474"/>
      <c r="AC446" s="474"/>
    </row>
    <row r="447" ht="15.75" customHeight="1">
      <c r="A447" s="265"/>
      <c r="B447" s="266"/>
      <c r="C447" s="267"/>
      <c r="D447" s="268"/>
      <c r="E447" s="269"/>
      <c r="F447" s="489"/>
      <c r="G447" s="388"/>
      <c r="H447" s="272"/>
      <c r="I447" s="276"/>
      <c r="J447" s="490"/>
      <c r="L447" s="470"/>
      <c r="U447" s="471"/>
      <c r="W447" s="491"/>
      <c r="X447" s="479"/>
      <c r="Y447" s="479"/>
      <c r="Z447" s="479"/>
      <c r="AA447" s="479"/>
      <c r="AB447" s="474"/>
      <c r="AC447" s="474"/>
    </row>
    <row r="448" ht="15.75" customHeight="1">
      <c r="A448" s="265"/>
      <c r="B448" s="266"/>
      <c r="C448" s="267"/>
      <c r="D448" s="268"/>
      <c r="E448" s="269"/>
      <c r="F448" s="489"/>
      <c r="G448" s="388"/>
      <c r="H448" s="272"/>
      <c r="I448" s="276"/>
      <c r="J448" s="490"/>
      <c r="L448" s="470"/>
      <c r="U448" s="471"/>
      <c r="W448" s="491"/>
      <c r="X448" s="479"/>
      <c r="Y448" s="479"/>
      <c r="Z448" s="479"/>
      <c r="AA448" s="479"/>
      <c r="AB448" s="474"/>
      <c r="AC448" s="474"/>
    </row>
    <row r="449" ht="15.75" customHeight="1">
      <c r="A449" s="265"/>
      <c r="B449" s="266"/>
      <c r="C449" s="267"/>
      <c r="D449" s="268"/>
      <c r="E449" s="269"/>
      <c r="F449" s="489"/>
      <c r="G449" s="388"/>
      <c r="H449" s="272"/>
      <c r="I449" s="276"/>
      <c r="J449" s="490"/>
      <c r="L449" s="470"/>
      <c r="U449" s="471"/>
      <c r="W449" s="491"/>
      <c r="X449" s="479"/>
      <c r="Y449" s="479"/>
      <c r="Z449" s="479"/>
      <c r="AA449" s="479"/>
      <c r="AB449" s="474"/>
      <c r="AC449" s="474"/>
    </row>
    <row r="450" ht="15.75" customHeight="1">
      <c r="A450" s="265"/>
      <c r="B450" s="266"/>
      <c r="C450" s="267"/>
      <c r="D450" s="268"/>
      <c r="E450" s="269"/>
      <c r="F450" s="489"/>
      <c r="G450" s="388"/>
      <c r="H450" s="272"/>
      <c r="I450" s="276"/>
      <c r="J450" s="490"/>
      <c r="L450" s="470"/>
      <c r="U450" s="471"/>
      <c r="W450" s="491"/>
      <c r="X450" s="479"/>
      <c r="Y450" s="479"/>
      <c r="Z450" s="479"/>
      <c r="AA450" s="479"/>
      <c r="AB450" s="474"/>
      <c r="AC450" s="474"/>
    </row>
    <row r="451" ht="15.75" customHeight="1">
      <c r="A451" s="265"/>
      <c r="B451" s="266"/>
      <c r="C451" s="267"/>
      <c r="D451" s="268"/>
      <c r="E451" s="269"/>
      <c r="F451" s="489"/>
      <c r="G451" s="388"/>
      <c r="H451" s="272"/>
      <c r="I451" s="276"/>
      <c r="J451" s="490"/>
      <c r="L451" s="470"/>
      <c r="U451" s="471"/>
      <c r="W451" s="491"/>
      <c r="X451" s="479"/>
      <c r="Y451" s="479"/>
      <c r="Z451" s="479"/>
      <c r="AA451" s="479"/>
      <c r="AB451" s="474"/>
      <c r="AC451" s="474"/>
    </row>
    <row r="452" ht="15.75" customHeight="1">
      <c r="A452" s="265"/>
      <c r="B452" s="266"/>
      <c r="C452" s="267"/>
      <c r="D452" s="268"/>
      <c r="E452" s="269"/>
      <c r="F452" s="489"/>
      <c r="G452" s="388"/>
      <c r="H452" s="272"/>
      <c r="I452" s="276"/>
      <c r="J452" s="490"/>
      <c r="L452" s="470"/>
      <c r="U452" s="471"/>
      <c r="W452" s="491"/>
      <c r="X452" s="479"/>
      <c r="Y452" s="479"/>
      <c r="Z452" s="479"/>
      <c r="AA452" s="479"/>
      <c r="AB452" s="474"/>
      <c r="AC452" s="474"/>
    </row>
    <row r="453" ht="15.75" customHeight="1">
      <c r="A453" s="265"/>
      <c r="B453" s="266"/>
      <c r="C453" s="267"/>
      <c r="D453" s="268"/>
      <c r="E453" s="269"/>
      <c r="F453" s="489"/>
      <c r="G453" s="388"/>
      <c r="H453" s="272"/>
      <c r="I453" s="276"/>
      <c r="J453" s="490"/>
      <c r="L453" s="470"/>
      <c r="U453" s="471"/>
      <c r="W453" s="491"/>
      <c r="X453" s="479"/>
      <c r="Y453" s="479"/>
      <c r="Z453" s="479"/>
      <c r="AA453" s="479"/>
      <c r="AB453" s="474"/>
      <c r="AC453" s="474"/>
    </row>
    <row r="454" ht="15.75" customHeight="1">
      <c r="A454" s="265"/>
      <c r="B454" s="266"/>
      <c r="C454" s="267"/>
      <c r="D454" s="268"/>
      <c r="E454" s="269"/>
      <c r="F454" s="489"/>
      <c r="G454" s="388"/>
      <c r="H454" s="272"/>
      <c r="I454" s="276"/>
      <c r="J454" s="490"/>
      <c r="L454" s="470"/>
      <c r="U454" s="471"/>
      <c r="W454" s="491"/>
      <c r="X454" s="479"/>
      <c r="Y454" s="479"/>
      <c r="Z454" s="479"/>
      <c r="AA454" s="479"/>
      <c r="AB454" s="474"/>
      <c r="AC454" s="474"/>
    </row>
    <row r="455" ht="15.75" customHeight="1">
      <c r="A455" s="265"/>
      <c r="B455" s="266"/>
      <c r="C455" s="267"/>
      <c r="D455" s="268"/>
      <c r="E455" s="269"/>
      <c r="F455" s="489"/>
      <c r="G455" s="388"/>
      <c r="H455" s="272"/>
      <c r="I455" s="276"/>
      <c r="J455" s="490"/>
      <c r="L455" s="470"/>
      <c r="U455" s="471"/>
      <c r="W455" s="491"/>
      <c r="X455" s="479"/>
      <c r="Y455" s="479"/>
      <c r="Z455" s="479"/>
      <c r="AA455" s="479"/>
      <c r="AB455" s="474"/>
      <c r="AC455" s="474"/>
    </row>
    <row r="456" ht="15.75" customHeight="1">
      <c r="A456" s="265"/>
      <c r="B456" s="266"/>
      <c r="C456" s="267"/>
      <c r="D456" s="268"/>
      <c r="E456" s="269"/>
      <c r="F456" s="489"/>
      <c r="G456" s="388"/>
      <c r="H456" s="272"/>
      <c r="I456" s="276"/>
      <c r="J456" s="490"/>
      <c r="L456" s="470"/>
      <c r="U456" s="471"/>
      <c r="W456" s="491"/>
      <c r="X456" s="479"/>
      <c r="Y456" s="479"/>
      <c r="Z456" s="479"/>
      <c r="AA456" s="479"/>
      <c r="AB456" s="474"/>
      <c r="AC456" s="474"/>
    </row>
    <row r="457" ht="15.75" customHeight="1">
      <c r="A457" s="265"/>
      <c r="B457" s="266"/>
      <c r="C457" s="267"/>
      <c r="D457" s="268"/>
      <c r="E457" s="269"/>
      <c r="F457" s="489"/>
      <c r="G457" s="388"/>
      <c r="H457" s="272"/>
      <c r="I457" s="276"/>
      <c r="J457" s="490"/>
      <c r="L457" s="470"/>
      <c r="U457" s="471"/>
      <c r="W457" s="491"/>
      <c r="X457" s="479"/>
      <c r="Y457" s="479"/>
      <c r="Z457" s="479"/>
      <c r="AA457" s="479"/>
      <c r="AB457" s="474"/>
      <c r="AC457" s="474"/>
    </row>
    <row r="458" ht="15.75" customHeight="1">
      <c r="A458" s="265"/>
      <c r="B458" s="266"/>
      <c r="C458" s="267"/>
      <c r="D458" s="268"/>
      <c r="E458" s="269"/>
      <c r="F458" s="489"/>
      <c r="G458" s="388"/>
      <c r="H458" s="272"/>
      <c r="I458" s="276"/>
      <c r="J458" s="490"/>
      <c r="L458" s="470"/>
      <c r="U458" s="471"/>
      <c r="W458" s="491"/>
      <c r="X458" s="479"/>
      <c r="Y458" s="479"/>
      <c r="Z458" s="479"/>
      <c r="AA458" s="479"/>
      <c r="AB458" s="474"/>
      <c r="AC458" s="474"/>
    </row>
    <row r="459" ht="15.75" customHeight="1">
      <c r="A459" s="265"/>
      <c r="B459" s="266"/>
      <c r="C459" s="267"/>
      <c r="D459" s="268"/>
      <c r="E459" s="269"/>
      <c r="F459" s="489"/>
      <c r="G459" s="388"/>
      <c r="H459" s="272"/>
      <c r="I459" s="276"/>
      <c r="J459" s="490"/>
      <c r="L459" s="470"/>
      <c r="U459" s="471"/>
      <c r="W459" s="491"/>
      <c r="X459" s="479"/>
      <c r="Y459" s="479"/>
      <c r="Z459" s="479"/>
      <c r="AA459" s="479"/>
      <c r="AB459" s="474"/>
      <c r="AC459" s="474"/>
    </row>
    <row r="460" ht="15.75" customHeight="1">
      <c r="A460" s="265"/>
      <c r="B460" s="266"/>
      <c r="C460" s="267"/>
      <c r="D460" s="268"/>
      <c r="E460" s="269"/>
      <c r="F460" s="489"/>
      <c r="G460" s="388"/>
      <c r="H460" s="272"/>
      <c r="I460" s="276"/>
      <c r="J460" s="490"/>
      <c r="L460" s="470"/>
      <c r="U460" s="471"/>
      <c r="W460" s="491"/>
      <c r="X460" s="479"/>
      <c r="Y460" s="479"/>
      <c r="Z460" s="479"/>
      <c r="AA460" s="479"/>
      <c r="AB460" s="474"/>
      <c r="AC460" s="474"/>
    </row>
    <row r="461" ht="15.75" customHeight="1">
      <c r="A461" s="265"/>
      <c r="B461" s="266"/>
      <c r="C461" s="267"/>
      <c r="D461" s="268"/>
      <c r="E461" s="269"/>
      <c r="F461" s="489"/>
      <c r="G461" s="388"/>
      <c r="H461" s="272"/>
      <c r="I461" s="276"/>
      <c r="J461" s="490"/>
      <c r="L461" s="470"/>
      <c r="U461" s="471"/>
      <c r="W461" s="491"/>
      <c r="X461" s="479"/>
      <c r="Y461" s="479"/>
      <c r="Z461" s="479"/>
      <c r="AA461" s="479"/>
      <c r="AB461" s="474"/>
      <c r="AC461" s="474"/>
    </row>
    <row r="462" ht="15.75" customHeight="1">
      <c r="A462" s="265"/>
      <c r="B462" s="266"/>
      <c r="C462" s="267"/>
      <c r="D462" s="268"/>
      <c r="E462" s="269"/>
      <c r="F462" s="489"/>
      <c r="G462" s="388"/>
      <c r="H462" s="272"/>
      <c r="I462" s="276"/>
      <c r="J462" s="490"/>
      <c r="L462" s="470"/>
      <c r="U462" s="471"/>
      <c r="W462" s="491"/>
      <c r="X462" s="479"/>
      <c r="Y462" s="479"/>
      <c r="Z462" s="479"/>
      <c r="AA462" s="479"/>
      <c r="AB462" s="474"/>
      <c r="AC462" s="474"/>
    </row>
    <row r="463" ht="15.75" customHeight="1">
      <c r="A463" s="265"/>
      <c r="B463" s="266"/>
      <c r="C463" s="267"/>
      <c r="D463" s="268"/>
      <c r="E463" s="269"/>
      <c r="F463" s="489"/>
      <c r="G463" s="388"/>
      <c r="H463" s="272"/>
      <c r="I463" s="276"/>
      <c r="J463" s="490"/>
      <c r="L463" s="470"/>
      <c r="U463" s="471"/>
      <c r="W463" s="491"/>
      <c r="X463" s="479"/>
      <c r="Y463" s="479"/>
      <c r="Z463" s="479"/>
      <c r="AA463" s="479"/>
      <c r="AB463" s="474"/>
      <c r="AC463" s="474"/>
    </row>
    <row r="464" ht="15.75" customHeight="1">
      <c r="A464" s="265"/>
      <c r="B464" s="266"/>
      <c r="C464" s="267"/>
      <c r="D464" s="268"/>
      <c r="E464" s="269"/>
      <c r="F464" s="489"/>
      <c r="G464" s="388"/>
      <c r="H464" s="272"/>
      <c r="I464" s="276"/>
      <c r="J464" s="490"/>
      <c r="L464" s="470"/>
      <c r="U464" s="471"/>
      <c r="W464" s="491"/>
      <c r="X464" s="479"/>
      <c r="Y464" s="479"/>
      <c r="Z464" s="479"/>
      <c r="AA464" s="479"/>
      <c r="AB464" s="474"/>
      <c r="AC464" s="474"/>
    </row>
    <row r="465" ht="15.75" customHeight="1">
      <c r="A465" s="265"/>
      <c r="B465" s="266"/>
      <c r="C465" s="267"/>
      <c r="D465" s="268"/>
      <c r="E465" s="269"/>
      <c r="F465" s="489"/>
      <c r="G465" s="388"/>
      <c r="H465" s="272"/>
      <c r="I465" s="276"/>
      <c r="J465" s="490"/>
      <c r="L465" s="470"/>
      <c r="U465" s="471"/>
      <c r="W465" s="491"/>
      <c r="X465" s="479"/>
      <c r="Y465" s="479"/>
      <c r="Z465" s="479"/>
      <c r="AA465" s="479"/>
      <c r="AB465" s="474"/>
      <c r="AC465" s="474"/>
    </row>
    <row r="466" ht="15.75" customHeight="1">
      <c r="A466" s="265"/>
      <c r="B466" s="266"/>
      <c r="C466" s="267"/>
      <c r="D466" s="268"/>
      <c r="E466" s="269"/>
      <c r="F466" s="489"/>
      <c r="G466" s="388"/>
      <c r="H466" s="272"/>
      <c r="I466" s="276"/>
      <c r="J466" s="490"/>
      <c r="L466" s="470"/>
      <c r="U466" s="471"/>
      <c r="W466" s="491"/>
      <c r="X466" s="479"/>
      <c r="Y466" s="479"/>
      <c r="Z466" s="479"/>
      <c r="AA466" s="479"/>
      <c r="AB466" s="474"/>
      <c r="AC466" s="474"/>
    </row>
    <row r="467" ht="15.75" customHeight="1">
      <c r="A467" s="265"/>
      <c r="B467" s="266"/>
      <c r="C467" s="267"/>
      <c r="D467" s="268"/>
      <c r="E467" s="269"/>
      <c r="F467" s="489"/>
      <c r="G467" s="388"/>
      <c r="H467" s="272"/>
      <c r="I467" s="276"/>
      <c r="J467" s="490"/>
      <c r="L467" s="470"/>
      <c r="U467" s="471"/>
      <c r="W467" s="491"/>
      <c r="X467" s="479"/>
      <c r="Y467" s="479"/>
      <c r="Z467" s="479"/>
      <c r="AA467" s="479"/>
      <c r="AB467" s="474"/>
      <c r="AC467" s="474"/>
    </row>
    <row r="468" ht="15.75" customHeight="1">
      <c r="A468" s="265"/>
      <c r="B468" s="266"/>
      <c r="C468" s="267"/>
      <c r="D468" s="268"/>
      <c r="E468" s="269"/>
      <c r="F468" s="489"/>
      <c r="G468" s="388"/>
      <c r="H468" s="272"/>
      <c r="I468" s="276"/>
      <c r="J468" s="490"/>
      <c r="L468" s="470"/>
      <c r="U468" s="471"/>
      <c r="W468" s="491"/>
      <c r="X468" s="479"/>
      <c r="Y468" s="479"/>
      <c r="Z468" s="479"/>
      <c r="AA468" s="479"/>
      <c r="AB468" s="474"/>
      <c r="AC468" s="474"/>
    </row>
    <row r="469" ht="15.75" customHeight="1">
      <c r="A469" s="265"/>
      <c r="B469" s="266"/>
      <c r="C469" s="267"/>
      <c r="D469" s="268"/>
      <c r="E469" s="269"/>
      <c r="F469" s="489"/>
      <c r="G469" s="388"/>
      <c r="H469" s="272"/>
      <c r="I469" s="276"/>
      <c r="J469" s="490"/>
      <c r="L469" s="470"/>
      <c r="U469" s="471"/>
      <c r="W469" s="491"/>
      <c r="X469" s="479"/>
      <c r="Y469" s="479"/>
      <c r="Z469" s="479"/>
      <c r="AA469" s="479"/>
      <c r="AB469" s="474"/>
      <c r="AC469" s="474"/>
    </row>
    <row r="470" ht="15.75" customHeight="1">
      <c r="A470" s="265"/>
      <c r="B470" s="266"/>
      <c r="C470" s="267"/>
      <c r="D470" s="268"/>
      <c r="E470" s="269"/>
      <c r="F470" s="489"/>
      <c r="G470" s="388"/>
      <c r="H470" s="272"/>
      <c r="I470" s="276"/>
      <c r="J470" s="490"/>
      <c r="L470" s="470"/>
      <c r="U470" s="471"/>
      <c r="W470" s="491"/>
      <c r="X470" s="479"/>
      <c r="Y470" s="479"/>
      <c r="Z470" s="479"/>
      <c r="AA470" s="479"/>
      <c r="AB470" s="474"/>
      <c r="AC470" s="474"/>
    </row>
    <row r="471" ht="15.75" customHeight="1">
      <c r="A471" s="265"/>
      <c r="B471" s="266"/>
      <c r="C471" s="267"/>
      <c r="D471" s="268"/>
      <c r="E471" s="269"/>
      <c r="F471" s="489"/>
      <c r="G471" s="388"/>
      <c r="H471" s="272"/>
      <c r="I471" s="276"/>
      <c r="J471" s="490"/>
      <c r="L471" s="470"/>
      <c r="U471" s="471"/>
      <c r="W471" s="491"/>
      <c r="X471" s="479"/>
      <c r="Y471" s="479"/>
      <c r="Z471" s="479"/>
      <c r="AA471" s="479"/>
      <c r="AB471" s="474"/>
      <c r="AC471" s="474"/>
    </row>
    <row r="472" ht="15.75" customHeight="1">
      <c r="A472" s="265"/>
      <c r="B472" s="266"/>
      <c r="C472" s="267"/>
      <c r="D472" s="268"/>
      <c r="E472" s="269"/>
      <c r="F472" s="489"/>
      <c r="G472" s="388"/>
      <c r="H472" s="272"/>
      <c r="I472" s="276"/>
      <c r="J472" s="490"/>
      <c r="L472" s="470"/>
      <c r="U472" s="471"/>
      <c r="W472" s="491"/>
      <c r="X472" s="479"/>
      <c r="Y472" s="479"/>
      <c r="Z472" s="479"/>
      <c r="AA472" s="479"/>
      <c r="AB472" s="474"/>
      <c r="AC472" s="474"/>
    </row>
    <row r="473" ht="15.75" customHeight="1">
      <c r="A473" s="265"/>
      <c r="B473" s="266"/>
      <c r="C473" s="267"/>
      <c r="D473" s="268"/>
      <c r="E473" s="269"/>
      <c r="F473" s="489"/>
      <c r="G473" s="388"/>
      <c r="H473" s="272"/>
      <c r="I473" s="276"/>
      <c r="J473" s="490"/>
      <c r="L473" s="470"/>
      <c r="U473" s="471"/>
      <c r="W473" s="491"/>
      <c r="X473" s="479"/>
      <c r="Y473" s="479"/>
      <c r="Z473" s="479"/>
      <c r="AA473" s="479"/>
      <c r="AB473" s="474"/>
      <c r="AC473" s="474"/>
    </row>
    <row r="474" ht="15.75" customHeight="1">
      <c r="A474" s="265"/>
      <c r="B474" s="266"/>
      <c r="C474" s="267"/>
      <c r="D474" s="268"/>
      <c r="E474" s="269"/>
      <c r="F474" s="489"/>
      <c r="G474" s="388"/>
      <c r="H474" s="272"/>
      <c r="I474" s="276"/>
      <c r="J474" s="490"/>
      <c r="L474" s="470"/>
      <c r="U474" s="471"/>
      <c r="W474" s="491"/>
      <c r="X474" s="479"/>
      <c r="Y474" s="479"/>
      <c r="Z474" s="479"/>
      <c r="AA474" s="479"/>
      <c r="AB474" s="474"/>
      <c r="AC474" s="474"/>
    </row>
    <row r="475" ht="15.75" customHeight="1">
      <c r="A475" s="265"/>
      <c r="B475" s="266"/>
      <c r="C475" s="267"/>
      <c r="D475" s="268"/>
      <c r="E475" s="269"/>
      <c r="F475" s="489"/>
      <c r="G475" s="388"/>
      <c r="H475" s="272"/>
      <c r="I475" s="276"/>
      <c r="J475" s="490"/>
      <c r="L475" s="470"/>
      <c r="U475" s="471"/>
      <c r="W475" s="491"/>
      <c r="X475" s="479"/>
      <c r="Y475" s="479"/>
      <c r="Z475" s="479"/>
      <c r="AA475" s="479"/>
      <c r="AB475" s="474"/>
      <c r="AC475" s="474"/>
    </row>
    <row r="476" ht="15.75" customHeight="1">
      <c r="A476" s="265"/>
      <c r="B476" s="266"/>
      <c r="C476" s="267"/>
      <c r="D476" s="268"/>
      <c r="E476" s="269"/>
      <c r="F476" s="489"/>
      <c r="G476" s="388"/>
      <c r="H476" s="272"/>
      <c r="I476" s="276"/>
      <c r="J476" s="490"/>
      <c r="L476" s="470"/>
      <c r="U476" s="471"/>
      <c r="W476" s="491"/>
      <c r="X476" s="479"/>
      <c r="Y476" s="479"/>
      <c r="Z476" s="479"/>
      <c r="AA476" s="479"/>
      <c r="AB476" s="474"/>
      <c r="AC476" s="474"/>
    </row>
    <row r="477" ht="15.75" customHeight="1">
      <c r="A477" s="265"/>
      <c r="B477" s="266"/>
      <c r="C477" s="267"/>
      <c r="D477" s="268"/>
      <c r="E477" s="269"/>
      <c r="F477" s="489"/>
      <c r="G477" s="388"/>
      <c r="H477" s="272"/>
      <c r="I477" s="276"/>
      <c r="J477" s="490"/>
      <c r="L477" s="470"/>
      <c r="U477" s="471"/>
      <c r="W477" s="491"/>
      <c r="X477" s="479"/>
      <c r="Y477" s="479"/>
      <c r="Z477" s="479"/>
      <c r="AA477" s="479"/>
      <c r="AB477" s="474"/>
      <c r="AC477" s="474"/>
    </row>
    <row r="478" ht="15.75" customHeight="1">
      <c r="A478" s="265"/>
      <c r="B478" s="266"/>
      <c r="C478" s="267"/>
      <c r="D478" s="268"/>
      <c r="E478" s="269"/>
      <c r="F478" s="489"/>
      <c r="G478" s="388"/>
      <c r="H478" s="272"/>
      <c r="I478" s="276"/>
      <c r="J478" s="490"/>
      <c r="L478" s="470"/>
      <c r="U478" s="471"/>
      <c r="W478" s="491"/>
      <c r="X478" s="479"/>
      <c r="Y478" s="479"/>
      <c r="Z478" s="479"/>
      <c r="AA478" s="479"/>
      <c r="AB478" s="474"/>
      <c r="AC478" s="474"/>
    </row>
    <row r="479" ht="15.75" customHeight="1">
      <c r="A479" s="265"/>
      <c r="B479" s="266"/>
      <c r="C479" s="267"/>
      <c r="D479" s="268"/>
      <c r="E479" s="269"/>
      <c r="F479" s="489"/>
      <c r="G479" s="388"/>
      <c r="H479" s="272"/>
      <c r="I479" s="276"/>
      <c r="J479" s="490"/>
      <c r="L479" s="470"/>
      <c r="U479" s="471"/>
      <c r="W479" s="491"/>
      <c r="X479" s="479"/>
      <c r="Y479" s="479"/>
      <c r="Z479" s="479"/>
      <c r="AA479" s="479"/>
      <c r="AB479" s="474"/>
      <c r="AC479" s="474"/>
    </row>
    <row r="480" ht="15.75" customHeight="1">
      <c r="A480" s="265"/>
      <c r="B480" s="266"/>
      <c r="C480" s="267"/>
      <c r="D480" s="268"/>
      <c r="E480" s="269"/>
      <c r="F480" s="489"/>
      <c r="G480" s="388"/>
      <c r="H480" s="272"/>
      <c r="I480" s="276"/>
      <c r="J480" s="490"/>
      <c r="L480" s="470"/>
      <c r="U480" s="471"/>
      <c r="W480" s="491"/>
      <c r="X480" s="479"/>
      <c r="Y480" s="479"/>
      <c r="Z480" s="479"/>
      <c r="AA480" s="479"/>
      <c r="AB480" s="474"/>
      <c r="AC480" s="474"/>
    </row>
    <row r="481" ht="15.75" customHeight="1">
      <c r="A481" s="265"/>
      <c r="B481" s="266"/>
      <c r="C481" s="267"/>
      <c r="D481" s="268"/>
      <c r="E481" s="269"/>
      <c r="F481" s="489"/>
      <c r="G481" s="388"/>
      <c r="H481" s="272"/>
      <c r="I481" s="276"/>
      <c r="J481" s="490"/>
      <c r="L481" s="470"/>
      <c r="U481" s="471"/>
      <c r="W481" s="491"/>
      <c r="X481" s="479"/>
      <c r="Y481" s="479"/>
      <c r="Z481" s="479"/>
      <c r="AA481" s="479"/>
      <c r="AB481" s="474"/>
      <c r="AC481" s="474"/>
    </row>
    <row r="482" ht="15.75" customHeight="1">
      <c r="A482" s="265"/>
      <c r="B482" s="266"/>
      <c r="C482" s="267"/>
      <c r="D482" s="268"/>
      <c r="E482" s="269"/>
      <c r="F482" s="489"/>
      <c r="G482" s="388"/>
      <c r="H482" s="272"/>
      <c r="I482" s="276"/>
      <c r="J482" s="490"/>
      <c r="L482" s="470"/>
      <c r="U482" s="471"/>
      <c r="W482" s="491"/>
      <c r="X482" s="479"/>
      <c r="Y482" s="479"/>
      <c r="Z482" s="479"/>
      <c r="AA482" s="479"/>
      <c r="AB482" s="474"/>
      <c r="AC482" s="474"/>
    </row>
    <row r="483" ht="15.75" customHeight="1">
      <c r="A483" s="265"/>
      <c r="B483" s="266"/>
      <c r="C483" s="267"/>
      <c r="D483" s="268"/>
      <c r="E483" s="269"/>
      <c r="F483" s="489"/>
      <c r="G483" s="388"/>
      <c r="H483" s="272"/>
      <c r="I483" s="276"/>
      <c r="J483" s="490"/>
      <c r="L483" s="470"/>
      <c r="U483" s="471"/>
      <c r="W483" s="491"/>
      <c r="X483" s="479"/>
      <c r="Y483" s="479"/>
      <c r="Z483" s="479"/>
      <c r="AA483" s="479"/>
      <c r="AB483" s="474"/>
      <c r="AC483" s="474"/>
    </row>
    <row r="484" ht="15.75" customHeight="1">
      <c r="A484" s="265"/>
      <c r="B484" s="266"/>
      <c r="C484" s="267"/>
      <c r="D484" s="268"/>
      <c r="E484" s="269"/>
      <c r="F484" s="489"/>
      <c r="G484" s="388"/>
      <c r="H484" s="272"/>
      <c r="I484" s="276"/>
      <c r="J484" s="490"/>
      <c r="L484" s="470"/>
      <c r="U484" s="471"/>
      <c r="W484" s="491"/>
      <c r="X484" s="479"/>
      <c r="Y484" s="479"/>
      <c r="Z484" s="479"/>
      <c r="AA484" s="479"/>
      <c r="AB484" s="474"/>
      <c r="AC484" s="474"/>
    </row>
    <row r="485" ht="15.75" customHeight="1">
      <c r="A485" s="265"/>
      <c r="B485" s="266"/>
      <c r="C485" s="267"/>
      <c r="D485" s="268"/>
      <c r="E485" s="269"/>
      <c r="F485" s="489"/>
      <c r="G485" s="388"/>
      <c r="H485" s="272"/>
      <c r="I485" s="276"/>
      <c r="J485" s="490"/>
      <c r="L485" s="470"/>
      <c r="U485" s="471"/>
      <c r="W485" s="491"/>
      <c r="X485" s="479"/>
      <c r="Y485" s="479"/>
      <c r="Z485" s="479"/>
      <c r="AA485" s="479"/>
      <c r="AB485" s="474"/>
      <c r="AC485" s="474"/>
    </row>
    <row r="486" ht="15.75" customHeight="1">
      <c r="A486" s="265"/>
      <c r="B486" s="266"/>
      <c r="C486" s="267"/>
      <c r="D486" s="268"/>
      <c r="E486" s="269"/>
      <c r="F486" s="489"/>
      <c r="G486" s="388"/>
      <c r="H486" s="272"/>
      <c r="I486" s="276"/>
      <c r="J486" s="490"/>
      <c r="L486" s="470"/>
      <c r="U486" s="471"/>
      <c r="W486" s="491"/>
      <c r="X486" s="479"/>
      <c r="Y486" s="479"/>
      <c r="Z486" s="479"/>
      <c r="AA486" s="479"/>
      <c r="AB486" s="474"/>
      <c r="AC486" s="474"/>
    </row>
    <row r="487" ht="15.75" customHeight="1">
      <c r="A487" s="265"/>
      <c r="B487" s="266"/>
      <c r="C487" s="267"/>
      <c r="D487" s="268"/>
      <c r="E487" s="269"/>
      <c r="F487" s="489"/>
      <c r="G487" s="388"/>
      <c r="H487" s="272"/>
      <c r="I487" s="276"/>
      <c r="J487" s="490"/>
      <c r="L487" s="470"/>
      <c r="U487" s="471"/>
      <c r="W487" s="491"/>
      <c r="X487" s="479"/>
      <c r="Y487" s="479"/>
      <c r="Z487" s="479"/>
      <c r="AA487" s="479"/>
      <c r="AB487" s="474"/>
      <c r="AC487" s="474"/>
    </row>
    <row r="488" ht="15.75" customHeight="1">
      <c r="A488" s="265"/>
      <c r="B488" s="266"/>
      <c r="C488" s="267"/>
      <c r="D488" s="268"/>
      <c r="E488" s="269"/>
      <c r="F488" s="489"/>
      <c r="G488" s="388"/>
      <c r="H488" s="272"/>
      <c r="I488" s="276"/>
      <c r="J488" s="490"/>
      <c r="L488" s="470"/>
      <c r="U488" s="471"/>
      <c r="W488" s="491"/>
      <c r="X488" s="479"/>
      <c r="Y488" s="479"/>
      <c r="Z488" s="479"/>
      <c r="AA488" s="479"/>
      <c r="AB488" s="474"/>
      <c r="AC488" s="474"/>
    </row>
    <row r="489" ht="15.75" customHeight="1">
      <c r="A489" s="265"/>
      <c r="B489" s="266"/>
      <c r="C489" s="267"/>
      <c r="D489" s="268"/>
      <c r="E489" s="269"/>
      <c r="F489" s="489"/>
      <c r="G489" s="388"/>
      <c r="H489" s="272"/>
      <c r="I489" s="276"/>
      <c r="J489" s="490"/>
      <c r="L489" s="470"/>
      <c r="U489" s="471"/>
      <c r="W489" s="491"/>
      <c r="X489" s="479"/>
      <c r="Y489" s="479"/>
      <c r="Z489" s="479"/>
      <c r="AA489" s="479"/>
      <c r="AB489" s="474"/>
      <c r="AC489" s="474"/>
    </row>
    <row r="490" ht="15.75" customHeight="1">
      <c r="A490" s="265"/>
      <c r="B490" s="266"/>
      <c r="C490" s="267"/>
      <c r="D490" s="268"/>
      <c r="E490" s="269"/>
      <c r="F490" s="489"/>
      <c r="G490" s="388"/>
      <c r="H490" s="272"/>
      <c r="I490" s="276"/>
      <c r="J490" s="490"/>
      <c r="L490" s="470"/>
      <c r="U490" s="471"/>
      <c r="W490" s="491"/>
      <c r="X490" s="479"/>
      <c r="Y490" s="479"/>
      <c r="Z490" s="479"/>
      <c r="AA490" s="479"/>
      <c r="AB490" s="474"/>
      <c r="AC490" s="474"/>
    </row>
    <row r="491" ht="15.75" customHeight="1">
      <c r="A491" s="265"/>
      <c r="B491" s="266"/>
      <c r="C491" s="267"/>
      <c r="D491" s="268"/>
      <c r="E491" s="269"/>
      <c r="F491" s="489"/>
      <c r="G491" s="388"/>
      <c r="H491" s="272"/>
      <c r="I491" s="276"/>
      <c r="J491" s="490"/>
      <c r="L491" s="470"/>
      <c r="U491" s="471"/>
      <c r="W491" s="491"/>
      <c r="X491" s="479"/>
      <c r="Y491" s="479"/>
      <c r="Z491" s="479"/>
      <c r="AA491" s="479"/>
      <c r="AB491" s="474"/>
      <c r="AC491" s="474"/>
    </row>
    <row r="492" ht="15.75" customHeight="1">
      <c r="A492" s="265"/>
      <c r="B492" s="266"/>
      <c r="C492" s="267"/>
      <c r="D492" s="268"/>
      <c r="E492" s="269"/>
      <c r="F492" s="489"/>
      <c r="G492" s="388"/>
      <c r="H492" s="272"/>
      <c r="I492" s="276"/>
      <c r="J492" s="490"/>
      <c r="L492" s="470"/>
      <c r="U492" s="471"/>
      <c r="W492" s="491"/>
      <c r="X492" s="479"/>
      <c r="Y492" s="479"/>
      <c r="Z492" s="479"/>
      <c r="AA492" s="479"/>
      <c r="AB492" s="474"/>
      <c r="AC492" s="474"/>
    </row>
    <row r="493" ht="15.75" customHeight="1">
      <c r="A493" s="265"/>
      <c r="B493" s="266"/>
      <c r="C493" s="267"/>
      <c r="D493" s="268"/>
      <c r="E493" s="269"/>
      <c r="F493" s="489"/>
      <c r="G493" s="388"/>
      <c r="H493" s="272"/>
      <c r="I493" s="276"/>
      <c r="J493" s="490"/>
      <c r="L493" s="470"/>
      <c r="U493" s="471"/>
      <c r="W493" s="491"/>
      <c r="X493" s="479"/>
      <c r="Y493" s="479"/>
      <c r="Z493" s="479"/>
      <c r="AA493" s="479"/>
      <c r="AB493" s="474"/>
      <c r="AC493" s="474"/>
    </row>
    <row r="494" ht="15.75" customHeight="1">
      <c r="A494" s="265"/>
      <c r="B494" s="266"/>
      <c r="C494" s="267"/>
      <c r="D494" s="268"/>
      <c r="E494" s="269"/>
      <c r="F494" s="489"/>
      <c r="G494" s="388"/>
      <c r="H494" s="272"/>
      <c r="I494" s="276"/>
      <c r="J494" s="490"/>
      <c r="L494" s="470"/>
      <c r="U494" s="471"/>
      <c r="W494" s="491"/>
      <c r="X494" s="479"/>
      <c r="Y494" s="479"/>
      <c r="Z494" s="479"/>
      <c r="AA494" s="479"/>
      <c r="AB494" s="474"/>
      <c r="AC494" s="474"/>
    </row>
    <row r="495" ht="15.75" customHeight="1">
      <c r="A495" s="265"/>
      <c r="B495" s="266"/>
      <c r="C495" s="267"/>
      <c r="D495" s="268"/>
      <c r="E495" s="269"/>
      <c r="F495" s="489"/>
      <c r="G495" s="388"/>
      <c r="H495" s="272"/>
      <c r="I495" s="276"/>
      <c r="J495" s="490"/>
      <c r="L495" s="470"/>
      <c r="U495" s="471"/>
      <c r="W495" s="491"/>
      <c r="X495" s="479"/>
      <c r="Y495" s="479"/>
      <c r="Z495" s="479"/>
      <c r="AA495" s="479"/>
      <c r="AB495" s="474"/>
      <c r="AC495" s="474"/>
    </row>
    <row r="496" ht="15.75" customHeight="1">
      <c r="A496" s="265"/>
      <c r="B496" s="266"/>
      <c r="C496" s="267"/>
      <c r="D496" s="268"/>
      <c r="E496" s="269"/>
      <c r="F496" s="489"/>
      <c r="G496" s="388"/>
      <c r="H496" s="272"/>
      <c r="I496" s="276"/>
      <c r="J496" s="490"/>
      <c r="L496" s="470"/>
      <c r="U496" s="471"/>
      <c r="W496" s="491"/>
      <c r="X496" s="479"/>
      <c r="Y496" s="479"/>
      <c r="Z496" s="479"/>
      <c r="AA496" s="479"/>
      <c r="AB496" s="474"/>
      <c r="AC496" s="474"/>
    </row>
    <row r="497" ht="15.75" customHeight="1">
      <c r="A497" s="265"/>
      <c r="B497" s="266"/>
      <c r="C497" s="267"/>
      <c r="D497" s="268"/>
      <c r="E497" s="269"/>
      <c r="F497" s="489"/>
      <c r="G497" s="388"/>
      <c r="H497" s="272"/>
      <c r="I497" s="276"/>
      <c r="J497" s="490"/>
      <c r="L497" s="470"/>
      <c r="U497" s="471"/>
      <c r="W497" s="491"/>
      <c r="X497" s="479"/>
      <c r="Y497" s="479"/>
      <c r="Z497" s="479"/>
      <c r="AA497" s="479"/>
      <c r="AB497" s="474"/>
      <c r="AC497" s="474"/>
    </row>
    <row r="498" ht="15.75" customHeight="1">
      <c r="A498" s="265"/>
      <c r="B498" s="266"/>
      <c r="C498" s="267"/>
      <c r="D498" s="268"/>
      <c r="E498" s="269"/>
      <c r="F498" s="489"/>
      <c r="G498" s="388"/>
      <c r="H498" s="272"/>
      <c r="I498" s="276"/>
      <c r="J498" s="490"/>
      <c r="L498" s="470"/>
      <c r="U498" s="471"/>
      <c r="W498" s="491"/>
      <c r="X498" s="479"/>
      <c r="Y498" s="479"/>
      <c r="Z498" s="479"/>
      <c r="AA498" s="479"/>
      <c r="AB498" s="474"/>
      <c r="AC498" s="474"/>
    </row>
    <row r="499" ht="15.75" customHeight="1">
      <c r="A499" s="265"/>
      <c r="B499" s="266"/>
      <c r="C499" s="267"/>
      <c r="D499" s="268"/>
      <c r="E499" s="269"/>
      <c r="F499" s="489"/>
      <c r="G499" s="388"/>
      <c r="H499" s="272"/>
      <c r="I499" s="276"/>
      <c r="J499" s="490"/>
      <c r="L499" s="470"/>
      <c r="U499" s="471"/>
      <c r="W499" s="491"/>
      <c r="X499" s="479"/>
      <c r="Y499" s="479"/>
      <c r="Z499" s="479"/>
      <c r="AA499" s="479"/>
      <c r="AB499" s="474"/>
      <c r="AC499" s="474"/>
    </row>
    <row r="500" ht="15.75" customHeight="1">
      <c r="A500" s="265"/>
      <c r="B500" s="266"/>
      <c r="C500" s="267"/>
      <c r="D500" s="268"/>
      <c r="E500" s="269"/>
      <c r="F500" s="489"/>
      <c r="G500" s="388"/>
      <c r="H500" s="272"/>
      <c r="I500" s="276"/>
      <c r="J500" s="490"/>
      <c r="L500" s="470"/>
      <c r="U500" s="471"/>
      <c r="W500" s="491"/>
      <c r="X500" s="479"/>
      <c r="Y500" s="479"/>
      <c r="Z500" s="479"/>
      <c r="AA500" s="479"/>
      <c r="AB500" s="474"/>
      <c r="AC500" s="474"/>
    </row>
    <row r="501" ht="15.75" customHeight="1">
      <c r="A501" s="265"/>
      <c r="B501" s="266"/>
      <c r="C501" s="267"/>
      <c r="D501" s="268"/>
      <c r="E501" s="269"/>
      <c r="F501" s="489"/>
      <c r="G501" s="388"/>
      <c r="H501" s="272"/>
      <c r="I501" s="276"/>
      <c r="J501" s="490"/>
      <c r="L501" s="470"/>
      <c r="U501" s="471"/>
      <c r="W501" s="491"/>
      <c r="X501" s="479"/>
      <c r="Y501" s="479"/>
      <c r="Z501" s="479"/>
      <c r="AA501" s="479"/>
      <c r="AB501" s="474"/>
      <c r="AC501" s="474"/>
    </row>
    <row r="502" ht="15.75" customHeight="1">
      <c r="A502" s="265"/>
      <c r="B502" s="266"/>
      <c r="C502" s="267"/>
      <c r="D502" s="268"/>
      <c r="E502" s="269"/>
      <c r="F502" s="489"/>
      <c r="G502" s="388"/>
      <c r="H502" s="272"/>
      <c r="I502" s="276"/>
      <c r="J502" s="490"/>
      <c r="L502" s="470"/>
      <c r="U502" s="471"/>
      <c r="W502" s="491"/>
      <c r="X502" s="479"/>
      <c r="Y502" s="479"/>
      <c r="Z502" s="479"/>
      <c r="AA502" s="479"/>
      <c r="AB502" s="474"/>
      <c r="AC502" s="474"/>
    </row>
    <row r="503" ht="15.75" customHeight="1">
      <c r="A503" s="265"/>
      <c r="B503" s="266"/>
      <c r="C503" s="267"/>
      <c r="D503" s="268"/>
      <c r="E503" s="269"/>
      <c r="F503" s="489"/>
      <c r="G503" s="388"/>
      <c r="H503" s="272"/>
      <c r="I503" s="276"/>
      <c r="J503" s="490"/>
      <c r="L503" s="470"/>
      <c r="U503" s="471"/>
      <c r="W503" s="491"/>
      <c r="X503" s="479"/>
      <c r="Y503" s="479"/>
      <c r="Z503" s="479"/>
      <c r="AA503" s="479"/>
      <c r="AB503" s="474"/>
      <c r="AC503" s="474"/>
    </row>
    <row r="504" ht="15.75" customHeight="1">
      <c r="A504" s="265"/>
      <c r="B504" s="266"/>
      <c r="C504" s="267"/>
      <c r="D504" s="268"/>
      <c r="E504" s="269"/>
      <c r="F504" s="489"/>
      <c r="G504" s="388"/>
      <c r="H504" s="272"/>
      <c r="I504" s="276"/>
      <c r="J504" s="490"/>
      <c r="L504" s="470"/>
      <c r="U504" s="471"/>
      <c r="W504" s="491"/>
      <c r="X504" s="479"/>
      <c r="Y504" s="479"/>
      <c r="Z504" s="479"/>
      <c r="AA504" s="479"/>
      <c r="AB504" s="474"/>
      <c r="AC504" s="474"/>
    </row>
    <row r="505" ht="15.75" customHeight="1">
      <c r="A505" s="265"/>
      <c r="B505" s="266"/>
      <c r="C505" s="267"/>
      <c r="D505" s="268"/>
      <c r="E505" s="269"/>
      <c r="F505" s="489"/>
      <c r="G505" s="388"/>
      <c r="H505" s="272"/>
      <c r="I505" s="276"/>
      <c r="J505" s="490"/>
      <c r="L505" s="470"/>
      <c r="U505" s="471"/>
      <c r="W505" s="491"/>
      <c r="X505" s="479"/>
      <c r="Y505" s="479"/>
      <c r="Z505" s="479"/>
      <c r="AA505" s="479"/>
      <c r="AB505" s="474"/>
      <c r="AC505" s="474"/>
    </row>
    <row r="506" ht="15.75" customHeight="1">
      <c r="A506" s="265"/>
      <c r="B506" s="266"/>
      <c r="C506" s="267"/>
      <c r="D506" s="268"/>
      <c r="E506" s="269"/>
      <c r="F506" s="489"/>
      <c r="G506" s="388"/>
      <c r="H506" s="272"/>
      <c r="I506" s="276"/>
      <c r="J506" s="490"/>
      <c r="L506" s="470"/>
      <c r="U506" s="471"/>
      <c r="W506" s="491"/>
      <c r="X506" s="479"/>
      <c r="Y506" s="479"/>
      <c r="Z506" s="479"/>
      <c r="AA506" s="479"/>
      <c r="AB506" s="474"/>
      <c r="AC506" s="474"/>
    </row>
    <row r="507" ht="15.75" customHeight="1">
      <c r="A507" s="265"/>
      <c r="B507" s="266"/>
      <c r="C507" s="267"/>
      <c r="D507" s="268"/>
      <c r="E507" s="269"/>
      <c r="F507" s="489"/>
      <c r="G507" s="388"/>
      <c r="H507" s="272"/>
      <c r="I507" s="276"/>
      <c r="J507" s="490"/>
      <c r="L507" s="470"/>
      <c r="U507" s="471"/>
      <c r="W507" s="491"/>
      <c r="X507" s="479"/>
      <c r="Y507" s="479"/>
      <c r="Z507" s="479"/>
      <c r="AA507" s="479"/>
      <c r="AB507" s="474"/>
      <c r="AC507" s="474"/>
    </row>
    <row r="508" ht="15.75" customHeight="1">
      <c r="A508" s="265"/>
      <c r="B508" s="266"/>
      <c r="C508" s="267"/>
      <c r="D508" s="268"/>
      <c r="E508" s="269"/>
      <c r="F508" s="489"/>
      <c r="G508" s="388"/>
      <c r="H508" s="272"/>
      <c r="I508" s="276"/>
      <c r="J508" s="490"/>
      <c r="L508" s="470"/>
      <c r="U508" s="471"/>
      <c r="W508" s="491"/>
      <c r="X508" s="479"/>
      <c r="Y508" s="479"/>
      <c r="Z508" s="479"/>
      <c r="AA508" s="479"/>
      <c r="AB508" s="474"/>
      <c r="AC508" s="474"/>
    </row>
    <row r="509" ht="15.75" customHeight="1">
      <c r="A509" s="265"/>
      <c r="B509" s="266"/>
      <c r="C509" s="267"/>
      <c r="D509" s="268"/>
      <c r="E509" s="269"/>
      <c r="F509" s="489"/>
      <c r="G509" s="388"/>
      <c r="H509" s="272"/>
      <c r="I509" s="276"/>
      <c r="J509" s="490"/>
      <c r="L509" s="470"/>
      <c r="U509" s="471"/>
      <c r="W509" s="491"/>
      <c r="X509" s="479"/>
      <c r="Y509" s="479"/>
      <c r="Z509" s="479"/>
      <c r="AA509" s="479"/>
      <c r="AB509" s="474"/>
      <c r="AC509" s="474"/>
    </row>
    <row r="510" ht="15.75" customHeight="1">
      <c r="A510" s="265"/>
      <c r="B510" s="266"/>
      <c r="C510" s="267"/>
      <c r="D510" s="268"/>
      <c r="E510" s="269"/>
      <c r="F510" s="489"/>
      <c r="G510" s="388"/>
      <c r="H510" s="272"/>
      <c r="I510" s="276"/>
      <c r="J510" s="490"/>
      <c r="L510" s="470"/>
      <c r="U510" s="471"/>
      <c r="W510" s="491"/>
      <c r="X510" s="479"/>
      <c r="Y510" s="479"/>
      <c r="Z510" s="479"/>
      <c r="AA510" s="479"/>
      <c r="AB510" s="474"/>
      <c r="AC510" s="474"/>
    </row>
    <row r="511" ht="15.75" customHeight="1">
      <c r="C511" s="277"/>
      <c r="E511" s="278"/>
      <c r="F511" s="492"/>
      <c r="G511" s="279"/>
      <c r="J511" s="474"/>
      <c r="L511" s="470"/>
      <c r="U511" s="471"/>
      <c r="W511" s="491"/>
      <c r="X511" s="479"/>
      <c r="Y511" s="479"/>
      <c r="Z511" s="479"/>
      <c r="AA511" s="479"/>
      <c r="AB511" s="474"/>
      <c r="AC511" s="474"/>
    </row>
    <row r="512" ht="15.75" customHeight="1">
      <c r="C512" s="277"/>
      <c r="E512" s="278"/>
      <c r="F512" s="492"/>
      <c r="G512" s="279"/>
      <c r="J512" s="474"/>
      <c r="L512" s="470"/>
      <c r="U512" s="471"/>
      <c r="W512" s="491"/>
      <c r="X512" s="479"/>
      <c r="Y512" s="479"/>
      <c r="Z512" s="479"/>
      <c r="AA512" s="479"/>
      <c r="AB512" s="474"/>
      <c r="AC512" s="474"/>
    </row>
    <row r="513" ht="15.75" customHeight="1">
      <c r="C513" s="277"/>
      <c r="E513" s="278"/>
      <c r="F513" s="492"/>
      <c r="G513" s="279"/>
      <c r="J513" s="474"/>
      <c r="L513" s="470"/>
      <c r="U513" s="471"/>
      <c r="W513" s="491"/>
      <c r="X513" s="479"/>
      <c r="Y513" s="479"/>
      <c r="Z513" s="479"/>
      <c r="AA513" s="479"/>
      <c r="AB513" s="474"/>
      <c r="AC513" s="474"/>
    </row>
    <row r="514" ht="15.75" customHeight="1">
      <c r="C514" s="277"/>
      <c r="E514" s="278"/>
      <c r="F514" s="492"/>
      <c r="G514" s="279"/>
      <c r="J514" s="474"/>
      <c r="L514" s="470"/>
      <c r="U514" s="471"/>
      <c r="W514" s="491"/>
      <c r="X514" s="479"/>
      <c r="Y514" s="479"/>
      <c r="Z514" s="479"/>
      <c r="AA514" s="479"/>
      <c r="AB514" s="474"/>
      <c r="AC514" s="474"/>
    </row>
    <row r="515" ht="15.75" customHeight="1">
      <c r="C515" s="277"/>
      <c r="E515" s="278"/>
      <c r="F515" s="492"/>
      <c r="G515" s="279"/>
      <c r="J515" s="474"/>
      <c r="L515" s="470"/>
      <c r="U515" s="471"/>
      <c r="W515" s="491"/>
      <c r="X515" s="479"/>
      <c r="Y515" s="479"/>
      <c r="Z515" s="479"/>
      <c r="AA515" s="479"/>
      <c r="AB515" s="474"/>
      <c r="AC515" s="474"/>
    </row>
    <row r="516" ht="15.75" customHeight="1">
      <c r="C516" s="277"/>
      <c r="E516" s="278"/>
      <c r="F516" s="492"/>
      <c r="G516" s="279"/>
      <c r="J516" s="474"/>
      <c r="L516" s="470"/>
      <c r="U516" s="471"/>
      <c r="W516" s="491"/>
      <c r="X516" s="479"/>
      <c r="Y516" s="479"/>
      <c r="Z516" s="479"/>
      <c r="AA516" s="479"/>
      <c r="AB516" s="474"/>
      <c r="AC516" s="474"/>
    </row>
    <row r="517" ht="15.75" customHeight="1">
      <c r="C517" s="277"/>
      <c r="E517" s="278"/>
      <c r="F517" s="492"/>
      <c r="G517" s="279"/>
      <c r="J517" s="474"/>
      <c r="L517" s="470"/>
      <c r="U517" s="471"/>
      <c r="W517" s="491"/>
      <c r="X517" s="479"/>
      <c r="Y517" s="479"/>
      <c r="Z517" s="479"/>
      <c r="AA517" s="479"/>
      <c r="AB517" s="474"/>
      <c r="AC517" s="474"/>
    </row>
    <row r="518" ht="15.75" customHeight="1">
      <c r="C518" s="277"/>
      <c r="E518" s="278"/>
      <c r="F518" s="492"/>
      <c r="G518" s="279"/>
      <c r="J518" s="474"/>
      <c r="L518" s="470"/>
      <c r="U518" s="471"/>
      <c r="W518" s="491"/>
      <c r="X518" s="479"/>
      <c r="Y518" s="479"/>
      <c r="Z518" s="479"/>
      <c r="AA518" s="479"/>
      <c r="AB518" s="474"/>
      <c r="AC518" s="474"/>
    </row>
    <row r="519" ht="15.75" customHeight="1">
      <c r="C519" s="277"/>
      <c r="E519" s="278"/>
      <c r="F519" s="492"/>
      <c r="G519" s="279"/>
      <c r="J519" s="474"/>
      <c r="L519" s="470"/>
      <c r="U519" s="471"/>
      <c r="W519" s="491"/>
      <c r="X519" s="479"/>
      <c r="Y519" s="479"/>
      <c r="Z519" s="479"/>
      <c r="AA519" s="479"/>
      <c r="AB519" s="474"/>
      <c r="AC519" s="474"/>
    </row>
    <row r="520" ht="15.75" customHeight="1">
      <c r="C520" s="277"/>
      <c r="E520" s="278"/>
      <c r="F520" s="492"/>
      <c r="G520" s="279"/>
      <c r="J520" s="474"/>
      <c r="L520" s="470"/>
      <c r="U520" s="471"/>
      <c r="W520" s="491"/>
      <c r="X520" s="479"/>
      <c r="Y520" s="479"/>
      <c r="Z520" s="479"/>
      <c r="AA520" s="479"/>
      <c r="AB520" s="474"/>
      <c r="AC520" s="474"/>
    </row>
    <row r="521" ht="15.75" customHeight="1">
      <c r="C521" s="277"/>
      <c r="E521" s="278"/>
      <c r="F521" s="492"/>
      <c r="G521" s="279"/>
      <c r="J521" s="474"/>
      <c r="L521" s="470"/>
      <c r="U521" s="471"/>
      <c r="W521" s="491"/>
      <c r="X521" s="479"/>
      <c r="Y521" s="479"/>
      <c r="Z521" s="479"/>
      <c r="AA521" s="479"/>
      <c r="AB521" s="474"/>
      <c r="AC521" s="474"/>
    </row>
    <row r="522" ht="15.75" customHeight="1">
      <c r="C522" s="277"/>
      <c r="E522" s="278"/>
      <c r="F522" s="492"/>
      <c r="G522" s="279"/>
      <c r="J522" s="474"/>
      <c r="L522" s="470"/>
      <c r="U522" s="471"/>
      <c r="W522" s="491"/>
      <c r="X522" s="479"/>
      <c r="Y522" s="479"/>
      <c r="Z522" s="479"/>
      <c r="AA522" s="479"/>
      <c r="AB522" s="474"/>
      <c r="AC522" s="474"/>
    </row>
    <row r="523" ht="15.75" customHeight="1">
      <c r="C523" s="277"/>
      <c r="E523" s="278"/>
      <c r="F523" s="492"/>
      <c r="G523" s="279"/>
      <c r="J523" s="474"/>
      <c r="L523" s="470"/>
      <c r="U523" s="471"/>
      <c r="W523" s="491"/>
      <c r="X523" s="479"/>
      <c r="Y523" s="479"/>
      <c r="Z523" s="479"/>
      <c r="AA523" s="479"/>
      <c r="AB523" s="474"/>
      <c r="AC523" s="474"/>
    </row>
    <row r="524" ht="15.75" customHeight="1">
      <c r="C524" s="277"/>
      <c r="E524" s="278"/>
      <c r="F524" s="492"/>
      <c r="G524" s="279"/>
      <c r="J524" s="474"/>
      <c r="L524" s="470"/>
      <c r="U524" s="471"/>
      <c r="W524" s="491"/>
      <c r="X524" s="479"/>
      <c r="Y524" s="479"/>
      <c r="Z524" s="479"/>
      <c r="AA524" s="479"/>
      <c r="AB524" s="474"/>
      <c r="AC524" s="474"/>
    </row>
    <row r="525" ht="15.75" customHeight="1">
      <c r="C525" s="277"/>
      <c r="E525" s="278"/>
      <c r="F525" s="492"/>
      <c r="G525" s="279"/>
      <c r="J525" s="474"/>
      <c r="L525" s="470"/>
      <c r="U525" s="471"/>
      <c r="W525" s="491"/>
      <c r="X525" s="479"/>
      <c r="Y525" s="479"/>
      <c r="Z525" s="479"/>
      <c r="AA525" s="479"/>
      <c r="AB525" s="474"/>
      <c r="AC525" s="474"/>
    </row>
    <row r="526" ht="15.75" customHeight="1">
      <c r="C526" s="277"/>
      <c r="E526" s="278"/>
      <c r="F526" s="492"/>
      <c r="G526" s="279"/>
      <c r="J526" s="474"/>
      <c r="L526" s="470"/>
      <c r="U526" s="471"/>
      <c r="W526" s="491"/>
      <c r="X526" s="479"/>
      <c r="Y526" s="479"/>
      <c r="Z526" s="479"/>
      <c r="AA526" s="479"/>
      <c r="AB526" s="474"/>
      <c r="AC526" s="474"/>
    </row>
    <row r="527" ht="15.75" customHeight="1">
      <c r="C527" s="277"/>
      <c r="E527" s="278"/>
      <c r="F527" s="492"/>
      <c r="G527" s="279"/>
      <c r="J527" s="474"/>
      <c r="L527" s="470"/>
      <c r="U527" s="471"/>
      <c r="W527" s="491"/>
      <c r="X527" s="479"/>
      <c r="Y527" s="479"/>
      <c r="Z527" s="479"/>
      <c r="AA527" s="479"/>
      <c r="AB527" s="474"/>
      <c r="AC527" s="474"/>
    </row>
    <row r="528" ht="15.75" customHeight="1">
      <c r="C528" s="277"/>
      <c r="E528" s="278"/>
      <c r="F528" s="492"/>
      <c r="G528" s="279"/>
      <c r="J528" s="474"/>
      <c r="L528" s="470"/>
      <c r="U528" s="471"/>
      <c r="W528" s="491"/>
      <c r="X528" s="479"/>
      <c r="Y528" s="479"/>
      <c r="Z528" s="479"/>
      <c r="AA528" s="479"/>
      <c r="AB528" s="474"/>
      <c r="AC528" s="474"/>
    </row>
    <row r="529" ht="15.75" customHeight="1">
      <c r="C529" s="277"/>
      <c r="E529" s="278"/>
      <c r="F529" s="492"/>
      <c r="G529" s="279"/>
      <c r="J529" s="474"/>
      <c r="L529" s="470"/>
      <c r="U529" s="471"/>
      <c r="W529" s="491"/>
      <c r="X529" s="479"/>
      <c r="Y529" s="479"/>
      <c r="Z529" s="479"/>
      <c r="AA529" s="479"/>
      <c r="AB529" s="474"/>
      <c r="AC529" s="474"/>
    </row>
    <row r="530" ht="15.75" customHeight="1">
      <c r="C530" s="277"/>
      <c r="E530" s="278"/>
      <c r="F530" s="492"/>
      <c r="G530" s="279"/>
      <c r="J530" s="474"/>
      <c r="L530" s="470"/>
      <c r="U530" s="471"/>
      <c r="W530" s="491"/>
      <c r="X530" s="479"/>
      <c r="Y530" s="479"/>
      <c r="Z530" s="479"/>
      <c r="AA530" s="479"/>
      <c r="AB530" s="474"/>
      <c r="AC530" s="474"/>
    </row>
    <row r="531" ht="15.75" customHeight="1">
      <c r="C531" s="277"/>
      <c r="E531" s="278"/>
      <c r="F531" s="492"/>
      <c r="G531" s="279"/>
      <c r="J531" s="474"/>
      <c r="L531" s="470"/>
      <c r="U531" s="471"/>
      <c r="W531" s="491"/>
      <c r="X531" s="479"/>
      <c r="Y531" s="479"/>
      <c r="Z531" s="479"/>
      <c r="AA531" s="479"/>
      <c r="AB531" s="474"/>
      <c r="AC531" s="474"/>
    </row>
    <row r="532" ht="15.75" customHeight="1">
      <c r="C532" s="277"/>
      <c r="E532" s="278"/>
      <c r="F532" s="492"/>
      <c r="G532" s="279"/>
      <c r="J532" s="474"/>
      <c r="L532" s="470"/>
      <c r="U532" s="471"/>
      <c r="W532" s="491"/>
      <c r="X532" s="479"/>
      <c r="Y532" s="479"/>
      <c r="Z532" s="479"/>
      <c r="AA532" s="479"/>
      <c r="AB532" s="474"/>
      <c r="AC532" s="474"/>
    </row>
    <row r="533" ht="15.75" customHeight="1">
      <c r="C533" s="277"/>
      <c r="E533" s="278"/>
      <c r="F533" s="492"/>
      <c r="G533" s="279"/>
      <c r="J533" s="474"/>
      <c r="L533" s="470"/>
      <c r="U533" s="471"/>
      <c r="W533" s="491"/>
      <c r="X533" s="479"/>
      <c r="Y533" s="479"/>
      <c r="Z533" s="479"/>
      <c r="AA533" s="479"/>
      <c r="AB533" s="474"/>
      <c r="AC533" s="474"/>
    </row>
    <row r="534" ht="15.75" customHeight="1">
      <c r="C534" s="277"/>
      <c r="E534" s="278"/>
      <c r="F534" s="492"/>
      <c r="G534" s="279"/>
      <c r="J534" s="474"/>
      <c r="L534" s="470"/>
      <c r="U534" s="471"/>
      <c r="W534" s="491"/>
      <c r="X534" s="479"/>
      <c r="Y534" s="479"/>
      <c r="Z534" s="479"/>
      <c r="AA534" s="479"/>
      <c r="AB534" s="474"/>
      <c r="AC534" s="474"/>
    </row>
    <row r="535" ht="15.75" customHeight="1">
      <c r="C535" s="277"/>
      <c r="E535" s="278"/>
      <c r="F535" s="492"/>
      <c r="G535" s="279"/>
      <c r="J535" s="474"/>
      <c r="L535" s="470"/>
      <c r="U535" s="471"/>
      <c r="W535" s="491"/>
      <c r="X535" s="479"/>
      <c r="Y535" s="479"/>
      <c r="Z535" s="479"/>
      <c r="AA535" s="479"/>
      <c r="AB535" s="474"/>
      <c r="AC535" s="474"/>
    </row>
    <row r="536" ht="15.75" customHeight="1">
      <c r="C536" s="277"/>
      <c r="E536" s="278"/>
      <c r="F536" s="492"/>
      <c r="G536" s="279"/>
      <c r="J536" s="474"/>
      <c r="L536" s="470"/>
      <c r="U536" s="471"/>
      <c r="W536" s="491"/>
      <c r="X536" s="479"/>
      <c r="Y536" s="479"/>
      <c r="Z536" s="479"/>
      <c r="AA536" s="479"/>
      <c r="AB536" s="474"/>
      <c r="AC536" s="474"/>
    </row>
    <row r="537" ht="15.75" customHeight="1">
      <c r="C537" s="277"/>
      <c r="E537" s="278"/>
      <c r="F537" s="492"/>
      <c r="G537" s="279"/>
      <c r="J537" s="474"/>
      <c r="L537" s="470"/>
      <c r="U537" s="471"/>
      <c r="W537" s="491"/>
      <c r="X537" s="479"/>
      <c r="Y537" s="479"/>
      <c r="Z537" s="479"/>
      <c r="AA537" s="479"/>
      <c r="AB537" s="474"/>
      <c r="AC537" s="474"/>
    </row>
    <row r="538" ht="15.75" customHeight="1">
      <c r="C538" s="277"/>
      <c r="E538" s="278"/>
      <c r="F538" s="492"/>
      <c r="G538" s="279"/>
      <c r="J538" s="474"/>
      <c r="L538" s="470"/>
      <c r="U538" s="471"/>
      <c r="W538" s="491"/>
      <c r="X538" s="479"/>
      <c r="Y538" s="479"/>
      <c r="Z538" s="479"/>
      <c r="AA538" s="479"/>
      <c r="AB538" s="474"/>
      <c r="AC538" s="474"/>
    </row>
    <row r="539" ht="15.75" customHeight="1">
      <c r="C539" s="277"/>
      <c r="E539" s="278"/>
      <c r="F539" s="492"/>
      <c r="G539" s="279"/>
      <c r="J539" s="474"/>
      <c r="L539" s="470"/>
      <c r="U539" s="471"/>
      <c r="W539" s="491"/>
      <c r="X539" s="479"/>
      <c r="Y539" s="479"/>
      <c r="Z539" s="479"/>
      <c r="AA539" s="479"/>
      <c r="AB539" s="474"/>
      <c r="AC539" s="474"/>
    </row>
    <row r="540" ht="15.75" customHeight="1">
      <c r="C540" s="277"/>
      <c r="E540" s="278"/>
      <c r="F540" s="492"/>
      <c r="G540" s="279"/>
      <c r="J540" s="474"/>
      <c r="L540" s="470"/>
      <c r="U540" s="471"/>
      <c r="W540" s="491"/>
      <c r="X540" s="479"/>
      <c r="Y540" s="479"/>
      <c r="Z540" s="479"/>
      <c r="AA540" s="479"/>
      <c r="AB540" s="474"/>
      <c r="AC540" s="474"/>
    </row>
    <row r="541" ht="15.75" customHeight="1">
      <c r="C541" s="277"/>
      <c r="E541" s="278"/>
      <c r="F541" s="492"/>
      <c r="G541" s="279"/>
      <c r="J541" s="474"/>
      <c r="L541" s="470"/>
      <c r="U541" s="471"/>
      <c r="W541" s="491"/>
      <c r="X541" s="479"/>
      <c r="Y541" s="479"/>
      <c r="Z541" s="479"/>
      <c r="AA541" s="479"/>
      <c r="AB541" s="474"/>
      <c r="AC541" s="474"/>
    </row>
    <row r="542" ht="15.75" customHeight="1">
      <c r="C542" s="277"/>
      <c r="E542" s="278"/>
      <c r="F542" s="492"/>
      <c r="G542" s="279"/>
      <c r="J542" s="474"/>
      <c r="L542" s="470"/>
      <c r="U542" s="471"/>
      <c r="W542" s="491"/>
      <c r="X542" s="479"/>
      <c r="Y542" s="479"/>
      <c r="Z542" s="479"/>
      <c r="AA542" s="479"/>
      <c r="AB542" s="474"/>
      <c r="AC542" s="474"/>
    </row>
    <row r="543" ht="15.75" customHeight="1">
      <c r="C543" s="277"/>
      <c r="E543" s="278"/>
      <c r="F543" s="492"/>
      <c r="G543" s="279"/>
      <c r="J543" s="474"/>
      <c r="L543" s="470"/>
      <c r="U543" s="471"/>
      <c r="W543" s="491"/>
      <c r="X543" s="479"/>
      <c r="Y543" s="479"/>
      <c r="Z543" s="479"/>
      <c r="AA543" s="479"/>
      <c r="AB543" s="474"/>
      <c r="AC543" s="474"/>
    </row>
    <row r="544" ht="15.75" customHeight="1">
      <c r="C544" s="277"/>
      <c r="E544" s="278"/>
      <c r="F544" s="492"/>
      <c r="G544" s="279"/>
      <c r="J544" s="474"/>
      <c r="L544" s="470"/>
      <c r="U544" s="471"/>
      <c r="W544" s="491"/>
      <c r="X544" s="479"/>
      <c r="Y544" s="479"/>
      <c r="Z544" s="479"/>
      <c r="AA544" s="479"/>
      <c r="AB544" s="474"/>
      <c r="AC544" s="474"/>
    </row>
    <row r="545" ht="15.75" customHeight="1">
      <c r="C545" s="277"/>
      <c r="E545" s="278"/>
      <c r="F545" s="492"/>
      <c r="G545" s="279"/>
      <c r="J545" s="474"/>
      <c r="L545" s="470"/>
      <c r="U545" s="471"/>
      <c r="W545" s="491"/>
      <c r="X545" s="479"/>
      <c r="Y545" s="479"/>
      <c r="Z545" s="479"/>
      <c r="AA545" s="479"/>
      <c r="AB545" s="474"/>
      <c r="AC545" s="474"/>
    </row>
    <row r="546" ht="15.75" customHeight="1">
      <c r="C546" s="277"/>
      <c r="E546" s="278"/>
      <c r="F546" s="492"/>
      <c r="G546" s="279"/>
      <c r="J546" s="474"/>
      <c r="L546" s="470"/>
      <c r="U546" s="471"/>
      <c r="W546" s="491"/>
      <c r="X546" s="479"/>
      <c r="Y546" s="479"/>
      <c r="Z546" s="479"/>
      <c r="AA546" s="479"/>
      <c r="AB546" s="474"/>
      <c r="AC546" s="474"/>
    </row>
    <row r="547" ht="15.75" customHeight="1">
      <c r="C547" s="277"/>
      <c r="E547" s="278"/>
      <c r="F547" s="492"/>
      <c r="G547" s="279"/>
      <c r="J547" s="474"/>
      <c r="L547" s="470"/>
      <c r="U547" s="471"/>
      <c r="W547" s="491"/>
      <c r="X547" s="479"/>
      <c r="Y547" s="479"/>
      <c r="Z547" s="479"/>
      <c r="AA547" s="479"/>
      <c r="AB547" s="474"/>
      <c r="AC547" s="474"/>
    </row>
    <row r="548" ht="15.75" customHeight="1">
      <c r="C548" s="277"/>
      <c r="E548" s="278"/>
      <c r="F548" s="492"/>
      <c r="G548" s="279"/>
      <c r="J548" s="474"/>
      <c r="L548" s="470"/>
      <c r="U548" s="471"/>
      <c r="W548" s="491"/>
      <c r="X548" s="479"/>
      <c r="Y548" s="479"/>
      <c r="Z548" s="479"/>
      <c r="AA548" s="479"/>
      <c r="AB548" s="474"/>
      <c r="AC548" s="474"/>
    </row>
    <row r="549" ht="15.75" customHeight="1">
      <c r="C549" s="277"/>
      <c r="E549" s="278"/>
      <c r="F549" s="492"/>
      <c r="G549" s="279"/>
      <c r="J549" s="474"/>
      <c r="L549" s="470"/>
      <c r="U549" s="471"/>
      <c r="W549" s="491"/>
      <c r="X549" s="479"/>
      <c r="Y549" s="479"/>
      <c r="Z549" s="479"/>
      <c r="AA549" s="479"/>
      <c r="AB549" s="474"/>
      <c r="AC549" s="474"/>
    </row>
    <row r="550" ht="15.75" customHeight="1">
      <c r="C550" s="277"/>
      <c r="E550" s="278"/>
      <c r="F550" s="492"/>
      <c r="G550" s="279"/>
      <c r="J550" s="474"/>
      <c r="L550" s="470"/>
      <c r="U550" s="471"/>
      <c r="W550" s="491"/>
      <c r="X550" s="479"/>
      <c r="Y550" s="479"/>
      <c r="Z550" s="479"/>
      <c r="AA550" s="479"/>
      <c r="AB550" s="474"/>
      <c r="AC550" s="474"/>
    </row>
    <row r="551" ht="15.75" customHeight="1">
      <c r="C551" s="277"/>
      <c r="E551" s="278"/>
      <c r="F551" s="492"/>
      <c r="G551" s="279"/>
      <c r="J551" s="474"/>
      <c r="L551" s="470"/>
      <c r="U551" s="471"/>
      <c r="W551" s="491"/>
      <c r="X551" s="479"/>
      <c r="Y551" s="479"/>
      <c r="Z551" s="479"/>
      <c r="AA551" s="479"/>
      <c r="AB551" s="474"/>
      <c r="AC551" s="474"/>
    </row>
    <row r="552" ht="15.75" customHeight="1">
      <c r="C552" s="277"/>
      <c r="E552" s="278"/>
      <c r="F552" s="492"/>
      <c r="G552" s="279"/>
      <c r="J552" s="474"/>
      <c r="L552" s="470"/>
      <c r="U552" s="471"/>
      <c r="W552" s="491"/>
      <c r="X552" s="479"/>
      <c r="Y552" s="479"/>
      <c r="Z552" s="479"/>
      <c r="AA552" s="479"/>
      <c r="AB552" s="474"/>
      <c r="AC552" s="474"/>
    </row>
    <row r="553" ht="15.75" customHeight="1">
      <c r="C553" s="277"/>
      <c r="E553" s="278"/>
      <c r="F553" s="492"/>
      <c r="G553" s="279"/>
      <c r="J553" s="474"/>
      <c r="L553" s="470"/>
      <c r="U553" s="471"/>
      <c r="W553" s="491"/>
      <c r="X553" s="479"/>
      <c r="Y553" s="479"/>
      <c r="Z553" s="479"/>
      <c r="AA553" s="479"/>
      <c r="AB553" s="474"/>
      <c r="AC553" s="474"/>
    </row>
    <row r="554" ht="15.75" customHeight="1">
      <c r="C554" s="277"/>
      <c r="E554" s="278"/>
      <c r="F554" s="492"/>
      <c r="G554" s="279"/>
      <c r="J554" s="474"/>
      <c r="L554" s="470"/>
      <c r="U554" s="471"/>
      <c r="W554" s="491"/>
      <c r="X554" s="479"/>
      <c r="Y554" s="479"/>
      <c r="Z554" s="479"/>
      <c r="AA554" s="479"/>
      <c r="AB554" s="474"/>
      <c r="AC554" s="474"/>
    </row>
    <row r="555" ht="15.75" customHeight="1">
      <c r="C555" s="277"/>
      <c r="E555" s="278"/>
      <c r="F555" s="492"/>
      <c r="G555" s="279"/>
      <c r="J555" s="474"/>
      <c r="L555" s="470"/>
      <c r="U555" s="471"/>
      <c r="W555" s="491"/>
      <c r="X555" s="479"/>
      <c r="Y555" s="479"/>
      <c r="Z555" s="479"/>
      <c r="AA555" s="479"/>
      <c r="AB555" s="474"/>
      <c r="AC555" s="474"/>
    </row>
    <row r="556" ht="15.75" customHeight="1">
      <c r="C556" s="277"/>
      <c r="E556" s="278"/>
      <c r="F556" s="492"/>
      <c r="G556" s="279"/>
      <c r="J556" s="474"/>
      <c r="L556" s="470"/>
      <c r="U556" s="471"/>
      <c r="W556" s="491"/>
      <c r="X556" s="479"/>
      <c r="Y556" s="479"/>
      <c r="Z556" s="479"/>
      <c r="AA556" s="479"/>
      <c r="AB556" s="474"/>
      <c r="AC556" s="474"/>
    </row>
    <row r="557" ht="15.75" customHeight="1">
      <c r="C557" s="277"/>
      <c r="E557" s="278"/>
      <c r="F557" s="492"/>
      <c r="G557" s="279"/>
      <c r="J557" s="474"/>
      <c r="L557" s="470"/>
      <c r="U557" s="471"/>
      <c r="W557" s="491"/>
      <c r="X557" s="479"/>
      <c r="Y557" s="479"/>
      <c r="Z557" s="479"/>
      <c r="AA557" s="479"/>
      <c r="AB557" s="474"/>
      <c r="AC557" s="474"/>
    </row>
    <row r="558" ht="15.75" customHeight="1">
      <c r="C558" s="277"/>
      <c r="E558" s="278"/>
      <c r="F558" s="492"/>
      <c r="G558" s="279"/>
      <c r="J558" s="474"/>
      <c r="L558" s="470"/>
      <c r="U558" s="471"/>
      <c r="W558" s="491"/>
      <c r="X558" s="479"/>
      <c r="Y558" s="479"/>
      <c r="Z558" s="479"/>
      <c r="AA558" s="479"/>
      <c r="AB558" s="474"/>
      <c r="AC558" s="474"/>
    </row>
    <row r="559" ht="15.75" customHeight="1">
      <c r="C559" s="277"/>
      <c r="E559" s="278"/>
      <c r="F559" s="492"/>
      <c r="G559" s="279"/>
      <c r="J559" s="474"/>
      <c r="L559" s="470"/>
      <c r="U559" s="471"/>
      <c r="W559" s="491"/>
      <c r="X559" s="479"/>
      <c r="Y559" s="479"/>
      <c r="Z559" s="479"/>
      <c r="AA559" s="479"/>
      <c r="AB559" s="474"/>
      <c r="AC559" s="474"/>
    </row>
    <row r="560" ht="15.75" customHeight="1">
      <c r="C560" s="277"/>
      <c r="E560" s="278"/>
      <c r="F560" s="492"/>
      <c r="G560" s="279"/>
      <c r="J560" s="474"/>
      <c r="L560" s="470"/>
      <c r="U560" s="471"/>
      <c r="W560" s="491"/>
      <c r="X560" s="479"/>
      <c r="Y560" s="479"/>
      <c r="Z560" s="479"/>
      <c r="AA560" s="479"/>
      <c r="AB560" s="474"/>
      <c r="AC560" s="474"/>
    </row>
    <row r="561" ht="15.75" customHeight="1">
      <c r="C561" s="277"/>
      <c r="E561" s="278"/>
      <c r="F561" s="492"/>
      <c r="G561" s="279"/>
      <c r="J561" s="474"/>
      <c r="L561" s="470"/>
      <c r="U561" s="471"/>
      <c r="W561" s="491"/>
      <c r="X561" s="479"/>
      <c r="Y561" s="479"/>
      <c r="Z561" s="479"/>
      <c r="AA561" s="479"/>
      <c r="AB561" s="474"/>
      <c r="AC561" s="474"/>
    </row>
    <row r="562" ht="15.75" customHeight="1">
      <c r="C562" s="277"/>
      <c r="E562" s="278"/>
      <c r="F562" s="492"/>
      <c r="G562" s="279"/>
      <c r="J562" s="474"/>
      <c r="L562" s="470"/>
      <c r="U562" s="471"/>
      <c r="W562" s="491"/>
      <c r="X562" s="479"/>
      <c r="Y562" s="479"/>
      <c r="Z562" s="479"/>
      <c r="AA562" s="479"/>
      <c r="AB562" s="474"/>
      <c r="AC562" s="474"/>
    </row>
    <row r="563" ht="15.75" customHeight="1">
      <c r="C563" s="277"/>
      <c r="E563" s="278"/>
      <c r="F563" s="492"/>
      <c r="G563" s="279"/>
      <c r="J563" s="474"/>
      <c r="L563" s="470"/>
      <c r="U563" s="471"/>
      <c r="W563" s="491"/>
      <c r="X563" s="479"/>
      <c r="Y563" s="479"/>
      <c r="Z563" s="479"/>
      <c r="AA563" s="479"/>
      <c r="AB563" s="474"/>
      <c r="AC563" s="474"/>
    </row>
    <row r="564" ht="15.75" customHeight="1">
      <c r="C564" s="277"/>
      <c r="E564" s="278"/>
      <c r="F564" s="492"/>
      <c r="G564" s="279"/>
      <c r="J564" s="474"/>
      <c r="L564" s="470"/>
      <c r="U564" s="471"/>
      <c r="W564" s="491"/>
      <c r="X564" s="479"/>
      <c r="Y564" s="479"/>
      <c r="Z564" s="479"/>
      <c r="AA564" s="479"/>
      <c r="AB564" s="474"/>
      <c r="AC564" s="474"/>
    </row>
    <row r="565" ht="15.75" customHeight="1">
      <c r="C565" s="277"/>
      <c r="E565" s="278"/>
      <c r="F565" s="492"/>
      <c r="G565" s="279"/>
      <c r="J565" s="474"/>
      <c r="L565" s="470"/>
      <c r="U565" s="471"/>
      <c r="W565" s="491"/>
      <c r="X565" s="479"/>
      <c r="Y565" s="479"/>
      <c r="Z565" s="479"/>
      <c r="AA565" s="479"/>
      <c r="AB565" s="474"/>
      <c r="AC565" s="474"/>
    </row>
    <row r="566" ht="15.75" customHeight="1">
      <c r="C566" s="277"/>
      <c r="E566" s="278"/>
      <c r="F566" s="492"/>
      <c r="G566" s="279"/>
      <c r="J566" s="474"/>
      <c r="L566" s="470"/>
      <c r="U566" s="471"/>
      <c r="W566" s="491"/>
      <c r="X566" s="479"/>
      <c r="Y566" s="479"/>
      <c r="Z566" s="479"/>
      <c r="AA566" s="479"/>
      <c r="AB566" s="474"/>
      <c r="AC566" s="474"/>
    </row>
    <row r="567" ht="15.75" customHeight="1">
      <c r="C567" s="277"/>
      <c r="E567" s="278"/>
      <c r="F567" s="492"/>
      <c r="G567" s="279"/>
      <c r="J567" s="474"/>
      <c r="L567" s="470"/>
      <c r="U567" s="471"/>
      <c r="W567" s="491"/>
      <c r="X567" s="479"/>
      <c r="Y567" s="479"/>
      <c r="Z567" s="479"/>
      <c r="AA567" s="479"/>
      <c r="AB567" s="474"/>
      <c r="AC567" s="474"/>
    </row>
    <row r="568" ht="15.75" customHeight="1">
      <c r="C568" s="277"/>
      <c r="E568" s="278"/>
      <c r="F568" s="492"/>
      <c r="G568" s="279"/>
      <c r="J568" s="474"/>
      <c r="L568" s="470"/>
      <c r="U568" s="471"/>
      <c r="W568" s="491"/>
      <c r="X568" s="479"/>
      <c r="Y568" s="479"/>
      <c r="Z568" s="479"/>
      <c r="AA568" s="479"/>
      <c r="AB568" s="474"/>
      <c r="AC568" s="474"/>
    </row>
    <row r="569" ht="15.75" customHeight="1">
      <c r="C569" s="277"/>
      <c r="E569" s="278"/>
      <c r="F569" s="492"/>
      <c r="G569" s="279"/>
      <c r="J569" s="474"/>
      <c r="L569" s="470"/>
      <c r="U569" s="471"/>
      <c r="W569" s="491"/>
      <c r="X569" s="479"/>
      <c r="Y569" s="479"/>
      <c r="Z569" s="479"/>
      <c r="AA569" s="479"/>
      <c r="AB569" s="474"/>
      <c r="AC569" s="474"/>
    </row>
    <row r="570" ht="15.75" customHeight="1">
      <c r="C570" s="277"/>
      <c r="E570" s="278"/>
      <c r="F570" s="492"/>
      <c r="G570" s="279"/>
      <c r="J570" s="474"/>
      <c r="L570" s="470"/>
      <c r="U570" s="471"/>
      <c r="W570" s="491"/>
      <c r="X570" s="479"/>
      <c r="Y570" s="479"/>
      <c r="Z570" s="479"/>
      <c r="AA570" s="479"/>
      <c r="AB570" s="474"/>
      <c r="AC570" s="474"/>
    </row>
    <row r="571" ht="15.75" customHeight="1">
      <c r="C571" s="277"/>
      <c r="E571" s="278"/>
      <c r="F571" s="492"/>
      <c r="G571" s="279"/>
      <c r="J571" s="474"/>
      <c r="L571" s="470"/>
      <c r="U571" s="471"/>
      <c r="W571" s="491"/>
      <c r="X571" s="479"/>
      <c r="Y571" s="479"/>
      <c r="Z571" s="479"/>
      <c r="AA571" s="479"/>
      <c r="AB571" s="474"/>
      <c r="AC571" s="474"/>
    </row>
    <row r="572" ht="15.75" customHeight="1">
      <c r="C572" s="277"/>
      <c r="E572" s="278"/>
      <c r="F572" s="492"/>
      <c r="G572" s="279"/>
      <c r="J572" s="474"/>
      <c r="L572" s="470"/>
      <c r="U572" s="471"/>
      <c r="W572" s="491"/>
      <c r="X572" s="479"/>
      <c r="Y572" s="479"/>
      <c r="Z572" s="479"/>
      <c r="AA572" s="479"/>
      <c r="AB572" s="474"/>
      <c r="AC572" s="474"/>
    </row>
    <row r="573" ht="15.75" customHeight="1">
      <c r="C573" s="277"/>
      <c r="E573" s="278"/>
      <c r="F573" s="492"/>
      <c r="G573" s="279"/>
      <c r="J573" s="474"/>
      <c r="L573" s="470"/>
      <c r="U573" s="471"/>
      <c r="W573" s="491"/>
      <c r="X573" s="479"/>
      <c r="Y573" s="479"/>
      <c r="Z573" s="479"/>
      <c r="AA573" s="479"/>
      <c r="AB573" s="474"/>
      <c r="AC573" s="474"/>
    </row>
    <row r="574" ht="15.75" customHeight="1">
      <c r="C574" s="277"/>
      <c r="E574" s="278"/>
      <c r="F574" s="492"/>
      <c r="G574" s="279"/>
      <c r="J574" s="474"/>
      <c r="L574" s="470"/>
      <c r="U574" s="471"/>
      <c r="W574" s="491"/>
      <c r="X574" s="479"/>
      <c r="Y574" s="479"/>
      <c r="Z574" s="479"/>
      <c r="AA574" s="479"/>
      <c r="AB574" s="474"/>
      <c r="AC574" s="474"/>
    </row>
    <row r="575" ht="15.75" customHeight="1">
      <c r="C575" s="277"/>
      <c r="E575" s="278"/>
      <c r="F575" s="492"/>
      <c r="G575" s="279"/>
      <c r="J575" s="474"/>
      <c r="L575" s="470"/>
      <c r="U575" s="471"/>
      <c r="W575" s="491"/>
      <c r="X575" s="479"/>
      <c r="Y575" s="479"/>
      <c r="Z575" s="479"/>
      <c r="AA575" s="479"/>
      <c r="AB575" s="474"/>
      <c r="AC575" s="474"/>
    </row>
    <row r="576" ht="15.75" customHeight="1">
      <c r="C576" s="277"/>
      <c r="E576" s="278"/>
      <c r="F576" s="492"/>
      <c r="G576" s="279"/>
      <c r="J576" s="474"/>
      <c r="L576" s="470"/>
      <c r="U576" s="471"/>
      <c r="W576" s="491"/>
      <c r="X576" s="479"/>
      <c r="Y576" s="479"/>
      <c r="Z576" s="479"/>
      <c r="AA576" s="479"/>
      <c r="AB576" s="474"/>
      <c r="AC576" s="474"/>
    </row>
    <row r="577" ht="15.75" customHeight="1">
      <c r="C577" s="277"/>
      <c r="E577" s="278"/>
      <c r="F577" s="492"/>
      <c r="G577" s="279"/>
      <c r="J577" s="474"/>
      <c r="L577" s="470"/>
      <c r="U577" s="471"/>
      <c r="W577" s="491"/>
      <c r="X577" s="479"/>
      <c r="Y577" s="479"/>
      <c r="Z577" s="479"/>
      <c r="AA577" s="479"/>
      <c r="AB577" s="474"/>
      <c r="AC577" s="474"/>
    </row>
    <row r="578" ht="15.75" customHeight="1">
      <c r="C578" s="277"/>
      <c r="E578" s="278"/>
      <c r="F578" s="492"/>
      <c r="G578" s="279"/>
      <c r="J578" s="474"/>
      <c r="L578" s="470"/>
      <c r="U578" s="471"/>
      <c r="W578" s="491"/>
      <c r="X578" s="479"/>
      <c r="Y578" s="479"/>
      <c r="Z578" s="479"/>
      <c r="AA578" s="479"/>
      <c r="AB578" s="474"/>
      <c r="AC578" s="474"/>
    </row>
    <row r="579" ht="15.75" customHeight="1">
      <c r="C579" s="277"/>
      <c r="E579" s="278"/>
      <c r="F579" s="492"/>
      <c r="G579" s="279"/>
      <c r="J579" s="474"/>
      <c r="L579" s="470"/>
      <c r="U579" s="471"/>
      <c r="W579" s="491"/>
      <c r="X579" s="479"/>
      <c r="Y579" s="479"/>
      <c r="Z579" s="479"/>
      <c r="AA579" s="479"/>
      <c r="AB579" s="474"/>
      <c r="AC579" s="474"/>
    </row>
    <row r="580" ht="15.75" customHeight="1">
      <c r="C580" s="277"/>
      <c r="E580" s="278"/>
      <c r="F580" s="492"/>
      <c r="G580" s="279"/>
      <c r="J580" s="474"/>
      <c r="L580" s="470"/>
      <c r="U580" s="471"/>
      <c r="W580" s="491"/>
      <c r="X580" s="479"/>
      <c r="Y580" s="479"/>
      <c r="Z580" s="479"/>
      <c r="AA580" s="479"/>
      <c r="AB580" s="474"/>
      <c r="AC580" s="474"/>
    </row>
    <row r="581" ht="15.75" customHeight="1">
      <c r="C581" s="277"/>
      <c r="E581" s="278"/>
      <c r="F581" s="492"/>
      <c r="G581" s="279"/>
      <c r="J581" s="474"/>
      <c r="L581" s="470"/>
      <c r="U581" s="471"/>
      <c r="W581" s="491"/>
      <c r="X581" s="479"/>
      <c r="Y581" s="479"/>
      <c r="Z581" s="479"/>
      <c r="AA581" s="479"/>
      <c r="AB581" s="474"/>
      <c r="AC581" s="474"/>
    </row>
    <row r="582" ht="15.75" customHeight="1">
      <c r="C582" s="277"/>
      <c r="E582" s="278"/>
      <c r="F582" s="492"/>
      <c r="G582" s="279"/>
      <c r="J582" s="474"/>
      <c r="L582" s="470"/>
      <c r="U582" s="471"/>
      <c r="W582" s="491"/>
      <c r="X582" s="479"/>
      <c r="Y582" s="479"/>
      <c r="Z582" s="479"/>
      <c r="AA582" s="479"/>
      <c r="AB582" s="474"/>
      <c r="AC582" s="474"/>
    </row>
    <row r="583" ht="15.75" customHeight="1">
      <c r="C583" s="277"/>
      <c r="E583" s="278"/>
      <c r="F583" s="492"/>
      <c r="G583" s="279"/>
      <c r="J583" s="474"/>
      <c r="L583" s="470"/>
      <c r="U583" s="471"/>
      <c r="W583" s="491"/>
      <c r="X583" s="479"/>
      <c r="Y583" s="479"/>
      <c r="Z583" s="479"/>
      <c r="AA583" s="479"/>
      <c r="AB583" s="474"/>
      <c r="AC583" s="474"/>
    </row>
    <row r="584" ht="15.75" customHeight="1">
      <c r="C584" s="277"/>
      <c r="E584" s="278"/>
      <c r="F584" s="492"/>
      <c r="G584" s="279"/>
      <c r="J584" s="474"/>
      <c r="L584" s="470"/>
      <c r="U584" s="471"/>
      <c r="W584" s="491"/>
      <c r="X584" s="479"/>
      <c r="Y584" s="479"/>
      <c r="Z584" s="479"/>
      <c r="AA584" s="479"/>
      <c r="AB584" s="474"/>
      <c r="AC584" s="474"/>
    </row>
    <row r="585" ht="15.75" customHeight="1">
      <c r="C585" s="277"/>
      <c r="E585" s="278"/>
      <c r="F585" s="492"/>
      <c r="G585" s="279"/>
      <c r="J585" s="474"/>
      <c r="L585" s="470"/>
      <c r="U585" s="471"/>
      <c r="W585" s="491"/>
      <c r="X585" s="479"/>
      <c r="Y585" s="479"/>
      <c r="Z585" s="479"/>
      <c r="AA585" s="479"/>
      <c r="AB585" s="474"/>
      <c r="AC585" s="474"/>
    </row>
    <row r="586" ht="15.75" customHeight="1">
      <c r="C586" s="277"/>
      <c r="E586" s="278"/>
      <c r="F586" s="492"/>
      <c r="G586" s="279"/>
      <c r="J586" s="474"/>
      <c r="L586" s="470"/>
      <c r="U586" s="471"/>
      <c r="W586" s="491"/>
      <c r="X586" s="479"/>
      <c r="Y586" s="479"/>
      <c r="Z586" s="479"/>
      <c r="AA586" s="479"/>
      <c r="AB586" s="474"/>
      <c r="AC586" s="474"/>
    </row>
    <row r="587" ht="15.75" customHeight="1">
      <c r="C587" s="277"/>
      <c r="E587" s="278"/>
      <c r="F587" s="492"/>
      <c r="G587" s="279"/>
      <c r="J587" s="474"/>
      <c r="L587" s="470"/>
      <c r="U587" s="471"/>
      <c r="W587" s="491"/>
      <c r="X587" s="479"/>
      <c r="Y587" s="479"/>
      <c r="Z587" s="479"/>
      <c r="AA587" s="479"/>
      <c r="AB587" s="474"/>
      <c r="AC587" s="474"/>
    </row>
    <row r="588" ht="15.75" customHeight="1">
      <c r="C588" s="277"/>
      <c r="E588" s="278"/>
      <c r="F588" s="492"/>
      <c r="G588" s="279"/>
      <c r="J588" s="474"/>
      <c r="L588" s="470"/>
      <c r="U588" s="471"/>
      <c r="W588" s="491"/>
      <c r="X588" s="479"/>
      <c r="Y588" s="479"/>
      <c r="Z588" s="479"/>
      <c r="AA588" s="479"/>
      <c r="AB588" s="474"/>
      <c r="AC588" s="474"/>
    </row>
    <row r="589" ht="15.75" customHeight="1">
      <c r="C589" s="277"/>
      <c r="E589" s="278"/>
      <c r="F589" s="492"/>
      <c r="G589" s="279"/>
      <c r="J589" s="474"/>
      <c r="L589" s="470"/>
      <c r="U589" s="471"/>
      <c r="W589" s="491"/>
      <c r="X589" s="479"/>
      <c r="Y589" s="479"/>
      <c r="Z589" s="479"/>
      <c r="AA589" s="479"/>
      <c r="AB589" s="474"/>
      <c r="AC589" s="474"/>
    </row>
    <row r="590" ht="15.75" customHeight="1">
      <c r="C590" s="277"/>
      <c r="E590" s="278"/>
      <c r="F590" s="492"/>
      <c r="G590" s="279"/>
      <c r="J590" s="474"/>
      <c r="L590" s="470"/>
      <c r="U590" s="471"/>
      <c r="W590" s="491"/>
      <c r="X590" s="479"/>
      <c r="Y590" s="479"/>
      <c r="Z590" s="479"/>
      <c r="AA590" s="479"/>
      <c r="AB590" s="474"/>
      <c r="AC590" s="474"/>
    </row>
    <row r="591" ht="15.75" customHeight="1">
      <c r="C591" s="277"/>
      <c r="E591" s="278"/>
      <c r="F591" s="492"/>
      <c r="G591" s="279"/>
      <c r="J591" s="474"/>
      <c r="L591" s="470"/>
      <c r="U591" s="471"/>
      <c r="W591" s="491"/>
      <c r="X591" s="479"/>
      <c r="Y591" s="479"/>
      <c r="Z591" s="479"/>
      <c r="AA591" s="479"/>
      <c r="AB591" s="474"/>
      <c r="AC591" s="474"/>
    </row>
    <row r="592" ht="15.75" customHeight="1">
      <c r="C592" s="277"/>
      <c r="E592" s="278"/>
      <c r="F592" s="492"/>
      <c r="G592" s="279"/>
      <c r="J592" s="474"/>
      <c r="L592" s="470"/>
      <c r="U592" s="471"/>
      <c r="W592" s="491"/>
      <c r="X592" s="479"/>
      <c r="Y592" s="479"/>
      <c r="Z592" s="479"/>
      <c r="AA592" s="479"/>
      <c r="AB592" s="474"/>
      <c r="AC592" s="474"/>
    </row>
    <row r="593" ht="15.75" customHeight="1">
      <c r="C593" s="277"/>
      <c r="E593" s="278"/>
      <c r="F593" s="492"/>
      <c r="G593" s="279"/>
      <c r="J593" s="474"/>
      <c r="L593" s="470"/>
      <c r="U593" s="471"/>
      <c r="W593" s="491"/>
      <c r="X593" s="479"/>
      <c r="Y593" s="479"/>
      <c r="Z593" s="479"/>
      <c r="AA593" s="479"/>
      <c r="AB593" s="474"/>
      <c r="AC593" s="474"/>
    </row>
    <row r="594" ht="15.75" customHeight="1">
      <c r="C594" s="277"/>
      <c r="E594" s="278"/>
      <c r="F594" s="492"/>
      <c r="G594" s="279"/>
      <c r="J594" s="474"/>
      <c r="L594" s="470"/>
      <c r="U594" s="471"/>
      <c r="W594" s="491"/>
      <c r="X594" s="479"/>
      <c r="Y594" s="479"/>
      <c r="Z594" s="479"/>
      <c r="AA594" s="479"/>
      <c r="AB594" s="474"/>
      <c r="AC594" s="474"/>
    </row>
    <row r="595" ht="15.75" customHeight="1">
      <c r="C595" s="277"/>
      <c r="E595" s="278"/>
      <c r="F595" s="492"/>
      <c r="G595" s="279"/>
      <c r="J595" s="474"/>
      <c r="L595" s="470"/>
      <c r="U595" s="471"/>
      <c r="W595" s="491"/>
      <c r="X595" s="479"/>
      <c r="Y595" s="479"/>
      <c r="Z595" s="479"/>
      <c r="AA595" s="479"/>
      <c r="AB595" s="474"/>
      <c r="AC595" s="474"/>
    </row>
    <row r="596" ht="15.75" customHeight="1">
      <c r="C596" s="277"/>
      <c r="E596" s="278"/>
      <c r="F596" s="492"/>
      <c r="G596" s="279"/>
      <c r="J596" s="474"/>
      <c r="L596" s="470"/>
      <c r="U596" s="471"/>
      <c r="W596" s="491"/>
      <c r="X596" s="479"/>
      <c r="Y596" s="479"/>
      <c r="Z596" s="479"/>
      <c r="AA596" s="479"/>
      <c r="AB596" s="474"/>
      <c r="AC596" s="474"/>
    </row>
    <row r="597" ht="15.75" customHeight="1">
      <c r="C597" s="277"/>
      <c r="E597" s="278"/>
      <c r="F597" s="492"/>
      <c r="G597" s="279"/>
      <c r="J597" s="474"/>
      <c r="L597" s="470"/>
      <c r="U597" s="471"/>
      <c r="W597" s="491"/>
      <c r="X597" s="479"/>
      <c r="Y597" s="479"/>
      <c r="Z597" s="479"/>
      <c r="AA597" s="479"/>
      <c r="AB597" s="474"/>
      <c r="AC597" s="474"/>
    </row>
    <row r="598" ht="15.75" customHeight="1">
      <c r="C598" s="277"/>
      <c r="E598" s="278"/>
      <c r="F598" s="492"/>
      <c r="G598" s="279"/>
      <c r="J598" s="474"/>
      <c r="L598" s="470"/>
      <c r="U598" s="471"/>
      <c r="W598" s="491"/>
      <c r="X598" s="479"/>
      <c r="Y598" s="479"/>
      <c r="Z598" s="479"/>
      <c r="AA598" s="479"/>
      <c r="AB598" s="474"/>
      <c r="AC598" s="474"/>
    </row>
    <row r="599" ht="15.75" customHeight="1">
      <c r="C599" s="277"/>
      <c r="E599" s="278"/>
      <c r="F599" s="492"/>
      <c r="G599" s="279"/>
      <c r="J599" s="474"/>
      <c r="L599" s="470"/>
      <c r="U599" s="471"/>
      <c r="W599" s="491"/>
      <c r="X599" s="479"/>
      <c r="Y599" s="479"/>
      <c r="Z599" s="479"/>
      <c r="AA599" s="479"/>
      <c r="AB599" s="474"/>
      <c r="AC599" s="474"/>
    </row>
    <row r="600" ht="15.75" customHeight="1">
      <c r="C600" s="277"/>
      <c r="E600" s="278"/>
      <c r="F600" s="492"/>
      <c r="G600" s="279"/>
      <c r="J600" s="474"/>
      <c r="L600" s="470"/>
      <c r="U600" s="471"/>
      <c r="W600" s="491"/>
      <c r="X600" s="479"/>
      <c r="Y600" s="479"/>
      <c r="Z600" s="479"/>
      <c r="AA600" s="479"/>
      <c r="AB600" s="474"/>
      <c r="AC600" s="474"/>
    </row>
    <row r="601" ht="15.75" customHeight="1">
      <c r="C601" s="277"/>
      <c r="E601" s="278"/>
      <c r="F601" s="492"/>
      <c r="G601" s="279"/>
      <c r="J601" s="474"/>
      <c r="L601" s="470"/>
      <c r="U601" s="471"/>
      <c r="W601" s="491"/>
      <c r="X601" s="479"/>
      <c r="Y601" s="479"/>
      <c r="Z601" s="479"/>
      <c r="AA601" s="479"/>
      <c r="AB601" s="474"/>
      <c r="AC601" s="474"/>
    </row>
    <row r="602" ht="15.75" customHeight="1">
      <c r="C602" s="277"/>
      <c r="E602" s="278"/>
      <c r="F602" s="492"/>
      <c r="G602" s="279"/>
      <c r="J602" s="474"/>
      <c r="L602" s="470"/>
      <c r="U602" s="471"/>
      <c r="W602" s="491"/>
      <c r="X602" s="479"/>
      <c r="Y602" s="479"/>
      <c r="Z602" s="479"/>
      <c r="AA602" s="479"/>
      <c r="AB602" s="474"/>
      <c r="AC602" s="474"/>
    </row>
    <row r="603" ht="15.75" customHeight="1">
      <c r="C603" s="277"/>
      <c r="E603" s="278"/>
      <c r="F603" s="492"/>
      <c r="G603" s="279"/>
      <c r="J603" s="474"/>
      <c r="L603" s="470"/>
      <c r="U603" s="471"/>
      <c r="W603" s="491"/>
      <c r="X603" s="479"/>
      <c r="Y603" s="479"/>
      <c r="Z603" s="479"/>
      <c r="AA603" s="479"/>
      <c r="AB603" s="474"/>
      <c r="AC603" s="474"/>
    </row>
    <row r="604" ht="15.75" customHeight="1">
      <c r="C604" s="277"/>
      <c r="E604" s="278"/>
      <c r="F604" s="492"/>
      <c r="G604" s="279"/>
      <c r="J604" s="474"/>
      <c r="L604" s="470"/>
      <c r="U604" s="471"/>
      <c r="W604" s="491"/>
      <c r="X604" s="479"/>
      <c r="Y604" s="479"/>
      <c r="Z604" s="479"/>
      <c r="AA604" s="479"/>
      <c r="AB604" s="474"/>
      <c r="AC604" s="474"/>
    </row>
    <row r="605" ht="15.75" customHeight="1">
      <c r="C605" s="277"/>
      <c r="E605" s="278"/>
      <c r="F605" s="492"/>
      <c r="G605" s="279"/>
      <c r="J605" s="474"/>
      <c r="L605" s="470"/>
      <c r="U605" s="471"/>
      <c r="W605" s="491"/>
      <c r="X605" s="479"/>
      <c r="Y605" s="479"/>
      <c r="Z605" s="479"/>
      <c r="AA605" s="479"/>
      <c r="AB605" s="474"/>
      <c r="AC605" s="474"/>
    </row>
    <row r="606" ht="15.75" customHeight="1">
      <c r="C606" s="277"/>
      <c r="E606" s="278"/>
      <c r="F606" s="492"/>
      <c r="G606" s="279"/>
      <c r="J606" s="474"/>
      <c r="L606" s="470"/>
      <c r="U606" s="471"/>
      <c r="W606" s="491"/>
      <c r="X606" s="479"/>
      <c r="Y606" s="479"/>
      <c r="Z606" s="479"/>
      <c r="AA606" s="479"/>
      <c r="AB606" s="474"/>
      <c r="AC606" s="474"/>
    </row>
    <row r="607" ht="15.75" customHeight="1">
      <c r="C607" s="277"/>
      <c r="E607" s="278"/>
      <c r="F607" s="492"/>
      <c r="G607" s="279"/>
      <c r="J607" s="474"/>
      <c r="L607" s="470"/>
      <c r="U607" s="471"/>
      <c r="W607" s="491"/>
      <c r="X607" s="479"/>
      <c r="Y607" s="479"/>
      <c r="Z607" s="479"/>
      <c r="AA607" s="479"/>
      <c r="AB607" s="474"/>
      <c r="AC607" s="474"/>
    </row>
    <row r="608" ht="15.75" customHeight="1">
      <c r="C608" s="277"/>
      <c r="E608" s="278"/>
      <c r="F608" s="492"/>
      <c r="G608" s="279"/>
      <c r="J608" s="474"/>
      <c r="L608" s="470"/>
      <c r="U608" s="471"/>
      <c r="W608" s="491"/>
      <c r="X608" s="479"/>
      <c r="Y608" s="479"/>
      <c r="Z608" s="479"/>
      <c r="AA608" s="479"/>
      <c r="AB608" s="474"/>
      <c r="AC608" s="474"/>
    </row>
    <row r="609" ht="15.75" customHeight="1">
      <c r="C609" s="277"/>
      <c r="E609" s="278"/>
      <c r="F609" s="492"/>
      <c r="G609" s="279"/>
      <c r="J609" s="474"/>
      <c r="L609" s="470"/>
      <c r="U609" s="471"/>
      <c r="W609" s="491"/>
      <c r="X609" s="479"/>
      <c r="Y609" s="479"/>
      <c r="Z609" s="479"/>
      <c r="AA609" s="479"/>
      <c r="AB609" s="474"/>
      <c r="AC609" s="474"/>
    </row>
    <row r="610" ht="15.75" customHeight="1">
      <c r="C610" s="277"/>
      <c r="E610" s="278"/>
      <c r="F610" s="492"/>
      <c r="G610" s="279"/>
      <c r="J610" s="474"/>
      <c r="L610" s="470"/>
      <c r="U610" s="471"/>
      <c r="W610" s="491"/>
      <c r="X610" s="479"/>
      <c r="Y610" s="479"/>
      <c r="Z610" s="479"/>
      <c r="AA610" s="479"/>
      <c r="AB610" s="474"/>
      <c r="AC610" s="474"/>
    </row>
    <row r="611" ht="15.75" customHeight="1">
      <c r="C611" s="277"/>
      <c r="E611" s="278"/>
      <c r="F611" s="492"/>
      <c r="G611" s="279"/>
      <c r="J611" s="474"/>
      <c r="L611" s="470"/>
      <c r="U611" s="471"/>
      <c r="W611" s="491"/>
      <c r="X611" s="479"/>
      <c r="Y611" s="479"/>
      <c r="Z611" s="479"/>
      <c r="AA611" s="479"/>
      <c r="AB611" s="474"/>
      <c r="AC611" s="474"/>
    </row>
    <row r="612" ht="15.75" customHeight="1">
      <c r="C612" s="277"/>
      <c r="E612" s="278"/>
      <c r="F612" s="492"/>
      <c r="G612" s="279"/>
      <c r="J612" s="474"/>
      <c r="L612" s="470"/>
      <c r="U612" s="471"/>
      <c r="W612" s="491"/>
      <c r="X612" s="479"/>
      <c r="Y612" s="479"/>
      <c r="Z612" s="479"/>
      <c r="AA612" s="479"/>
      <c r="AB612" s="474"/>
      <c r="AC612" s="474"/>
    </row>
    <row r="613" ht="15.75" customHeight="1">
      <c r="C613" s="277"/>
      <c r="E613" s="278"/>
      <c r="F613" s="492"/>
      <c r="G613" s="279"/>
      <c r="J613" s="474"/>
      <c r="L613" s="470"/>
      <c r="U613" s="471"/>
      <c r="W613" s="491"/>
      <c r="X613" s="479"/>
      <c r="Y613" s="479"/>
      <c r="Z613" s="479"/>
      <c r="AA613" s="479"/>
      <c r="AB613" s="474"/>
      <c r="AC613" s="474"/>
    </row>
    <row r="614" ht="15.75" customHeight="1">
      <c r="C614" s="277"/>
      <c r="E614" s="278"/>
      <c r="F614" s="492"/>
      <c r="G614" s="279"/>
      <c r="J614" s="474"/>
      <c r="L614" s="470"/>
      <c r="U614" s="471"/>
      <c r="W614" s="491"/>
      <c r="X614" s="479"/>
      <c r="Y614" s="479"/>
      <c r="Z614" s="479"/>
      <c r="AA614" s="479"/>
      <c r="AB614" s="474"/>
      <c r="AC614" s="474"/>
    </row>
    <row r="615" ht="15.75" customHeight="1">
      <c r="C615" s="277"/>
      <c r="E615" s="278"/>
      <c r="F615" s="492"/>
      <c r="G615" s="279"/>
      <c r="J615" s="474"/>
      <c r="L615" s="470"/>
      <c r="U615" s="471"/>
      <c r="W615" s="491"/>
      <c r="X615" s="479"/>
      <c r="Y615" s="479"/>
      <c r="Z615" s="479"/>
      <c r="AA615" s="479"/>
      <c r="AB615" s="474"/>
      <c r="AC615" s="474"/>
    </row>
    <row r="616" ht="15.75" customHeight="1">
      <c r="C616" s="277"/>
      <c r="E616" s="278"/>
      <c r="F616" s="492"/>
      <c r="G616" s="279"/>
      <c r="J616" s="474"/>
      <c r="L616" s="470"/>
      <c r="U616" s="471"/>
      <c r="W616" s="491"/>
      <c r="X616" s="479"/>
      <c r="Y616" s="479"/>
      <c r="Z616" s="479"/>
      <c r="AA616" s="479"/>
      <c r="AB616" s="474"/>
      <c r="AC616" s="474"/>
    </row>
    <row r="617" ht="15.75" customHeight="1">
      <c r="C617" s="277"/>
      <c r="E617" s="278"/>
      <c r="F617" s="492"/>
      <c r="G617" s="279"/>
      <c r="J617" s="474"/>
      <c r="L617" s="470"/>
      <c r="U617" s="471"/>
      <c r="W617" s="491"/>
      <c r="X617" s="479"/>
      <c r="Y617" s="479"/>
      <c r="Z617" s="479"/>
      <c r="AA617" s="479"/>
      <c r="AB617" s="474"/>
      <c r="AC617" s="474"/>
    </row>
    <row r="618" ht="15.75" customHeight="1">
      <c r="C618" s="277"/>
      <c r="E618" s="278"/>
      <c r="F618" s="492"/>
      <c r="G618" s="279"/>
      <c r="J618" s="474"/>
      <c r="L618" s="470"/>
      <c r="U618" s="471"/>
      <c r="W618" s="491"/>
      <c r="X618" s="479"/>
      <c r="Y618" s="479"/>
      <c r="Z618" s="479"/>
      <c r="AA618" s="479"/>
      <c r="AB618" s="474"/>
      <c r="AC618" s="474"/>
    </row>
    <row r="619" ht="15.75" customHeight="1">
      <c r="C619" s="277"/>
      <c r="E619" s="278"/>
      <c r="F619" s="492"/>
      <c r="G619" s="279"/>
      <c r="J619" s="474"/>
      <c r="L619" s="470"/>
      <c r="U619" s="471"/>
      <c r="W619" s="491"/>
      <c r="X619" s="479"/>
      <c r="Y619" s="479"/>
      <c r="Z619" s="479"/>
      <c r="AA619" s="479"/>
      <c r="AB619" s="474"/>
      <c r="AC619" s="474"/>
    </row>
    <row r="620" ht="15.75" customHeight="1">
      <c r="C620" s="277"/>
      <c r="E620" s="278"/>
      <c r="F620" s="492"/>
      <c r="G620" s="279"/>
      <c r="J620" s="474"/>
      <c r="L620" s="470"/>
      <c r="U620" s="471"/>
      <c r="W620" s="491"/>
      <c r="X620" s="479"/>
      <c r="Y620" s="479"/>
      <c r="Z620" s="479"/>
      <c r="AA620" s="479"/>
      <c r="AB620" s="474"/>
      <c r="AC620" s="474"/>
    </row>
    <row r="621" ht="15.75" customHeight="1">
      <c r="C621" s="277"/>
      <c r="E621" s="278"/>
      <c r="F621" s="492"/>
      <c r="G621" s="279"/>
      <c r="J621" s="474"/>
      <c r="L621" s="470"/>
      <c r="U621" s="471"/>
      <c r="W621" s="491"/>
      <c r="X621" s="479"/>
      <c r="Y621" s="479"/>
      <c r="Z621" s="479"/>
      <c r="AA621" s="479"/>
      <c r="AB621" s="474"/>
      <c r="AC621" s="474"/>
    </row>
    <row r="622" ht="15.75" customHeight="1">
      <c r="C622" s="277"/>
      <c r="E622" s="278"/>
      <c r="F622" s="492"/>
      <c r="G622" s="279"/>
      <c r="J622" s="474"/>
      <c r="L622" s="470"/>
      <c r="U622" s="471"/>
      <c r="W622" s="491"/>
      <c r="X622" s="479"/>
      <c r="Y622" s="479"/>
      <c r="Z622" s="479"/>
      <c r="AA622" s="479"/>
      <c r="AB622" s="474"/>
      <c r="AC622" s="474"/>
    </row>
    <row r="623" ht="15.75" customHeight="1">
      <c r="C623" s="277"/>
      <c r="E623" s="278"/>
      <c r="F623" s="492"/>
      <c r="G623" s="279"/>
      <c r="J623" s="474"/>
      <c r="L623" s="470"/>
      <c r="U623" s="471"/>
      <c r="W623" s="491"/>
      <c r="X623" s="479"/>
      <c r="Y623" s="479"/>
      <c r="Z623" s="479"/>
      <c r="AA623" s="479"/>
      <c r="AB623" s="474"/>
      <c r="AC623" s="474"/>
    </row>
    <row r="624" ht="15.75" customHeight="1">
      <c r="C624" s="277"/>
      <c r="E624" s="278"/>
      <c r="F624" s="492"/>
      <c r="G624" s="279"/>
      <c r="J624" s="474"/>
      <c r="L624" s="470"/>
      <c r="U624" s="471"/>
      <c r="W624" s="491"/>
      <c r="X624" s="479"/>
      <c r="Y624" s="479"/>
      <c r="Z624" s="479"/>
      <c r="AA624" s="479"/>
      <c r="AB624" s="474"/>
      <c r="AC624" s="474"/>
    </row>
    <row r="625" ht="15.75" customHeight="1">
      <c r="C625" s="277"/>
      <c r="E625" s="278"/>
      <c r="F625" s="492"/>
      <c r="G625" s="279"/>
      <c r="J625" s="474"/>
      <c r="L625" s="470"/>
      <c r="U625" s="471"/>
      <c r="W625" s="491"/>
      <c r="X625" s="479"/>
      <c r="Y625" s="479"/>
      <c r="Z625" s="479"/>
      <c r="AA625" s="479"/>
      <c r="AB625" s="474"/>
      <c r="AC625" s="474"/>
    </row>
    <row r="626" ht="15.75" customHeight="1">
      <c r="C626" s="277"/>
      <c r="E626" s="278"/>
      <c r="F626" s="492"/>
      <c r="G626" s="279"/>
      <c r="J626" s="474"/>
      <c r="L626" s="470"/>
      <c r="U626" s="471"/>
      <c r="W626" s="491"/>
      <c r="X626" s="479"/>
      <c r="Y626" s="479"/>
      <c r="Z626" s="479"/>
      <c r="AA626" s="479"/>
      <c r="AB626" s="474"/>
      <c r="AC626" s="474"/>
    </row>
    <row r="627" ht="15.75" customHeight="1">
      <c r="C627" s="277"/>
      <c r="E627" s="278"/>
      <c r="F627" s="492"/>
      <c r="G627" s="279"/>
      <c r="J627" s="474"/>
      <c r="L627" s="470"/>
      <c r="U627" s="471"/>
      <c r="W627" s="491"/>
      <c r="X627" s="479"/>
      <c r="Y627" s="479"/>
      <c r="Z627" s="479"/>
      <c r="AA627" s="479"/>
      <c r="AB627" s="474"/>
      <c r="AC627" s="474"/>
    </row>
    <row r="628" ht="15.75" customHeight="1">
      <c r="C628" s="277"/>
      <c r="E628" s="278"/>
      <c r="F628" s="492"/>
      <c r="G628" s="279"/>
      <c r="J628" s="474"/>
      <c r="L628" s="470"/>
      <c r="U628" s="471"/>
      <c r="W628" s="491"/>
      <c r="X628" s="479"/>
      <c r="Y628" s="479"/>
      <c r="Z628" s="479"/>
      <c r="AA628" s="479"/>
      <c r="AB628" s="474"/>
      <c r="AC628" s="474"/>
    </row>
    <row r="629" ht="15.75" customHeight="1">
      <c r="C629" s="277"/>
      <c r="E629" s="278"/>
      <c r="F629" s="492"/>
      <c r="G629" s="279"/>
      <c r="J629" s="474"/>
      <c r="L629" s="470"/>
      <c r="U629" s="471"/>
      <c r="W629" s="491"/>
      <c r="X629" s="479"/>
      <c r="Y629" s="479"/>
      <c r="Z629" s="479"/>
      <c r="AA629" s="479"/>
      <c r="AB629" s="474"/>
      <c r="AC629" s="474"/>
    </row>
    <row r="630" ht="15.75" customHeight="1">
      <c r="C630" s="277"/>
      <c r="E630" s="278"/>
      <c r="F630" s="492"/>
      <c r="G630" s="279"/>
      <c r="J630" s="474"/>
      <c r="L630" s="470"/>
      <c r="U630" s="471"/>
      <c r="W630" s="491"/>
      <c r="X630" s="479"/>
      <c r="Y630" s="479"/>
      <c r="Z630" s="479"/>
      <c r="AA630" s="479"/>
      <c r="AB630" s="474"/>
      <c r="AC630" s="474"/>
    </row>
    <row r="631" ht="15.75" customHeight="1">
      <c r="C631" s="277"/>
      <c r="E631" s="278"/>
      <c r="F631" s="492"/>
      <c r="G631" s="279"/>
      <c r="J631" s="474"/>
      <c r="L631" s="470"/>
      <c r="U631" s="471"/>
      <c r="W631" s="491"/>
      <c r="X631" s="479"/>
      <c r="Y631" s="479"/>
      <c r="Z631" s="479"/>
      <c r="AA631" s="479"/>
      <c r="AB631" s="474"/>
      <c r="AC631" s="474"/>
    </row>
    <row r="632" ht="15.75" customHeight="1">
      <c r="C632" s="277"/>
      <c r="E632" s="278"/>
      <c r="F632" s="492"/>
      <c r="G632" s="279"/>
      <c r="J632" s="474"/>
      <c r="L632" s="470"/>
      <c r="U632" s="471"/>
      <c r="W632" s="491"/>
      <c r="X632" s="479"/>
      <c r="Y632" s="479"/>
      <c r="Z632" s="479"/>
      <c r="AA632" s="479"/>
      <c r="AB632" s="474"/>
      <c r="AC632" s="474"/>
    </row>
    <row r="633" ht="15.75" customHeight="1">
      <c r="C633" s="277"/>
      <c r="E633" s="278"/>
      <c r="F633" s="492"/>
      <c r="G633" s="279"/>
      <c r="J633" s="474"/>
      <c r="L633" s="470"/>
      <c r="U633" s="471"/>
      <c r="W633" s="491"/>
      <c r="X633" s="479"/>
      <c r="Y633" s="479"/>
      <c r="Z633" s="479"/>
      <c r="AA633" s="479"/>
      <c r="AB633" s="474"/>
      <c r="AC633" s="474"/>
    </row>
    <row r="634" ht="15.75" customHeight="1">
      <c r="C634" s="277"/>
      <c r="E634" s="278"/>
      <c r="F634" s="492"/>
      <c r="G634" s="279"/>
      <c r="J634" s="474"/>
      <c r="L634" s="470"/>
      <c r="U634" s="471"/>
      <c r="W634" s="491"/>
      <c r="X634" s="479"/>
      <c r="Y634" s="479"/>
      <c r="Z634" s="479"/>
      <c r="AA634" s="479"/>
      <c r="AB634" s="474"/>
      <c r="AC634" s="474"/>
    </row>
    <row r="635" ht="15.75" customHeight="1">
      <c r="C635" s="277"/>
      <c r="E635" s="278"/>
      <c r="F635" s="492"/>
      <c r="G635" s="279"/>
      <c r="J635" s="474"/>
      <c r="L635" s="470"/>
      <c r="U635" s="471"/>
      <c r="W635" s="491"/>
      <c r="X635" s="479"/>
      <c r="Y635" s="479"/>
      <c r="Z635" s="479"/>
      <c r="AA635" s="479"/>
      <c r="AB635" s="474"/>
      <c r="AC635" s="474"/>
    </row>
    <row r="636" ht="15.75" customHeight="1">
      <c r="C636" s="277"/>
      <c r="E636" s="278"/>
      <c r="F636" s="492"/>
      <c r="G636" s="279"/>
      <c r="J636" s="474"/>
      <c r="L636" s="470"/>
      <c r="U636" s="471"/>
      <c r="W636" s="491"/>
      <c r="X636" s="479"/>
      <c r="Y636" s="479"/>
      <c r="Z636" s="479"/>
      <c r="AA636" s="479"/>
      <c r="AB636" s="474"/>
      <c r="AC636" s="474"/>
    </row>
    <row r="637" ht="15.75" customHeight="1">
      <c r="C637" s="277"/>
      <c r="E637" s="278"/>
      <c r="F637" s="492"/>
      <c r="G637" s="279"/>
      <c r="J637" s="474"/>
      <c r="L637" s="470"/>
      <c r="U637" s="471"/>
      <c r="W637" s="491"/>
      <c r="X637" s="479"/>
      <c r="Y637" s="479"/>
      <c r="Z637" s="479"/>
      <c r="AA637" s="479"/>
      <c r="AB637" s="474"/>
      <c r="AC637" s="474"/>
    </row>
    <row r="638" ht="15.75" customHeight="1">
      <c r="C638" s="277"/>
      <c r="E638" s="278"/>
      <c r="F638" s="492"/>
      <c r="G638" s="279"/>
      <c r="J638" s="474"/>
      <c r="L638" s="470"/>
      <c r="U638" s="471"/>
      <c r="W638" s="491"/>
      <c r="X638" s="479"/>
      <c r="Y638" s="479"/>
      <c r="Z638" s="479"/>
      <c r="AA638" s="479"/>
      <c r="AB638" s="474"/>
      <c r="AC638" s="474"/>
    </row>
    <row r="639" ht="15.75" customHeight="1">
      <c r="C639" s="277"/>
      <c r="E639" s="278"/>
      <c r="F639" s="492"/>
      <c r="G639" s="279"/>
      <c r="J639" s="474"/>
      <c r="L639" s="470"/>
      <c r="U639" s="471"/>
      <c r="W639" s="491"/>
      <c r="X639" s="479"/>
      <c r="Y639" s="479"/>
      <c r="Z639" s="479"/>
      <c r="AA639" s="479"/>
      <c r="AB639" s="474"/>
      <c r="AC639" s="474"/>
    </row>
    <row r="640" ht="15.75" customHeight="1">
      <c r="C640" s="277"/>
      <c r="E640" s="278"/>
      <c r="F640" s="492"/>
      <c r="G640" s="279"/>
      <c r="J640" s="474"/>
      <c r="L640" s="470"/>
      <c r="U640" s="471"/>
      <c r="W640" s="491"/>
      <c r="X640" s="479"/>
      <c r="Y640" s="479"/>
      <c r="Z640" s="479"/>
      <c r="AA640" s="479"/>
      <c r="AB640" s="474"/>
      <c r="AC640" s="474"/>
    </row>
    <row r="641" ht="15.75" customHeight="1">
      <c r="C641" s="277"/>
      <c r="E641" s="278"/>
      <c r="F641" s="492"/>
      <c r="G641" s="279"/>
      <c r="J641" s="474"/>
      <c r="L641" s="470"/>
      <c r="U641" s="471"/>
      <c r="W641" s="491"/>
      <c r="X641" s="479"/>
      <c r="Y641" s="479"/>
      <c r="Z641" s="479"/>
      <c r="AA641" s="479"/>
      <c r="AB641" s="474"/>
      <c r="AC641" s="474"/>
    </row>
    <row r="642" ht="15.75" customHeight="1">
      <c r="C642" s="277"/>
      <c r="E642" s="278"/>
      <c r="F642" s="492"/>
      <c r="G642" s="279"/>
      <c r="J642" s="474"/>
      <c r="L642" s="470"/>
      <c r="U642" s="471"/>
      <c r="W642" s="491"/>
      <c r="X642" s="479"/>
      <c r="Y642" s="479"/>
      <c r="Z642" s="479"/>
      <c r="AA642" s="479"/>
      <c r="AB642" s="474"/>
      <c r="AC642" s="474"/>
    </row>
    <row r="643" ht="15.75" customHeight="1">
      <c r="C643" s="277"/>
      <c r="E643" s="278"/>
      <c r="F643" s="492"/>
      <c r="G643" s="279"/>
      <c r="J643" s="474"/>
      <c r="L643" s="470"/>
      <c r="U643" s="471"/>
      <c r="W643" s="491"/>
      <c r="X643" s="479"/>
      <c r="Y643" s="479"/>
      <c r="Z643" s="479"/>
      <c r="AA643" s="479"/>
      <c r="AB643" s="474"/>
      <c r="AC643" s="474"/>
    </row>
    <row r="644" ht="15.75" customHeight="1">
      <c r="C644" s="277"/>
      <c r="E644" s="278"/>
      <c r="F644" s="492"/>
      <c r="G644" s="279"/>
      <c r="J644" s="474"/>
      <c r="L644" s="470"/>
      <c r="U644" s="471"/>
      <c r="W644" s="491"/>
      <c r="X644" s="479"/>
      <c r="Y644" s="479"/>
      <c r="Z644" s="479"/>
      <c r="AA644" s="479"/>
      <c r="AB644" s="474"/>
      <c r="AC644" s="474"/>
    </row>
    <row r="645" ht="15.75" customHeight="1">
      <c r="C645" s="277"/>
      <c r="E645" s="278"/>
      <c r="F645" s="492"/>
      <c r="G645" s="279"/>
      <c r="J645" s="474"/>
      <c r="L645" s="470"/>
      <c r="U645" s="471"/>
      <c r="W645" s="491"/>
      <c r="X645" s="479"/>
      <c r="Y645" s="479"/>
      <c r="Z645" s="479"/>
      <c r="AA645" s="479"/>
      <c r="AB645" s="474"/>
      <c r="AC645" s="474"/>
    </row>
    <row r="646" ht="15.75" customHeight="1">
      <c r="C646" s="277"/>
      <c r="E646" s="278"/>
      <c r="F646" s="492"/>
      <c r="G646" s="279"/>
      <c r="J646" s="474"/>
      <c r="L646" s="470"/>
      <c r="U646" s="471"/>
      <c r="W646" s="491"/>
      <c r="X646" s="479"/>
      <c r="Y646" s="479"/>
      <c r="Z646" s="479"/>
      <c r="AA646" s="479"/>
      <c r="AB646" s="474"/>
      <c r="AC646" s="474"/>
    </row>
    <row r="647" ht="15.75" customHeight="1">
      <c r="C647" s="277"/>
      <c r="E647" s="278"/>
      <c r="F647" s="492"/>
      <c r="G647" s="279"/>
      <c r="J647" s="474"/>
      <c r="L647" s="470"/>
      <c r="U647" s="471"/>
      <c r="W647" s="491"/>
      <c r="X647" s="479"/>
      <c r="Y647" s="479"/>
      <c r="Z647" s="479"/>
      <c r="AA647" s="479"/>
      <c r="AB647" s="474"/>
      <c r="AC647" s="474"/>
    </row>
    <row r="648" ht="15.75" customHeight="1">
      <c r="C648" s="277"/>
      <c r="E648" s="278"/>
      <c r="F648" s="492"/>
      <c r="G648" s="279"/>
      <c r="J648" s="474"/>
      <c r="L648" s="470"/>
      <c r="U648" s="471"/>
      <c r="W648" s="491"/>
      <c r="X648" s="479"/>
      <c r="Y648" s="479"/>
      <c r="Z648" s="479"/>
      <c r="AA648" s="479"/>
      <c r="AB648" s="474"/>
      <c r="AC648" s="474"/>
    </row>
    <row r="649" ht="15.75" customHeight="1">
      <c r="C649" s="277"/>
      <c r="E649" s="278"/>
      <c r="F649" s="492"/>
      <c r="G649" s="279"/>
      <c r="J649" s="474"/>
      <c r="L649" s="470"/>
      <c r="U649" s="471"/>
      <c r="W649" s="491"/>
      <c r="X649" s="479"/>
      <c r="Y649" s="479"/>
      <c r="Z649" s="479"/>
      <c r="AA649" s="479"/>
      <c r="AB649" s="474"/>
      <c r="AC649" s="474"/>
    </row>
    <row r="650" ht="15.75" customHeight="1">
      <c r="C650" s="277"/>
      <c r="E650" s="278"/>
      <c r="F650" s="492"/>
      <c r="G650" s="279"/>
      <c r="J650" s="474"/>
      <c r="L650" s="470"/>
      <c r="U650" s="471"/>
      <c r="W650" s="491"/>
      <c r="X650" s="479"/>
      <c r="Y650" s="479"/>
      <c r="Z650" s="479"/>
      <c r="AA650" s="479"/>
      <c r="AB650" s="474"/>
      <c r="AC650" s="474"/>
    </row>
    <row r="651" ht="15.75" customHeight="1">
      <c r="C651" s="277"/>
      <c r="E651" s="278"/>
      <c r="F651" s="492"/>
      <c r="G651" s="279"/>
      <c r="J651" s="474"/>
      <c r="L651" s="470"/>
      <c r="U651" s="471"/>
      <c r="W651" s="491"/>
      <c r="X651" s="479"/>
      <c r="Y651" s="479"/>
      <c r="Z651" s="479"/>
      <c r="AA651" s="479"/>
      <c r="AB651" s="474"/>
      <c r="AC651" s="474"/>
    </row>
    <row r="652" ht="15.75" customHeight="1">
      <c r="C652" s="277"/>
      <c r="E652" s="278"/>
      <c r="F652" s="492"/>
      <c r="G652" s="279"/>
      <c r="J652" s="474"/>
      <c r="L652" s="470"/>
      <c r="U652" s="471"/>
      <c r="W652" s="491"/>
      <c r="X652" s="479"/>
      <c r="Y652" s="479"/>
      <c r="Z652" s="479"/>
      <c r="AA652" s="479"/>
      <c r="AB652" s="474"/>
      <c r="AC652" s="474"/>
    </row>
    <row r="653" ht="15.75" customHeight="1">
      <c r="C653" s="277"/>
      <c r="E653" s="278"/>
      <c r="F653" s="492"/>
      <c r="G653" s="279"/>
      <c r="J653" s="474"/>
      <c r="L653" s="470"/>
      <c r="U653" s="471"/>
      <c r="W653" s="491"/>
      <c r="X653" s="479"/>
      <c r="Y653" s="479"/>
      <c r="Z653" s="479"/>
      <c r="AA653" s="479"/>
      <c r="AB653" s="474"/>
      <c r="AC653" s="474"/>
    </row>
    <row r="654" ht="15.75" customHeight="1">
      <c r="C654" s="277"/>
      <c r="E654" s="278"/>
      <c r="F654" s="492"/>
      <c r="G654" s="279"/>
      <c r="J654" s="474"/>
      <c r="L654" s="470"/>
      <c r="U654" s="471"/>
      <c r="W654" s="491"/>
      <c r="X654" s="479"/>
      <c r="Y654" s="479"/>
      <c r="Z654" s="479"/>
      <c r="AA654" s="479"/>
      <c r="AB654" s="474"/>
      <c r="AC654" s="474"/>
    </row>
    <row r="655" ht="15.75" customHeight="1">
      <c r="C655" s="277"/>
      <c r="E655" s="278"/>
      <c r="F655" s="492"/>
      <c r="G655" s="279"/>
      <c r="J655" s="474"/>
      <c r="L655" s="470"/>
      <c r="U655" s="471"/>
      <c r="W655" s="491"/>
      <c r="X655" s="479"/>
      <c r="Y655" s="479"/>
      <c r="Z655" s="479"/>
      <c r="AA655" s="479"/>
      <c r="AB655" s="474"/>
      <c r="AC655" s="474"/>
    </row>
    <row r="656" ht="15.75" customHeight="1">
      <c r="C656" s="277"/>
      <c r="E656" s="278"/>
      <c r="F656" s="492"/>
      <c r="G656" s="279"/>
      <c r="J656" s="474"/>
      <c r="L656" s="470"/>
      <c r="U656" s="471"/>
      <c r="W656" s="491"/>
      <c r="X656" s="479"/>
      <c r="Y656" s="479"/>
      <c r="Z656" s="479"/>
      <c r="AA656" s="479"/>
      <c r="AB656" s="474"/>
      <c r="AC656" s="474"/>
    </row>
    <row r="657" ht="15.75" customHeight="1">
      <c r="C657" s="277"/>
      <c r="E657" s="278"/>
      <c r="F657" s="492"/>
      <c r="G657" s="279"/>
      <c r="J657" s="474"/>
      <c r="L657" s="470"/>
      <c r="U657" s="471"/>
      <c r="W657" s="491"/>
      <c r="X657" s="479"/>
      <c r="Y657" s="479"/>
      <c r="Z657" s="479"/>
      <c r="AA657" s="479"/>
      <c r="AB657" s="474"/>
      <c r="AC657" s="474"/>
    </row>
    <row r="658" ht="15.75" customHeight="1">
      <c r="C658" s="277"/>
      <c r="E658" s="278"/>
      <c r="F658" s="492"/>
      <c r="G658" s="279"/>
      <c r="J658" s="474"/>
      <c r="L658" s="470"/>
      <c r="U658" s="471"/>
      <c r="W658" s="491"/>
      <c r="X658" s="479"/>
      <c r="Y658" s="479"/>
      <c r="Z658" s="479"/>
      <c r="AA658" s="479"/>
      <c r="AB658" s="474"/>
      <c r="AC658" s="474"/>
    </row>
    <row r="659" ht="15.75" customHeight="1">
      <c r="C659" s="277"/>
      <c r="E659" s="278"/>
      <c r="F659" s="492"/>
      <c r="G659" s="279"/>
      <c r="J659" s="474"/>
      <c r="L659" s="470"/>
      <c r="U659" s="471"/>
      <c r="W659" s="491"/>
      <c r="X659" s="479"/>
      <c r="Y659" s="479"/>
      <c r="Z659" s="479"/>
      <c r="AA659" s="479"/>
      <c r="AB659" s="474"/>
      <c r="AC659" s="474"/>
    </row>
    <row r="660" ht="15.75" customHeight="1">
      <c r="C660" s="277"/>
      <c r="E660" s="278"/>
      <c r="F660" s="492"/>
      <c r="G660" s="279"/>
      <c r="J660" s="474"/>
      <c r="L660" s="470"/>
      <c r="U660" s="471"/>
      <c r="W660" s="491"/>
      <c r="X660" s="479"/>
      <c r="Y660" s="479"/>
      <c r="Z660" s="479"/>
      <c r="AA660" s="479"/>
      <c r="AB660" s="474"/>
      <c r="AC660" s="474"/>
    </row>
    <row r="661" ht="15.75" customHeight="1">
      <c r="C661" s="277"/>
      <c r="E661" s="278"/>
      <c r="F661" s="492"/>
      <c r="G661" s="279"/>
      <c r="J661" s="474"/>
      <c r="L661" s="470"/>
      <c r="U661" s="471"/>
      <c r="W661" s="491"/>
      <c r="X661" s="479"/>
      <c r="Y661" s="479"/>
      <c r="Z661" s="479"/>
      <c r="AA661" s="479"/>
      <c r="AB661" s="474"/>
      <c r="AC661" s="474"/>
    </row>
    <row r="662" ht="15.75" customHeight="1">
      <c r="C662" s="277"/>
      <c r="E662" s="278"/>
      <c r="F662" s="492"/>
      <c r="G662" s="279"/>
      <c r="J662" s="474"/>
      <c r="L662" s="470"/>
      <c r="U662" s="471"/>
      <c r="W662" s="491"/>
      <c r="X662" s="479"/>
      <c r="Y662" s="479"/>
      <c r="Z662" s="479"/>
      <c r="AA662" s="479"/>
      <c r="AB662" s="474"/>
      <c r="AC662" s="474"/>
    </row>
    <row r="663" ht="15.75" customHeight="1">
      <c r="C663" s="277"/>
      <c r="E663" s="278"/>
      <c r="F663" s="492"/>
      <c r="G663" s="279"/>
      <c r="J663" s="474"/>
      <c r="L663" s="470"/>
      <c r="U663" s="471"/>
      <c r="W663" s="491"/>
      <c r="X663" s="479"/>
      <c r="Y663" s="479"/>
      <c r="Z663" s="479"/>
      <c r="AA663" s="479"/>
      <c r="AB663" s="474"/>
      <c r="AC663" s="474"/>
    </row>
    <row r="664" ht="15.75" customHeight="1">
      <c r="C664" s="277"/>
      <c r="E664" s="278"/>
      <c r="F664" s="492"/>
      <c r="G664" s="279"/>
      <c r="J664" s="474"/>
      <c r="L664" s="470"/>
      <c r="U664" s="471"/>
      <c r="W664" s="491"/>
      <c r="X664" s="479"/>
      <c r="Y664" s="479"/>
      <c r="Z664" s="479"/>
      <c r="AA664" s="479"/>
      <c r="AB664" s="474"/>
      <c r="AC664" s="474"/>
    </row>
    <row r="665" ht="15.75" customHeight="1">
      <c r="C665" s="277"/>
      <c r="E665" s="278"/>
      <c r="F665" s="492"/>
      <c r="G665" s="279"/>
      <c r="J665" s="474"/>
      <c r="L665" s="470"/>
      <c r="U665" s="471"/>
      <c r="W665" s="491"/>
      <c r="X665" s="479"/>
      <c r="Y665" s="479"/>
      <c r="Z665" s="479"/>
      <c r="AA665" s="479"/>
      <c r="AB665" s="474"/>
      <c r="AC665" s="474"/>
    </row>
    <row r="666" ht="15.75" customHeight="1">
      <c r="C666" s="277"/>
      <c r="E666" s="278"/>
      <c r="F666" s="492"/>
      <c r="G666" s="279"/>
      <c r="J666" s="474"/>
      <c r="L666" s="470"/>
      <c r="U666" s="471"/>
      <c r="W666" s="491"/>
      <c r="X666" s="479"/>
      <c r="Y666" s="479"/>
      <c r="Z666" s="479"/>
      <c r="AA666" s="479"/>
      <c r="AB666" s="474"/>
      <c r="AC666" s="474"/>
    </row>
    <row r="667" ht="15.75" customHeight="1">
      <c r="C667" s="277"/>
      <c r="E667" s="278"/>
      <c r="F667" s="492"/>
      <c r="G667" s="279"/>
      <c r="J667" s="474"/>
      <c r="L667" s="470"/>
      <c r="U667" s="471"/>
      <c r="W667" s="491"/>
      <c r="X667" s="479"/>
      <c r="Y667" s="479"/>
      <c r="Z667" s="479"/>
      <c r="AA667" s="479"/>
      <c r="AB667" s="474"/>
      <c r="AC667" s="474"/>
    </row>
    <row r="668" ht="15.75" customHeight="1">
      <c r="C668" s="277"/>
      <c r="E668" s="278"/>
      <c r="F668" s="492"/>
      <c r="G668" s="279"/>
      <c r="J668" s="474"/>
      <c r="L668" s="470"/>
      <c r="U668" s="471"/>
      <c r="W668" s="491"/>
      <c r="X668" s="479"/>
      <c r="Y668" s="479"/>
      <c r="Z668" s="479"/>
      <c r="AA668" s="479"/>
      <c r="AB668" s="474"/>
      <c r="AC668" s="474"/>
    </row>
    <row r="669" ht="15.75" customHeight="1">
      <c r="C669" s="277"/>
      <c r="E669" s="278"/>
      <c r="F669" s="492"/>
      <c r="G669" s="279"/>
      <c r="J669" s="474"/>
      <c r="L669" s="470"/>
      <c r="U669" s="471"/>
      <c r="W669" s="491"/>
      <c r="X669" s="479"/>
      <c r="Y669" s="479"/>
      <c r="Z669" s="479"/>
      <c r="AA669" s="479"/>
      <c r="AB669" s="474"/>
      <c r="AC669" s="474"/>
    </row>
    <row r="670" ht="15.75" customHeight="1">
      <c r="C670" s="277"/>
      <c r="E670" s="278"/>
      <c r="F670" s="492"/>
      <c r="G670" s="279"/>
      <c r="J670" s="474"/>
      <c r="L670" s="470"/>
      <c r="U670" s="471"/>
      <c r="W670" s="491"/>
      <c r="X670" s="479"/>
      <c r="Y670" s="479"/>
      <c r="Z670" s="479"/>
      <c r="AA670" s="479"/>
      <c r="AB670" s="474"/>
      <c r="AC670" s="474"/>
    </row>
    <row r="671" ht="15.75" customHeight="1">
      <c r="C671" s="277"/>
      <c r="E671" s="278"/>
      <c r="F671" s="492"/>
      <c r="G671" s="279"/>
      <c r="J671" s="474"/>
      <c r="L671" s="470"/>
      <c r="U671" s="471"/>
      <c r="W671" s="491"/>
      <c r="X671" s="479"/>
      <c r="Y671" s="479"/>
      <c r="Z671" s="479"/>
      <c r="AA671" s="479"/>
      <c r="AB671" s="474"/>
      <c r="AC671" s="474"/>
    </row>
    <row r="672" ht="15.75" customHeight="1">
      <c r="C672" s="277"/>
      <c r="E672" s="278"/>
      <c r="F672" s="492"/>
      <c r="G672" s="279"/>
      <c r="J672" s="474"/>
      <c r="L672" s="470"/>
      <c r="U672" s="471"/>
      <c r="W672" s="491"/>
      <c r="X672" s="479"/>
      <c r="Y672" s="479"/>
      <c r="Z672" s="479"/>
      <c r="AA672" s="479"/>
      <c r="AB672" s="474"/>
      <c r="AC672" s="474"/>
    </row>
    <row r="673" ht="15.75" customHeight="1">
      <c r="C673" s="277"/>
      <c r="E673" s="278"/>
      <c r="F673" s="492"/>
      <c r="G673" s="279"/>
      <c r="J673" s="474"/>
      <c r="L673" s="470"/>
      <c r="U673" s="471"/>
      <c r="W673" s="491"/>
      <c r="X673" s="479"/>
      <c r="Y673" s="479"/>
      <c r="Z673" s="479"/>
      <c r="AA673" s="479"/>
      <c r="AB673" s="474"/>
      <c r="AC673" s="474"/>
    </row>
    <row r="674" ht="15.75" customHeight="1">
      <c r="C674" s="277"/>
      <c r="E674" s="278"/>
      <c r="F674" s="492"/>
      <c r="G674" s="279"/>
      <c r="J674" s="474"/>
      <c r="L674" s="470"/>
      <c r="U674" s="471"/>
      <c r="W674" s="491"/>
      <c r="X674" s="479"/>
      <c r="Y674" s="479"/>
      <c r="Z674" s="479"/>
      <c r="AA674" s="479"/>
      <c r="AB674" s="474"/>
      <c r="AC674" s="474"/>
    </row>
    <row r="675" ht="15.75" customHeight="1">
      <c r="C675" s="277"/>
      <c r="E675" s="278"/>
      <c r="F675" s="492"/>
      <c r="G675" s="279"/>
      <c r="J675" s="474"/>
      <c r="L675" s="470"/>
      <c r="U675" s="471"/>
      <c r="W675" s="491"/>
      <c r="X675" s="479"/>
      <c r="Y675" s="479"/>
      <c r="Z675" s="479"/>
      <c r="AA675" s="479"/>
      <c r="AB675" s="474"/>
      <c r="AC675" s="474"/>
    </row>
    <row r="676" ht="15.75" customHeight="1">
      <c r="C676" s="277"/>
      <c r="E676" s="278"/>
      <c r="F676" s="492"/>
      <c r="G676" s="279"/>
      <c r="J676" s="474"/>
      <c r="L676" s="470"/>
      <c r="U676" s="471"/>
      <c r="W676" s="491"/>
      <c r="X676" s="479"/>
      <c r="Y676" s="479"/>
      <c r="Z676" s="479"/>
      <c r="AA676" s="479"/>
      <c r="AB676" s="474"/>
      <c r="AC676" s="474"/>
    </row>
    <row r="677" ht="15.75" customHeight="1">
      <c r="C677" s="277"/>
      <c r="E677" s="278"/>
      <c r="F677" s="492"/>
      <c r="G677" s="279"/>
      <c r="J677" s="474"/>
      <c r="L677" s="470"/>
      <c r="U677" s="471"/>
      <c r="W677" s="491"/>
      <c r="X677" s="479"/>
      <c r="Y677" s="479"/>
      <c r="Z677" s="479"/>
      <c r="AA677" s="479"/>
      <c r="AB677" s="474"/>
      <c r="AC677" s="474"/>
    </row>
    <row r="678" ht="15.75" customHeight="1">
      <c r="C678" s="277"/>
      <c r="E678" s="278"/>
      <c r="F678" s="492"/>
      <c r="G678" s="279"/>
      <c r="J678" s="474"/>
      <c r="L678" s="470"/>
      <c r="U678" s="471"/>
      <c r="W678" s="491"/>
      <c r="X678" s="479"/>
      <c r="Y678" s="479"/>
      <c r="Z678" s="479"/>
      <c r="AA678" s="479"/>
      <c r="AB678" s="474"/>
      <c r="AC678" s="474"/>
    </row>
    <row r="679" ht="15.75" customHeight="1">
      <c r="C679" s="277"/>
      <c r="E679" s="278"/>
      <c r="F679" s="492"/>
      <c r="G679" s="279"/>
      <c r="J679" s="474"/>
      <c r="L679" s="470"/>
      <c r="U679" s="471"/>
      <c r="W679" s="491"/>
      <c r="X679" s="479"/>
      <c r="Y679" s="479"/>
      <c r="Z679" s="479"/>
      <c r="AA679" s="479"/>
      <c r="AB679" s="474"/>
      <c r="AC679" s="474"/>
    </row>
    <row r="680" ht="15.75" customHeight="1">
      <c r="C680" s="277"/>
      <c r="E680" s="278"/>
      <c r="F680" s="492"/>
      <c r="G680" s="279"/>
      <c r="J680" s="474"/>
      <c r="L680" s="470"/>
      <c r="U680" s="471"/>
      <c r="W680" s="491"/>
      <c r="X680" s="479"/>
      <c r="Y680" s="479"/>
      <c r="Z680" s="479"/>
      <c r="AA680" s="479"/>
      <c r="AB680" s="474"/>
      <c r="AC680" s="474"/>
    </row>
    <row r="681" ht="15.75" customHeight="1">
      <c r="C681" s="277"/>
      <c r="E681" s="278"/>
      <c r="F681" s="492"/>
      <c r="G681" s="279"/>
      <c r="J681" s="474"/>
      <c r="L681" s="470"/>
      <c r="U681" s="471"/>
      <c r="W681" s="491"/>
      <c r="X681" s="479"/>
      <c r="Y681" s="479"/>
      <c r="Z681" s="479"/>
      <c r="AA681" s="479"/>
      <c r="AB681" s="474"/>
      <c r="AC681" s="474"/>
    </row>
    <row r="682" ht="15.75" customHeight="1">
      <c r="C682" s="277"/>
      <c r="E682" s="278"/>
      <c r="F682" s="492"/>
      <c r="G682" s="279"/>
      <c r="J682" s="474"/>
      <c r="L682" s="470"/>
      <c r="U682" s="471"/>
      <c r="W682" s="491"/>
      <c r="X682" s="479"/>
      <c r="Y682" s="479"/>
      <c r="Z682" s="479"/>
      <c r="AA682" s="479"/>
      <c r="AB682" s="474"/>
      <c r="AC682" s="474"/>
    </row>
    <row r="683" ht="15.75" customHeight="1">
      <c r="C683" s="277"/>
      <c r="E683" s="278"/>
      <c r="F683" s="492"/>
      <c r="G683" s="279"/>
      <c r="J683" s="474"/>
      <c r="L683" s="470"/>
      <c r="U683" s="471"/>
      <c r="W683" s="491"/>
      <c r="X683" s="479"/>
      <c r="Y683" s="479"/>
      <c r="Z683" s="479"/>
      <c r="AA683" s="479"/>
      <c r="AB683" s="474"/>
      <c r="AC683" s="474"/>
    </row>
    <row r="684" ht="15.75" customHeight="1">
      <c r="C684" s="277"/>
      <c r="E684" s="278"/>
      <c r="F684" s="492"/>
      <c r="G684" s="279"/>
      <c r="J684" s="474"/>
      <c r="L684" s="470"/>
      <c r="U684" s="471"/>
      <c r="W684" s="491"/>
      <c r="X684" s="479"/>
      <c r="Y684" s="479"/>
      <c r="Z684" s="479"/>
      <c r="AA684" s="479"/>
      <c r="AB684" s="474"/>
      <c r="AC684" s="474"/>
    </row>
    <row r="685" ht="15.75" customHeight="1">
      <c r="C685" s="277"/>
      <c r="E685" s="278"/>
      <c r="F685" s="492"/>
      <c r="G685" s="279"/>
      <c r="J685" s="474"/>
      <c r="L685" s="470"/>
      <c r="U685" s="471"/>
      <c r="W685" s="491"/>
      <c r="X685" s="479"/>
      <c r="Y685" s="479"/>
      <c r="Z685" s="479"/>
      <c r="AA685" s="479"/>
      <c r="AB685" s="474"/>
      <c r="AC685" s="474"/>
    </row>
    <row r="686" ht="15.75" customHeight="1">
      <c r="C686" s="277"/>
      <c r="E686" s="278"/>
      <c r="F686" s="492"/>
      <c r="G686" s="279"/>
      <c r="J686" s="474"/>
      <c r="L686" s="470"/>
      <c r="U686" s="471"/>
      <c r="W686" s="491"/>
      <c r="X686" s="479"/>
      <c r="Y686" s="479"/>
      <c r="Z686" s="479"/>
      <c r="AA686" s="479"/>
      <c r="AB686" s="474"/>
      <c r="AC686" s="474"/>
    </row>
    <row r="687" ht="15.75" customHeight="1">
      <c r="C687" s="277"/>
      <c r="E687" s="278"/>
      <c r="F687" s="492"/>
      <c r="G687" s="279"/>
      <c r="J687" s="474"/>
      <c r="L687" s="470"/>
      <c r="U687" s="471"/>
      <c r="W687" s="491"/>
      <c r="X687" s="479"/>
      <c r="Y687" s="479"/>
      <c r="Z687" s="479"/>
      <c r="AA687" s="479"/>
      <c r="AB687" s="474"/>
      <c r="AC687" s="474"/>
    </row>
    <row r="688" ht="15.75" customHeight="1">
      <c r="C688" s="277"/>
      <c r="E688" s="278"/>
      <c r="F688" s="492"/>
      <c r="G688" s="279"/>
      <c r="J688" s="474"/>
      <c r="L688" s="470"/>
      <c r="U688" s="471"/>
      <c r="W688" s="491"/>
      <c r="X688" s="479"/>
      <c r="Y688" s="479"/>
      <c r="Z688" s="479"/>
      <c r="AA688" s="479"/>
      <c r="AB688" s="474"/>
      <c r="AC688" s="474"/>
    </row>
    <row r="689" ht="15.75" customHeight="1">
      <c r="C689" s="277"/>
      <c r="E689" s="278"/>
      <c r="F689" s="492"/>
      <c r="G689" s="279"/>
      <c r="J689" s="474"/>
      <c r="L689" s="470"/>
      <c r="U689" s="471"/>
      <c r="W689" s="491"/>
      <c r="X689" s="479"/>
      <c r="Y689" s="479"/>
      <c r="Z689" s="479"/>
      <c r="AA689" s="479"/>
      <c r="AB689" s="474"/>
      <c r="AC689" s="474"/>
    </row>
    <row r="690" ht="15.75" customHeight="1">
      <c r="C690" s="277"/>
      <c r="E690" s="278"/>
      <c r="F690" s="492"/>
      <c r="G690" s="279"/>
      <c r="J690" s="474"/>
      <c r="L690" s="470"/>
      <c r="U690" s="471"/>
      <c r="W690" s="491"/>
      <c r="X690" s="479"/>
      <c r="Y690" s="479"/>
      <c r="Z690" s="479"/>
      <c r="AA690" s="479"/>
      <c r="AB690" s="474"/>
      <c r="AC690" s="474"/>
    </row>
    <row r="691" ht="15.75" customHeight="1">
      <c r="C691" s="277"/>
      <c r="E691" s="278"/>
      <c r="F691" s="492"/>
      <c r="G691" s="279"/>
      <c r="J691" s="474"/>
      <c r="L691" s="470"/>
      <c r="U691" s="471"/>
      <c r="W691" s="491"/>
      <c r="X691" s="479"/>
      <c r="Y691" s="479"/>
      <c r="Z691" s="479"/>
      <c r="AA691" s="479"/>
      <c r="AB691" s="474"/>
      <c r="AC691" s="474"/>
    </row>
    <row r="692" ht="15.75" customHeight="1">
      <c r="C692" s="277"/>
      <c r="E692" s="278"/>
      <c r="F692" s="492"/>
      <c r="G692" s="279"/>
      <c r="J692" s="474"/>
      <c r="L692" s="470"/>
      <c r="U692" s="471"/>
      <c r="W692" s="491"/>
      <c r="X692" s="479"/>
      <c r="Y692" s="479"/>
      <c r="Z692" s="479"/>
      <c r="AA692" s="479"/>
      <c r="AB692" s="474"/>
      <c r="AC692" s="474"/>
    </row>
    <row r="693" ht="15.75" customHeight="1">
      <c r="C693" s="277"/>
      <c r="E693" s="278"/>
      <c r="F693" s="492"/>
      <c r="G693" s="279"/>
      <c r="J693" s="474"/>
      <c r="L693" s="470"/>
      <c r="U693" s="471"/>
      <c r="W693" s="491"/>
      <c r="X693" s="479"/>
      <c r="Y693" s="479"/>
      <c r="Z693" s="479"/>
      <c r="AA693" s="479"/>
      <c r="AB693" s="474"/>
      <c r="AC693" s="474"/>
    </row>
    <row r="694" ht="15.75" customHeight="1">
      <c r="C694" s="277"/>
      <c r="E694" s="278"/>
      <c r="F694" s="492"/>
      <c r="G694" s="279"/>
      <c r="J694" s="474"/>
      <c r="L694" s="470"/>
      <c r="U694" s="471"/>
      <c r="W694" s="491"/>
      <c r="X694" s="479"/>
      <c r="Y694" s="479"/>
      <c r="Z694" s="479"/>
      <c r="AA694" s="479"/>
      <c r="AB694" s="474"/>
      <c r="AC694" s="474"/>
    </row>
    <row r="695" ht="15.75" customHeight="1">
      <c r="C695" s="277"/>
      <c r="E695" s="278"/>
      <c r="F695" s="492"/>
      <c r="G695" s="279"/>
      <c r="J695" s="474"/>
      <c r="L695" s="470"/>
      <c r="U695" s="471"/>
      <c r="W695" s="491"/>
      <c r="X695" s="479"/>
      <c r="Y695" s="479"/>
      <c r="Z695" s="479"/>
      <c r="AA695" s="479"/>
      <c r="AB695" s="474"/>
      <c r="AC695" s="474"/>
    </row>
    <row r="696" ht="15.75" customHeight="1">
      <c r="C696" s="277"/>
      <c r="E696" s="278"/>
      <c r="F696" s="492"/>
      <c r="G696" s="279"/>
      <c r="J696" s="474"/>
      <c r="L696" s="470"/>
      <c r="U696" s="471"/>
      <c r="W696" s="491"/>
      <c r="X696" s="479"/>
      <c r="Y696" s="479"/>
      <c r="Z696" s="479"/>
      <c r="AA696" s="479"/>
      <c r="AB696" s="474"/>
      <c r="AC696" s="474"/>
    </row>
    <row r="697" ht="15.75" customHeight="1">
      <c r="C697" s="277"/>
      <c r="E697" s="278"/>
      <c r="F697" s="492"/>
      <c r="G697" s="279"/>
      <c r="J697" s="474"/>
      <c r="L697" s="470"/>
      <c r="U697" s="471"/>
      <c r="W697" s="491"/>
      <c r="X697" s="479"/>
      <c r="Y697" s="479"/>
      <c r="Z697" s="479"/>
      <c r="AA697" s="479"/>
      <c r="AB697" s="474"/>
      <c r="AC697" s="474"/>
    </row>
    <row r="698" ht="15.75" customHeight="1">
      <c r="C698" s="277"/>
      <c r="E698" s="278"/>
      <c r="F698" s="492"/>
      <c r="G698" s="279"/>
      <c r="J698" s="474"/>
      <c r="L698" s="470"/>
      <c r="U698" s="471"/>
      <c r="W698" s="491"/>
      <c r="X698" s="479"/>
      <c r="Y698" s="479"/>
      <c r="Z698" s="479"/>
      <c r="AA698" s="479"/>
      <c r="AB698" s="474"/>
      <c r="AC698" s="474"/>
    </row>
    <row r="699" ht="15.75" customHeight="1">
      <c r="C699" s="277"/>
      <c r="E699" s="278"/>
      <c r="F699" s="492"/>
      <c r="G699" s="279"/>
      <c r="J699" s="474"/>
      <c r="L699" s="470"/>
      <c r="U699" s="471"/>
      <c r="W699" s="491"/>
      <c r="X699" s="479"/>
      <c r="Y699" s="479"/>
      <c r="Z699" s="479"/>
      <c r="AA699" s="479"/>
      <c r="AB699" s="474"/>
      <c r="AC699" s="474"/>
    </row>
    <row r="700" ht="15.75" customHeight="1">
      <c r="C700" s="277"/>
      <c r="E700" s="278"/>
      <c r="F700" s="492"/>
      <c r="G700" s="279"/>
      <c r="J700" s="474"/>
      <c r="L700" s="470"/>
      <c r="U700" s="471"/>
      <c r="W700" s="491"/>
      <c r="X700" s="479"/>
      <c r="Y700" s="479"/>
      <c r="Z700" s="479"/>
      <c r="AA700" s="479"/>
      <c r="AB700" s="474"/>
      <c r="AC700" s="474"/>
    </row>
    <row r="701" ht="15.75" customHeight="1">
      <c r="C701" s="277"/>
      <c r="E701" s="278"/>
      <c r="F701" s="492"/>
      <c r="G701" s="279"/>
      <c r="J701" s="474"/>
      <c r="L701" s="470"/>
      <c r="U701" s="471"/>
      <c r="W701" s="491"/>
      <c r="X701" s="479"/>
      <c r="Y701" s="479"/>
      <c r="Z701" s="479"/>
      <c r="AA701" s="479"/>
      <c r="AB701" s="474"/>
      <c r="AC701" s="474"/>
    </row>
    <row r="702" ht="15.75" customHeight="1">
      <c r="C702" s="277"/>
      <c r="E702" s="278"/>
      <c r="F702" s="492"/>
      <c r="G702" s="279"/>
      <c r="J702" s="474"/>
      <c r="L702" s="470"/>
      <c r="U702" s="471"/>
      <c r="W702" s="491"/>
      <c r="X702" s="479"/>
      <c r="Y702" s="479"/>
      <c r="Z702" s="479"/>
      <c r="AA702" s="479"/>
      <c r="AB702" s="474"/>
      <c r="AC702" s="474"/>
    </row>
    <row r="703" ht="15.75" customHeight="1">
      <c r="C703" s="277"/>
      <c r="E703" s="278"/>
      <c r="F703" s="492"/>
      <c r="G703" s="279"/>
      <c r="J703" s="474"/>
      <c r="L703" s="470"/>
      <c r="U703" s="471"/>
      <c r="W703" s="491"/>
      <c r="X703" s="479"/>
      <c r="Y703" s="479"/>
      <c r="Z703" s="479"/>
      <c r="AA703" s="479"/>
      <c r="AB703" s="474"/>
      <c r="AC703" s="474"/>
    </row>
    <row r="704" ht="15.75" customHeight="1">
      <c r="C704" s="277"/>
      <c r="E704" s="278"/>
      <c r="F704" s="492"/>
      <c r="G704" s="279"/>
      <c r="J704" s="474"/>
      <c r="L704" s="470"/>
      <c r="U704" s="471"/>
      <c r="W704" s="491"/>
      <c r="X704" s="479"/>
      <c r="Y704" s="479"/>
      <c r="Z704" s="479"/>
      <c r="AA704" s="479"/>
      <c r="AB704" s="474"/>
      <c r="AC704" s="474"/>
    </row>
    <row r="705" ht="15.75" customHeight="1">
      <c r="C705" s="277"/>
      <c r="E705" s="278"/>
      <c r="F705" s="492"/>
      <c r="G705" s="279"/>
      <c r="J705" s="474"/>
      <c r="L705" s="470"/>
      <c r="U705" s="471"/>
      <c r="W705" s="491"/>
      <c r="X705" s="479"/>
      <c r="Y705" s="479"/>
      <c r="Z705" s="479"/>
      <c r="AA705" s="479"/>
      <c r="AB705" s="474"/>
      <c r="AC705" s="474"/>
    </row>
    <row r="706" ht="15.75" customHeight="1">
      <c r="C706" s="277"/>
      <c r="E706" s="278"/>
      <c r="F706" s="492"/>
      <c r="G706" s="279"/>
      <c r="J706" s="474"/>
      <c r="L706" s="470"/>
      <c r="U706" s="471"/>
      <c r="W706" s="491"/>
      <c r="X706" s="479"/>
      <c r="Y706" s="479"/>
      <c r="Z706" s="479"/>
      <c r="AA706" s="479"/>
      <c r="AB706" s="474"/>
      <c r="AC706" s="474"/>
    </row>
    <row r="707" ht="15.75" customHeight="1">
      <c r="C707" s="277"/>
      <c r="E707" s="278"/>
      <c r="F707" s="492"/>
      <c r="G707" s="279"/>
      <c r="J707" s="474"/>
      <c r="L707" s="470"/>
      <c r="U707" s="471"/>
      <c r="W707" s="491"/>
      <c r="X707" s="479"/>
      <c r="Y707" s="479"/>
      <c r="Z707" s="479"/>
      <c r="AA707" s="479"/>
      <c r="AB707" s="474"/>
      <c r="AC707" s="474"/>
    </row>
    <row r="708" ht="15.75" customHeight="1">
      <c r="C708" s="277"/>
      <c r="E708" s="278"/>
      <c r="F708" s="492"/>
      <c r="G708" s="279"/>
      <c r="J708" s="474"/>
      <c r="L708" s="470"/>
      <c r="U708" s="471"/>
      <c r="W708" s="491"/>
      <c r="X708" s="479"/>
      <c r="Y708" s="479"/>
      <c r="Z708" s="479"/>
      <c r="AA708" s="479"/>
      <c r="AB708" s="474"/>
      <c r="AC708" s="474"/>
    </row>
    <row r="709" ht="15.75" customHeight="1">
      <c r="C709" s="277"/>
      <c r="E709" s="278"/>
      <c r="F709" s="492"/>
      <c r="G709" s="279"/>
      <c r="J709" s="474"/>
      <c r="L709" s="470"/>
      <c r="U709" s="471"/>
      <c r="W709" s="491"/>
      <c r="X709" s="479"/>
      <c r="Y709" s="479"/>
      <c r="Z709" s="479"/>
      <c r="AA709" s="479"/>
      <c r="AB709" s="474"/>
      <c r="AC709" s="474"/>
    </row>
    <row r="710" ht="15.75" customHeight="1">
      <c r="C710" s="277"/>
      <c r="E710" s="278"/>
      <c r="F710" s="492"/>
      <c r="G710" s="279"/>
      <c r="J710" s="474"/>
      <c r="L710" s="470"/>
      <c r="U710" s="471"/>
      <c r="W710" s="491"/>
      <c r="X710" s="479"/>
      <c r="Y710" s="479"/>
      <c r="Z710" s="479"/>
      <c r="AA710" s="479"/>
      <c r="AB710" s="474"/>
      <c r="AC710" s="474"/>
    </row>
    <row r="711" ht="15.75" customHeight="1">
      <c r="C711" s="277"/>
      <c r="E711" s="278"/>
      <c r="F711" s="492"/>
      <c r="G711" s="279"/>
      <c r="J711" s="474"/>
      <c r="L711" s="470"/>
      <c r="U711" s="471"/>
      <c r="W711" s="491"/>
      <c r="X711" s="479"/>
      <c r="Y711" s="479"/>
      <c r="Z711" s="479"/>
      <c r="AA711" s="479"/>
      <c r="AB711" s="474"/>
      <c r="AC711" s="474"/>
    </row>
    <row r="712" ht="15.75" customHeight="1">
      <c r="C712" s="277"/>
      <c r="E712" s="278"/>
      <c r="F712" s="492"/>
      <c r="G712" s="279"/>
      <c r="J712" s="474"/>
      <c r="L712" s="470"/>
      <c r="U712" s="471"/>
      <c r="W712" s="491"/>
      <c r="X712" s="479"/>
      <c r="Y712" s="479"/>
      <c r="Z712" s="479"/>
      <c r="AA712" s="479"/>
      <c r="AB712" s="474"/>
      <c r="AC712" s="474"/>
    </row>
    <row r="713" ht="15.75" customHeight="1">
      <c r="C713" s="277"/>
      <c r="E713" s="278"/>
      <c r="F713" s="492"/>
      <c r="G713" s="279"/>
      <c r="J713" s="474"/>
      <c r="L713" s="470"/>
      <c r="U713" s="471"/>
      <c r="W713" s="491"/>
      <c r="X713" s="479"/>
      <c r="Y713" s="479"/>
      <c r="Z713" s="479"/>
      <c r="AA713" s="479"/>
      <c r="AB713" s="474"/>
      <c r="AC713" s="474"/>
    </row>
    <row r="714" ht="15.75" customHeight="1">
      <c r="C714" s="277"/>
      <c r="E714" s="278"/>
      <c r="F714" s="492"/>
      <c r="G714" s="279"/>
      <c r="J714" s="474"/>
      <c r="L714" s="470"/>
      <c r="U714" s="471"/>
      <c r="W714" s="491"/>
      <c r="X714" s="479"/>
      <c r="Y714" s="479"/>
      <c r="Z714" s="479"/>
      <c r="AA714" s="479"/>
      <c r="AB714" s="474"/>
      <c r="AC714" s="474"/>
    </row>
    <row r="715" ht="15.75" customHeight="1">
      <c r="C715" s="277"/>
      <c r="E715" s="278"/>
      <c r="F715" s="492"/>
      <c r="G715" s="279"/>
      <c r="J715" s="474"/>
      <c r="L715" s="470"/>
      <c r="U715" s="471"/>
      <c r="W715" s="491"/>
      <c r="X715" s="479"/>
      <c r="Y715" s="479"/>
      <c r="Z715" s="479"/>
      <c r="AA715" s="479"/>
      <c r="AB715" s="474"/>
      <c r="AC715" s="474"/>
    </row>
    <row r="716" ht="15.75" customHeight="1">
      <c r="C716" s="277"/>
      <c r="E716" s="278"/>
      <c r="F716" s="492"/>
      <c r="G716" s="279"/>
      <c r="J716" s="474"/>
      <c r="L716" s="470"/>
      <c r="U716" s="471"/>
      <c r="W716" s="491"/>
      <c r="X716" s="479"/>
      <c r="Y716" s="479"/>
      <c r="Z716" s="479"/>
      <c r="AA716" s="479"/>
      <c r="AB716" s="474"/>
      <c r="AC716" s="474"/>
    </row>
    <row r="717" ht="15.75" customHeight="1">
      <c r="C717" s="277"/>
      <c r="E717" s="278"/>
      <c r="F717" s="492"/>
      <c r="G717" s="279"/>
      <c r="J717" s="474"/>
      <c r="L717" s="470"/>
      <c r="U717" s="471"/>
      <c r="W717" s="491"/>
      <c r="X717" s="479"/>
      <c r="Y717" s="479"/>
      <c r="Z717" s="479"/>
      <c r="AA717" s="479"/>
      <c r="AB717" s="474"/>
      <c r="AC717" s="474"/>
    </row>
    <row r="718" ht="15.75" customHeight="1">
      <c r="C718" s="277"/>
      <c r="E718" s="278"/>
      <c r="F718" s="492"/>
      <c r="G718" s="279"/>
      <c r="J718" s="474"/>
      <c r="L718" s="470"/>
      <c r="U718" s="471"/>
      <c r="W718" s="491"/>
      <c r="X718" s="479"/>
      <c r="Y718" s="479"/>
      <c r="Z718" s="479"/>
      <c r="AA718" s="479"/>
      <c r="AB718" s="474"/>
      <c r="AC718" s="474"/>
    </row>
    <row r="719" ht="15.75" customHeight="1">
      <c r="C719" s="277"/>
      <c r="E719" s="278"/>
      <c r="F719" s="492"/>
      <c r="G719" s="279"/>
      <c r="J719" s="474"/>
      <c r="L719" s="470"/>
      <c r="U719" s="471"/>
      <c r="W719" s="491"/>
      <c r="X719" s="479"/>
      <c r="Y719" s="479"/>
      <c r="Z719" s="479"/>
      <c r="AA719" s="479"/>
      <c r="AB719" s="474"/>
      <c r="AC719" s="474"/>
    </row>
    <row r="720" ht="15.75" customHeight="1">
      <c r="C720" s="277"/>
      <c r="E720" s="278"/>
      <c r="F720" s="492"/>
      <c r="G720" s="279"/>
      <c r="J720" s="474"/>
      <c r="L720" s="470"/>
      <c r="U720" s="471"/>
      <c r="W720" s="491"/>
      <c r="X720" s="479"/>
      <c r="Y720" s="479"/>
      <c r="Z720" s="479"/>
      <c r="AA720" s="479"/>
      <c r="AB720" s="474"/>
      <c r="AC720" s="474"/>
    </row>
    <row r="721" ht="15.75" customHeight="1">
      <c r="C721" s="277"/>
      <c r="E721" s="278"/>
      <c r="F721" s="492"/>
      <c r="G721" s="279"/>
      <c r="J721" s="474"/>
      <c r="L721" s="470"/>
      <c r="U721" s="471"/>
      <c r="W721" s="491"/>
      <c r="X721" s="479"/>
      <c r="Y721" s="479"/>
      <c r="Z721" s="479"/>
      <c r="AA721" s="479"/>
      <c r="AB721" s="474"/>
      <c r="AC721" s="474"/>
    </row>
    <row r="722" ht="15.75" customHeight="1">
      <c r="C722" s="277"/>
      <c r="E722" s="278"/>
      <c r="F722" s="492"/>
      <c r="G722" s="279"/>
      <c r="J722" s="474"/>
      <c r="L722" s="470"/>
      <c r="U722" s="471"/>
      <c r="W722" s="491"/>
      <c r="X722" s="479"/>
      <c r="Y722" s="479"/>
      <c r="Z722" s="479"/>
      <c r="AA722" s="479"/>
      <c r="AB722" s="474"/>
      <c r="AC722" s="474"/>
    </row>
    <row r="723" ht="15.75" customHeight="1">
      <c r="C723" s="277"/>
      <c r="E723" s="278"/>
      <c r="F723" s="492"/>
      <c r="G723" s="279"/>
      <c r="J723" s="474"/>
      <c r="L723" s="470"/>
      <c r="U723" s="471"/>
      <c r="W723" s="491"/>
      <c r="X723" s="479"/>
      <c r="Y723" s="479"/>
      <c r="Z723" s="479"/>
      <c r="AA723" s="479"/>
      <c r="AB723" s="474"/>
      <c r="AC723" s="474"/>
    </row>
    <row r="724" ht="15.75" customHeight="1">
      <c r="C724" s="277"/>
      <c r="E724" s="278"/>
      <c r="F724" s="492"/>
      <c r="G724" s="279"/>
      <c r="J724" s="474"/>
      <c r="L724" s="470"/>
      <c r="U724" s="471"/>
      <c r="W724" s="491"/>
      <c r="X724" s="479"/>
      <c r="Y724" s="479"/>
      <c r="Z724" s="479"/>
      <c r="AA724" s="479"/>
      <c r="AB724" s="474"/>
      <c r="AC724" s="474"/>
    </row>
    <row r="725" ht="15.75" customHeight="1">
      <c r="C725" s="277"/>
      <c r="E725" s="278"/>
      <c r="F725" s="492"/>
      <c r="G725" s="279"/>
      <c r="J725" s="474"/>
      <c r="L725" s="470"/>
      <c r="U725" s="471"/>
      <c r="W725" s="491"/>
      <c r="X725" s="479"/>
      <c r="Y725" s="479"/>
      <c r="Z725" s="479"/>
      <c r="AA725" s="479"/>
      <c r="AB725" s="474"/>
      <c r="AC725" s="474"/>
    </row>
    <row r="726" ht="15.75" customHeight="1">
      <c r="C726" s="277"/>
      <c r="E726" s="278"/>
      <c r="F726" s="492"/>
      <c r="G726" s="279"/>
      <c r="J726" s="474"/>
      <c r="L726" s="470"/>
      <c r="U726" s="471"/>
      <c r="W726" s="491"/>
      <c r="X726" s="479"/>
      <c r="Y726" s="479"/>
      <c r="Z726" s="479"/>
      <c r="AA726" s="479"/>
      <c r="AB726" s="474"/>
      <c r="AC726" s="474"/>
    </row>
    <row r="727" ht="15.75" customHeight="1">
      <c r="C727" s="277"/>
      <c r="E727" s="278"/>
      <c r="F727" s="492"/>
      <c r="G727" s="279"/>
      <c r="J727" s="474"/>
      <c r="L727" s="470"/>
      <c r="U727" s="471"/>
      <c r="W727" s="491"/>
      <c r="X727" s="479"/>
      <c r="Y727" s="479"/>
      <c r="Z727" s="479"/>
      <c r="AA727" s="479"/>
      <c r="AB727" s="474"/>
      <c r="AC727" s="474"/>
    </row>
    <row r="728" ht="15.75" customHeight="1">
      <c r="C728" s="277"/>
      <c r="E728" s="278"/>
      <c r="F728" s="492"/>
      <c r="G728" s="279"/>
      <c r="J728" s="474"/>
      <c r="L728" s="470"/>
      <c r="U728" s="471"/>
      <c r="W728" s="491"/>
      <c r="X728" s="479"/>
      <c r="Y728" s="479"/>
      <c r="Z728" s="479"/>
      <c r="AA728" s="479"/>
      <c r="AB728" s="474"/>
      <c r="AC728" s="474"/>
    </row>
    <row r="729" ht="15.75" customHeight="1">
      <c r="C729" s="277"/>
      <c r="E729" s="278"/>
      <c r="F729" s="492"/>
      <c r="G729" s="279"/>
      <c r="J729" s="474"/>
      <c r="L729" s="470"/>
      <c r="U729" s="471"/>
      <c r="W729" s="491"/>
      <c r="X729" s="479"/>
      <c r="Y729" s="479"/>
      <c r="Z729" s="479"/>
      <c r="AA729" s="479"/>
      <c r="AB729" s="474"/>
      <c r="AC729" s="474"/>
    </row>
    <row r="730" ht="15.75" customHeight="1">
      <c r="C730" s="277"/>
      <c r="E730" s="278"/>
      <c r="F730" s="492"/>
      <c r="G730" s="279"/>
      <c r="J730" s="474"/>
      <c r="L730" s="470"/>
      <c r="U730" s="471"/>
      <c r="W730" s="491"/>
      <c r="X730" s="479"/>
      <c r="Y730" s="479"/>
      <c r="Z730" s="479"/>
      <c r="AA730" s="479"/>
      <c r="AB730" s="474"/>
      <c r="AC730" s="474"/>
    </row>
    <row r="731" ht="15.75" customHeight="1">
      <c r="C731" s="277"/>
      <c r="E731" s="278"/>
      <c r="F731" s="492"/>
      <c r="G731" s="279"/>
      <c r="J731" s="474"/>
      <c r="L731" s="470"/>
      <c r="U731" s="471"/>
      <c r="W731" s="491"/>
      <c r="X731" s="479"/>
      <c r="Y731" s="479"/>
      <c r="Z731" s="479"/>
      <c r="AA731" s="479"/>
      <c r="AB731" s="474"/>
      <c r="AC731" s="474"/>
    </row>
    <row r="732" ht="15.75" customHeight="1">
      <c r="C732" s="277"/>
      <c r="E732" s="278"/>
      <c r="F732" s="492"/>
      <c r="G732" s="279"/>
      <c r="J732" s="474"/>
      <c r="L732" s="470"/>
      <c r="U732" s="471"/>
      <c r="W732" s="491"/>
      <c r="X732" s="479"/>
      <c r="Y732" s="479"/>
      <c r="Z732" s="479"/>
      <c r="AA732" s="479"/>
      <c r="AB732" s="474"/>
      <c r="AC732" s="474"/>
    </row>
    <row r="733" ht="15.75" customHeight="1">
      <c r="C733" s="277"/>
      <c r="E733" s="278"/>
      <c r="F733" s="492"/>
      <c r="G733" s="279"/>
      <c r="J733" s="474"/>
      <c r="L733" s="470"/>
      <c r="U733" s="471"/>
      <c r="W733" s="491"/>
      <c r="X733" s="479"/>
      <c r="Y733" s="479"/>
      <c r="Z733" s="479"/>
      <c r="AA733" s="479"/>
      <c r="AB733" s="474"/>
      <c r="AC733" s="474"/>
    </row>
    <row r="734" ht="15.75" customHeight="1">
      <c r="C734" s="277"/>
      <c r="E734" s="278"/>
      <c r="F734" s="492"/>
      <c r="G734" s="279"/>
      <c r="J734" s="474"/>
      <c r="L734" s="470"/>
      <c r="U734" s="471"/>
      <c r="W734" s="491"/>
      <c r="X734" s="479"/>
      <c r="Y734" s="479"/>
      <c r="Z734" s="479"/>
      <c r="AA734" s="479"/>
      <c r="AB734" s="474"/>
      <c r="AC734" s="474"/>
    </row>
    <row r="735" ht="15.75" customHeight="1">
      <c r="C735" s="277"/>
      <c r="E735" s="278"/>
      <c r="F735" s="492"/>
      <c r="G735" s="279"/>
      <c r="J735" s="474"/>
      <c r="L735" s="470"/>
      <c r="U735" s="471"/>
      <c r="W735" s="491"/>
      <c r="X735" s="479"/>
      <c r="Y735" s="479"/>
      <c r="Z735" s="479"/>
      <c r="AA735" s="479"/>
      <c r="AB735" s="474"/>
      <c r="AC735" s="474"/>
    </row>
    <row r="736" ht="15.75" customHeight="1">
      <c r="C736" s="277"/>
      <c r="E736" s="278"/>
      <c r="F736" s="492"/>
      <c r="G736" s="279"/>
      <c r="J736" s="474"/>
      <c r="L736" s="470"/>
      <c r="U736" s="471"/>
      <c r="W736" s="491"/>
      <c r="X736" s="479"/>
      <c r="Y736" s="479"/>
      <c r="Z736" s="479"/>
      <c r="AA736" s="479"/>
      <c r="AB736" s="474"/>
      <c r="AC736" s="474"/>
    </row>
    <row r="737" ht="15.75" customHeight="1">
      <c r="C737" s="277"/>
      <c r="E737" s="278"/>
      <c r="F737" s="492"/>
      <c r="G737" s="279"/>
      <c r="J737" s="474"/>
      <c r="L737" s="470"/>
      <c r="U737" s="471"/>
      <c r="W737" s="491"/>
      <c r="X737" s="479"/>
      <c r="Y737" s="479"/>
      <c r="Z737" s="479"/>
      <c r="AA737" s="479"/>
      <c r="AB737" s="474"/>
      <c r="AC737" s="474"/>
    </row>
    <row r="738" ht="15.75" customHeight="1">
      <c r="C738" s="277"/>
      <c r="E738" s="278"/>
      <c r="F738" s="492"/>
      <c r="G738" s="279"/>
      <c r="J738" s="474"/>
      <c r="L738" s="470"/>
      <c r="U738" s="471"/>
      <c r="W738" s="491"/>
      <c r="X738" s="479"/>
      <c r="Y738" s="479"/>
      <c r="Z738" s="479"/>
      <c r="AA738" s="479"/>
      <c r="AB738" s="474"/>
      <c r="AC738" s="474"/>
    </row>
    <row r="739" ht="15.75" customHeight="1">
      <c r="C739" s="277"/>
      <c r="E739" s="278"/>
      <c r="F739" s="492"/>
      <c r="G739" s="279"/>
      <c r="J739" s="474"/>
      <c r="L739" s="470"/>
      <c r="U739" s="471"/>
      <c r="W739" s="491"/>
      <c r="X739" s="479"/>
      <c r="Y739" s="479"/>
      <c r="Z739" s="479"/>
      <c r="AA739" s="479"/>
      <c r="AB739" s="474"/>
      <c r="AC739" s="474"/>
    </row>
    <row r="740" ht="15.75" customHeight="1">
      <c r="C740" s="277"/>
      <c r="E740" s="278"/>
      <c r="F740" s="492"/>
      <c r="G740" s="279"/>
      <c r="J740" s="474"/>
      <c r="L740" s="470"/>
      <c r="U740" s="471"/>
      <c r="W740" s="491"/>
      <c r="X740" s="479"/>
      <c r="Y740" s="479"/>
      <c r="Z740" s="479"/>
      <c r="AA740" s="479"/>
      <c r="AB740" s="474"/>
      <c r="AC740" s="474"/>
    </row>
    <row r="741" ht="15.75" customHeight="1">
      <c r="C741" s="277"/>
      <c r="E741" s="278"/>
      <c r="F741" s="492"/>
      <c r="G741" s="279"/>
      <c r="J741" s="474"/>
      <c r="L741" s="470"/>
      <c r="U741" s="471"/>
      <c r="W741" s="491"/>
      <c r="X741" s="479"/>
      <c r="Y741" s="479"/>
      <c r="Z741" s="479"/>
      <c r="AA741" s="479"/>
      <c r="AB741" s="474"/>
      <c r="AC741" s="474"/>
    </row>
    <row r="742" ht="15.75" customHeight="1">
      <c r="C742" s="277"/>
      <c r="E742" s="278"/>
      <c r="F742" s="492"/>
      <c r="G742" s="279"/>
      <c r="J742" s="474"/>
      <c r="L742" s="470"/>
      <c r="U742" s="471"/>
      <c r="W742" s="491"/>
      <c r="X742" s="479"/>
      <c r="Y742" s="479"/>
      <c r="Z742" s="479"/>
      <c r="AA742" s="479"/>
      <c r="AB742" s="474"/>
      <c r="AC742" s="474"/>
    </row>
    <row r="743" ht="15.75" customHeight="1">
      <c r="C743" s="277"/>
      <c r="E743" s="278"/>
      <c r="F743" s="492"/>
      <c r="G743" s="279"/>
      <c r="J743" s="474"/>
      <c r="L743" s="470"/>
      <c r="U743" s="471"/>
      <c r="W743" s="491"/>
      <c r="X743" s="479"/>
      <c r="Y743" s="479"/>
      <c r="Z743" s="479"/>
      <c r="AA743" s="479"/>
      <c r="AB743" s="474"/>
      <c r="AC743" s="474"/>
    </row>
    <row r="744" ht="15.75" customHeight="1">
      <c r="C744" s="277"/>
      <c r="E744" s="278"/>
      <c r="F744" s="492"/>
      <c r="G744" s="279"/>
      <c r="J744" s="474"/>
      <c r="L744" s="470"/>
      <c r="U744" s="471"/>
      <c r="W744" s="491"/>
      <c r="X744" s="479"/>
      <c r="Y744" s="479"/>
      <c r="Z744" s="479"/>
      <c r="AA744" s="479"/>
      <c r="AB744" s="474"/>
      <c r="AC744" s="474"/>
    </row>
    <row r="745" ht="15.75" customHeight="1">
      <c r="C745" s="277"/>
      <c r="E745" s="278"/>
      <c r="F745" s="492"/>
      <c r="G745" s="279"/>
      <c r="J745" s="474"/>
      <c r="L745" s="470"/>
      <c r="U745" s="471"/>
      <c r="W745" s="491"/>
      <c r="X745" s="479"/>
      <c r="Y745" s="479"/>
      <c r="Z745" s="479"/>
      <c r="AA745" s="479"/>
      <c r="AB745" s="474"/>
      <c r="AC745" s="474"/>
    </row>
    <row r="746" ht="15.75" customHeight="1">
      <c r="C746" s="277"/>
      <c r="E746" s="278"/>
      <c r="F746" s="492"/>
      <c r="G746" s="279"/>
      <c r="J746" s="474"/>
      <c r="L746" s="470"/>
      <c r="U746" s="471"/>
      <c r="W746" s="491"/>
      <c r="X746" s="479"/>
      <c r="Y746" s="479"/>
      <c r="Z746" s="479"/>
      <c r="AA746" s="479"/>
      <c r="AB746" s="474"/>
      <c r="AC746" s="474"/>
    </row>
    <row r="747" ht="15.75" customHeight="1">
      <c r="C747" s="277"/>
      <c r="E747" s="278"/>
      <c r="F747" s="492"/>
      <c r="G747" s="279"/>
      <c r="J747" s="474"/>
      <c r="L747" s="470"/>
      <c r="U747" s="471"/>
      <c r="W747" s="491"/>
      <c r="X747" s="479"/>
      <c r="Y747" s="479"/>
      <c r="Z747" s="479"/>
      <c r="AA747" s="479"/>
      <c r="AB747" s="474"/>
      <c r="AC747" s="474"/>
    </row>
    <row r="748" ht="15.75" customHeight="1">
      <c r="C748" s="277"/>
      <c r="E748" s="278"/>
      <c r="F748" s="492"/>
      <c r="G748" s="279"/>
      <c r="J748" s="474"/>
      <c r="L748" s="470"/>
      <c r="U748" s="471"/>
      <c r="W748" s="491"/>
      <c r="X748" s="479"/>
      <c r="Y748" s="479"/>
      <c r="Z748" s="479"/>
      <c r="AA748" s="479"/>
      <c r="AB748" s="474"/>
      <c r="AC748" s="474"/>
    </row>
    <row r="749" ht="15.75" customHeight="1">
      <c r="C749" s="277"/>
      <c r="E749" s="278"/>
      <c r="F749" s="492"/>
      <c r="G749" s="279"/>
      <c r="J749" s="474"/>
      <c r="L749" s="470"/>
      <c r="U749" s="471"/>
      <c r="W749" s="491"/>
      <c r="X749" s="479"/>
      <c r="Y749" s="479"/>
      <c r="Z749" s="479"/>
      <c r="AA749" s="479"/>
      <c r="AB749" s="474"/>
      <c r="AC749" s="474"/>
    </row>
    <row r="750" ht="15.75" customHeight="1">
      <c r="C750" s="277"/>
      <c r="E750" s="278"/>
      <c r="F750" s="492"/>
      <c r="G750" s="279"/>
      <c r="J750" s="474"/>
      <c r="L750" s="470"/>
      <c r="U750" s="471"/>
      <c r="W750" s="491"/>
      <c r="X750" s="479"/>
      <c r="Y750" s="479"/>
      <c r="Z750" s="479"/>
      <c r="AA750" s="479"/>
      <c r="AB750" s="474"/>
      <c r="AC750" s="474"/>
    </row>
    <row r="751" ht="15.75" customHeight="1">
      <c r="C751" s="277"/>
      <c r="E751" s="278"/>
      <c r="F751" s="492"/>
      <c r="G751" s="279"/>
      <c r="J751" s="474"/>
      <c r="L751" s="470"/>
      <c r="U751" s="471"/>
      <c r="W751" s="491"/>
      <c r="X751" s="479"/>
      <c r="Y751" s="479"/>
      <c r="Z751" s="479"/>
      <c r="AA751" s="479"/>
      <c r="AB751" s="474"/>
      <c r="AC751" s="474"/>
    </row>
    <row r="752" ht="15.75" customHeight="1">
      <c r="C752" s="277"/>
      <c r="E752" s="278"/>
      <c r="F752" s="492"/>
      <c r="G752" s="279"/>
      <c r="J752" s="474"/>
      <c r="L752" s="470"/>
      <c r="U752" s="471"/>
      <c r="W752" s="491"/>
      <c r="X752" s="479"/>
      <c r="Y752" s="479"/>
      <c r="Z752" s="479"/>
      <c r="AA752" s="479"/>
      <c r="AB752" s="474"/>
      <c r="AC752" s="474"/>
    </row>
    <row r="753" ht="15.75" customHeight="1">
      <c r="C753" s="277"/>
      <c r="E753" s="278"/>
      <c r="F753" s="492"/>
      <c r="G753" s="279"/>
      <c r="J753" s="474"/>
      <c r="L753" s="470"/>
      <c r="U753" s="471"/>
      <c r="W753" s="491"/>
      <c r="X753" s="479"/>
      <c r="Y753" s="479"/>
      <c r="Z753" s="479"/>
      <c r="AA753" s="479"/>
      <c r="AB753" s="474"/>
      <c r="AC753" s="474"/>
    </row>
    <row r="754" ht="15.75" customHeight="1">
      <c r="C754" s="277"/>
      <c r="E754" s="278"/>
      <c r="F754" s="492"/>
      <c r="G754" s="279"/>
      <c r="J754" s="474"/>
      <c r="L754" s="470"/>
      <c r="U754" s="471"/>
      <c r="W754" s="491"/>
      <c r="X754" s="479"/>
      <c r="Y754" s="479"/>
      <c r="Z754" s="479"/>
      <c r="AA754" s="479"/>
      <c r="AB754" s="474"/>
      <c r="AC754" s="474"/>
    </row>
    <row r="755" ht="15.75" customHeight="1">
      <c r="C755" s="277"/>
      <c r="E755" s="278"/>
      <c r="F755" s="492"/>
      <c r="G755" s="279"/>
      <c r="J755" s="474"/>
      <c r="L755" s="470"/>
      <c r="U755" s="471"/>
      <c r="W755" s="491"/>
      <c r="X755" s="479"/>
      <c r="Y755" s="479"/>
      <c r="Z755" s="479"/>
      <c r="AA755" s="479"/>
      <c r="AB755" s="474"/>
      <c r="AC755" s="474"/>
    </row>
    <row r="756" ht="15.75" customHeight="1">
      <c r="C756" s="277"/>
      <c r="E756" s="278"/>
      <c r="F756" s="492"/>
      <c r="G756" s="279"/>
      <c r="J756" s="474"/>
      <c r="L756" s="470"/>
      <c r="U756" s="471"/>
      <c r="W756" s="491"/>
      <c r="X756" s="479"/>
      <c r="Y756" s="479"/>
      <c r="Z756" s="479"/>
      <c r="AA756" s="479"/>
      <c r="AB756" s="474"/>
      <c r="AC756" s="474"/>
    </row>
    <row r="757" ht="15.75" customHeight="1">
      <c r="C757" s="277"/>
      <c r="E757" s="278"/>
      <c r="F757" s="492"/>
      <c r="G757" s="279"/>
      <c r="J757" s="474"/>
      <c r="L757" s="470"/>
      <c r="U757" s="471"/>
      <c r="W757" s="491"/>
      <c r="X757" s="479"/>
      <c r="Y757" s="479"/>
      <c r="Z757" s="479"/>
      <c r="AA757" s="479"/>
      <c r="AB757" s="474"/>
      <c r="AC757" s="474"/>
    </row>
    <row r="758" ht="15.75" customHeight="1">
      <c r="C758" s="277"/>
      <c r="E758" s="278"/>
      <c r="F758" s="492"/>
      <c r="G758" s="279"/>
      <c r="J758" s="474"/>
      <c r="L758" s="470"/>
      <c r="U758" s="471"/>
      <c r="W758" s="491"/>
      <c r="X758" s="479"/>
      <c r="Y758" s="479"/>
      <c r="Z758" s="479"/>
      <c r="AA758" s="479"/>
      <c r="AB758" s="474"/>
      <c r="AC758" s="474"/>
    </row>
    <row r="759" ht="15.75" customHeight="1">
      <c r="C759" s="277"/>
      <c r="E759" s="278"/>
      <c r="F759" s="492"/>
      <c r="G759" s="279"/>
      <c r="J759" s="474"/>
      <c r="L759" s="470"/>
      <c r="U759" s="471"/>
      <c r="W759" s="491"/>
      <c r="X759" s="479"/>
      <c r="Y759" s="479"/>
      <c r="Z759" s="479"/>
      <c r="AA759" s="479"/>
      <c r="AB759" s="474"/>
      <c r="AC759" s="474"/>
    </row>
    <row r="760" ht="15.75" customHeight="1">
      <c r="C760" s="277"/>
      <c r="E760" s="278"/>
      <c r="F760" s="492"/>
      <c r="G760" s="279"/>
      <c r="J760" s="474"/>
      <c r="L760" s="470"/>
      <c r="U760" s="471"/>
      <c r="W760" s="491"/>
      <c r="X760" s="479"/>
      <c r="Y760" s="479"/>
      <c r="Z760" s="479"/>
      <c r="AA760" s="479"/>
      <c r="AB760" s="474"/>
      <c r="AC760" s="474"/>
    </row>
    <row r="761" ht="15.75" customHeight="1">
      <c r="C761" s="277"/>
      <c r="E761" s="278"/>
      <c r="F761" s="492"/>
      <c r="G761" s="279"/>
      <c r="J761" s="474"/>
      <c r="L761" s="470"/>
      <c r="U761" s="471"/>
      <c r="W761" s="491"/>
      <c r="X761" s="479"/>
      <c r="Y761" s="479"/>
      <c r="Z761" s="479"/>
      <c r="AA761" s="479"/>
      <c r="AB761" s="474"/>
      <c r="AC761" s="474"/>
    </row>
    <row r="762" ht="15.75" customHeight="1">
      <c r="C762" s="277"/>
      <c r="E762" s="278"/>
      <c r="F762" s="492"/>
      <c r="G762" s="279"/>
      <c r="J762" s="474"/>
      <c r="L762" s="470"/>
      <c r="U762" s="471"/>
      <c r="W762" s="491"/>
      <c r="X762" s="479"/>
      <c r="Y762" s="479"/>
      <c r="Z762" s="479"/>
      <c r="AA762" s="479"/>
      <c r="AB762" s="474"/>
      <c r="AC762" s="474"/>
    </row>
    <row r="763" ht="15.75" customHeight="1">
      <c r="C763" s="277"/>
      <c r="E763" s="278"/>
      <c r="F763" s="492"/>
      <c r="G763" s="279"/>
      <c r="J763" s="474"/>
      <c r="L763" s="470"/>
      <c r="U763" s="471"/>
      <c r="W763" s="491"/>
      <c r="X763" s="479"/>
      <c r="Y763" s="479"/>
      <c r="Z763" s="479"/>
      <c r="AA763" s="479"/>
      <c r="AB763" s="474"/>
      <c r="AC763" s="474"/>
    </row>
    <row r="764" ht="15.75" customHeight="1">
      <c r="C764" s="277"/>
      <c r="E764" s="278"/>
      <c r="F764" s="492"/>
      <c r="G764" s="279"/>
      <c r="J764" s="474"/>
      <c r="L764" s="470"/>
      <c r="U764" s="471"/>
      <c r="W764" s="491"/>
      <c r="X764" s="479"/>
      <c r="Y764" s="479"/>
      <c r="Z764" s="479"/>
      <c r="AA764" s="479"/>
      <c r="AB764" s="474"/>
      <c r="AC764" s="474"/>
    </row>
    <row r="765" ht="15.75" customHeight="1">
      <c r="C765" s="277"/>
      <c r="E765" s="278"/>
      <c r="F765" s="492"/>
      <c r="G765" s="279"/>
      <c r="J765" s="474"/>
      <c r="L765" s="470"/>
      <c r="U765" s="471"/>
      <c r="W765" s="491"/>
      <c r="X765" s="479"/>
      <c r="Y765" s="479"/>
      <c r="Z765" s="479"/>
      <c r="AA765" s="479"/>
      <c r="AB765" s="474"/>
      <c r="AC765" s="474"/>
    </row>
    <row r="766" ht="15.75" customHeight="1">
      <c r="C766" s="277"/>
      <c r="E766" s="278"/>
      <c r="F766" s="492"/>
      <c r="G766" s="279"/>
      <c r="J766" s="474"/>
      <c r="L766" s="470"/>
      <c r="U766" s="471"/>
      <c r="W766" s="491"/>
      <c r="X766" s="479"/>
      <c r="Y766" s="479"/>
      <c r="Z766" s="479"/>
      <c r="AA766" s="479"/>
      <c r="AB766" s="474"/>
      <c r="AC766" s="474"/>
    </row>
    <row r="767" ht="15.75" customHeight="1">
      <c r="C767" s="277"/>
      <c r="E767" s="278"/>
      <c r="F767" s="492"/>
      <c r="G767" s="279"/>
      <c r="J767" s="474"/>
      <c r="L767" s="470"/>
      <c r="U767" s="471"/>
      <c r="W767" s="491"/>
      <c r="X767" s="479"/>
      <c r="Y767" s="479"/>
      <c r="Z767" s="479"/>
      <c r="AA767" s="479"/>
      <c r="AB767" s="474"/>
      <c r="AC767" s="474"/>
    </row>
    <row r="768" ht="15.75" customHeight="1">
      <c r="C768" s="277"/>
      <c r="E768" s="278"/>
      <c r="F768" s="492"/>
      <c r="G768" s="279"/>
      <c r="J768" s="474"/>
      <c r="L768" s="470"/>
      <c r="U768" s="471"/>
      <c r="W768" s="491"/>
      <c r="X768" s="479"/>
      <c r="Y768" s="479"/>
      <c r="Z768" s="479"/>
      <c r="AA768" s="479"/>
      <c r="AB768" s="474"/>
      <c r="AC768" s="474"/>
    </row>
    <row r="769" ht="15.75" customHeight="1">
      <c r="C769" s="277"/>
      <c r="E769" s="278"/>
      <c r="F769" s="492"/>
      <c r="G769" s="279"/>
      <c r="J769" s="474"/>
      <c r="L769" s="470"/>
      <c r="U769" s="471"/>
      <c r="W769" s="491"/>
      <c r="X769" s="479"/>
      <c r="Y769" s="479"/>
      <c r="Z769" s="479"/>
      <c r="AA769" s="479"/>
      <c r="AB769" s="474"/>
      <c r="AC769" s="474"/>
    </row>
    <row r="770" ht="15.75" customHeight="1">
      <c r="C770" s="277"/>
      <c r="E770" s="278"/>
      <c r="F770" s="492"/>
      <c r="G770" s="279"/>
      <c r="J770" s="474"/>
      <c r="L770" s="470"/>
      <c r="U770" s="471"/>
      <c r="W770" s="491"/>
      <c r="X770" s="479"/>
      <c r="Y770" s="479"/>
      <c r="Z770" s="479"/>
      <c r="AA770" s="479"/>
      <c r="AB770" s="474"/>
      <c r="AC770" s="474"/>
    </row>
    <row r="771" ht="15.75" customHeight="1">
      <c r="C771" s="277"/>
      <c r="E771" s="278"/>
      <c r="F771" s="492"/>
      <c r="G771" s="279"/>
      <c r="J771" s="474"/>
      <c r="L771" s="470"/>
      <c r="U771" s="471"/>
      <c r="W771" s="491"/>
      <c r="X771" s="479"/>
      <c r="Y771" s="479"/>
      <c r="Z771" s="479"/>
      <c r="AA771" s="479"/>
      <c r="AB771" s="474"/>
      <c r="AC771" s="474"/>
    </row>
    <row r="772" ht="15.75" customHeight="1">
      <c r="C772" s="277"/>
      <c r="E772" s="278"/>
      <c r="F772" s="492"/>
      <c r="G772" s="279"/>
      <c r="J772" s="474"/>
      <c r="L772" s="470"/>
      <c r="U772" s="471"/>
      <c r="W772" s="491"/>
      <c r="X772" s="479"/>
      <c r="Y772" s="479"/>
      <c r="Z772" s="479"/>
      <c r="AA772" s="479"/>
      <c r="AB772" s="474"/>
      <c r="AC772" s="474"/>
    </row>
    <row r="773" ht="15.75" customHeight="1">
      <c r="C773" s="277"/>
      <c r="E773" s="278"/>
      <c r="F773" s="492"/>
      <c r="G773" s="279"/>
      <c r="J773" s="474"/>
      <c r="L773" s="470"/>
      <c r="U773" s="471"/>
      <c r="W773" s="491"/>
      <c r="X773" s="479"/>
      <c r="Y773" s="479"/>
      <c r="Z773" s="479"/>
      <c r="AA773" s="479"/>
      <c r="AB773" s="474"/>
      <c r="AC773" s="474"/>
    </row>
    <row r="774" ht="15.75" customHeight="1">
      <c r="C774" s="277"/>
      <c r="E774" s="278"/>
      <c r="F774" s="492"/>
      <c r="G774" s="279"/>
      <c r="J774" s="474"/>
      <c r="L774" s="470"/>
      <c r="U774" s="471"/>
      <c r="W774" s="491"/>
      <c r="X774" s="479"/>
      <c r="Y774" s="479"/>
      <c r="Z774" s="479"/>
      <c r="AA774" s="479"/>
      <c r="AB774" s="474"/>
      <c r="AC774" s="474"/>
    </row>
    <row r="775" ht="15.75" customHeight="1">
      <c r="C775" s="277"/>
      <c r="E775" s="278"/>
      <c r="F775" s="492"/>
      <c r="G775" s="279"/>
      <c r="J775" s="474"/>
      <c r="L775" s="470"/>
      <c r="U775" s="471"/>
      <c r="W775" s="491"/>
      <c r="X775" s="479"/>
      <c r="Y775" s="479"/>
      <c r="Z775" s="479"/>
      <c r="AA775" s="479"/>
      <c r="AB775" s="474"/>
      <c r="AC775" s="474"/>
    </row>
    <row r="776" ht="15.75" customHeight="1">
      <c r="C776" s="277"/>
      <c r="E776" s="278"/>
      <c r="F776" s="492"/>
      <c r="G776" s="279"/>
      <c r="J776" s="474"/>
      <c r="L776" s="470"/>
      <c r="U776" s="471"/>
      <c r="W776" s="491"/>
      <c r="X776" s="479"/>
      <c r="Y776" s="479"/>
      <c r="Z776" s="479"/>
      <c r="AA776" s="479"/>
      <c r="AB776" s="474"/>
      <c r="AC776" s="474"/>
    </row>
    <row r="777" ht="15.75" customHeight="1">
      <c r="C777" s="277"/>
      <c r="E777" s="278"/>
      <c r="F777" s="492"/>
      <c r="G777" s="279"/>
      <c r="J777" s="474"/>
      <c r="L777" s="470"/>
      <c r="U777" s="471"/>
      <c r="W777" s="491"/>
      <c r="X777" s="479"/>
      <c r="Y777" s="479"/>
      <c r="Z777" s="479"/>
      <c r="AA777" s="479"/>
      <c r="AB777" s="474"/>
      <c r="AC777" s="474"/>
    </row>
    <row r="778" ht="15.75" customHeight="1">
      <c r="C778" s="277"/>
      <c r="E778" s="278"/>
      <c r="F778" s="492"/>
      <c r="G778" s="279"/>
      <c r="J778" s="474"/>
      <c r="L778" s="470"/>
      <c r="U778" s="471"/>
      <c r="W778" s="491"/>
      <c r="X778" s="479"/>
      <c r="Y778" s="479"/>
      <c r="Z778" s="479"/>
      <c r="AA778" s="479"/>
      <c r="AB778" s="474"/>
      <c r="AC778" s="474"/>
    </row>
    <row r="779" ht="15.75" customHeight="1">
      <c r="C779" s="277"/>
      <c r="E779" s="278"/>
      <c r="F779" s="492"/>
      <c r="G779" s="279"/>
      <c r="J779" s="474"/>
      <c r="L779" s="470"/>
      <c r="U779" s="471"/>
      <c r="W779" s="491"/>
      <c r="X779" s="479"/>
      <c r="Y779" s="479"/>
      <c r="Z779" s="479"/>
      <c r="AA779" s="479"/>
      <c r="AB779" s="474"/>
      <c r="AC779" s="474"/>
    </row>
    <row r="780" ht="15.75" customHeight="1">
      <c r="C780" s="277"/>
      <c r="E780" s="278"/>
      <c r="F780" s="492"/>
      <c r="G780" s="279"/>
      <c r="J780" s="474"/>
      <c r="L780" s="470"/>
      <c r="U780" s="471"/>
      <c r="W780" s="491"/>
      <c r="X780" s="479"/>
      <c r="Y780" s="479"/>
      <c r="Z780" s="479"/>
      <c r="AA780" s="479"/>
      <c r="AB780" s="474"/>
      <c r="AC780" s="474"/>
    </row>
    <row r="781" ht="15.75" customHeight="1">
      <c r="C781" s="277"/>
      <c r="E781" s="278"/>
      <c r="F781" s="492"/>
      <c r="G781" s="279"/>
      <c r="J781" s="474"/>
      <c r="L781" s="470"/>
      <c r="U781" s="471"/>
      <c r="W781" s="491"/>
      <c r="X781" s="479"/>
      <c r="Y781" s="479"/>
      <c r="Z781" s="479"/>
      <c r="AA781" s="479"/>
      <c r="AB781" s="474"/>
      <c r="AC781" s="474"/>
    </row>
    <row r="782" ht="15.75" customHeight="1">
      <c r="C782" s="277"/>
      <c r="E782" s="278"/>
      <c r="F782" s="492"/>
      <c r="G782" s="279"/>
      <c r="J782" s="474"/>
      <c r="L782" s="470"/>
      <c r="U782" s="471"/>
      <c r="W782" s="491"/>
      <c r="X782" s="479"/>
      <c r="Y782" s="479"/>
      <c r="Z782" s="479"/>
      <c r="AA782" s="479"/>
      <c r="AB782" s="474"/>
      <c r="AC782" s="474"/>
    </row>
    <row r="783" ht="15.75" customHeight="1">
      <c r="C783" s="277"/>
      <c r="E783" s="278"/>
      <c r="F783" s="492"/>
      <c r="G783" s="279"/>
      <c r="J783" s="474"/>
      <c r="L783" s="470"/>
      <c r="U783" s="471"/>
      <c r="W783" s="491"/>
      <c r="X783" s="479"/>
      <c r="Y783" s="479"/>
      <c r="Z783" s="479"/>
      <c r="AA783" s="479"/>
      <c r="AB783" s="474"/>
      <c r="AC783" s="474"/>
    </row>
    <row r="784" ht="15.75" customHeight="1">
      <c r="C784" s="277"/>
      <c r="E784" s="278"/>
      <c r="F784" s="492"/>
      <c r="G784" s="279"/>
      <c r="J784" s="474"/>
      <c r="L784" s="470"/>
      <c r="U784" s="471"/>
      <c r="W784" s="491"/>
      <c r="X784" s="479"/>
      <c r="Y784" s="479"/>
      <c r="Z784" s="479"/>
      <c r="AA784" s="479"/>
      <c r="AB784" s="474"/>
      <c r="AC784" s="474"/>
    </row>
    <row r="785" ht="15.75" customHeight="1">
      <c r="C785" s="277"/>
      <c r="E785" s="278"/>
      <c r="F785" s="492"/>
      <c r="G785" s="279"/>
      <c r="J785" s="474"/>
      <c r="L785" s="470"/>
      <c r="U785" s="471"/>
      <c r="W785" s="491"/>
      <c r="X785" s="479"/>
      <c r="Y785" s="479"/>
      <c r="Z785" s="479"/>
      <c r="AA785" s="479"/>
      <c r="AB785" s="474"/>
      <c r="AC785" s="474"/>
    </row>
    <row r="786" ht="15.75" customHeight="1">
      <c r="C786" s="277"/>
      <c r="E786" s="278"/>
      <c r="F786" s="492"/>
      <c r="G786" s="279"/>
      <c r="J786" s="474"/>
      <c r="L786" s="470"/>
      <c r="U786" s="471"/>
      <c r="W786" s="491"/>
      <c r="X786" s="479"/>
      <c r="Y786" s="479"/>
      <c r="Z786" s="479"/>
      <c r="AA786" s="479"/>
      <c r="AB786" s="474"/>
      <c r="AC786" s="474"/>
    </row>
    <row r="787" ht="15.75" customHeight="1">
      <c r="C787" s="277"/>
      <c r="E787" s="278"/>
      <c r="F787" s="492"/>
      <c r="G787" s="279"/>
      <c r="J787" s="474"/>
      <c r="L787" s="470"/>
      <c r="U787" s="471"/>
      <c r="W787" s="491"/>
      <c r="X787" s="479"/>
      <c r="Y787" s="479"/>
      <c r="Z787" s="479"/>
      <c r="AA787" s="479"/>
      <c r="AB787" s="474"/>
      <c r="AC787" s="474"/>
    </row>
    <row r="788" ht="15.75" customHeight="1">
      <c r="C788" s="277"/>
      <c r="E788" s="278"/>
      <c r="F788" s="492"/>
      <c r="G788" s="279"/>
      <c r="J788" s="474"/>
      <c r="L788" s="470"/>
      <c r="U788" s="471"/>
      <c r="W788" s="491"/>
      <c r="X788" s="479"/>
      <c r="Y788" s="479"/>
      <c r="Z788" s="479"/>
      <c r="AA788" s="479"/>
      <c r="AB788" s="474"/>
      <c r="AC788" s="474"/>
    </row>
    <row r="789" ht="15.75" customHeight="1">
      <c r="C789" s="277"/>
      <c r="E789" s="278"/>
      <c r="F789" s="492"/>
      <c r="G789" s="279"/>
      <c r="J789" s="474"/>
      <c r="L789" s="470"/>
      <c r="U789" s="471"/>
      <c r="W789" s="491"/>
      <c r="X789" s="479"/>
      <c r="Y789" s="479"/>
      <c r="Z789" s="479"/>
      <c r="AA789" s="479"/>
      <c r="AB789" s="474"/>
      <c r="AC789" s="474"/>
    </row>
    <row r="790" ht="15.75" customHeight="1">
      <c r="C790" s="277"/>
      <c r="E790" s="278"/>
      <c r="F790" s="492"/>
      <c r="G790" s="279"/>
      <c r="J790" s="474"/>
      <c r="L790" s="470"/>
      <c r="U790" s="471"/>
      <c r="W790" s="491"/>
      <c r="X790" s="479"/>
      <c r="Y790" s="479"/>
      <c r="Z790" s="479"/>
      <c r="AA790" s="479"/>
      <c r="AB790" s="474"/>
      <c r="AC790" s="474"/>
    </row>
    <row r="791" ht="15.75" customHeight="1">
      <c r="C791" s="277"/>
      <c r="E791" s="278"/>
      <c r="F791" s="492"/>
      <c r="G791" s="279"/>
      <c r="J791" s="474"/>
      <c r="L791" s="470"/>
      <c r="U791" s="471"/>
      <c r="W791" s="491"/>
      <c r="X791" s="479"/>
      <c r="Y791" s="479"/>
      <c r="Z791" s="479"/>
      <c r="AA791" s="479"/>
      <c r="AB791" s="474"/>
      <c r="AC791" s="474"/>
    </row>
    <row r="792" ht="15.75" customHeight="1">
      <c r="C792" s="277"/>
      <c r="E792" s="278"/>
      <c r="F792" s="492"/>
      <c r="G792" s="279"/>
      <c r="J792" s="474"/>
      <c r="L792" s="470"/>
      <c r="U792" s="471"/>
      <c r="W792" s="491"/>
      <c r="X792" s="479"/>
      <c r="Y792" s="479"/>
      <c r="Z792" s="479"/>
      <c r="AA792" s="479"/>
      <c r="AB792" s="474"/>
      <c r="AC792" s="474"/>
    </row>
    <row r="793" ht="15.75" customHeight="1">
      <c r="C793" s="277"/>
      <c r="E793" s="278"/>
      <c r="F793" s="492"/>
      <c r="G793" s="279"/>
      <c r="J793" s="474"/>
      <c r="L793" s="470"/>
      <c r="U793" s="471"/>
      <c r="W793" s="491"/>
      <c r="X793" s="479"/>
      <c r="Y793" s="479"/>
      <c r="Z793" s="479"/>
      <c r="AA793" s="479"/>
      <c r="AB793" s="474"/>
      <c r="AC793" s="474"/>
    </row>
    <row r="794" ht="15.75" customHeight="1">
      <c r="C794" s="277"/>
      <c r="E794" s="278"/>
      <c r="F794" s="492"/>
      <c r="G794" s="279"/>
      <c r="J794" s="474"/>
      <c r="L794" s="470"/>
      <c r="U794" s="471"/>
      <c r="W794" s="491"/>
      <c r="X794" s="479"/>
      <c r="Y794" s="479"/>
      <c r="Z794" s="479"/>
      <c r="AA794" s="479"/>
      <c r="AB794" s="474"/>
      <c r="AC794" s="474"/>
    </row>
    <row r="795" ht="15.75" customHeight="1">
      <c r="C795" s="277"/>
      <c r="E795" s="278"/>
      <c r="F795" s="492"/>
      <c r="G795" s="279"/>
      <c r="J795" s="474"/>
      <c r="L795" s="470"/>
      <c r="U795" s="471"/>
      <c r="W795" s="491"/>
      <c r="X795" s="479"/>
      <c r="Y795" s="479"/>
      <c r="Z795" s="479"/>
      <c r="AA795" s="479"/>
      <c r="AB795" s="474"/>
      <c r="AC795" s="474"/>
    </row>
    <row r="796" ht="15.75" customHeight="1">
      <c r="C796" s="277"/>
      <c r="E796" s="278"/>
      <c r="F796" s="492"/>
      <c r="G796" s="279"/>
      <c r="J796" s="474"/>
      <c r="L796" s="470"/>
      <c r="U796" s="471"/>
      <c r="W796" s="491"/>
      <c r="X796" s="479"/>
      <c r="Y796" s="479"/>
      <c r="Z796" s="479"/>
      <c r="AA796" s="479"/>
      <c r="AB796" s="474"/>
      <c r="AC796" s="474"/>
    </row>
    <row r="797" ht="15.75" customHeight="1">
      <c r="C797" s="277"/>
      <c r="E797" s="278"/>
      <c r="F797" s="492"/>
      <c r="G797" s="279"/>
      <c r="J797" s="474"/>
      <c r="L797" s="470"/>
      <c r="U797" s="471"/>
      <c r="W797" s="491"/>
      <c r="X797" s="479"/>
      <c r="Y797" s="479"/>
      <c r="Z797" s="479"/>
      <c r="AA797" s="479"/>
      <c r="AB797" s="474"/>
      <c r="AC797" s="474"/>
    </row>
    <row r="798" ht="15.75" customHeight="1">
      <c r="C798" s="277"/>
      <c r="E798" s="278"/>
      <c r="F798" s="492"/>
      <c r="G798" s="279"/>
      <c r="J798" s="474"/>
      <c r="L798" s="470"/>
      <c r="U798" s="471"/>
      <c r="W798" s="491"/>
      <c r="X798" s="479"/>
      <c r="Y798" s="479"/>
      <c r="Z798" s="479"/>
      <c r="AA798" s="479"/>
      <c r="AB798" s="474"/>
      <c r="AC798" s="474"/>
    </row>
    <row r="799" ht="15.75" customHeight="1">
      <c r="C799" s="277"/>
      <c r="E799" s="278"/>
      <c r="F799" s="492"/>
      <c r="G799" s="279"/>
      <c r="J799" s="474"/>
      <c r="L799" s="470"/>
      <c r="U799" s="471"/>
      <c r="W799" s="491"/>
      <c r="X799" s="479"/>
      <c r="Y799" s="479"/>
      <c r="Z799" s="479"/>
      <c r="AA799" s="479"/>
      <c r="AB799" s="474"/>
      <c r="AC799" s="474"/>
    </row>
    <row r="800" ht="15.75" customHeight="1">
      <c r="C800" s="277"/>
      <c r="E800" s="278"/>
      <c r="F800" s="492"/>
      <c r="G800" s="279"/>
      <c r="J800" s="474"/>
      <c r="L800" s="470"/>
      <c r="U800" s="471"/>
      <c r="W800" s="491"/>
      <c r="X800" s="479"/>
      <c r="Y800" s="479"/>
      <c r="Z800" s="479"/>
      <c r="AA800" s="479"/>
      <c r="AB800" s="474"/>
      <c r="AC800" s="474"/>
    </row>
    <row r="801" ht="15.75" customHeight="1">
      <c r="C801" s="277"/>
      <c r="E801" s="278"/>
      <c r="F801" s="492"/>
      <c r="G801" s="279"/>
      <c r="J801" s="474"/>
      <c r="L801" s="470"/>
      <c r="U801" s="471"/>
      <c r="W801" s="491"/>
      <c r="X801" s="479"/>
      <c r="Y801" s="479"/>
      <c r="Z801" s="479"/>
      <c r="AA801" s="479"/>
      <c r="AB801" s="474"/>
      <c r="AC801" s="474"/>
    </row>
    <row r="802" ht="15.75" customHeight="1">
      <c r="C802" s="277"/>
      <c r="E802" s="278"/>
      <c r="F802" s="492"/>
      <c r="G802" s="279"/>
      <c r="J802" s="474"/>
      <c r="L802" s="470"/>
      <c r="U802" s="471"/>
      <c r="W802" s="491"/>
      <c r="X802" s="479"/>
      <c r="Y802" s="479"/>
      <c r="Z802" s="479"/>
      <c r="AA802" s="479"/>
      <c r="AB802" s="474"/>
      <c r="AC802" s="474"/>
    </row>
    <row r="803" ht="15.75" customHeight="1">
      <c r="C803" s="277"/>
      <c r="E803" s="278"/>
      <c r="F803" s="492"/>
      <c r="G803" s="279"/>
      <c r="J803" s="474"/>
      <c r="L803" s="470"/>
      <c r="U803" s="471"/>
      <c r="W803" s="491"/>
      <c r="X803" s="479"/>
      <c r="Y803" s="479"/>
      <c r="Z803" s="479"/>
      <c r="AA803" s="479"/>
      <c r="AB803" s="474"/>
      <c r="AC803" s="474"/>
    </row>
    <row r="804" ht="15.75" customHeight="1">
      <c r="C804" s="277"/>
      <c r="E804" s="278"/>
      <c r="F804" s="492"/>
      <c r="G804" s="279"/>
      <c r="J804" s="474"/>
      <c r="L804" s="470"/>
      <c r="U804" s="471"/>
      <c r="W804" s="491"/>
      <c r="X804" s="479"/>
      <c r="Y804" s="479"/>
      <c r="Z804" s="479"/>
      <c r="AA804" s="479"/>
      <c r="AB804" s="474"/>
      <c r="AC804" s="474"/>
    </row>
    <row r="805" ht="15.75" customHeight="1">
      <c r="C805" s="277"/>
      <c r="E805" s="278"/>
      <c r="F805" s="492"/>
      <c r="G805" s="279"/>
      <c r="J805" s="474"/>
      <c r="L805" s="470"/>
      <c r="U805" s="471"/>
      <c r="W805" s="491"/>
      <c r="X805" s="479"/>
      <c r="Y805" s="479"/>
      <c r="Z805" s="479"/>
      <c r="AA805" s="479"/>
      <c r="AB805" s="474"/>
      <c r="AC805" s="474"/>
    </row>
    <row r="806" ht="15.75" customHeight="1">
      <c r="C806" s="277"/>
      <c r="E806" s="278"/>
      <c r="F806" s="492"/>
      <c r="G806" s="279"/>
      <c r="J806" s="474"/>
      <c r="L806" s="470"/>
      <c r="U806" s="471"/>
      <c r="W806" s="491"/>
      <c r="X806" s="479"/>
      <c r="Y806" s="479"/>
      <c r="Z806" s="479"/>
      <c r="AA806" s="479"/>
      <c r="AB806" s="474"/>
      <c r="AC806" s="474"/>
    </row>
    <row r="807" ht="15.75" customHeight="1">
      <c r="C807" s="277"/>
      <c r="E807" s="278"/>
      <c r="F807" s="492"/>
      <c r="G807" s="279"/>
      <c r="J807" s="474"/>
      <c r="L807" s="470"/>
      <c r="U807" s="471"/>
      <c r="W807" s="491"/>
      <c r="X807" s="479"/>
      <c r="Y807" s="479"/>
      <c r="Z807" s="479"/>
      <c r="AA807" s="479"/>
      <c r="AB807" s="474"/>
      <c r="AC807" s="474"/>
    </row>
    <row r="808" ht="15.75" customHeight="1">
      <c r="C808" s="277"/>
      <c r="E808" s="278"/>
      <c r="F808" s="492"/>
      <c r="G808" s="279"/>
      <c r="J808" s="474"/>
      <c r="L808" s="470"/>
      <c r="U808" s="471"/>
      <c r="W808" s="491"/>
      <c r="X808" s="479"/>
      <c r="Y808" s="479"/>
      <c r="Z808" s="479"/>
      <c r="AA808" s="479"/>
      <c r="AB808" s="474"/>
      <c r="AC808" s="474"/>
    </row>
    <row r="809" ht="15.75" customHeight="1">
      <c r="C809" s="277"/>
      <c r="E809" s="278"/>
      <c r="F809" s="492"/>
      <c r="G809" s="279"/>
      <c r="J809" s="474"/>
      <c r="L809" s="470"/>
      <c r="U809" s="471"/>
      <c r="W809" s="491"/>
      <c r="X809" s="479"/>
      <c r="Y809" s="479"/>
      <c r="Z809" s="479"/>
      <c r="AA809" s="479"/>
      <c r="AB809" s="474"/>
      <c r="AC809" s="474"/>
    </row>
    <row r="810" ht="15.75" customHeight="1">
      <c r="C810" s="277"/>
      <c r="E810" s="278"/>
      <c r="F810" s="492"/>
      <c r="G810" s="279"/>
      <c r="J810" s="474"/>
      <c r="L810" s="470"/>
      <c r="U810" s="471"/>
      <c r="W810" s="491"/>
      <c r="X810" s="479"/>
      <c r="Y810" s="479"/>
      <c r="Z810" s="479"/>
      <c r="AA810" s="479"/>
      <c r="AB810" s="474"/>
      <c r="AC810" s="474"/>
    </row>
    <row r="811" ht="15.75" customHeight="1">
      <c r="C811" s="277"/>
      <c r="E811" s="278"/>
      <c r="F811" s="492"/>
      <c r="G811" s="279"/>
      <c r="J811" s="474"/>
      <c r="L811" s="470"/>
      <c r="U811" s="471"/>
      <c r="W811" s="491"/>
      <c r="X811" s="479"/>
      <c r="Y811" s="479"/>
      <c r="Z811" s="479"/>
      <c r="AA811" s="479"/>
      <c r="AB811" s="474"/>
      <c r="AC811" s="474"/>
    </row>
    <row r="812" ht="15.75" customHeight="1">
      <c r="C812" s="277"/>
      <c r="E812" s="278"/>
      <c r="F812" s="492"/>
      <c r="G812" s="279"/>
      <c r="J812" s="474"/>
      <c r="L812" s="470"/>
      <c r="U812" s="471"/>
      <c r="W812" s="491"/>
      <c r="X812" s="479"/>
      <c r="Y812" s="479"/>
      <c r="Z812" s="479"/>
      <c r="AA812" s="479"/>
      <c r="AB812" s="474"/>
      <c r="AC812" s="474"/>
    </row>
    <row r="813" ht="15.75" customHeight="1">
      <c r="C813" s="277"/>
      <c r="E813" s="278"/>
      <c r="F813" s="492"/>
      <c r="G813" s="279"/>
      <c r="J813" s="474"/>
      <c r="L813" s="470"/>
      <c r="U813" s="471"/>
      <c r="W813" s="491"/>
      <c r="X813" s="479"/>
      <c r="Y813" s="479"/>
      <c r="Z813" s="479"/>
      <c r="AA813" s="479"/>
      <c r="AB813" s="474"/>
      <c r="AC813" s="474"/>
    </row>
    <row r="814" ht="15.75" customHeight="1">
      <c r="C814" s="277"/>
      <c r="E814" s="278"/>
      <c r="F814" s="492"/>
      <c r="G814" s="279"/>
      <c r="J814" s="474"/>
      <c r="L814" s="470"/>
      <c r="U814" s="471"/>
      <c r="W814" s="491"/>
      <c r="X814" s="479"/>
      <c r="Y814" s="479"/>
      <c r="Z814" s="479"/>
      <c r="AA814" s="479"/>
      <c r="AB814" s="474"/>
      <c r="AC814" s="474"/>
    </row>
    <row r="815" ht="15.75" customHeight="1">
      <c r="C815" s="277"/>
      <c r="E815" s="278"/>
      <c r="F815" s="492"/>
      <c r="G815" s="279"/>
      <c r="J815" s="474"/>
      <c r="L815" s="470"/>
      <c r="U815" s="471"/>
      <c r="W815" s="491"/>
      <c r="X815" s="479"/>
      <c r="Y815" s="479"/>
      <c r="Z815" s="479"/>
      <c r="AA815" s="479"/>
      <c r="AB815" s="474"/>
      <c r="AC815" s="474"/>
    </row>
    <row r="816" ht="15.75" customHeight="1">
      <c r="C816" s="277"/>
      <c r="E816" s="278"/>
      <c r="F816" s="492"/>
      <c r="G816" s="279"/>
      <c r="J816" s="474"/>
      <c r="L816" s="470"/>
      <c r="U816" s="471"/>
      <c r="W816" s="491"/>
      <c r="X816" s="479"/>
      <c r="Y816" s="479"/>
      <c r="Z816" s="479"/>
      <c r="AA816" s="479"/>
      <c r="AB816" s="474"/>
      <c r="AC816" s="474"/>
    </row>
    <row r="817" ht="15.75" customHeight="1">
      <c r="C817" s="277"/>
      <c r="E817" s="278"/>
      <c r="F817" s="492"/>
      <c r="G817" s="279"/>
      <c r="J817" s="474"/>
      <c r="L817" s="470"/>
      <c r="U817" s="471"/>
      <c r="W817" s="491"/>
      <c r="X817" s="479"/>
      <c r="Y817" s="479"/>
      <c r="Z817" s="479"/>
      <c r="AA817" s="479"/>
      <c r="AB817" s="474"/>
      <c r="AC817" s="474"/>
    </row>
    <row r="818" ht="15.75" customHeight="1">
      <c r="C818" s="277"/>
      <c r="E818" s="278"/>
      <c r="F818" s="492"/>
      <c r="G818" s="279"/>
      <c r="J818" s="474"/>
      <c r="L818" s="470"/>
      <c r="U818" s="471"/>
      <c r="W818" s="491"/>
      <c r="X818" s="479"/>
      <c r="Y818" s="479"/>
      <c r="Z818" s="479"/>
      <c r="AA818" s="479"/>
      <c r="AB818" s="474"/>
      <c r="AC818" s="474"/>
    </row>
    <row r="819" ht="15.75" customHeight="1">
      <c r="C819" s="277"/>
      <c r="E819" s="278"/>
      <c r="F819" s="492"/>
      <c r="G819" s="279"/>
      <c r="J819" s="474"/>
      <c r="L819" s="470"/>
      <c r="U819" s="471"/>
      <c r="W819" s="491"/>
      <c r="X819" s="479"/>
      <c r="Y819" s="479"/>
      <c r="Z819" s="479"/>
      <c r="AA819" s="479"/>
      <c r="AB819" s="474"/>
      <c r="AC819" s="474"/>
    </row>
    <row r="820" ht="15.75" customHeight="1">
      <c r="C820" s="277"/>
      <c r="E820" s="278"/>
      <c r="F820" s="492"/>
      <c r="G820" s="279"/>
      <c r="J820" s="474"/>
      <c r="L820" s="470"/>
      <c r="U820" s="471"/>
      <c r="W820" s="491"/>
      <c r="X820" s="479"/>
      <c r="Y820" s="479"/>
      <c r="Z820" s="479"/>
      <c r="AA820" s="479"/>
      <c r="AB820" s="474"/>
      <c r="AC820" s="474"/>
    </row>
    <row r="821" ht="15.75" customHeight="1">
      <c r="C821" s="277"/>
      <c r="E821" s="278"/>
      <c r="F821" s="492"/>
      <c r="G821" s="279"/>
      <c r="J821" s="474"/>
      <c r="L821" s="470"/>
      <c r="U821" s="471"/>
      <c r="W821" s="491"/>
      <c r="X821" s="479"/>
      <c r="Y821" s="479"/>
      <c r="Z821" s="479"/>
      <c r="AA821" s="479"/>
      <c r="AB821" s="474"/>
      <c r="AC821" s="474"/>
    </row>
    <row r="822" ht="15.75" customHeight="1">
      <c r="C822" s="277"/>
      <c r="E822" s="278"/>
      <c r="F822" s="492"/>
      <c r="G822" s="279"/>
      <c r="J822" s="474"/>
      <c r="L822" s="470"/>
      <c r="U822" s="471"/>
      <c r="W822" s="491"/>
      <c r="X822" s="479"/>
      <c r="Y822" s="479"/>
      <c r="Z822" s="479"/>
      <c r="AA822" s="479"/>
      <c r="AB822" s="474"/>
      <c r="AC822" s="474"/>
    </row>
    <row r="823" ht="15.75" customHeight="1">
      <c r="C823" s="277"/>
      <c r="E823" s="278"/>
      <c r="F823" s="492"/>
      <c r="G823" s="279"/>
      <c r="J823" s="474"/>
      <c r="L823" s="470"/>
      <c r="U823" s="471"/>
      <c r="W823" s="491"/>
      <c r="X823" s="479"/>
      <c r="Y823" s="479"/>
      <c r="Z823" s="479"/>
      <c r="AA823" s="479"/>
      <c r="AB823" s="474"/>
      <c r="AC823" s="474"/>
    </row>
    <row r="824" ht="15.75" customHeight="1">
      <c r="C824" s="277"/>
      <c r="E824" s="278"/>
      <c r="F824" s="492"/>
      <c r="G824" s="279"/>
      <c r="J824" s="474"/>
      <c r="L824" s="470"/>
      <c r="U824" s="471"/>
      <c r="W824" s="491"/>
      <c r="X824" s="479"/>
      <c r="Y824" s="479"/>
      <c r="Z824" s="479"/>
      <c r="AA824" s="479"/>
      <c r="AB824" s="474"/>
      <c r="AC824" s="474"/>
    </row>
    <row r="825" ht="15.75" customHeight="1">
      <c r="C825" s="277"/>
      <c r="E825" s="278"/>
      <c r="F825" s="492"/>
      <c r="G825" s="279"/>
      <c r="J825" s="474"/>
      <c r="L825" s="470"/>
      <c r="U825" s="471"/>
      <c r="W825" s="491"/>
      <c r="X825" s="479"/>
      <c r="Y825" s="479"/>
      <c r="Z825" s="479"/>
      <c r="AA825" s="479"/>
      <c r="AB825" s="474"/>
      <c r="AC825" s="474"/>
    </row>
    <row r="826" ht="15.75" customHeight="1">
      <c r="C826" s="277"/>
      <c r="E826" s="278"/>
      <c r="F826" s="492"/>
      <c r="G826" s="279"/>
      <c r="J826" s="474"/>
      <c r="L826" s="470"/>
      <c r="U826" s="471"/>
      <c r="W826" s="491"/>
      <c r="X826" s="479"/>
      <c r="Y826" s="479"/>
      <c r="Z826" s="479"/>
      <c r="AA826" s="479"/>
      <c r="AB826" s="474"/>
      <c r="AC826" s="474"/>
    </row>
    <row r="827" ht="15.75" customHeight="1">
      <c r="C827" s="277"/>
      <c r="E827" s="278"/>
      <c r="F827" s="492"/>
      <c r="G827" s="279"/>
      <c r="J827" s="474"/>
      <c r="L827" s="470"/>
      <c r="U827" s="471"/>
      <c r="W827" s="491"/>
      <c r="X827" s="479"/>
      <c r="Y827" s="479"/>
      <c r="Z827" s="479"/>
      <c r="AA827" s="479"/>
      <c r="AB827" s="474"/>
      <c r="AC827" s="474"/>
    </row>
    <row r="828" ht="15.75" customHeight="1">
      <c r="C828" s="277"/>
      <c r="E828" s="278"/>
      <c r="F828" s="492"/>
      <c r="G828" s="279"/>
      <c r="J828" s="474"/>
      <c r="L828" s="470"/>
      <c r="U828" s="471"/>
      <c r="W828" s="491"/>
      <c r="X828" s="479"/>
      <c r="Y828" s="479"/>
      <c r="Z828" s="479"/>
      <c r="AA828" s="479"/>
      <c r="AB828" s="474"/>
      <c r="AC828" s="474"/>
    </row>
    <row r="829" ht="15.75" customHeight="1">
      <c r="C829" s="277"/>
      <c r="E829" s="278"/>
      <c r="F829" s="492"/>
      <c r="G829" s="279"/>
      <c r="J829" s="474"/>
      <c r="L829" s="470"/>
      <c r="U829" s="471"/>
      <c r="W829" s="491"/>
      <c r="X829" s="479"/>
      <c r="Y829" s="479"/>
      <c r="Z829" s="479"/>
      <c r="AA829" s="479"/>
      <c r="AB829" s="474"/>
      <c r="AC829" s="474"/>
    </row>
    <row r="830" ht="15.75" customHeight="1">
      <c r="C830" s="277"/>
      <c r="E830" s="278"/>
      <c r="F830" s="492"/>
      <c r="G830" s="279"/>
      <c r="J830" s="474"/>
      <c r="L830" s="470"/>
      <c r="U830" s="471"/>
      <c r="W830" s="491"/>
      <c r="X830" s="479"/>
      <c r="Y830" s="479"/>
      <c r="Z830" s="479"/>
      <c r="AA830" s="479"/>
      <c r="AB830" s="474"/>
      <c r="AC830" s="474"/>
    </row>
    <row r="831" ht="15.75" customHeight="1">
      <c r="C831" s="277"/>
      <c r="E831" s="278"/>
      <c r="F831" s="492"/>
      <c r="G831" s="279"/>
      <c r="J831" s="474"/>
      <c r="L831" s="470"/>
      <c r="U831" s="471"/>
      <c r="W831" s="491"/>
      <c r="X831" s="479"/>
      <c r="Y831" s="479"/>
      <c r="Z831" s="479"/>
      <c r="AA831" s="479"/>
      <c r="AB831" s="474"/>
      <c r="AC831" s="474"/>
    </row>
    <row r="832" ht="15.75" customHeight="1">
      <c r="C832" s="277"/>
      <c r="E832" s="278"/>
      <c r="F832" s="492"/>
      <c r="G832" s="279"/>
      <c r="J832" s="474"/>
      <c r="L832" s="470"/>
      <c r="U832" s="471"/>
      <c r="W832" s="491"/>
      <c r="X832" s="479"/>
      <c r="Y832" s="479"/>
      <c r="Z832" s="479"/>
      <c r="AA832" s="479"/>
      <c r="AB832" s="474"/>
      <c r="AC832" s="474"/>
    </row>
    <row r="833" ht="15.75" customHeight="1">
      <c r="C833" s="277"/>
      <c r="E833" s="278"/>
      <c r="F833" s="492"/>
      <c r="G833" s="279"/>
      <c r="J833" s="474"/>
      <c r="L833" s="470"/>
      <c r="U833" s="471"/>
      <c r="W833" s="491"/>
      <c r="X833" s="479"/>
      <c r="Y833" s="479"/>
      <c r="Z833" s="479"/>
      <c r="AA833" s="479"/>
      <c r="AB833" s="474"/>
      <c r="AC833" s="474"/>
    </row>
    <row r="834" ht="15.75" customHeight="1">
      <c r="C834" s="277"/>
      <c r="E834" s="278"/>
      <c r="F834" s="492"/>
      <c r="G834" s="279"/>
      <c r="J834" s="474"/>
      <c r="L834" s="470"/>
      <c r="U834" s="471"/>
      <c r="W834" s="491"/>
      <c r="X834" s="479"/>
      <c r="Y834" s="479"/>
      <c r="Z834" s="479"/>
      <c r="AA834" s="479"/>
      <c r="AB834" s="474"/>
      <c r="AC834" s="474"/>
    </row>
    <row r="835" ht="15.75" customHeight="1">
      <c r="C835" s="277"/>
      <c r="E835" s="278"/>
      <c r="F835" s="492"/>
      <c r="G835" s="279"/>
      <c r="J835" s="474"/>
      <c r="L835" s="470"/>
      <c r="U835" s="471"/>
      <c r="W835" s="491"/>
      <c r="X835" s="479"/>
      <c r="Y835" s="479"/>
      <c r="Z835" s="479"/>
      <c r="AA835" s="479"/>
      <c r="AB835" s="474"/>
      <c r="AC835" s="474"/>
    </row>
    <row r="836" ht="15.75" customHeight="1">
      <c r="C836" s="277"/>
      <c r="E836" s="278"/>
      <c r="F836" s="492"/>
      <c r="G836" s="279"/>
      <c r="J836" s="474"/>
      <c r="L836" s="470"/>
      <c r="U836" s="471"/>
      <c r="W836" s="491"/>
      <c r="X836" s="479"/>
      <c r="Y836" s="479"/>
      <c r="Z836" s="479"/>
      <c r="AA836" s="479"/>
      <c r="AB836" s="474"/>
      <c r="AC836" s="474"/>
    </row>
    <row r="837" ht="15.75" customHeight="1">
      <c r="C837" s="277"/>
      <c r="E837" s="278"/>
      <c r="F837" s="492"/>
      <c r="G837" s="279"/>
      <c r="J837" s="474"/>
      <c r="L837" s="470"/>
      <c r="U837" s="471"/>
      <c r="W837" s="491"/>
      <c r="X837" s="479"/>
      <c r="Y837" s="479"/>
      <c r="Z837" s="479"/>
      <c r="AA837" s="479"/>
      <c r="AB837" s="474"/>
      <c r="AC837" s="474"/>
    </row>
    <row r="838" ht="15.75" customHeight="1">
      <c r="C838" s="277"/>
      <c r="E838" s="278"/>
      <c r="F838" s="492"/>
      <c r="G838" s="279"/>
      <c r="J838" s="474"/>
      <c r="L838" s="470"/>
      <c r="U838" s="471"/>
      <c r="W838" s="491"/>
      <c r="X838" s="479"/>
      <c r="Y838" s="479"/>
      <c r="Z838" s="479"/>
      <c r="AA838" s="479"/>
      <c r="AB838" s="474"/>
      <c r="AC838" s="474"/>
    </row>
    <row r="839" ht="15.75" customHeight="1">
      <c r="C839" s="277"/>
      <c r="E839" s="278"/>
      <c r="F839" s="492"/>
      <c r="G839" s="279"/>
      <c r="J839" s="474"/>
      <c r="L839" s="470"/>
      <c r="U839" s="471"/>
      <c r="W839" s="491"/>
      <c r="X839" s="479"/>
      <c r="Y839" s="479"/>
      <c r="Z839" s="479"/>
      <c r="AA839" s="479"/>
      <c r="AB839" s="474"/>
      <c r="AC839" s="474"/>
    </row>
    <row r="840" ht="15.75" customHeight="1">
      <c r="C840" s="277"/>
      <c r="E840" s="278"/>
      <c r="F840" s="492"/>
      <c r="G840" s="279"/>
      <c r="J840" s="474"/>
      <c r="L840" s="470"/>
      <c r="U840" s="471"/>
      <c r="W840" s="491"/>
      <c r="X840" s="479"/>
      <c r="Y840" s="479"/>
      <c r="Z840" s="479"/>
      <c r="AA840" s="479"/>
      <c r="AB840" s="474"/>
      <c r="AC840" s="474"/>
    </row>
    <row r="841" ht="15.75" customHeight="1">
      <c r="C841" s="277"/>
      <c r="E841" s="278"/>
      <c r="F841" s="492"/>
      <c r="G841" s="279"/>
      <c r="J841" s="474"/>
      <c r="L841" s="470"/>
      <c r="U841" s="471"/>
      <c r="W841" s="491"/>
      <c r="X841" s="479"/>
      <c r="Y841" s="479"/>
      <c r="Z841" s="479"/>
      <c r="AA841" s="479"/>
      <c r="AB841" s="474"/>
      <c r="AC841" s="474"/>
    </row>
    <row r="842" ht="15.75" customHeight="1">
      <c r="C842" s="277"/>
      <c r="E842" s="278"/>
      <c r="F842" s="492"/>
      <c r="G842" s="279"/>
      <c r="J842" s="474"/>
      <c r="L842" s="470"/>
      <c r="U842" s="471"/>
      <c r="W842" s="491"/>
      <c r="X842" s="479"/>
      <c r="Y842" s="479"/>
      <c r="Z842" s="479"/>
      <c r="AA842" s="479"/>
      <c r="AB842" s="474"/>
      <c r="AC842" s="474"/>
    </row>
    <row r="843" ht="15.75" customHeight="1">
      <c r="C843" s="277"/>
      <c r="E843" s="278"/>
      <c r="F843" s="492"/>
      <c r="G843" s="279"/>
      <c r="J843" s="474"/>
      <c r="L843" s="470"/>
      <c r="U843" s="471"/>
      <c r="W843" s="491"/>
      <c r="X843" s="479"/>
      <c r="Y843" s="479"/>
      <c r="Z843" s="479"/>
      <c r="AA843" s="479"/>
      <c r="AB843" s="474"/>
      <c r="AC843" s="474"/>
    </row>
    <row r="844" ht="15.75" customHeight="1">
      <c r="C844" s="277"/>
      <c r="E844" s="278"/>
      <c r="F844" s="492"/>
      <c r="G844" s="279"/>
      <c r="J844" s="474"/>
      <c r="L844" s="470"/>
      <c r="U844" s="471"/>
      <c r="W844" s="491"/>
      <c r="X844" s="479"/>
      <c r="Y844" s="479"/>
      <c r="Z844" s="479"/>
      <c r="AA844" s="479"/>
      <c r="AB844" s="474"/>
      <c r="AC844" s="474"/>
    </row>
    <row r="845" ht="15.75" customHeight="1">
      <c r="C845" s="277"/>
      <c r="E845" s="278"/>
      <c r="F845" s="492"/>
      <c r="G845" s="279"/>
      <c r="J845" s="474"/>
      <c r="L845" s="470"/>
      <c r="U845" s="471"/>
      <c r="W845" s="491"/>
      <c r="X845" s="479"/>
      <c r="Y845" s="479"/>
      <c r="Z845" s="479"/>
      <c r="AA845" s="479"/>
      <c r="AB845" s="474"/>
      <c r="AC845" s="474"/>
    </row>
    <row r="846" ht="15.75" customHeight="1">
      <c r="C846" s="277"/>
      <c r="E846" s="278"/>
      <c r="F846" s="492"/>
      <c r="G846" s="279"/>
      <c r="J846" s="474"/>
      <c r="L846" s="470"/>
      <c r="U846" s="471"/>
      <c r="W846" s="491"/>
      <c r="X846" s="479"/>
      <c r="Y846" s="479"/>
      <c r="Z846" s="479"/>
      <c r="AA846" s="479"/>
      <c r="AB846" s="474"/>
      <c r="AC846" s="474"/>
    </row>
    <row r="847" ht="15.75" customHeight="1">
      <c r="C847" s="277"/>
      <c r="E847" s="278"/>
      <c r="F847" s="492"/>
      <c r="G847" s="279"/>
      <c r="J847" s="474"/>
      <c r="L847" s="470"/>
      <c r="U847" s="471"/>
      <c r="W847" s="491"/>
      <c r="X847" s="479"/>
      <c r="Y847" s="479"/>
      <c r="Z847" s="479"/>
      <c r="AA847" s="479"/>
      <c r="AB847" s="474"/>
      <c r="AC847" s="474"/>
    </row>
    <row r="848" ht="15.75" customHeight="1">
      <c r="C848" s="277"/>
      <c r="E848" s="278"/>
      <c r="F848" s="492"/>
      <c r="G848" s="279"/>
      <c r="J848" s="474"/>
      <c r="L848" s="470"/>
      <c r="U848" s="471"/>
      <c r="W848" s="491"/>
      <c r="X848" s="479"/>
      <c r="Y848" s="479"/>
      <c r="Z848" s="479"/>
      <c r="AA848" s="479"/>
      <c r="AB848" s="474"/>
      <c r="AC848" s="474"/>
    </row>
    <row r="849" ht="15.75" customHeight="1">
      <c r="C849" s="277"/>
      <c r="E849" s="278"/>
      <c r="F849" s="492"/>
      <c r="G849" s="279"/>
      <c r="J849" s="474"/>
      <c r="L849" s="470"/>
      <c r="U849" s="471"/>
      <c r="W849" s="491"/>
      <c r="X849" s="479"/>
      <c r="Y849" s="479"/>
      <c r="Z849" s="479"/>
      <c r="AA849" s="479"/>
      <c r="AB849" s="474"/>
      <c r="AC849" s="474"/>
    </row>
    <row r="850" ht="15.75" customHeight="1">
      <c r="C850" s="277"/>
      <c r="E850" s="278"/>
      <c r="F850" s="492"/>
      <c r="G850" s="279"/>
      <c r="J850" s="474"/>
      <c r="L850" s="470"/>
      <c r="U850" s="471"/>
      <c r="W850" s="491"/>
      <c r="X850" s="479"/>
      <c r="Y850" s="479"/>
      <c r="Z850" s="479"/>
      <c r="AA850" s="479"/>
      <c r="AB850" s="474"/>
      <c r="AC850" s="474"/>
    </row>
    <row r="851" ht="15.75" customHeight="1">
      <c r="C851" s="277"/>
      <c r="E851" s="278"/>
      <c r="F851" s="492"/>
      <c r="G851" s="279"/>
      <c r="J851" s="474"/>
      <c r="L851" s="470"/>
      <c r="U851" s="471"/>
      <c r="W851" s="491"/>
      <c r="X851" s="479"/>
      <c r="Y851" s="479"/>
      <c r="Z851" s="479"/>
      <c r="AA851" s="479"/>
      <c r="AB851" s="474"/>
      <c r="AC851" s="474"/>
    </row>
    <row r="852" ht="15.75" customHeight="1">
      <c r="C852" s="277"/>
      <c r="E852" s="278"/>
      <c r="F852" s="492"/>
      <c r="G852" s="279"/>
      <c r="J852" s="474"/>
      <c r="L852" s="470"/>
      <c r="U852" s="471"/>
      <c r="W852" s="491"/>
      <c r="X852" s="479"/>
      <c r="Y852" s="479"/>
      <c r="Z852" s="479"/>
      <c r="AA852" s="479"/>
      <c r="AB852" s="474"/>
      <c r="AC852" s="474"/>
    </row>
    <row r="853" ht="15.75" customHeight="1">
      <c r="C853" s="277"/>
      <c r="E853" s="278"/>
      <c r="F853" s="492"/>
      <c r="G853" s="279"/>
      <c r="J853" s="474"/>
      <c r="L853" s="470"/>
      <c r="U853" s="471"/>
      <c r="W853" s="491"/>
      <c r="X853" s="479"/>
      <c r="Y853" s="479"/>
      <c r="Z853" s="479"/>
      <c r="AA853" s="479"/>
      <c r="AB853" s="474"/>
      <c r="AC853" s="474"/>
    </row>
    <row r="854" ht="15.75" customHeight="1">
      <c r="C854" s="277"/>
      <c r="E854" s="278"/>
      <c r="F854" s="492"/>
      <c r="G854" s="279"/>
      <c r="J854" s="474"/>
      <c r="L854" s="470"/>
      <c r="U854" s="471"/>
      <c r="W854" s="491"/>
      <c r="X854" s="479"/>
      <c r="Y854" s="479"/>
      <c r="Z854" s="479"/>
      <c r="AA854" s="479"/>
      <c r="AB854" s="474"/>
      <c r="AC854" s="474"/>
    </row>
    <row r="855" ht="15.75" customHeight="1">
      <c r="C855" s="277"/>
      <c r="E855" s="278"/>
      <c r="F855" s="492"/>
      <c r="G855" s="279"/>
      <c r="J855" s="474"/>
      <c r="L855" s="470"/>
      <c r="U855" s="471"/>
      <c r="W855" s="491"/>
      <c r="X855" s="479"/>
      <c r="Y855" s="479"/>
      <c r="Z855" s="479"/>
      <c r="AA855" s="479"/>
      <c r="AB855" s="474"/>
      <c r="AC855" s="474"/>
    </row>
    <row r="856" ht="15.75" customHeight="1">
      <c r="C856" s="277"/>
      <c r="E856" s="278"/>
      <c r="F856" s="492"/>
      <c r="G856" s="279"/>
      <c r="J856" s="474"/>
      <c r="L856" s="470"/>
      <c r="U856" s="471"/>
      <c r="W856" s="491"/>
      <c r="X856" s="479"/>
      <c r="Y856" s="479"/>
      <c r="Z856" s="479"/>
      <c r="AA856" s="479"/>
      <c r="AB856" s="474"/>
      <c r="AC856" s="474"/>
    </row>
    <row r="857" ht="15.75" customHeight="1">
      <c r="C857" s="277"/>
      <c r="E857" s="278"/>
      <c r="F857" s="492"/>
      <c r="G857" s="279"/>
      <c r="J857" s="474"/>
      <c r="L857" s="470"/>
      <c r="U857" s="471"/>
      <c r="W857" s="491"/>
      <c r="X857" s="479"/>
      <c r="Y857" s="479"/>
      <c r="Z857" s="479"/>
      <c r="AA857" s="479"/>
      <c r="AB857" s="474"/>
      <c r="AC857" s="474"/>
    </row>
    <row r="858" ht="15.75" customHeight="1">
      <c r="C858" s="277"/>
      <c r="E858" s="278"/>
      <c r="F858" s="492"/>
      <c r="G858" s="279"/>
      <c r="J858" s="474"/>
      <c r="L858" s="470"/>
      <c r="U858" s="471"/>
      <c r="W858" s="491"/>
      <c r="X858" s="479"/>
      <c r="Y858" s="479"/>
      <c r="Z858" s="479"/>
      <c r="AA858" s="479"/>
      <c r="AB858" s="474"/>
      <c r="AC858" s="474"/>
    </row>
    <row r="859" ht="15.75" customHeight="1">
      <c r="C859" s="277"/>
      <c r="E859" s="278"/>
      <c r="F859" s="492"/>
      <c r="G859" s="279"/>
      <c r="J859" s="474"/>
      <c r="L859" s="470"/>
      <c r="U859" s="471"/>
      <c r="W859" s="491"/>
      <c r="X859" s="479"/>
      <c r="Y859" s="479"/>
      <c r="Z859" s="479"/>
      <c r="AA859" s="479"/>
      <c r="AB859" s="474"/>
      <c r="AC859" s="474"/>
    </row>
    <row r="860" ht="15.75" customHeight="1">
      <c r="C860" s="277"/>
      <c r="E860" s="278"/>
      <c r="F860" s="492"/>
      <c r="G860" s="279"/>
      <c r="J860" s="474"/>
      <c r="L860" s="470"/>
      <c r="U860" s="471"/>
      <c r="W860" s="491"/>
      <c r="X860" s="479"/>
      <c r="Y860" s="479"/>
      <c r="Z860" s="479"/>
      <c r="AA860" s="479"/>
      <c r="AB860" s="474"/>
      <c r="AC860" s="474"/>
    </row>
    <row r="861" ht="15.75" customHeight="1">
      <c r="C861" s="277"/>
      <c r="E861" s="278"/>
      <c r="F861" s="492"/>
      <c r="G861" s="279"/>
      <c r="J861" s="474"/>
      <c r="L861" s="470"/>
      <c r="U861" s="471"/>
      <c r="W861" s="491"/>
      <c r="X861" s="479"/>
      <c r="Y861" s="479"/>
      <c r="Z861" s="479"/>
      <c r="AA861" s="479"/>
      <c r="AB861" s="474"/>
      <c r="AC861" s="474"/>
    </row>
    <row r="862" ht="15.75" customHeight="1">
      <c r="C862" s="277"/>
      <c r="E862" s="278"/>
      <c r="F862" s="492"/>
      <c r="G862" s="279"/>
      <c r="J862" s="474"/>
      <c r="L862" s="470"/>
      <c r="U862" s="471"/>
      <c r="W862" s="491"/>
      <c r="X862" s="479"/>
      <c r="Y862" s="479"/>
      <c r="Z862" s="479"/>
      <c r="AA862" s="479"/>
      <c r="AB862" s="474"/>
      <c r="AC862" s="474"/>
    </row>
    <row r="863" ht="15.75" customHeight="1">
      <c r="C863" s="277"/>
      <c r="E863" s="278"/>
      <c r="F863" s="492"/>
      <c r="G863" s="279"/>
      <c r="J863" s="474"/>
      <c r="L863" s="470"/>
      <c r="U863" s="471"/>
      <c r="W863" s="491"/>
      <c r="X863" s="479"/>
      <c r="Y863" s="479"/>
      <c r="Z863" s="479"/>
      <c r="AA863" s="479"/>
      <c r="AB863" s="474"/>
      <c r="AC863" s="474"/>
    </row>
    <row r="864" ht="15.75" customHeight="1">
      <c r="C864" s="277"/>
      <c r="E864" s="278"/>
      <c r="F864" s="492"/>
      <c r="G864" s="279"/>
      <c r="J864" s="474"/>
      <c r="L864" s="470"/>
      <c r="U864" s="471"/>
      <c r="W864" s="491"/>
      <c r="X864" s="479"/>
      <c r="Y864" s="479"/>
      <c r="Z864" s="479"/>
      <c r="AA864" s="479"/>
      <c r="AB864" s="474"/>
      <c r="AC864" s="474"/>
    </row>
    <row r="865" ht="15.75" customHeight="1">
      <c r="C865" s="277"/>
      <c r="E865" s="278"/>
      <c r="F865" s="492"/>
      <c r="G865" s="279"/>
      <c r="J865" s="474"/>
      <c r="L865" s="470"/>
      <c r="U865" s="471"/>
      <c r="W865" s="491"/>
      <c r="X865" s="479"/>
      <c r="Y865" s="479"/>
      <c r="Z865" s="479"/>
      <c r="AA865" s="479"/>
      <c r="AB865" s="474"/>
      <c r="AC865" s="474"/>
    </row>
    <row r="866" ht="15.75" customHeight="1">
      <c r="C866" s="277"/>
      <c r="E866" s="278"/>
      <c r="F866" s="492"/>
      <c r="G866" s="279"/>
      <c r="J866" s="474"/>
      <c r="L866" s="470"/>
      <c r="U866" s="471"/>
      <c r="W866" s="491"/>
      <c r="X866" s="479"/>
      <c r="Y866" s="479"/>
      <c r="Z866" s="479"/>
      <c r="AA866" s="479"/>
      <c r="AB866" s="474"/>
      <c r="AC866" s="474"/>
    </row>
    <row r="867" ht="15.75" customHeight="1">
      <c r="C867" s="277"/>
      <c r="E867" s="278"/>
      <c r="F867" s="492"/>
      <c r="G867" s="279"/>
      <c r="J867" s="474"/>
      <c r="L867" s="470"/>
      <c r="U867" s="471"/>
      <c r="W867" s="491"/>
      <c r="X867" s="479"/>
      <c r="Y867" s="479"/>
      <c r="Z867" s="479"/>
      <c r="AA867" s="479"/>
      <c r="AB867" s="474"/>
      <c r="AC867" s="474"/>
    </row>
    <row r="868" ht="15.75" customHeight="1">
      <c r="C868" s="277"/>
      <c r="E868" s="278"/>
      <c r="F868" s="492"/>
      <c r="G868" s="279"/>
      <c r="J868" s="474"/>
      <c r="L868" s="470"/>
      <c r="U868" s="471"/>
      <c r="W868" s="491"/>
      <c r="X868" s="479"/>
      <c r="Y868" s="479"/>
      <c r="Z868" s="479"/>
      <c r="AA868" s="479"/>
      <c r="AB868" s="474"/>
      <c r="AC868" s="474"/>
    </row>
    <row r="869" ht="15.75" customHeight="1">
      <c r="C869" s="277"/>
      <c r="E869" s="278"/>
      <c r="F869" s="492"/>
      <c r="G869" s="279"/>
      <c r="J869" s="474"/>
      <c r="L869" s="470"/>
      <c r="U869" s="471"/>
      <c r="W869" s="491"/>
      <c r="X869" s="479"/>
      <c r="Y869" s="479"/>
      <c r="Z869" s="479"/>
      <c r="AA869" s="479"/>
      <c r="AB869" s="474"/>
      <c r="AC869" s="474"/>
    </row>
    <row r="870" ht="15.75" customHeight="1">
      <c r="C870" s="277"/>
      <c r="E870" s="278"/>
      <c r="F870" s="492"/>
      <c r="G870" s="279"/>
      <c r="J870" s="474"/>
      <c r="L870" s="470"/>
      <c r="U870" s="471"/>
      <c r="W870" s="491"/>
      <c r="X870" s="479"/>
      <c r="Y870" s="479"/>
      <c r="Z870" s="479"/>
      <c r="AA870" s="479"/>
      <c r="AB870" s="474"/>
      <c r="AC870" s="474"/>
    </row>
    <row r="871" ht="15.75" customHeight="1">
      <c r="C871" s="277"/>
      <c r="E871" s="278"/>
      <c r="F871" s="492"/>
      <c r="G871" s="279"/>
      <c r="J871" s="474"/>
      <c r="L871" s="470"/>
      <c r="U871" s="471"/>
      <c r="W871" s="491"/>
      <c r="X871" s="479"/>
      <c r="Y871" s="479"/>
      <c r="Z871" s="479"/>
      <c r="AA871" s="479"/>
      <c r="AB871" s="474"/>
      <c r="AC871" s="474"/>
    </row>
    <row r="872" ht="15.75" customHeight="1">
      <c r="C872" s="277"/>
      <c r="E872" s="278"/>
      <c r="F872" s="492"/>
      <c r="G872" s="279"/>
      <c r="J872" s="474"/>
      <c r="L872" s="470"/>
      <c r="U872" s="471"/>
      <c r="W872" s="491"/>
      <c r="X872" s="479"/>
      <c r="Y872" s="479"/>
      <c r="Z872" s="479"/>
      <c r="AA872" s="479"/>
      <c r="AB872" s="474"/>
      <c r="AC872" s="474"/>
    </row>
    <row r="873" ht="15.75" customHeight="1">
      <c r="C873" s="277"/>
      <c r="E873" s="278"/>
      <c r="F873" s="492"/>
      <c r="G873" s="279"/>
      <c r="J873" s="474"/>
      <c r="L873" s="470"/>
      <c r="U873" s="471"/>
      <c r="W873" s="491"/>
      <c r="X873" s="479"/>
      <c r="Y873" s="479"/>
      <c r="Z873" s="479"/>
      <c r="AA873" s="479"/>
      <c r="AB873" s="474"/>
      <c r="AC873" s="474"/>
    </row>
    <row r="874" ht="15.75" customHeight="1">
      <c r="C874" s="277"/>
      <c r="E874" s="278"/>
      <c r="F874" s="492"/>
      <c r="G874" s="279"/>
      <c r="J874" s="474"/>
      <c r="L874" s="470"/>
      <c r="U874" s="471"/>
      <c r="W874" s="491"/>
      <c r="X874" s="479"/>
      <c r="Y874" s="479"/>
      <c r="Z874" s="479"/>
      <c r="AA874" s="479"/>
      <c r="AB874" s="474"/>
      <c r="AC874" s="474"/>
    </row>
    <row r="875" ht="15.75" customHeight="1">
      <c r="C875" s="277"/>
      <c r="E875" s="278"/>
      <c r="F875" s="492"/>
      <c r="G875" s="279"/>
      <c r="J875" s="474"/>
      <c r="L875" s="470"/>
      <c r="U875" s="471"/>
      <c r="W875" s="491"/>
      <c r="X875" s="479"/>
      <c r="Y875" s="479"/>
      <c r="Z875" s="479"/>
      <c r="AA875" s="479"/>
      <c r="AB875" s="474"/>
      <c r="AC875" s="474"/>
    </row>
    <row r="876" ht="15.75" customHeight="1">
      <c r="C876" s="277"/>
      <c r="E876" s="278"/>
      <c r="F876" s="492"/>
      <c r="G876" s="279"/>
      <c r="J876" s="474"/>
      <c r="L876" s="470"/>
      <c r="U876" s="471"/>
      <c r="W876" s="491"/>
      <c r="X876" s="479"/>
      <c r="Y876" s="479"/>
      <c r="Z876" s="479"/>
      <c r="AA876" s="479"/>
      <c r="AB876" s="474"/>
      <c r="AC876" s="474"/>
    </row>
    <row r="877" ht="15.75" customHeight="1">
      <c r="C877" s="277"/>
      <c r="E877" s="278"/>
      <c r="F877" s="492"/>
      <c r="G877" s="279"/>
      <c r="J877" s="474"/>
      <c r="L877" s="470"/>
      <c r="U877" s="471"/>
      <c r="W877" s="491"/>
      <c r="X877" s="479"/>
      <c r="Y877" s="479"/>
      <c r="Z877" s="479"/>
      <c r="AA877" s="479"/>
      <c r="AB877" s="474"/>
      <c r="AC877" s="474"/>
    </row>
    <row r="878" ht="15.75" customHeight="1">
      <c r="C878" s="277"/>
      <c r="E878" s="278"/>
      <c r="F878" s="492"/>
      <c r="G878" s="279"/>
      <c r="J878" s="474"/>
      <c r="L878" s="470"/>
      <c r="U878" s="471"/>
      <c r="W878" s="491"/>
      <c r="X878" s="479"/>
      <c r="Y878" s="479"/>
      <c r="Z878" s="479"/>
      <c r="AA878" s="479"/>
      <c r="AB878" s="474"/>
      <c r="AC878" s="474"/>
    </row>
    <row r="879" ht="15.75" customHeight="1">
      <c r="C879" s="277"/>
      <c r="E879" s="278"/>
      <c r="F879" s="492"/>
      <c r="G879" s="279"/>
      <c r="J879" s="474"/>
      <c r="L879" s="470"/>
      <c r="U879" s="471"/>
      <c r="W879" s="491"/>
      <c r="X879" s="479"/>
      <c r="Y879" s="479"/>
      <c r="Z879" s="479"/>
      <c r="AA879" s="479"/>
      <c r="AB879" s="474"/>
      <c r="AC879" s="474"/>
    </row>
    <row r="880" ht="15.75" customHeight="1">
      <c r="C880" s="277"/>
      <c r="E880" s="278"/>
      <c r="F880" s="492"/>
      <c r="G880" s="279"/>
      <c r="J880" s="474"/>
      <c r="L880" s="470"/>
      <c r="U880" s="471"/>
      <c r="W880" s="491"/>
      <c r="X880" s="479"/>
      <c r="Y880" s="479"/>
      <c r="Z880" s="479"/>
      <c r="AA880" s="479"/>
      <c r="AB880" s="474"/>
      <c r="AC880" s="474"/>
    </row>
    <row r="881" ht="15.75" customHeight="1">
      <c r="C881" s="277"/>
      <c r="E881" s="278"/>
      <c r="F881" s="492"/>
      <c r="G881" s="279"/>
      <c r="J881" s="474"/>
      <c r="L881" s="470"/>
      <c r="U881" s="471"/>
      <c r="W881" s="491"/>
      <c r="X881" s="479"/>
      <c r="Y881" s="479"/>
      <c r="Z881" s="479"/>
      <c r="AA881" s="479"/>
      <c r="AB881" s="474"/>
      <c r="AC881" s="474"/>
    </row>
    <row r="882" ht="15.75" customHeight="1">
      <c r="C882" s="277"/>
      <c r="E882" s="278"/>
      <c r="F882" s="492"/>
      <c r="G882" s="279"/>
      <c r="J882" s="474"/>
      <c r="L882" s="470"/>
      <c r="U882" s="471"/>
      <c r="W882" s="491"/>
      <c r="X882" s="479"/>
      <c r="Y882" s="479"/>
      <c r="Z882" s="479"/>
      <c r="AA882" s="479"/>
      <c r="AB882" s="474"/>
      <c r="AC882" s="474"/>
    </row>
    <row r="883" ht="15.75" customHeight="1">
      <c r="C883" s="277"/>
      <c r="E883" s="278"/>
      <c r="F883" s="492"/>
      <c r="G883" s="279"/>
      <c r="J883" s="474"/>
      <c r="L883" s="470"/>
      <c r="U883" s="471"/>
      <c r="W883" s="491"/>
      <c r="X883" s="479"/>
      <c r="Y883" s="479"/>
      <c r="Z883" s="479"/>
      <c r="AA883" s="479"/>
      <c r="AB883" s="474"/>
      <c r="AC883" s="474"/>
    </row>
    <row r="884" ht="15.75" customHeight="1">
      <c r="C884" s="277"/>
      <c r="E884" s="278"/>
      <c r="F884" s="492"/>
      <c r="G884" s="279"/>
      <c r="J884" s="474"/>
      <c r="L884" s="470"/>
      <c r="U884" s="471"/>
      <c r="W884" s="491"/>
      <c r="X884" s="479"/>
      <c r="Y884" s="479"/>
      <c r="Z884" s="479"/>
      <c r="AA884" s="479"/>
      <c r="AB884" s="474"/>
      <c r="AC884" s="474"/>
    </row>
    <row r="885" ht="15.75" customHeight="1">
      <c r="C885" s="277"/>
      <c r="E885" s="278"/>
      <c r="F885" s="492"/>
      <c r="G885" s="279"/>
      <c r="J885" s="474"/>
      <c r="L885" s="470"/>
      <c r="U885" s="471"/>
      <c r="W885" s="491"/>
      <c r="X885" s="479"/>
      <c r="Y885" s="479"/>
      <c r="Z885" s="479"/>
      <c r="AA885" s="479"/>
      <c r="AB885" s="474"/>
      <c r="AC885" s="474"/>
    </row>
    <row r="886" ht="15.75" customHeight="1">
      <c r="C886" s="277"/>
      <c r="E886" s="278"/>
      <c r="F886" s="492"/>
      <c r="G886" s="279"/>
      <c r="J886" s="474"/>
      <c r="L886" s="470"/>
      <c r="U886" s="471"/>
      <c r="W886" s="491"/>
      <c r="X886" s="479"/>
      <c r="Y886" s="479"/>
      <c r="Z886" s="479"/>
      <c r="AA886" s="479"/>
      <c r="AB886" s="474"/>
      <c r="AC886" s="474"/>
    </row>
    <row r="887" ht="15.75" customHeight="1">
      <c r="C887" s="277"/>
      <c r="E887" s="278"/>
      <c r="F887" s="492"/>
      <c r="G887" s="279"/>
      <c r="J887" s="474"/>
      <c r="L887" s="470"/>
      <c r="U887" s="471"/>
      <c r="W887" s="491"/>
      <c r="X887" s="479"/>
      <c r="Y887" s="479"/>
      <c r="Z887" s="479"/>
      <c r="AA887" s="479"/>
      <c r="AB887" s="474"/>
      <c r="AC887" s="474"/>
    </row>
    <row r="888" ht="15.75" customHeight="1">
      <c r="C888" s="277"/>
      <c r="E888" s="278"/>
      <c r="F888" s="492"/>
      <c r="G888" s="279"/>
      <c r="J888" s="474"/>
      <c r="L888" s="470"/>
      <c r="U888" s="471"/>
      <c r="W888" s="491"/>
      <c r="X888" s="479"/>
      <c r="Y888" s="479"/>
      <c r="Z888" s="479"/>
      <c r="AA888" s="479"/>
      <c r="AB888" s="474"/>
      <c r="AC888" s="474"/>
    </row>
    <row r="889" ht="15.75" customHeight="1">
      <c r="C889" s="277"/>
      <c r="E889" s="278"/>
      <c r="F889" s="492"/>
      <c r="G889" s="279"/>
      <c r="J889" s="474"/>
      <c r="L889" s="470"/>
      <c r="U889" s="471"/>
      <c r="W889" s="491"/>
      <c r="X889" s="479"/>
      <c r="Y889" s="479"/>
      <c r="Z889" s="479"/>
      <c r="AA889" s="479"/>
      <c r="AB889" s="474"/>
      <c r="AC889" s="474"/>
    </row>
    <row r="890" ht="15.75" customHeight="1">
      <c r="C890" s="277"/>
      <c r="E890" s="278"/>
      <c r="F890" s="492"/>
      <c r="G890" s="279"/>
      <c r="J890" s="474"/>
      <c r="L890" s="470"/>
      <c r="U890" s="471"/>
      <c r="W890" s="491"/>
      <c r="X890" s="479"/>
      <c r="Y890" s="479"/>
      <c r="Z890" s="479"/>
      <c r="AA890" s="479"/>
      <c r="AB890" s="474"/>
      <c r="AC890" s="474"/>
    </row>
    <row r="891" ht="15.75" customHeight="1">
      <c r="C891" s="277"/>
      <c r="E891" s="278"/>
      <c r="F891" s="492"/>
      <c r="G891" s="279"/>
      <c r="J891" s="474"/>
      <c r="L891" s="470"/>
      <c r="U891" s="471"/>
      <c r="W891" s="491"/>
      <c r="X891" s="479"/>
      <c r="Y891" s="479"/>
      <c r="Z891" s="479"/>
      <c r="AA891" s="479"/>
      <c r="AB891" s="474"/>
      <c r="AC891" s="474"/>
    </row>
    <row r="892" ht="15.75" customHeight="1">
      <c r="C892" s="277"/>
      <c r="E892" s="278"/>
      <c r="F892" s="492"/>
      <c r="G892" s="279"/>
      <c r="J892" s="474"/>
      <c r="L892" s="470"/>
      <c r="U892" s="471"/>
      <c r="W892" s="491"/>
      <c r="X892" s="479"/>
      <c r="Y892" s="479"/>
      <c r="Z892" s="479"/>
      <c r="AA892" s="479"/>
      <c r="AB892" s="474"/>
      <c r="AC892" s="474"/>
    </row>
    <row r="893" ht="15.75" customHeight="1">
      <c r="C893" s="277"/>
      <c r="E893" s="278"/>
      <c r="F893" s="492"/>
      <c r="G893" s="279"/>
      <c r="J893" s="474"/>
      <c r="L893" s="470"/>
      <c r="U893" s="471"/>
      <c r="W893" s="491"/>
      <c r="X893" s="479"/>
      <c r="Y893" s="479"/>
      <c r="Z893" s="479"/>
      <c r="AA893" s="479"/>
      <c r="AB893" s="474"/>
      <c r="AC893" s="474"/>
    </row>
    <row r="894" ht="15.75" customHeight="1">
      <c r="C894" s="277"/>
      <c r="E894" s="278"/>
      <c r="F894" s="492"/>
      <c r="G894" s="279"/>
      <c r="J894" s="474"/>
      <c r="L894" s="470"/>
      <c r="U894" s="471"/>
      <c r="W894" s="491"/>
      <c r="X894" s="479"/>
      <c r="Y894" s="479"/>
      <c r="Z894" s="479"/>
      <c r="AA894" s="479"/>
      <c r="AB894" s="474"/>
      <c r="AC894" s="474"/>
    </row>
    <row r="895" ht="15.75" customHeight="1">
      <c r="C895" s="277"/>
      <c r="E895" s="278"/>
      <c r="F895" s="492"/>
      <c r="G895" s="279"/>
      <c r="J895" s="474"/>
      <c r="L895" s="470"/>
      <c r="U895" s="471"/>
      <c r="W895" s="491"/>
      <c r="X895" s="479"/>
      <c r="Y895" s="479"/>
      <c r="Z895" s="479"/>
      <c r="AA895" s="479"/>
      <c r="AB895" s="474"/>
      <c r="AC895" s="474"/>
    </row>
    <row r="896" ht="15.75" customHeight="1">
      <c r="C896" s="277"/>
      <c r="E896" s="278"/>
      <c r="F896" s="492"/>
      <c r="G896" s="279"/>
      <c r="J896" s="474"/>
      <c r="L896" s="470"/>
      <c r="U896" s="471"/>
      <c r="W896" s="491"/>
      <c r="X896" s="479"/>
      <c r="Y896" s="479"/>
      <c r="Z896" s="479"/>
      <c r="AA896" s="479"/>
      <c r="AB896" s="474"/>
      <c r="AC896" s="474"/>
    </row>
    <row r="897" ht="15.75" customHeight="1">
      <c r="C897" s="277"/>
      <c r="E897" s="278"/>
      <c r="F897" s="492"/>
      <c r="G897" s="279"/>
      <c r="J897" s="474"/>
      <c r="L897" s="470"/>
      <c r="U897" s="471"/>
      <c r="W897" s="491"/>
      <c r="X897" s="479"/>
      <c r="Y897" s="479"/>
      <c r="Z897" s="479"/>
      <c r="AA897" s="479"/>
      <c r="AB897" s="474"/>
      <c r="AC897" s="474"/>
    </row>
    <row r="898" ht="15.75" customHeight="1">
      <c r="C898" s="277"/>
      <c r="E898" s="278"/>
      <c r="F898" s="492"/>
      <c r="G898" s="279"/>
      <c r="J898" s="474"/>
      <c r="L898" s="470"/>
      <c r="U898" s="471"/>
      <c r="W898" s="491"/>
      <c r="X898" s="479"/>
      <c r="Y898" s="479"/>
      <c r="Z898" s="479"/>
      <c r="AA898" s="479"/>
      <c r="AB898" s="474"/>
      <c r="AC898" s="474"/>
    </row>
    <row r="899" ht="15.75" customHeight="1">
      <c r="C899" s="277"/>
      <c r="E899" s="278"/>
      <c r="F899" s="492"/>
      <c r="G899" s="279"/>
      <c r="J899" s="474"/>
      <c r="L899" s="470"/>
      <c r="U899" s="471"/>
      <c r="W899" s="491"/>
      <c r="X899" s="479"/>
      <c r="Y899" s="479"/>
      <c r="Z899" s="479"/>
      <c r="AA899" s="479"/>
      <c r="AB899" s="474"/>
      <c r="AC899" s="474"/>
    </row>
    <row r="900" ht="15.75" customHeight="1">
      <c r="C900" s="277"/>
      <c r="E900" s="278"/>
      <c r="F900" s="492"/>
      <c r="G900" s="279"/>
      <c r="J900" s="474"/>
      <c r="L900" s="470"/>
      <c r="U900" s="471"/>
      <c r="W900" s="491"/>
      <c r="X900" s="479"/>
      <c r="Y900" s="479"/>
      <c r="Z900" s="479"/>
      <c r="AA900" s="479"/>
      <c r="AB900" s="474"/>
      <c r="AC900" s="474"/>
    </row>
    <row r="901" ht="15.75" customHeight="1">
      <c r="C901" s="277"/>
      <c r="E901" s="278"/>
      <c r="F901" s="492"/>
      <c r="G901" s="279"/>
      <c r="J901" s="474"/>
      <c r="L901" s="470"/>
      <c r="U901" s="471"/>
      <c r="W901" s="491"/>
      <c r="X901" s="479"/>
      <c r="Y901" s="479"/>
      <c r="Z901" s="479"/>
      <c r="AA901" s="479"/>
      <c r="AB901" s="474"/>
      <c r="AC901" s="474"/>
    </row>
    <row r="902" ht="15.75" customHeight="1">
      <c r="C902" s="277"/>
      <c r="E902" s="278"/>
      <c r="F902" s="492"/>
      <c r="G902" s="279"/>
      <c r="J902" s="474"/>
      <c r="L902" s="470"/>
      <c r="U902" s="471"/>
      <c r="W902" s="491"/>
      <c r="X902" s="479"/>
      <c r="Y902" s="479"/>
      <c r="Z902" s="479"/>
      <c r="AA902" s="479"/>
      <c r="AB902" s="474"/>
      <c r="AC902" s="474"/>
    </row>
    <row r="903" ht="15.75" customHeight="1">
      <c r="C903" s="277"/>
      <c r="E903" s="278"/>
      <c r="F903" s="492"/>
      <c r="G903" s="279"/>
      <c r="J903" s="474"/>
      <c r="L903" s="470"/>
      <c r="U903" s="471"/>
      <c r="W903" s="491"/>
      <c r="X903" s="479"/>
      <c r="Y903" s="479"/>
      <c r="Z903" s="479"/>
      <c r="AA903" s="479"/>
      <c r="AB903" s="474"/>
      <c r="AC903" s="474"/>
    </row>
    <row r="904" ht="15.75" customHeight="1">
      <c r="C904" s="277"/>
      <c r="E904" s="278"/>
      <c r="F904" s="492"/>
      <c r="G904" s="279"/>
      <c r="J904" s="474"/>
      <c r="L904" s="470"/>
      <c r="U904" s="471"/>
      <c r="W904" s="491"/>
      <c r="X904" s="479"/>
      <c r="Y904" s="479"/>
      <c r="Z904" s="479"/>
      <c r="AA904" s="479"/>
      <c r="AB904" s="474"/>
      <c r="AC904" s="474"/>
    </row>
    <row r="905" ht="15.75" customHeight="1">
      <c r="C905" s="277"/>
      <c r="E905" s="278"/>
      <c r="F905" s="492"/>
      <c r="G905" s="279"/>
      <c r="J905" s="474"/>
      <c r="L905" s="470"/>
      <c r="U905" s="471"/>
      <c r="W905" s="491"/>
      <c r="X905" s="479"/>
      <c r="Y905" s="479"/>
      <c r="Z905" s="479"/>
      <c r="AA905" s="479"/>
      <c r="AB905" s="474"/>
      <c r="AC905" s="474"/>
    </row>
    <row r="906" ht="15.75" customHeight="1">
      <c r="C906" s="277"/>
      <c r="E906" s="278"/>
      <c r="F906" s="492"/>
      <c r="G906" s="279"/>
      <c r="J906" s="474"/>
      <c r="L906" s="470"/>
      <c r="U906" s="471"/>
      <c r="W906" s="491"/>
      <c r="X906" s="479"/>
      <c r="Y906" s="479"/>
      <c r="Z906" s="479"/>
      <c r="AA906" s="479"/>
      <c r="AB906" s="474"/>
      <c r="AC906" s="474"/>
    </row>
    <row r="907" ht="15.75" customHeight="1">
      <c r="C907" s="277"/>
      <c r="E907" s="278"/>
      <c r="F907" s="492"/>
      <c r="G907" s="279"/>
      <c r="J907" s="474"/>
      <c r="L907" s="470"/>
      <c r="U907" s="471"/>
      <c r="W907" s="491"/>
      <c r="X907" s="479"/>
      <c r="Y907" s="479"/>
      <c r="Z907" s="479"/>
      <c r="AA907" s="479"/>
      <c r="AB907" s="474"/>
      <c r="AC907" s="474"/>
    </row>
    <row r="908" ht="15.75" customHeight="1">
      <c r="C908" s="277"/>
      <c r="E908" s="278"/>
      <c r="F908" s="492"/>
      <c r="G908" s="279"/>
      <c r="J908" s="474"/>
      <c r="L908" s="470"/>
      <c r="U908" s="471"/>
      <c r="W908" s="491"/>
      <c r="X908" s="479"/>
      <c r="Y908" s="479"/>
      <c r="Z908" s="479"/>
      <c r="AA908" s="479"/>
      <c r="AB908" s="474"/>
      <c r="AC908" s="474"/>
    </row>
    <row r="909" ht="15.75" customHeight="1">
      <c r="C909" s="277"/>
      <c r="E909" s="278"/>
      <c r="F909" s="492"/>
      <c r="G909" s="279"/>
      <c r="J909" s="474"/>
      <c r="L909" s="470"/>
      <c r="U909" s="471"/>
      <c r="W909" s="491"/>
      <c r="X909" s="479"/>
      <c r="Y909" s="479"/>
      <c r="Z909" s="479"/>
      <c r="AA909" s="479"/>
      <c r="AB909" s="474"/>
      <c r="AC909" s="474"/>
    </row>
    <row r="910" ht="15.75" customHeight="1">
      <c r="C910" s="277"/>
      <c r="E910" s="278"/>
      <c r="F910" s="492"/>
      <c r="G910" s="279"/>
      <c r="J910" s="474"/>
      <c r="L910" s="470"/>
      <c r="U910" s="471"/>
      <c r="W910" s="491"/>
      <c r="X910" s="479"/>
      <c r="Y910" s="479"/>
      <c r="Z910" s="479"/>
      <c r="AA910" s="479"/>
      <c r="AB910" s="474"/>
      <c r="AC910" s="474"/>
    </row>
    <row r="911" ht="15.75" customHeight="1">
      <c r="C911" s="277"/>
      <c r="E911" s="278"/>
      <c r="F911" s="492"/>
      <c r="G911" s="279"/>
      <c r="J911" s="474"/>
      <c r="L911" s="470"/>
      <c r="U911" s="471"/>
      <c r="W911" s="491"/>
      <c r="X911" s="479"/>
      <c r="Y911" s="479"/>
      <c r="Z911" s="479"/>
      <c r="AA911" s="479"/>
      <c r="AB911" s="474"/>
      <c r="AC911" s="474"/>
    </row>
    <row r="912" ht="15.75" customHeight="1">
      <c r="C912" s="277"/>
      <c r="E912" s="278"/>
      <c r="F912" s="492"/>
      <c r="G912" s="279"/>
      <c r="J912" s="474"/>
      <c r="L912" s="470"/>
      <c r="U912" s="471"/>
      <c r="W912" s="491"/>
      <c r="X912" s="479"/>
      <c r="Y912" s="479"/>
      <c r="Z912" s="479"/>
      <c r="AA912" s="479"/>
      <c r="AB912" s="474"/>
      <c r="AC912" s="474"/>
    </row>
    <row r="913" ht="15.75" customHeight="1">
      <c r="C913" s="277"/>
      <c r="E913" s="278"/>
      <c r="F913" s="492"/>
      <c r="G913" s="279"/>
      <c r="J913" s="474"/>
      <c r="L913" s="470"/>
      <c r="U913" s="471"/>
      <c r="W913" s="491"/>
      <c r="X913" s="479"/>
      <c r="Y913" s="479"/>
      <c r="Z913" s="479"/>
      <c r="AA913" s="479"/>
      <c r="AB913" s="474"/>
      <c r="AC913" s="474"/>
    </row>
    <row r="914" ht="15.75" customHeight="1">
      <c r="C914" s="277"/>
      <c r="E914" s="278"/>
      <c r="F914" s="492"/>
      <c r="G914" s="279"/>
      <c r="J914" s="474"/>
      <c r="L914" s="470"/>
      <c r="U914" s="471"/>
      <c r="W914" s="491"/>
      <c r="X914" s="479"/>
      <c r="Y914" s="479"/>
      <c r="Z914" s="479"/>
      <c r="AA914" s="479"/>
      <c r="AB914" s="474"/>
      <c r="AC914" s="474"/>
    </row>
    <row r="915" ht="15.75" customHeight="1">
      <c r="C915" s="277"/>
      <c r="E915" s="278"/>
      <c r="F915" s="492"/>
      <c r="G915" s="279"/>
      <c r="J915" s="474"/>
      <c r="L915" s="470"/>
      <c r="U915" s="471"/>
      <c r="W915" s="491"/>
      <c r="X915" s="479"/>
      <c r="Y915" s="479"/>
      <c r="Z915" s="479"/>
      <c r="AA915" s="479"/>
      <c r="AB915" s="474"/>
      <c r="AC915" s="474"/>
    </row>
    <row r="916" ht="15.75" customHeight="1">
      <c r="C916" s="277"/>
      <c r="E916" s="278"/>
      <c r="F916" s="492"/>
      <c r="G916" s="279"/>
      <c r="J916" s="474"/>
      <c r="L916" s="470"/>
      <c r="U916" s="471"/>
      <c r="W916" s="491"/>
      <c r="X916" s="479"/>
      <c r="Y916" s="479"/>
      <c r="Z916" s="479"/>
      <c r="AA916" s="479"/>
      <c r="AB916" s="474"/>
      <c r="AC916" s="474"/>
    </row>
    <row r="917" ht="15.75" customHeight="1">
      <c r="C917" s="277"/>
      <c r="E917" s="278"/>
      <c r="F917" s="492"/>
      <c r="G917" s="279"/>
      <c r="J917" s="474"/>
      <c r="L917" s="470"/>
      <c r="U917" s="471"/>
      <c r="W917" s="491"/>
      <c r="X917" s="479"/>
      <c r="Y917" s="479"/>
      <c r="Z917" s="479"/>
      <c r="AA917" s="479"/>
      <c r="AB917" s="474"/>
      <c r="AC917" s="474"/>
    </row>
    <row r="918" ht="15.75" customHeight="1">
      <c r="C918" s="277"/>
      <c r="E918" s="278"/>
      <c r="F918" s="492"/>
      <c r="G918" s="279"/>
      <c r="J918" s="474"/>
      <c r="L918" s="470"/>
      <c r="U918" s="471"/>
      <c r="W918" s="491"/>
      <c r="X918" s="479"/>
      <c r="Y918" s="479"/>
      <c r="Z918" s="479"/>
      <c r="AA918" s="479"/>
      <c r="AB918" s="474"/>
      <c r="AC918" s="474"/>
    </row>
    <row r="919" ht="15.75" customHeight="1">
      <c r="C919" s="277"/>
      <c r="E919" s="278"/>
      <c r="F919" s="492"/>
      <c r="G919" s="279"/>
      <c r="J919" s="474"/>
      <c r="L919" s="470"/>
      <c r="U919" s="471"/>
      <c r="W919" s="491"/>
      <c r="X919" s="479"/>
      <c r="Y919" s="479"/>
      <c r="Z919" s="479"/>
      <c r="AA919" s="479"/>
      <c r="AB919" s="474"/>
      <c r="AC919" s="474"/>
    </row>
    <row r="920" ht="15.75" customHeight="1">
      <c r="C920" s="277"/>
      <c r="E920" s="278"/>
      <c r="F920" s="492"/>
      <c r="G920" s="279"/>
      <c r="J920" s="474"/>
      <c r="L920" s="470"/>
      <c r="U920" s="471"/>
      <c r="W920" s="491"/>
      <c r="X920" s="479"/>
      <c r="Y920" s="479"/>
      <c r="Z920" s="479"/>
      <c r="AA920" s="479"/>
      <c r="AB920" s="474"/>
      <c r="AC920" s="474"/>
    </row>
    <row r="921" ht="15.75" customHeight="1">
      <c r="C921" s="277"/>
      <c r="E921" s="278"/>
      <c r="F921" s="492"/>
      <c r="G921" s="279"/>
      <c r="J921" s="474"/>
      <c r="L921" s="470"/>
      <c r="U921" s="471"/>
      <c r="W921" s="491"/>
      <c r="X921" s="479"/>
      <c r="Y921" s="479"/>
      <c r="Z921" s="479"/>
      <c r="AA921" s="479"/>
      <c r="AB921" s="474"/>
      <c r="AC921" s="474"/>
    </row>
    <row r="922" ht="15.75" customHeight="1">
      <c r="C922" s="277"/>
      <c r="E922" s="278"/>
      <c r="F922" s="492"/>
      <c r="G922" s="279"/>
      <c r="J922" s="474"/>
      <c r="L922" s="470"/>
      <c r="U922" s="471"/>
      <c r="W922" s="491"/>
      <c r="X922" s="479"/>
      <c r="Y922" s="479"/>
      <c r="Z922" s="479"/>
      <c r="AA922" s="479"/>
      <c r="AB922" s="474"/>
      <c r="AC922" s="474"/>
    </row>
    <row r="923" ht="15.75" customHeight="1">
      <c r="C923" s="277"/>
      <c r="E923" s="278"/>
      <c r="F923" s="492"/>
      <c r="G923" s="279"/>
      <c r="J923" s="474"/>
      <c r="L923" s="470"/>
      <c r="U923" s="471"/>
      <c r="W923" s="491"/>
      <c r="X923" s="479"/>
      <c r="Y923" s="479"/>
      <c r="Z923" s="479"/>
      <c r="AA923" s="479"/>
      <c r="AB923" s="474"/>
      <c r="AC923" s="474"/>
    </row>
    <row r="924" ht="15.75" customHeight="1">
      <c r="C924" s="277"/>
      <c r="E924" s="278"/>
      <c r="F924" s="492"/>
      <c r="G924" s="279"/>
      <c r="J924" s="474"/>
      <c r="L924" s="470"/>
      <c r="U924" s="471"/>
      <c r="W924" s="491"/>
      <c r="X924" s="479"/>
      <c r="Y924" s="479"/>
      <c r="Z924" s="479"/>
      <c r="AA924" s="479"/>
      <c r="AB924" s="474"/>
      <c r="AC924" s="474"/>
    </row>
    <row r="925" ht="15.75" customHeight="1">
      <c r="C925" s="277"/>
      <c r="E925" s="278"/>
      <c r="F925" s="492"/>
      <c r="G925" s="279"/>
      <c r="J925" s="474"/>
      <c r="L925" s="470"/>
      <c r="U925" s="471"/>
      <c r="W925" s="491"/>
      <c r="X925" s="479"/>
      <c r="Y925" s="479"/>
      <c r="Z925" s="479"/>
      <c r="AA925" s="479"/>
      <c r="AB925" s="474"/>
      <c r="AC925" s="474"/>
    </row>
    <row r="926" ht="15.75" customHeight="1">
      <c r="C926" s="277"/>
      <c r="E926" s="278"/>
      <c r="F926" s="492"/>
      <c r="G926" s="279"/>
      <c r="J926" s="474"/>
      <c r="L926" s="470"/>
      <c r="U926" s="471"/>
      <c r="W926" s="491"/>
      <c r="X926" s="479"/>
      <c r="Y926" s="479"/>
      <c r="Z926" s="479"/>
      <c r="AA926" s="479"/>
      <c r="AB926" s="474"/>
      <c r="AC926" s="474"/>
    </row>
    <row r="927" ht="15.75" customHeight="1">
      <c r="C927" s="277"/>
      <c r="E927" s="278"/>
      <c r="F927" s="492"/>
      <c r="G927" s="279"/>
      <c r="J927" s="474"/>
      <c r="L927" s="470"/>
      <c r="U927" s="471"/>
      <c r="W927" s="491"/>
      <c r="X927" s="479"/>
      <c r="Y927" s="479"/>
      <c r="Z927" s="479"/>
      <c r="AA927" s="479"/>
      <c r="AB927" s="474"/>
      <c r="AC927" s="474"/>
    </row>
    <row r="928" ht="15.75" customHeight="1">
      <c r="C928" s="277"/>
      <c r="E928" s="278"/>
      <c r="F928" s="492"/>
      <c r="G928" s="279"/>
      <c r="J928" s="474"/>
      <c r="L928" s="470"/>
      <c r="U928" s="471"/>
      <c r="W928" s="491"/>
      <c r="X928" s="479"/>
      <c r="Y928" s="479"/>
      <c r="Z928" s="479"/>
      <c r="AA928" s="479"/>
      <c r="AB928" s="474"/>
      <c r="AC928" s="474"/>
    </row>
    <row r="929" ht="15.75" customHeight="1">
      <c r="C929" s="277"/>
      <c r="E929" s="278"/>
      <c r="F929" s="492"/>
      <c r="G929" s="279"/>
      <c r="J929" s="474"/>
      <c r="L929" s="470"/>
      <c r="U929" s="471"/>
      <c r="W929" s="491"/>
      <c r="X929" s="479"/>
      <c r="Y929" s="479"/>
      <c r="Z929" s="479"/>
      <c r="AA929" s="479"/>
      <c r="AB929" s="474"/>
      <c r="AC929" s="474"/>
    </row>
    <row r="930" ht="15.75" customHeight="1">
      <c r="C930" s="277"/>
      <c r="E930" s="278"/>
      <c r="F930" s="492"/>
      <c r="G930" s="279"/>
      <c r="J930" s="474"/>
      <c r="L930" s="470"/>
      <c r="U930" s="471"/>
      <c r="W930" s="491"/>
      <c r="X930" s="479"/>
      <c r="Y930" s="479"/>
      <c r="Z930" s="479"/>
      <c r="AA930" s="479"/>
      <c r="AB930" s="474"/>
      <c r="AC930" s="474"/>
    </row>
    <row r="931" ht="15.75" customHeight="1">
      <c r="C931" s="277"/>
      <c r="E931" s="278"/>
      <c r="F931" s="492"/>
      <c r="G931" s="279"/>
      <c r="J931" s="474"/>
      <c r="L931" s="470"/>
      <c r="U931" s="471"/>
      <c r="W931" s="491"/>
      <c r="X931" s="479"/>
      <c r="Y931" s="479"/>
      <c r="Z931" s="479"/>
      <c r="AA931" s="479"/>
      <c r="AB931" s="474"/>
      <c r="AC931" s="474"/>
    </row>
    <row r="932" ht="15.75" customHeight="1">
      <c r="C932" s="277"/>
      <c r="E932" s="278"/>
      <c r="F932" s="492"/>
      <c r="G932" s="279"/>
      <c r="J932" s="474"/>
      <c r="L932" s="470"/>
      <c r="U932" s="471"/>
      <c r="W932" s="491"/>
      <c r="X932" s="479"/>
      <c r="Y932" s="479"/>
      <c r="Z932" s="479"/>
      <c r="AA932" s="479"/>
      <c r="AB932" s="474"/>
      <c r="AC932" s="474"/>
    </row>
    <row r="933" ht="15.75" customHeight="1">
      <c r="C933" s="277"/>
      <c r="E933" s="278"/>
      <c r="F933" s="492"/>
      <c r="G933" s="279"/>
      <c r="J933" s="474"/>
      <c r="L933" s="470"/>
      <c r="U933" s="471"/>
      <c r="W933" s="491"/>
      <c r="X933" s="479"/>
      <c r="Y933" s="479"/>
      <c r="Z933" s="479"/>
      <c r="AA933" s="479"/>
      <c r="AB933" s="474"/>
      <c r="AC933" s="474"/>
    </row>
    <row r="934" ht="15.75" customHeight="1">
      <c r="C934" s="277"/>
      <c r="E934" s="278"/>
      <c r="F934" s="492"/>
      <c r="G934" s="279"/>
      <c r="J934" s="474"/>
      <c r="L934" s="470"/>
      <c r="U934" s="471"/>
      <c r="W934" s="491"/>
      <c r="X934" s="479"/>
      <c r="Y934" s="479"/>
      <c r="Z934" s="479"/>
      <c r="AA934" s="479"/>
      <c r="AB934" s="474"/>
      <c r="AC934" s="474"/>
    </row>
    <row r="935" ht="15.75" customHeight="1">
      <c r="C935" s="277"/>
      <c r="E935" s="278"/>
      <c r="F935" s="492"/>
      <c r="G935" s="279"/>
      <c r="J935" s="474"/>
      <c r="L935" s="470"/>
      <c r="U935" s="471"/>
      <c r="W935" s="491"/>
      <c r="X935" s="479"/>
      <c r="Y935" s="479"/>
      <c r="Z935" s="479"/>
      <c r="AA935" s="479"/>
      <c r="AB935" s="474"/>
      <c r="AC935" s="474"/>
    </row>
    <row r="936" ht="15.75" customHeight="1">
      <c r="C936" s="277"/>
      <c r="E936" s="278"/>
      <c r="F936" s="492"/>
      <c r="G936" s="279"/>
      <c r="J936" s="474"/>
      <c r="L936" s="470"/>
      <c r="U936" s="471"/>
      <c r="W936" s="491"/>
      <c r="X936" s="479"/>
      <c r="Y936" s="479"/>
      <c r="Z936" s="479"/>
      <c r="AA936" s="479"/>
      <c r="AB936" s="474"/>
      <c r="AC936" s="474"/>
    </row>
    <row r="937" ht="15.75" customHeight="1">
      <c r="C937" s="277"/>
      <c r="E937" s="278"/>
      <c r="F937" s="492"/>
      <c r="G937" s="279"/>
      <c r="J937" s="474"/>
      <c r="L937" s="470"/>
      <c r="U937" s="471"/>
      <c r="W937" s="491"/>
      <c r="X937" s="479"/>
      <c r="Y937" s="479"/>
      <c r="Z937" s="479"/>
      <c r="AA937" s="479"/>
      <c r="AB937" s="474"/>
      <c r="AC937" s="474"/>
    </row>
    <row r="938" ht="15.75" customHeight="1">
      <c r="C938" s="277"/>
      <c r="E938" s="278"/>
      <c r="F938" s="492"/>
      <c r="G938" s="279"/>
      <c r="J938" s="474"/>
      <c r="L938" s="470"/>
      <c r="U938" s="471"/>
      <c r="W938" s="491"/>
      <c r="X938" s="479"/>
      <c r="Y938" s="479"/>
      <c r="Z938" s="479"/>
      <c r="AA938" s="479"/>
      <c r="AB938" s="474"/>
      <c r="AC938" s="474"/>
    </row>
    <row r="939" ht="15.75" customHeight="1">
      <c r="C939" s="277"/>
      <c r="E939" s="278"/>
      <c r="F939" s="492"/>
      <c r="G939" s="279"/>
      <c r="J939" s="474"/>
      <c r="L939" s="470"/>
      <c r="U939" s="471"/>
      <c r="W939" s="491"/>
      <c r="X939" s="479"/>
      <c r="Y939" s="479"/>
      <c r="Z939" s="479"/>
      <c r="AA939" s="479"/>
      <c r="AB939" s="474"/>
      <c r="AC939" s="474"/>
    </row>
    <row r="940" ht="15.75" customHeight="1">
      <c r="C940" s="277"/>
      <c r="E940" s="278"/>
      <c r="F940" s="492"/>
      <c r="G940" s="279"/>
      <c r="J940" s="474"/>
      <c r="L940" s="470"/>
      <c r="U940" s="471"/>
      <c r="W940" s="491"/>
      <c r="X940" s="479"/>
      <c r="Y940" s="479"/>
      <c r="Z940" s="479"/>
      <c r="AA940" s="479"/>
      <c r="AB940" s="474"/>
      <c r="AC940" s="474"/>
    </row>
    <row r="941" ht="15.75" customHeight="1">
      <c r="C941" s="277"/>
      <c r="E941" s="278"/>
      <c r="F941" s="492"/>
      <c r="G941" s="279"/>
      <c r="J941" s="474"/>
      <c r="L941" s="470"/>
      <c r="U941" s="471"/>
      <c r="W941" s="491"/>
      <c r="X941" s="479"/>
      <c r="Y941" s="479"/>
      <c r="Z941" s="479"/>
      <c r="AA941" s="479"/>
      <c r="AB941" s="474"/>
      <c r="AC941" s="474"/>
    </row>
    <row r="942" ht="15.75" customHeight="1">
      <c r="C942" s="277"/>
      <c r="E942" s="278"/>
      <c r="F942" s="492"/>
      <c r="G942" s="279"/>
      <c r="J942" s="474"/>
      <c r="L942" s="470"/>
      <c r="U942" s="471"/>
      <c r="W942" s="491"/>
      <c r="X942" s="479"/>
      <c r="Y942" s="479"/>
      <c r="Z942" s="479"/>
      <c r="AA942" s="479"/>
      <c r="AB942" s="474"/>
      <c r="AC942" s="474"/>
    </row>
    <row r="943" ht="15.75" customHeight="1">
      <c r="C943" s="277"/>
      <c r="E943" s="278"/>
      <c r="F943" s="492"/>
      <c r="G943" s="279"/>
      <c r="J943" s="474"/>
      <c r="L943" s="470"/>
      <c r="U943" s="471"/>
      <c r="W943" s="491"/>
      <c r="X943" s="479"/>
      <c r="Y943" s="479"/>
      <c r="Z943" s="479"/>
      <c r="AA943" s="479"/>
      <c r="AB943" s="474"/>
      <c r="AC943" s="474"/>
    </row>
    <row r="944" ht="15.75" customHeight="1">
      <c r="C944" s="277"/>
      <c r="E944" s="278"/>
      <c r="F944" s="492"/>
      <c r="G944" s="279"/>
      <c r="J944" s="474"/>
      <c r="L944" s="470"/>
      <c r="U944" s="471"/>
      <c r="W944" s="491"/>
      <c r="X944" s="479"/>
      <c r="Y944" s="479"/>
      <c r="Z944" s="479"/>
      <c r="AA944" s="479"/>
      <c r="AB944" s="474"/>
      <c r="AC944" s="474"/>
    </row>
    <row r="945" ht="15.75" customHeight="1">
      <c r="C945" s="277"/>
      <c r="E945" s="278"/>
      <c r="F945" s="492"/>
      <c r="G945" s="279"/>
      <c r="J945" s="474"/>
      <c r="L945" s="470"/>
      <c r="U945" s="471"/>
      <c r="W945" s="491"/>
      <c r="X945" s="479"/>
      <c r="Y945" s="479"/>
      <c r="Z945" s="479"/>
      <c r="AA945" s="479"/>
      <c r="AB945" s="474"/>
      <c r="AC945" s="474"/>
    </row>
    <row r="946" ht="15.75" customHeight="1">
      <c r="C946" s="277"/>
      <c r="E946" s="278"/>
      <c r="F946" s="492"/>
      <c r="G946" s="279"/>
      <c r="J946" s="474"/>
      <c r="L946" s="470"/>
      <c r="U946" s="471"/>
      <c r="W946" s="491"/>
      <c r="X946" s="479"/>
      <c r="Y946" s="479"/>
      <c r="Z946" s="479"/>
      <c r="AA946" s="479"/>
      <c r="AB946" s="474"/>
      <c r="AC946" s="474"/>
    </row>
    <row r="947" ht="15.75" customHeight="1">
      <c r="C947" s="277"/>
      <c r="E947" s="278"/>
      <c r="F947" s="492"/>
      <c r="G947" s="279"/>
      <c r="J947" s="474"/>
      <c r="L947" s="470"/>
      <c r="U947" s="471"/>
      <c r="W947" s="491"/>
      <c r="X947" s="479"/>
      <c r="Y947" s="479"/>
      <c r="Z947" s="479"/>
      <c r="AA947" s="479"/>
      <c r="AB947" s="474"/>
      <c r="AC947" s="474"/>
    </row>
    <row r="948" ht="15.75" customHeight="1">
      <c r="C948" s="277"/>
      <c r="E948" s="278"/>
      <c r="F948" s="492"/>
      <c r="G948" s="279"/>
      <c r="J948" s="474"/>
      <c r="L948" s="470"/>
      <c r="U948" s="471"/>
      <c r="W948" s="491"/>
      <c r="X948" s="479"/>
      <c r="Y948" s="479"/>
      <c r="Z948" s="479"/>
      <c r="AA948" s="479"/>
      <c r="AB948" s="474"/>
      <c r="AC948" s="474"/>
    </row>
    <row r="949" ht="15.75" customHeight="1">
      <c r="C949" s="277"/>
      <c r="E949" s="278"/>
      <c r="F949" s="492"/>
      <c r="G949" s="279"/>
      <c r="J949" s="474"/>
      <c r="L949" s="470"/>
      <c r="U949" s="471"/>
      <c r="W949" s="491"/>
      <c r="X949" s="479"/>
      <c r="Y949" s="479"/>
      <c r="Z949" s="479"/>
      <c r="AA949" s="479"/>
      <c r="AB949" s="474"/>
      <c r="AC949" s="474"/>
    </row>
    <row r="950" ht="15.75" customHeight="1">
      <c r="C950" s="277"/>
      <c r="E950" s="278"/>
      <c r="F950" s="492"/>
      <c r="G950" s="279"/>
      <c r="J950" s="474"/>
      <c r="L950" s="470"/>
      <c r="U950" s="471"/>
      <c r="W950" s="491"/>
      <c r="X950" s="479"/>
      <c r="Y950" s="479"/>
      <c r="Z950" s="479"/>
      <c r="AA950" s="479"/>
      <c r="AB950" s="474"/>
      <c r="AC950" s="474"/>
    </row>
    <row r="951" ht="15.75" customHeight="1">
      <c r="C951" s="277"/>
      <c r="E951" s="278"/>
      <c r="F951" s="492"/>
      <c r="G951" s="279"/>
      <c r="J951" s="474"/>
      <c r="L951" s="470"/>
      <c r="U951" s="471"/>
      <c r="W951" s="491"/>
      <c r="X951" s="479"/>
      <c r="Y951" s="479"/>
      <c r="Z951" s="479"/>
      <c r="AA951" s="479"/>
      <c r="AB951" s="474"/>
      <c r="AC951" s="474"/>
    </row>
    <row r="952" ht="15.75" customHeight="1">
      <c r="C952" s="277"/>
      <c r="E952" s="278"/>
      <c r="F952" s="492"/>
      <c r="G952" s="279"/>
      <c r="J952" s="474"/>
      <c r="L952" s="470"/>
      <c r="U952" s="471"/>
      <c r="W952" s="491"/>
      <c r="X952" s="479"/>
      <c r="Y952" s="479"/>
      <c r="Z952" s="479"/>
      <c r="AA952" s="479"/>
      <c r="AB952" s="474"/>
      <c r="AC952" s="474"/>
    </row>
    <row r="953" ht="15.75" customHeight="1">
      <c r="C953" s="277"/>
      <c r="E953" s="278"/>
      <c r="F953" s="492"/>
      <c r="G953" s="279"/>
      <c r="J953" s="474"/>
      <c r="L953" s="470"/>
      <c r="U953" s="471"/>
      <c r="W953" s="491"/>
      <c r="X953" s="479"/>
      <c r="Y953" s="479"/>
      <c r="Z953" s="479"/>
      <c r="AA953" s="479"/>
      <c r="AB953" s="474"/>
      <c r="AC953" s="474"/>
    </row>
    <row r="954" ht="15.75" customHeight="1">
      <c r="C954" s="277"/>
      <c r="E954" s="278"/>
      <c r="F954" s="492"/>
      <c r="G954" s="279"/>
      <c r="J954" s="474"/>
      <c r="L954" s="470"/>
      <c r="U954" s="471"/>
      <c r="W954" s="491"/>
      <c r="X954" s="479"/>
      <c r="Y954" s="479"/>
      <c r="Z954" s="479"/>
      <c r="AA954" s="479"/>
      <c r="AB954" s="474"/>
      <c r="AC954" s="474"/>
    </row>
    <row r="955" ht="15.75" customHeight="1">
      <c r="C955" s="277"/>
      <c r="E955" s="278"/>
      <c r="F955" s="492"/>
      <c r="G955" s="279"/>
      <c r="J955" s="474"/>
      <c r="L955" s="470"/>
      <c r="U955" s="471"/>
      <c r="W955" s="491"/>
      <c r="X955" s="479"/>
      <c r="Y955" s="479"/>
      <c r="Z955" s="479"/>
      <c r="AA955" s="479"/>
      <c r="AB955" s="474"/>
      <c r="AC955" s="474"/>
    </row>
    <row r="956" ht="15.75" customHeight="1">
      <c r="C956" s="277"/>
      <c r="E956" s="278"/>
      <c r="F956" s="492"/>
      <c r="G956" s="279"/>
      <c r="J956" s="474"/>
      <c r="L956" s="470"/>
      <c r="U956" s="471"/>
      <c r="W956" s="491"/>
      <c r="X956" s="479"/>
      <c r="Y956" s="479"/>
      <c r="Z956" s="479"/>
      <c r="AA956" s="479"/>
      <c r="AB956" s="474"/>
      <c r="AC956" s="474"/>
    </row>
    <row r="957" ht="15.75" customHeight="1">
      <c r="C957" s="277"/>
      <c r="E957" s="278"/>
      <c r="F957" s="492"/>
      <c r="G957" s="279"/>
      <c r="J957" s="474"/>
      <c r="L957" s="470"/>
      <c r="U957" s="471"/>
      <c r="W957" s="491"/>
      <c r="X957" s="479"/>
      <c r="Y957" s="479"/>
      <c r="Z957" s="479"/>
      <c r="AA957" s="479"/>
      <c r="AB957" s="474"/>
      <c r="AC957" s="474"/>
    </row>
    <row r="958" ht="15.75" customHeight="1">
      <c r="C958" s="277"/>
      <c r="E958" s="278"/>
      <c r="F958" s="492"/>
      <c r="G958" s="279"/>
      <c r="J958" s="474"/>
      <c r="L958" s="470"/>
      <c r="U958" s="471"/>
      <c r="W958" s="491"/>
      <c r="X958" s="479"/>
      <c r="Y958" s="479"/>
      <c r="Z958" s="479"/>
      <c r="AA958" s="479"/>
      <c r="AB958" s="474"/>
      <c r="AC958" s="474"/>
    </row>
    <row r="959" ht="15.75" customHeight="1">
      <c r="C959" s="277"/>
      <c r="E959" s="278"/>
      <c r="F959" s="492"/>
      <c r="G959" s="279"/>
      <c r="J959" s="474"/>
      <c r="L959" s="470"/>
      <c r="U959" s="471"/>
      <c r="W959" s="491"/>
      <c r="X959" s="479"/>
      <c r="Y959" s="479"/>
      <c r="Z959" s="479"/>
      <c r="AA959" s="479"/>
      <c r="AB959" s="474"/>
      <c r="AC959" s="474"/>
    </row>
    <row r="960" ht="15.75" customHeight="1">
      <c r="C960" s="277"/>
      <c r="E960" s="278"/>
      <c r="F960" s="492"/>
      <c r="G960" s="279"/>
      <c r="J960" s="474"/>
      <c r="L960" s="470"/>
      <c r="U960" s="471"/>
      <c r="W960" s="491"/>
      <c r="X960" s="479"/>
      <c r="Y960" s="479"/>
      <c r="Z960" s="479"/>
      <c r="AA960" s="479"/>
      <c r="AB960" s="474"/>
      <c r="AC960" s="474"/>
    </row>
    <row r="961" ht="15.75" customHeight="1">
      <c r="C961" s="277"/>
      <c r="E961" s="278"/>
      <c r="F961" s="492"/>
      <c r="G961" s="279"/>
      <c r="J961" s="474"/>
      <c r="L961" s="470"/>
      <c r="U961" s="471"/>
      <c r="W961" s="491"/>
      <c r="X961" s="479"/>
      <c r="Y961" s="479"/>
      <c r="Z961" s="479"/>
      <c r="AA961" s="479"/>
      <c r="AB961" s="474"/>
      <c r="AC961" s="474"/>
    </row>
    <row r="962" ht="15.75" customHeight="1">
      <c r="C962" s="277"/>
      <c r="E962" s="278"/>
      <c r="F962" s="492"/>
      <c r="G962" s="279"/>
      <c r="J962" s="474"/>
      <c r="L962" s="470"/>
      <c r="U962" s="471"/>
      <c r="W962" s="491"/>
      <c r="X962" s="479"/>
      <c r="Y962" s="479"/>
      <c r="Z962" s="479"/>
      <c r="AA962" s="479"/>
      <c r="AB962" s="474"/>
      <c r="AC962" s="474"/>
    </row>
    <row r="963" ht="15.75" customHeight="1">
      <c r="C963" s="277"/>
      <c r="E963" s="278"/>
      <c r="F963" s="492"/>
      <c r="G963" s="279"/>
      <c r="J963" s="474"/>
      <c r="L963" s="470"/>
      <c r="U963" s="471"/>
      <c r="W963" s="491"/>
      <c r="X963" s="479"/>
      <c r="Y963" s="479"/>
      <c r="Z963" s="479"/>
      <c r="AA963" s="479"/>
      <c r="AB963" s="474"/>
      <c r="AC963" s="474"/>
    </row>
    <row r="964" ht="15.75" customHeight="1">
      <c r="C964" s="277"/>
      <c r="E964" s="278"/>
      <c r="F964" s="492"/>
      <c r="G964" s="279"/>
      <c r="J964" s="474"/>
      <c r="L964" s="470"/>
      <c r="U964" s="471"/>
      <c r="W964" s="491"/>
      <c r="X964" s="479"/>
      <c r="Y964" s="479"/>
      <c r="Z964" s="479"/>
      <c r="AA964" s="479"/>
      <c r="AB964" s="474"/>
      <c r="AC964" s="474"/>
    </row>
    <row r="965" ht="15.75" customHeight="1">
      <c r="C965" s="277"/>
      <c r="E965" s="278"/>
      <c r="F965" s="492"/>
      <c r="G965" s="279"/>
      <c r="J965" s="474"/>
      <c r="L965" s="470"/>
      <c r="U965" s="471"/>
      <c r="W965" s="491"/>
      <c r="X965" s="479"/>
      <c r="Y965" s="479"/>
      <c r="Z965" s="479"/>
      <c r="AA965" s="479"/>
      <c r="AB965" s="474"/>
      <c r="AC965" s="474"/>
    </row>
    <row r="966" ht="15.75" customHeight="1">
      <c r="C966" s="277"/>
      <c r="E966" s="278"/>
      <c r="F966" s="492"/>
      <c r="G966" s="279"/>
      <c r="J966" s="474"/>
      <c r="L966" s="470"/>
      <c r="U966" s="471"/>
      <c r="W966" s="491"/>
      <c r="X966" s="479"/>
      <c r="Y966" s="479"/>
      <c r="Z966" s="479"/>
      <c r="AA966" s="479"/>
      <c r="AB966" s="474"/>
      <c r="AC966" s="474"/>
    </row>
    <row r="967" ht="15.75" customHeight="1">
      <c r="C967" s="277"/>
      <c r="E967" s="278"/>
      <c r="F967" s="492"/>
      <c r="G967" s="279"/>
      <c r="J967" s="474"/>
      <c r="L967" s="470"/>
      <c r="U967" s="471"/>
      <c r="W967" s="491"/>
      <c r="X967" s="479"/>
      <c r="Y967" s="479"/>
      <c r="Z967" s="479"/>
      <c r="AA967" s="479"/>
      <c r="AB967" s="474"/>
      <c r="AC967" s="474"/>
    </row>
    <row r="968" ht="15.75" customHeight="1">
      <c r="C968" s="277"/>
      <c r="E968" s="278"/>
      <c r="F968" s="492"/>
      <c r="G968" s="279"/>
      <c r="J968" s="474"/>
      <c r="L968" s="470"/>
      <c r="U968" s="471"/>
      <c r="W968" s="491"/>
      <c r="X968" s="479"/>
      <c r="Y968" s="479"/>
      <c r="Z968" s="479"/>
      <c r="AA968" s="479"/>
      <c r="AB968" s="474"/>
      <c r="AC968" s="474"/>
    </row>
    <row r="969" ht="15.75" customHeight="1">
      <c r="C969" s="277"/>
      <c r="E969" s="278"/>
      <c r="F969" s="492"/>
      <c r="G969" s="279"/>
      <c r="J969" s="474"/>
      <c r="L969" s="470"/>
      <c r="U969" s="471"/>
      <c r="W969" s="491"/>
      <c r="X969" s="479"/>
      <c r="Y969" s="479"/>
      <c r="Z969" s="479"/>
      <c r="AA969" s="479"/>
      <c r="AB969" s="474"/>
      <c r="AC969" s="474"/>
    </row>
    <row r="970" ht="15.75" customHeight="1">
      <c r="C970" s="277"/>
      <c r="E970" s="278"/>
      <c r="F970" s="492"/>
      <c r="G970" s="279"/>
      <c r="J970" s="474"/>
      <c r="L970" s="470"/>
      <c r="U970" s="471"/>
      <c r="W970" s="491"/>
      <c r="X970" s="479"/>
      <c r="Y970" s="479"/>
      <c r="Z970" s="479"/>
      <c r="AA970" s="479"/>
      <c r="AB970" s="474"/>
      <c r="AC970" s="474"/>
    </row>
    <row r="971" ht="15.75" customHeight="1">
      <c r="C971" s="277"/>
      <c r="E971" s="278"/>
      <c r="F971" s="492"/>
      <c r="G971" s="279"/>
      <c r="J971" s="474"/>
      <c r="L971" s="470"/>
      <c r="U971" s="471"/>
      <c r="W971" s="491"/>
      <c r="X971" s="479"/>
      <c r="Y971" s="479"/>
      <c r="Z971" s="479"/>
      <c r="AA971" s="479"/>
      <c r="AB971" s="474"/>
      <c r="AC971" s="474"/>
    </row>
    <row r="972" ht="15.75" customHeight="1">
      <c r="C972" s="277"/>
      <c r="E972" s="278"/>
      <c r="F972" s="492"/>
      <c r="G972" s="279"/>
      <c r="J972" s="474"/>
      <c r="L972" s="470"/>
      <c r="U972" s="471"/>
      <c r="W972" s="491"/>
      <c r="X972" s="479"/>
      <c r="Y972" s="479"/>
      <c r="Z972" s="479"/>
      <c r="AA972" s="479"/>
      <c r="AB972" s="474"/>
      <c r="AC972" s="474"/>
    </row>
    <row r="973" ht="15.75" customHeight="1">
      <c r="C973" s="277"/>
      <c r="E973" s="278"/>
      <c r="F973" s="492"/>
      <c r="G973" s="279"/>
      <c r="J973" s="474"/>
      <c r="L973" s="470"/>
      <c r="U973" s="471"/>
      <c r="W973" s="491"/>
      <c r="X973" s="479"/>
      <c r="Y973" s="479"/>
      <c r="Z973" s="479"/>
      <c r="AA973" s="479"/>
      <c r="AB973" s="474"/>
      <c r="AC973" s="474"/>
    </row>
    <row r="974" ht="15.75" customHeight="1">
      <c r="C974" s="277"/>
      <c r="E974" s="278"/>
      <c r="F974" s="492"/>
      <c r="G974" s="279"/>
      <c r="J974" s="474"/>
      <c r="L974" s="470"/>
      <c r="U974" s="471"/>
      <c r="W974" s="491"/>
      <c r="X974" s="479"/>
      <c r="Y974" s="479"/>
      <c r="Z974" s="479"/>
      <c r="AA974" s="479"/>
      <c r="AB974" s="474"/>
      <c r="AC974" s="474"/>
    </row>
    <row r="975" ht="15.75" customHeight="1">
      <c r="C975" s="277"/>
      <c r="E975" s="278"/>
      <c r="F975" s="492"/>
      <c r="G975" s="279"/>
      <c r="J975" s="474"/>
      <c r="L975" s="470"/>
      <c r="U975" s="471"/>
      <c r="W975" s="491"/>
      <c r="X975" s="479"/>
      <c r="Y975" s="479"/>
      <c r="Z975" s="479"/>
      <c r="AA975" s="479"/>
      <c r="AB975" s="474"/>
      <c r="AC975" s="474"/>
    </row>
    <row r="976" ht="15.75" customHeight="1">
      <c r="C976" s="277"/>
      <c r="E976" s="278"/>
      <c r="F976" s="492"/>
      <c r="G976" s="279"/>
      <c r="J976" s="474"/>
      <c r="L976" s="470"/>
      <c r="U976" s="471"/>
      <c r="W976" s="491"/>
      <c r="X976" s="479"/>
      <c r="Y976" s="479"/>
      <c r="Z976" s="479"/>
      <c r="AA976" s="479"/>
      <c r="AB976" s="474"/>
      <c r="AC976" s="474"/>
    </row>
    <row r="977" ht="15.75" customHeight="1">
      <c r="C977" s="277"/>
      <c r="E977" s="278"/>
      <c r="F977" s="492"/>
      <c r="G977" s="279"/>
      <c r="J977" s="474"/>
      <c r="L977" s="470"/>
      <c r="U977" s="471"/>
      <c r="W977" s="491"/>
      <c r="X977" s="479"/>
      <c r="Y977" s="479"/>
      <c r="Z977" s="479"/>
      <c r="AA977" s="479"/>
      <c r="AB977" s="474"/>
      <c r="AC977" s="474"/>
    </row>
    <row r="978" ht="15.75" customHeight="1">
      <c r="C978" s="277"/>
      <c r="E978" s="278"/>
      <c r="F978" s="492"/>
      <c r="G978" s="279"/>
      <c r="J978" s="474"/>
      <c r="L978" s="470"/>
      <c r="U978" s="471"/>
      <c r="W978" s="491"/>
      <c r="X978" s="479"/>
      <c r="Y978" s="479"/>
      <c r="Z978" s="479"/>
      <c r="AA978" s="479"/>
      <c r="AB978" s="474"/>
      <c r="AC978" s="474"/>
    </row>
    <row r="979" ht="15.75" customHeight="1">
      <c r="C979" s="277"/>
      <c r="E979" s="278"/>
      <c r="F979" s="492"/>
      <c r="G979" s="279"/>
      <c r="J979" s="474"/>
      <c r="L979" s="470"/>
      <c r="U979" s="471"/>
      <c r="W979" s="491"/>
      <c r="X979" s="479"/>
      <c r="Y979" s="479"/>
      <c r="Z979" s="479"/>
      <c r="AA979" s="479"/>
      <c r="AB979" s="474"/>
      <c r="AC979" s="474"/>
    </row>
    <row r="980" ht="15.75" customHeight="1">
      <c r="C980" s="277"/>
      <c r="E980" s="278"/>
      <c r="F980" s="492"/>
      <c r="G980" s="279"/>
      <c r="J980" s="474"/>
      <c r="L980" s="470"/>
      <c r="U980" s="471"/>
      <c r="W980" s="491"/>
      <c r="X980" s="479"/>
      <c r="Y980" s="479"/>
      <c r="Z980" s="479"/>
      <c r="AA980" s="479"/>
      <c r="AB980" s="474"/>
      <c r="AC980" s="474"/>
    </row>
    <row r="981" ht="15.75" customHeight="1">
      <c r="C981" s="277"/>
      <c r="E981" s="278"/>
      <c r="F981" s="492"/>
      <c r="G981" s="279"/>
      <c r="J981" s="474"/>
      <c r="L981" s="470"/>
      <c r="U981" s="471"/>
      <c r="W981" s="491"/>
      <c r="X981" s="479"/>
      <c r="Y981" s="479"/>
      <c r="Z981" s="479"/>
      <c r="AA981" s="479"/>
      <c r="AB981" s="474"/>
      <c r="AC981" s="474"/>
    </row>
  </sheetData>
  <mergeCells count="22">
    <mergeCell ref="A1:A2"/>
    <mergeCell ref="B1:B2"/>
    <mergeCell ref="C1:C2"/>
    <mergeCell ref="D1:D2"/>
    <mergeCell ref="E1:E2"/>
    <mergeCell ref="F1:F2"/>
    <mergeCell ref="G1:G2"/>
    <mergeCell ref="Y1:Y2"/>
    <mergeCell ref="Z1:Z2"/>
    <mergeCell ref="AA1:AA2"/>
    <mergeCell ref="AB1:AB2"/>
    <mergeCell ref="AC1:AC2"/>
    <mergeCell ref="AD1:AD2"/>
    <mergeCell ref="AE1:AE2"/>
    <mergeCell ref="AF1:AF2"/>
    <mergeCell ref="H1:H2"/>
    <mergeCell ref="I1:I2"/>
    <mergeCell ref="T1:T2"/>
    <mergeCell ref="U1:U2"/>
    <mergeCell ref="V1:V2"/>
    <mergeCell ref="W1:W2"/>
    <mergeCell ref="X1:X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2021-10-11T10:31:15Z</dcterms:created>
  <dc:creator>i5 7thgen</dc:creator>
</cp:coreProperties>
</file>