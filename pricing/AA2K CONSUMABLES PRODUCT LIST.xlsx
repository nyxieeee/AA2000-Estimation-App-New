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NSUMABLES" sheetId="1" r:id="rId4"/>
    <sheet state="visible" name="ROBART" sheetId="2" r:id="rId5"/>
    <sheet state="visible" name="WIRES" sheetId="3" r:id="rId6"/>
    <sheet state="visible" name="CONSUMABLES Updated" sheetId="4" r:id="rId7"/>
    <sheet state="visible" name="Copy of CONSUMABLES - Wag dito " sheetId="5" r:id="rId8"/>
  </sheets>
  <definedNames/>
  <calcPr/>
  <extLst>
    <ext uri="GoogleSheetsCustomDataVersion2">
      <go:sheetsCustomData xmlns:go="http://customooxmlschemas.google.com/" r:id="rId9" roundtripDataChecksum="WB+Tmxhe2W+rp5xa35pTNIYJ3tYC8ZqXwSwdAYY60GM="/>
    </ext>
  </extLst>
</workbook>
</file>

<file path=xl/sharedStrings.xml><?xml version="1.0" encoding="utf-8"?>
<sst xmlns="http://schemas.openxmlformats.org/spreadsheetml/2006/main" count="1447" uniqueCount="817">
  <si>
    <t>CATEGORY</t>
  </si>
  <si>
    <t>BRAND</t>
  </si>
  <si>
    <t>MODEL</t>
  </si>
  <si>
    <t xml:space="preserve">ITEM DESCRIPTION </t>
  </si>
  <si>
    <t>OTHER DESCRIPTION</t>
  </si>
  <si>
    <t>PURCHASE AMOUNT</t>
  </si>
  <si>
    <t>Last Price Update Date</t>
  </si>
  <si>
    <t>SRP (End-User)</t>
  </si>
  <si>
    <t>DEALER's PRICE</t>
  </si>
  <si>
    <t>CONTRACTOR's PRICE</t>
  </si>
  <si>
    <t>REMARKS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</si>
  <si>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</si>
  <si>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</si>
  <si>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</si>
  <si>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</si>
  <si>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</si>
  <si>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</si>
  <si>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1/2 PVC Moulding</t>
  </si>
  <si>
    <t>3/4 PVC Moulding</t>
  </si>
  <si>
    <t>1" PVC Moulding</t>
  </si>
  <si>
    <t>1/2 pvc pipe (3m) 10 ft</t>
  </si>
  <si>
    <t>3/4 Pvc pipe (3m) 10f</t>
  </si>
  <si>
    <t>1/2 PVC CONNECTOR</t>
  </si>
  <si>
    <t>1/2 PVC PIPE</t>
  </si>
  <si>
    <t>1/2  PVC ELBOW</t>
  </si>
  <si>
    <t>1/2 PVC C-CLAMP</t>
  </si>
  <si>
    <t xml:space="preserve">PVC JUNCTION BOX W/COVER </t>
  </si>
  <si>
    <t>PVC JUNCTION BOX # 18 ( OCTAGONAL )</t>
  </si>
  <si>
    <t>1/2 GALVANIZED FLEXIBLE METAL CONDUIT HOSE</t>
  </si>
  <si>
    <t xml:space="preserve">2X4 GALVANIZED ELECTRICAL BOX WITH COVER UTILITY NO. 18 </t>
  </si>
  <si>
    <t xml:space="preserve">1/2 STRAIGHT CONNECTOR </t>
  </si>
  <si>
    <t>1/2 U-BOLT</t>
  </si>
  <si>
    <t>1/2 EMT PIPE</t>
  </si>
  <si>
    <t>1/2 EMT COUPLING</t>
  </si>
  <si>
    <t>1/2 EMT CONNECTOR</t>
  </si>
  <si>
    <t>1/2 EMT C-CLAMP</t>
  </si>
  <si>
    <t>1/2 EMT CONNECTOR SCREW TYPE</t>
  </si>
  <si>
    <t xml:space="preserve">1/2 EMT COUPLING SCREW TYPE </t>
  </si>
  <si>
    <t>1/2 METAL C-CLAMP</t>
  </si>
  <si>
    <t>METAL FLEXIBLE HOSE 1/2</t>
  </si>
  <si>
    <t>METAL FLEXIBLE HOSE 3/4</t>
  </si>
  <si>
    <r>
      <rPr>
        <rFont val="Arial"/>
        <color theme="1"/>
        <sz val="9.0"/>
      </rPr>
      <t>METAL JUNCTION BOX #16</t>
    </r>
    <r>
      <rPr>
        <rFont val="Arial"/>
        <b/>
        <color theme="1"/>
        <sz val="9.0"/>
      </rPr>
      <t xml:space="preserve"> with cover</t>
    </r>
  </si>
  <si>
    <r>
      <rPr>
        <rFont val="Arial"/>
        <color theme="1"/>
        <sz val="9.0"/>
      </rPr>
      <t>METAL JUNCTION BOX #18</t>
    </r>
    <r>
      <rPr>
        <rFont val="Arial"/>
        <b/>
        <color theme="1"/>
        <sz val="9.0"/>
      </rPr>
      <t xml:space="preserve"> with cover</t>
    </r>
  </si>
  <si>
    <r>
      <rPr>
        <rFont val="Arial"/>
        <color theme="1"/>
        <sz val="9.0"/>
      </rPr>
      <t xml:space="preserve">METAL JUNCTION BOX </t>
    </r>
    <r>
      <rPr>
        <rFont val="Arial"/>
        <b/>
        <color theme="1"/>
        <sz val="9.0"/>
      </rPr>
      <t>with cover</t>
    </r>
  </si>
  <si>
    <t>METAL JUNCTION BOX - standard</t>
  </si>
  <si>
    <r>
      <rPr>
        <rFont val="Calibri"/>
        <color theme="1"/>
        <sz val="9.0"/>
      </rPr>
      <t xml:space="preserve">METAL UTILITY BOX </t>
    </r>
    <r>
      <rPr>
        <rFont val="Calibri"/>
        <b/>
        <color theme="1"/>
        <sz val="9.0"/>
      </rPr>
      <t>with cover</t>
    </r>
  </si>
  <si>
    <r>
      <rPr>
        <rFont val="Calibri"/>
        <color theme="1"/>
        <sz val="9.0"/>
      </rPr>
      <t xml:space="preserve">METAL SQUARE BOX </t>
    </r>
    <r>
      <rPr>
        <rFont val="Calibri"/>
        <b/>
        <color theme="1"/>
        <sz val="9.0"/>
      </rPr>
      <t>with cover</t>
    </r>
  </si>
  <si>
    <r>
      <rPr>
        <rFont val="Calibri"/>
        <color theme="1"/>
        <sz val="9.0"/>
      </rPr>
      <t xml:space="preserve">METAL JUNCTION, UTILITY, SQUARE BOX </t>
    </r>
    <r>
      <rPr>
        <rFont val="Calibri"/>
        <b/>
        <color theme="1"/>
        <sz val="9.0"/>
      </rPr>
      <t>( COVER ONLY )</t>
    </r>
  </si>
  <si>
    <t xml:space="preserve">1/2 IMC PIPE </t>
  </si>
  <si>
    <t xml:space="preserve">1/2 IMC LOCK KNOTS </t>
  </si>
  <si>
    <t>1/2 IMC LOCKNUT &amp; BUSHING</t>
  </si>
  <si>
    <t>1/2 IMC COUPLING</t>
  </si>
  <si>
    <t xml:space="preserve">3/4 IMC PIPE </t>
  </si>
  <si>
    <t>3/4 IMC LOCKNUT &amp; BUSHING</t>
  </si>
  <si>
    <t>3/4 IMC COUPLING</t>
  </si>
  <si>
    <t>3/4 METAL CLAMP</t>
  </si>
  <si>
    <t xml:space="preserve">UNISTRUT CLAMP 3/4 </t>
  </si>
  <si>
    <t>UNISTRUT CLAMP 1/2</t>
  </si>
  <si>
    <t xml:space="preserve">Topbest </t>
  </si>
  <si>
    <t>No More Nails</t>
  </si>
  <si>
    <t>Netlex PVC Pipe Solvent Cement</t>
  </si>
  <si>
    <t xml:space="preserve">Tox 8" - Metal </t>
  </si>
  <si>
    <t xml:space="preserve">Tox 1" - Metal </t>
  </si>
  <si>
    <t>SCREWBIT</t>
  </si>
  <si>
    <t>Screw #8</t>
  </si>
  <si>
    <t>TOX W/ SCREW #6 - Metal</t>
  </si>
  <si>
    <t>Black screw 1" - Wood</t>
  </si>
  <si>
    <t xml:space="preserve">Black Screw #1 </t>
  </si>
  <si>
    <t>Black Screw #2</t>
  </si>
  <si>
    <t>Tox 1" - Wood</t>
  </si>
  <si>
    <t>Electrical Tape</t>
  </si>
  <si>
    <t xml:space="preserve">Masking Tape </t>
  </si>
  <si>
    <t>Flier</t>
  </si>
  <si>
    <r>
      <rPr>
        <rFont val="Arial"/>
        <color theme="1"/>
        <sz val="9.0"/>
      </rPr>
      <t xml:space="preserve">Hack saw frame </t>
    </r>
    <r>
      <rPr>
        <rFont val="Arial"/>
        <b/>
        <color theme="1"/>
        <sz val="9.0"/>
      </rPr>
      <t>(Handle Only)</t>
    </r>
  </si>
  <si>
    <t>Hacksaw blade</t>
  </si>
  <si>
    <t>1 gang power outlet</t>
  </si>
  <si>
    <t xml:space="preserve">3 Gang Outlet - OMNI </t>
  </si>
  <si>
    <t xml:space="preserve">Male Plug - OMNI </t>
  </si>
  <si>
    <t>GI WIRE 1 kg</t>
  </si>
  <si>
    <t xml:space="preserve">GI THREADED ROD 3/8 3M </t>
  </si>
  <si>
    <t xml:space="preserve">GRIP ANCHOR 3/8  </t>
  </si>
  <si>
    <t>PULL BOX 8X8X4</t>
  </si>
  <si>
    <t>PULL BOX 4x6x6</t>
  </si>
  <si>
    <t>Square Box 200x200x80</t>
  </si>
  <si>
    <t>Square Box 4x4 #18</t>
  </si>
  <si>
    <t>waterproofbox 100x100x70</t>
  </si>
  <si>
    <t>MAKITA</t>
  </si>
  <si>
    <t>SDS Drill Bit 20mm</t>
  </si>
  <si>
    <t>SDS Drill Bit 16mm</t>
  </si>
  <si>
    <t>SDS Drill Bit 14mm</t>
  </si>
  <si>
    <t>SDS drill bit #6</t>
  </si>
  <si>
    <t xml:space="preserve">SDS DRILL BIT 25MM X12LONG </t>
  </si>
  <si>
    <t>Sable Tie</t>
  </si>
  <si>
    <t>DRILL BIT METAL 1/8 (5MM)</t>
  </si>
  <si>
    <t>DRILL BIT METAL 3/8 (10MM)</t>
  </si>
  <si>
    <t>Mason Drill Bit 6mm</t>
  </si>
  <si>
    <t xml:space="preserve">Metal Drill Bit 1/8 Diameter </t>
  </si>
  <si>
    <t>Metal Drill Bit 1/4 Diameter</t>
  </si>
  <si>
    <t>Metal Drill Bit 3/8 Diameter</t>
  </si>
  <si>
    <t>Metal Drill Bit 1/2 Diameter</t>
  </si>
  <si>
    <t>ADLINK</t>
  </si>
  <si>
    <t>UTP CAT6 (305m)</t>
  </si>
  <si>
    <t>UTP CAT5 (305m)</t>
  </si>
  <si>
    <t xml:space="preserve">unistrut channel </t>
  </si>
  <si>
    <t>Unistrut clamp 1/2</t>
  </si>
  <si>
    <t xml:space="preserve">STRAIGHT CONNECTOR 1/2 </t>
  </si>
  <si>
    <t xml:space="preserve">METAL FLEXIBLE 1/2 </t>
  </si>
  <si>
    <t>IMC Coupling ½</t>
  </si>
  <si>
    <t>IMC Coupling ¾</t>
  </si>
  <si>
    <t xml:space="preserve">Lock Nut ½ </t>
  </si>
  <si>
    <t>Lock Nut ¾</t>
  </si>
  <si>
    <t>full threaded bar 3/8</t>
  </si>
  <si>
    <t>bolts and nuts , washer for full threadedd size</t>
  </si>
  <si>
    <t>tox &amp; screw #8</t>
  </si>
  <si>
    <t>junction box octagonal</t>
  </si>
  <si>
    <t>cutting disk metal</t>
  </si>
  <si>
    <t>IMC C-clamp 1/2</t>
  </si>
  <si>
    <t>extension wire</t>
  </si>
  <si>
    <t>male plug</t>
  </si>
  <si>
    <t>3 gang outlet</t>
  </si>
  <si>
    <t>1/2 pvc flexible pipe (100m )</t>
  </si>
  <si>
    <t>2 pvc moulding</t>
  </si>
  <si>
    <t>cable tie 8''</t>
  </si>
  <si>
    <t>tox w/ screw #6</t>
  </si>
  <si>
    <t xml:space="preserve">G.I Wire </t>
  </si>
  <si>
    <t>130KILO</t>
  </si>
  <si>
    <t>mica tube 1/2</t>
  </si>
  <si>
    <t>PVC junction Box w/ cover 4x4</t>
  </si>
  <si>
    <t>PVC square box w/ cover</t>
  </si>
  <si>
    <t>PVC Connectors with Locknut 1/2</t>
  </si>
  <si>
    <t>PVC flexible straight connector 1/2</t>
  </si>
  <si>
    <t>PVC Utility box w/Cover</t>
  </si>
  <si>
    <t>pvc elbow 1/2</t>
  </si>
  <si>
    <t>pvc clamp 1/2</t>
  </si>
  <si>
    <t>metal drill bit 3/8 diameter</t>
  </si>
  <si>
    <t>sds drill bit #6</t>
  </si>
  <si>
    <t>SDS DRILL BIT #8</t>
  </si>
  <si>
    <t>IMC PIPE WITH COUPLING  ½</t>
  </si>
  <si>
    <t>IMC PIPE WITH COUPLING  ¾</t>
  </si>
  <si>
    <t>Metal Flexible ½</t>
  </si>
  <si>
    <t>Straight connector ½</t>
  </si>
  <si>
    <t>Junction Box w/ cover metal</t>
  </si>
  <si>
    <t>Square Box w/ cover metal</t>
  </si>
  <si>
    <t xml:space="preserve">metal square Box #18 </t>
  </si>
  <si>
    <t>metal square Box #16</t>
  </si>
  <si>
    <t>Pull Box w/ cover  12x12x4</t>
  </si>
  <si>
    <t>Pull Box w/ cover  12x12x6</t>
  </si>
  <si>
    <t>G.I. Wire #16</t>
  </si>
  <si>
    <t>Unistrut channel</t>
  </si>
  <si>
    <t>Unistrut clamp    ¾</t>
  </si>
  <si>
    <t>Bolt &amp; Nut ¼x1”</t>
  </si>
  <si>
    <t>Tox w/ screw  #6</t>
  </si>
  <si>
    <t>SDS Drill Bit  #6</t>
  </si>
  <si>
    <t>SDS Drill Bit  25mmx12”Long</t>
  </si>
  <si>
    <t>Utility Box</t>
  </si>
  <si>
    <t>C clamp metal ¾</t>
  </si>
  <si>
    <t>Hack saw blade</t>
  </si>
  <si>
    <t>1/2 Metal hole Saw</t>
  </si>
  <si>
    <t>PVC ELBOW 3/4 90 pcs - 19 atlanta</t>
  </si>
  <si>
    <t>PVC ELBOW 2'' 40 pcs - 125 atlanta</t>
  </si>
  <si>
    <t xml:space="preserve">CABLE TIE #6 - </t>
  </si>
  <si>
    <t>PVC CEMENT 100cc -100</t>
  </si>
  <si>
    <t>NUT 3/8</t>
  </si>
  <si>
    <t xml:space="preserve"> WASHER 3/8</t>
  </si>
  <si>
    <t>U-BOLT 1/2</t>
  </si>
  <si>
    <t xml:space="preserve">SLOTTED ANGLE BAR </t>
  </si>
  <si>
    <t>1.5 x 2 x 10ft</t>
  </si>
  <si>
    <t>1 1/2 x 1 1/2 x 12 ft</t>
  </si>
  <si>
    <t>1 1/2 x 2 x 12 ft</t>
  </si>
  <si>
    <t>Bolts and nuts - 4 pesos</t>
  </si>
  <si>
    <t>Corner plate - 10 pesos</t>
  </si>
  <si>
    <t>Footer - 10 pesos</t>
  </si>
  <si>
    <t xml:space="preserve">FLEXIBLE HOSE CONNECTOR 1/2 </t>
  </si>
  <si>
    <t xml:space="preserve">PVC FLEXIBLE HOSE (50mm) </t>
  </si>
  <si>
    <t xml:space="preserve">pvc adaptor w/ locknut </t>
  </si>
  <si>
    <t xml:space="preserve">1/2 PVC ADAPTOR </t>
  </si>
  <si>
    <t>PVC CLAMPS 3/4</t>
  </si>
  <si>
    <t xml:space="preserve">metal enclosure box 4x12x12- </t>
  </si>
  <si>
    <t>TF WIRE TWISTED PAIR  #16 (1 ROLL 150m)</t>
  </si>
  <si>
    <t>metal straight connector 1/2</t>
  </si>
  <si>
    <t>Diamond Disk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</si>
  <si>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</si>
  <si>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</si>
  <si>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</si>
  <si>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</si>
  <si>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</si>
  <si>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</si>
  <si>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B.I agle bar 4mm 1-1/2'' x 20ft</t>
  </si>
  <si>
    <t>Galvanized full threaded rod
3/8'' x mtrs</t>
  </si>
  <si>
    <t>Clevis hanger 2-1/2''</t>
  </si>
  <si>
    <t>loop hanger 2''</t>
  </si>
  <si>
    <t>loop hanger 1-1/2</t>
  </si>
  <si>
    <t>loop hanger 1-1/4</t>
  </si>
  <si>
    <t>loop hanger 1''</t>
  </si>
  <si>
    <t>Galvanized u-bolt with nut and
washer 1/4'' x 2-1/2''</t>
  </si>
  <si>
    <t>Galvanized grip anchor 3/8'' x 1-
1/2''</t>
  </si>
  <si>
    <t>Galvanized bolt with nut and
washer 3/8'' x 1-1/2''</t>
  </si>
  <si>
    <t>Rubber gasket ordinary black
1/4'' thk 1m x 1m</t>
  </si>
  <si>
    <t>teflon tape 1''</t>
  </si>
  <si>
    <t>Boysen epoxy primer gray
gallon</t>
  </si>
  <si>
    <t>Boysen epoxy enamel
international red gallon</t>
  </si>
  <si>
    <t>Boysen paint thinner gallon</t>
  </si>
  <si>
    <t>Black paint brush 2''</t>
  </si>
  <si>
    <t>Black paint brush 1''</t>
  </si>
  <si>
    <t>B.i seamless pipe s-40 2-1/2''
x 20ft</t>
  </si>
  <si>
    <t>B.i seamless pipe s-40 2'' x
20ft</t>
  </si>
  <si>
    <t>B.i seamless pipe s-40 1-1/2''
x 20ft</t>
  </si>
  <si>
    <t>B.i seamless pipe s-40 1-1/4''
x 20ft</t>
  </si>
  <si>
    <t>B.i seamless pipe s-40 1'' x
20ft</t>
  </si>
  <si>
    <t>B.i elbow threaded 25mm x
90deg</t>
  </si>
  <si>
    <t>B.i elbow welded 65mm x
45deg</t>
  </si>
  <si>
    <t>B.i concentric reducer welded
75 x 65mm</t>
  </si>
  <si>
    <t>B.i concentric reducer welded
65mm x 50mm</t>
  </si>
  <si>
    <t>B.i concentric reducer welded
50mm x 40mm</t>
  </si>
  <si>
    <t>B.i concentric reducer welded
40mm x 32mm</t>
  </si>
  <si>
    <t>B.i concentric reducer welded
32mm x 25mm</t>
  </si>
  <si>
    <t>B.i bell reducer 25mm x 15mm</t>
  </si>
  <si>
    <t>B.i equal tee 25mm</t>
  </si>
  <si>
    <t>B.i tee reducer 32mm x 25mm</t>
  </si>
  <si>
    <t>B.i tee reducer 40 x 25mm</t>
  </si>
  <si>
    <t>B.i tee reducer 50 x 25mm</t>
  </si>
  <si>
    <t>B.i slip on flange 75mm x 150#
flat face</t>
  </si>
  <si>
    <t>B.i slip on flange 65mm x 150#
flat face</t>
  </si>
  <si>
    <t>B.i slip on flange 50mm x 150#
flat face threaded</t>
  </si>
  <si>
    <t>B.i end cap 25mm</t>
  </si>
  <si>
    <t>B.i threadolet 25mm</t>
  </si>
  <si>
    <t>sprinkler head concealled 1/2''</t>
  </si>
  <si>
    <t>sprinkler head upright 1/2''</t>
  </si>
  <si>
    <t>sprinkler head side wall 1/2''</t>
  </si>
  <si>
    <t>Brass gate valve 25mm (1'')
brand: KITZ</t>
  </si>
  <si>
    <t>pressure gauge black casing
4'' x 400psi brand:craft</t>
  </si>
  <si>
    <t>NIHONWELD welding rod 6013
2.4mm</t>
  </si>
  <si>
    <t>NIHONWELD welding rod 6011
2.4mm</t>
  </si>
  <si>
    <t xml:space="preserve">tf wire 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</si>
  <si>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</si>
  <si>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</si>
  <si>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</si>
  <si>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</si>
  <si>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</si>
  <si>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</si>
  <si>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TF WIRE #18 Black and Red</t>
  </si>
  <si>
    <t xml:space="preserve">TFWIRE #16 BALCK AND RED </t>
  </si>
  <si>
    <r>
      <rPr>
        <rFont val="Calibri"/>
        <color theme="1"/>
        <sz val="9.0"/>
      </rPr>
      <t xml:space="preserve">THHN WIRE No. 14 2.0mm </t>
    </r>
    <r>
      <rPr>
        <rFont val="Calibri Light"/>
        <b/>
        <color theme="1"/>
        <sz val="9.0"/>
      </rPr>
      <t>(PER METER)</t>
    </r>
  </si>
  <si>
    <t>THHN WIRENo. 14 2.0mm  Red</t>
  </si>
  <si>
    <t>THHN WIRENo. 14 2.0mm  Black</t>
  </si>
  <si>
    <t xml:space="preserve">THHN WIRENo. 14 2.0mm  green </t>
  </si>
  <si>
    <t>Flat Cord Gauge #16</t>
  </si>
  <si>
    <r>
      <rPr>
        <rFont val="Calibri"/>
        <color theme="1"/>
        <sz val="9.0"/>
      </rPr>
      <t xml:space="preserve">THHN WIRE No. 12 3.5mm </t>
    </r>
    <r>
      <rPr>
        <rFont val="Calibri Light"/>
        <b/>
        <color theme="1"/>
        <sz val="9.0"/>
      </rPr>
      <t>(PER METER)</t>
    </r>
  </si>
  <si>
    <t xml:space="preserve">THHN Wire No. 12 3.5 mm Red  </t>
  </si>
  <si>
    <t>THHN Wire No. 12 3.5 mm Black</t>
  </si>
  <si>
    <t>THHN Wire No. 12 3.5 mm Green</t>
  </si>
  <si>
    <t>old price</t>
  </si>
  <si>
    <t>BELDEN</t>
  </si>
  <si>
    <t>Belden® Category-6 4 Twisted Pairs
UTP
24 AWG Solid Bare Copper Conductors
Patented E-Spline Center Member
Polyolefin Insulation
Gray PVC Jacket</t>
  </si>
  <si>
    <t xml:space="preserve">Thhn wire #10 </t>
  </si>
  <si>
    <t xml:space="preserve">THHN WIRE No. 14 2.0mm philflex </t>
  </si>
  <si>
    <t>UPDATED
PURCHASE AMOUNT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</si>
  <si>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</si>
  <si>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</si>
  <si>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</si>
  <si>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</si>
  <si>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</si>
  <si>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</si>
  <si>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N/A</t>
  </si>
  <si>
    <t>CONSU-0001</t>
  </si>
  <si>
    <t>ELECTRICAL TAPE</t>
  </si>
  <si>
    <t>CONSU-0002</t>
  </si>
  <si>
    <t>MASKING TAPE</t>
  </si>
  <si>
    <t>CONSU-0003</t>
  </si>
  <si>
    <t>DOUBLE ADHESIVE TAPE</t>
  </si>
  <si>
    <t>CONSU-0004</t>
  </si>
  <si>
    <t>PACKAGING TAPE</t>
  </si>
  <si>
    <t>CONSU-0005</t>
  </si>
  <si>
    <t>PERMANENT MARKER</t>
  </si>
  <si>
    <t>CONSU-0006</t>
  </si>
  <si>
    <t>HACKSAW BLADE</t>
  </si>
  <si>
    <t>CONSU-0007</t>
  </si>
  <si>
    <t>NELTEX SOLVENT 200CC</t>
  </si>
  <si>
    <t>CONSU-0008</t>
  </si>
  <si>
    <t>FULL THREADED BAR 3/8</t>
  </si>
  <si>
    <t>CONSU-0009</t>
  </si>
  <si>
    <t>LOCK NUT 1/2</t>
  </si>
  <si>
    <t>CONSU-0010</t>
  </si>
  <si>
    <t>C-CLAMP 1/2"</t>
  </si>
  <si>
    <t>CONSU-0011</t>
  </si>
  <si>
    <t>C-CLAMP 1/4</t>
  </si>
  <si>
    <t>CONSU-0012</t>
  </si>
  <si>
    <t>C-CLAMP 3/4"</t>
  </si>
  <si>
    <t>CONSU-0013</t>
  </si>
  <si>
    <t>C-CLAMP 3/8</t>
  </si>
  <si>
    <t>WIRE</t>
  </si>
  <si>
    <t>CONSU-0014</t>
  </si>
  <si>
    <t>C-CLAMP 1"</t>
  </si>
  <si>
    <t>CONSU-0015</t>
  </si>
  <si>
    <t>C-CLAMP 1 1/2</t>
  </si>
  <si>
    <t>CONSU-0016</t>
  </si>
  <si>
    <t>C-CLAMP 1 1/4</t>
  </si>
  <si>
    <t>CONSU-0017</t>
  </si>
  <si>
    <t>C-CLAMP 2"</t>
  </si>
  <si>
    <t>CONSU-0018</t>
  </si>
  <si>
    <t>PULL BOX W/ COVER 300x300x200mm 4x6x6</t>
  </si>
  <si>
    <t>CONSU-0019</t>
  </si>
  <si>
    <t>PULLBOX(METAL) 6 x 6</t>
  </si>
  <si>
    <t>CONSU-0020</t>
  </si>
  <si>
    <t>PULLBOX (METAL) 10 x 10</t>
  </si>
  <si>
    <t>CONSU-0021</t>
  </si>
  <si>
    <t>PULLBOX METAL 8 x 8</t>
  </si>
  <si>
    <t>CONSU-0022</t>
  </si>
  <si>
    <t>SQUARE BOX 4X4</t>
  </si>
  <si>
    <t>METAL SQUARE BOX</t>
  </si>
  <si>
    <t>CONSU-0023</t>
  </si>
  <si>
    <t>JUNCTION BOX W/ COVER 4X4 #18</t>
  </si>
  <si>
    <t>CONSU-0024</t>
  </si>
  <si>
    <t>JUNCTION BOX W/ COVER 4X4 #16</t>
  </si>
  <si>
    <t>CONSU-0025</t>
  </si>
  <si>
    <t>METAL JUNCTION BOX W/ COVER</t>
  </si>
  <si>
    <t>CONSU-0026</t>
  </si>
  <si>
    <t>CONSU-0027</t>
  </si>
  <si>
    <t>CONSU-0028</t>
  </si>
  <si>
    <t>PVC FLEXIBLE HOSE 1/2</t>
  </si>
  <si>
    <t>CONSU-0029</t>
  </si>
  <si>
    <t>PVC FLEXIBLE HOSE 3/4</t>
  </si>
  <si>
    <t>CONSU-0030</t>
  </si>
  <si>
    <t>UTILITY BOX (ORANGE)</t>
  </si>
  <si>
    <t>CONSU-0031</t>
  </si>
  <si>
    <t>OCTAGONAL BOX (ORANGE)</t>
  </si>
  <si>
    <t>CONSU-0032</t>
  </si>
  <si>
    <t>JUNCTION BOX (ORANGE)</t>
  </si>
  <si>
    <t>CONSU-0033</t>
  </si>
  <si>
    <t>CCTV BREAKER BOX(WHITE)</t>
  </si>
  <si>
    <t>CONSU-0034</t>
  </si>
  <si>
    <t>METAL UTILITY BOX</t>
  </si>
  <si>
    <t>CONSU-0035</t>
  </si>
  <si>
    <t>METAL OCTAGONAL BOX</t>
  </si>
  <si>
    <t>CONSU-0036</t>
  </si>
  <si>
    <t>METAL JUNCTION BOX</t>
  </si>
  <si>
    <t>CONSU-0037</t>
  </si>
  <si>
    <t>CONSU-0038</t>
  </si>
  <si>
    <t>CONSU-0039</t>
  </si>
  <si>
    <t>CONSU-0040</t>
  </si>
  <si>
    <t>LONG NUT 1/2</t>
  </si>
  <si>
    <t>CONSU-0041</t>
  </si>
  <si>
    <t>LONG NUT 1/4</t>
  </si>
  <si>
    <t>CONSU-0042</t>
  </si>
  <si>
    <t>LONG NUT 3/8</t>
  </si>
  <si>
    <t>CONSU-0043</t>
  </si>
  <si>
    <t>LONG NUT 1"</t>
  </si>
  <si>
    <t>CONSU-0044</t>
  </si>
  <si>
    <t>PVC CONDUIT PIPE 1/2"</t>
  </si>
  <si>
    <t>CONSU-0045</t>
  </si>
  <si>
    <t>PVC PIPE 1/4</t>
  </si>
  <si>
    <t>CONSU-0046</t>
  </si>
  <si>
    <t>PVC CONDUIT PIPE 3/4"</t>
  </si>
  <si>
    <t>CONSU-0047</t>
  </si>
  <si>
    <t>PVC PIPE 3/8</t>
  </si>
  <si>
    <t>CONSU-0048</t>
  </si>
  <si>
    <t>PVC PIPE 1"</t>
  </si>
  <si>
    <t>CONSU-0049</t>
  </si>
  <si>
    <t>PVC PIPE 1 1/2</t>
  </si>
  <si>
    <t>CONSU-0050</t>
  </si>
  <si>
    <t>PVC PIPE 1 1/4</t>
  </si>
  <si>
    <t>CONSU-0051</t>
  </si>
  <si>
    <t>PVC PIPE 2"</t>
  </si>
  <si>
    <t>CONSU-0052</t>
  </si>
  <si>
    <t>PVC PIPE 3"</t>
  </si>
  <si>
    <t>CONSU-0053</t>
  </si>
  <si>
    <t>PVC CLAMP 1/2</t>
  </si>
  <si>
    <t>CONSU-0054</t>
  </si>
  <si>
    <t>PVC CLAMP 1/4</t>
  </si>
  <si>
    <t>CONSU-0055</t>
  </si>
  <si>
    <t>PVC CLAMP 3/4</t>
  </si>
  <si>
    <t>CONSU-0056</t>
  </si>
  <si>
    <t>PVC CLAMP 3/8</t>
  </si>
  <si>
    <t>CONSU-0057</t>
  </si>
  <si>
    <t>PVC CLAMP 1"</t>
  </si>
  <si>
    <t>CONSU-0058</t>
  </si>
  <si>
    <t>PVC CLAMP 1.5</t>
  </si>
  <si>
    <t>CONSU-0059</t>
  </si>
  <si>
    <t>PVC CLAMP 1.25</t>
  </si>
  <si>
    <t>CONSU-0060</t>
  </si>
  <si>
    <t>PVC CLAMP 2"</t>
  </si>
  <si>
    <t>CONSU-0061</t>
  </si>
  <si>
    <t>PVC MOULDING 1/2</t>
  </si>
  <si>
    <t>CONSU-0062</t>
  </si>
  <si>
    <t>PVC MOULDING 1/4</t>
  </si>
  <si>
    <t>CONSU-0063</t>
  </si>
  <si>
    <t>PVC MOULDING 3/4</t>
  </si>
  <si>
    <t>CONSU-0064</t>
  </si>
  <si>
    <t>PVC MOULDING 3/8</t>
  </si>
  <si>
    <t>CONSU-0065</t>
  </si>
  <si>
    <t>PVC MOULDING 1"</t>
  </si>
  <si>
    <t>CONSU-0066</t>
  </si>
  <si>
    <t>PVC MOULDING 1 1/2</t>
  </si>
  <si>
    <t>CONSU-0067</t>
  </si>
  <si>
    <t>PVC MOULDING 1 1/4</t>
  </si>
  <si>
    <t>CONSU-0068</t>
  </si>
  <si>
    <t>PVC MOULDING 2"</t>
  </si>
  <si>
    <t>CONSU-0069</t>
  </si>
  <si>
    <t>PVC COUPLING 1/2</t>
  </si>
  <si>
    <t>CONSU-0070</t>
  </si>
  <si>
    <t>PVC COUPLING 1/4</t>
  </si>
  <si>
    <t>CONSU-0071</t>
  </si>
  <si>
    <t>PVC COUPLING 3/4</t>
  </si>
  <si>
    <t>CONSU-0072</t>
  </si>
  <si>
    <t>PVC COUPLING 3/8</t>
  </si>
  <si>
    <t>CONSU-0073</t>
  </si>
  <si>
    <t>PVC COUPLING 1"</t>
  </si>
  <si>
    <t>CONSU-0074</t>
  </si>
  <si>
    <t>PVC COUPLING 1 1/2</t>
  </si>
  <si>
    <t>CONSU-0075</t>
  </si>
  <si>
    <t>PVC COUPLING 1 1/4</t>
  </si>
  <si>
    <t>CONSU-0076</t>
  </si>
  <si>
    <t>PVC COUPLING 2"</t>
  </si>
  <si>
    <t>CONSU-0077</t>
  </si>
  <si>
    <t>PVC CONNECTOR 1/2</t>
  </si>
  <si>
    <t>CONSU-0078</t>
  </si>
  <si>
    <t>PVC CONNECTOR 1/4</t>
  </si>
  <si>
    <t>CONSU-0079</t>
  </si>
  <si>
    <t>PVC CONNECTOR 3/4</t>
  </si>
  <si>
    <t>CONSU-0080</t>
  </si>
  <si>
    <t>PVC CONNECTOR 3/8</t>
  </si>
  <si>
    <t>CONSU-0081</t>
  </si>
  <si>
    <t>PVC CONNECTOR 1"</t>
  </si>
  <si>
    <t>CONSU-0082</t>
  </si>
  <si>
    <t>PVC CONNECTOR 1 1/2</t>
  </si>
  <si>
    <t>CONSU-0083</t>
  </si>
  <si>
    <t>PVC CONNECTOR 1 1/4</t>
  </si>
  <si>
    <t>CONSU-0084</t>
  </si>
  <si>
    <t>PVC CONNECTOR 2"</t>
  </si>
  <si>
    <t>CONSU-0085</t>
  </si>
  <si>
    <t>PVC ELBOW 1/2</t>
  </si>
  <si>
    <t>CONSU-0086</t>
  </si>
  <si>
    <t>PVC ELBOW 1/4</t>
  </si>
  <si>
    <t>CONSU-0087</t>
  </si>
  <si>
    <t>PVC ELBOW 3/4</t>
  </si>
  <si>
    <t>CONSU-0088</t>
  </si>
  <si>
    <t>PVC ELBOW 3/8</t>
  </si>
  <si>
    <t>CONSU-0089</t>
  </si>
  <si>
    <t>PVC ELBOW 1"</t>
  </si>
  <si>
    <t>CONSU-0090</t>
  </si>
  <si>
    <t>PVC ELBOW 1 1/2</t>
  </si>
  <si>
    <t>CONSU-0091</t>
  </si>
  <si>
    <t>PVC ELBOW 1 1/4</t>
  </si>
  <si>
    <t>CONSU-0092</t>
  </si>
  <si>
    <t>PVC ELBOW 2"</t>
  </si>
  <si>
    <t>CONSU-0093</t>
  </si>
  <si>
    <t>PVC ELBOW 3"</t>
  </si>
  <si>
    <t>CONSU-0094</t>
  </si>
  <si>
    <t>EMT CONDUIT PIPE 1/2</t>
  </si>
  <si>
    <t>CONSU-0095</t>
  </si>
  <si>
    <t>EMT PIPE 1/4</t>
  </si>
  <si>
    <t>CONSU-0096</t>
  </si>
  <si>
    <t>EMT PIPE 3/4</t>
  </si>
  <si>
    <t>CONSU-0097</t>
  </si>
  <si>
    <t>EMT PIPE 3/8</t>
  </si>
  <si>
    <t>CONSU-0098</t>
  </si>
  <si>
    <t>EMT PIPE 1"</t>
  </si>
  <si>
    <t>CONSU-0099</t>
  </si>
  <si>
    <t>EMT PIPE 1 1/2</t>
  </si>
  <si>
    <t>CONSU-0100</t>
  </si>
  <si>
    <t>EMT PIPE 1 1/4</t>
  </si>
  <si>
    <t>CONSU-0101</t>
  </si>
  <si>
    <t>EMT PIPE 2"</t>
  </si>
  <si>
    <t>CONSU-0102</t>
  </si>
  <si>
    <t>EMT CLAMP 1/2</t>
  </si>
  <si>
    <t>CONSU-0103</t>
  </si>
  <si>
    <t>EMT CLAMP 1/4</t>
  </si>
  <si>
    <t>CONSU-0104</t>
  </si>
  <si>
    <t>EMT CLAMP 3/4</t>
  </si>
  <si>
    <t>CONSU-0105</t>
  </si>
  <si>
    <t>EMT CLAMP 3/8</t>
  </si>
  <si>
    <t>CONSU-0106</t>
  </si>
  <si>
    <t>EMT CLAMP 1"</t>
  </si>
  <si>
    <t>CONSU-0107</t>
  </si>
  <si>
    <t>EMT CLAMP 1 1/2</t>
  </si>
  <si>
    <t>CONSU-0108</t>
  </si>
  <si>
    <t>EMT CLAMP 1 1/4</t>
  </si>
  <si>
    <t>CONSU-0109</t>
  </si>
  <si>
    <t>EMT CLAMP 2"</t>
  </si>
  <si>
    <t>CONSU-0110</t>
  </si>
  <si>
    <t>EMT MOULDING 1/2</t>
  </si>
  <si>
    <t>CONSU-0111</t>
  </si>
  <si>
    <t>EMT MOULDING 1/4</t>
  </si>
  <si>
    <t>CONSU-0112</t>
  </si>
  <si>
    <t>EMT MOULDING 3/4</t>
  </si>
  <si>
    <t>CONSU-0113</t>
  </si>
  <si>
    <t>EMT MOULDING 3/8</t>
  </si>
  <si>
    <t>CONSU-0114</t>
  </si>
  <si>
    <t>EMT MOULDING 1"</t>
  </si>
  <si>
    <t>CONSU-0115</t>
  </si>
  <si>
    <t>EMT MOULDING 1 1/2</t>
  </si>
  <si>
    <t>CONSU-0116</t>
  </si>
  <si>
    <t>EMT MOULDING 1 1/4</t>
  </si>
  <si>
    <t>CONSU-0117</t>
  </si>
  <si>
    <t>EMT MOULDING 2"</t>
  </si>
  <si>
    <t>CONSU-0118</t>
  </si>
  <si>
    <t>EMT COUPLING 1/2</t>
  </si>
  <si>
    <t>CONSU-0119</t>
  </si>
  <si>
    <t>EMT COUPLING 1/4</t>
  </si>
  <si>
    <t>CONSU-0120</t>
  </si>
  <si>
    <t>EMT COUPLING 3/4</t>
  </si>
  <si>
    <t>CONSU-0121</t>
  </si>
  <si>
    <t>EMT COUPLING 3/8</t>
  </si>
  <si>
    <t>CONSU-0122</t>
  </si>
  <si>
    <t>EMT COUPLING 1"</t>
  </si>
  <si>
    <t>CONSU-0123</t>
  </si>
  <si>
    <t>EMT COUPLING 1 1/2</t>
  </si>
  <si>
    <t>CONSU-0124</t>
  </si>
  <si>
    <t>EMT COUPLING 1 1/4</t>
  </si>
  <si>
    <t>CONSU-0125</t>
  </si>
  <si>
    <t>EMT COUPLING 2"</t>
  </si>
  <si>
    <t>CONSU-0126</t>
  </si>
  <si>
    <t>EMT CONNECTOR 1/2</t>
  </si>
  <si>
    <t>CONSU-0127</t>
  </si>
  <si>
    <t>EMT CONNECTOR 1/4</t>
  </si>
  <si>
    <t>CONSU-0128</t>
  </si>
  <si>
    <t>EMT CONNECTOR 3/4</t>
  </si>
  <si>
    <t>CONSU-0129</t>
  </si>
  <si>
    <t>EMT CONNECTOR 3/8</t>
  </si>
  <si>
    <t>CONSU-0130</t>
  </si>
  <si>
    <t>EMT CONNECTOR 1"</t>
  </si>
  <si>
    <t>CONSU-0131</t>
  </si>
  <si>
    <t>EMT CONNECTOR 1 1/2</t>
  </si>
  <si>
    <t>CONSU-0132</t>
  </si>
  <si>
    <t>EMT CONNECTOR 1 1/4</t>
  </si>
  <si>
    <t>CONSU-0133</t>
  </si>
  <si>
    <t>EMT CONNECTOR 2"</t>
  </si>
  <si>
    <t>CONSU-0134</t>
  </si>
  <si>
    <t>EMT ELBOW 1/2</t>
  </si>
  <si>
    <t>CONSU-0135</t>
  </si>
  <si>
    <t>EMT ELBOW 1/4</t>
  </si>
  <si>
    <t>CONSU-0136</t>
  </si>
  <si>
    <t>EMT ELBOW 3/4</t>
  </si>
  <si>
    <t>CONSU-0137</t>
  </si>
  <si>
    <t>EMT ELBOW 3/8</t>
  </si>
  <si>
    <t>CONSU-0138</t>
  </si>
  <si>
    <t>EMT ELBOW 1"</t>
  </si>
  <si>
    <t>CONSU-0139</t>
  </si>
  <si>
    <t>EMT ELBOW 1 1/2</t>
  </si>
  <si>
    <t>CONSU-0140</t>
  </si>
  <si>
    <t>EMT ELBOW 1 1/4</t>
  </si>
  <si>
    <t>CONSU-0141</t>
  </si>
  <si>
    <t>EMT ELBOW 2"</t>
  </si>
  <si>
    <t>CONSU-0142</t>
  </si>
  <si>
    <t>EMT ELBOW 3"</t>
  </si>
  <si>
    <t>CONSU-0143</t>
  </si>
  <si>
    <t>IMC PIPE 1/2</t>
  </si>
  <si>
    <t>CONSU-0144</t>
  </si>
  <si>
    <t>IMC PIPE 1/4</t>
  </si>
  <si>
    <t>CONSU-0145</t>
  </si>
  <si>
    <t>IMC PIPE 3/4</t>
  </si>
  <si>
    <t>CONSU-0146</t>
  </si>
  <si>
    <t>IMC PIPE 3/8</t>
  </si>
  <si>
    <t>CONSU-0147</t>
  </si>
  <si>
    <t>IMC PIPE 1"</t>
  </si>
  <si>
    <t>CONSU-0148</t>
  </si>
  <si>
    <t>IMC PIPE 1 1/2</t>
  </si>
  <si>
    <t>CONSU-0149</t>
  </si>
  <si>
    <t>IMC PIPE 1 1/4</t>
  </si>
  <si>
    <t>CONSU-0150</t>
  </si>
  <si>
    <t>IMC PIPE 2"</t>
  </si>
  <si>
    <t>CONSU-0151</t>
  </si>
  <si>
    <t>IMC CLAMP 1/2</t>
  </si>
  <si>
    <t>CONSU-0152</t>
  </si>
  <si>
    <t>IMC CLAMP 1/4</t>
  </si>
  <si>
    <t>CONSU-0153</t>
  </si>
  <si>
    <t>IMC CLAMP 3/4</t>
  </si>
  <si>
    <t>CONSU-0154</t>
  </si>
  <si>
    <t>IMC CLAMP 3/8</t>
  </si>
  <si>
    <t>CONSU-0155</t>
  </si>
  <si>
    <t>IMC CLAMP 1"</t>
  </si>
  <si>
    <t>CONSU-0156</t>
  </si>
  <si>
    <t>IMC CLAMP 1 1/2</t>
  </si>
  <si>
    <t>CONSU-0157</t>
  </si>
  <si>
    <t>IMC CLAMP 1 1/4</t>
  </si>
  <si>
    <t>CONSU-0158</t>
  </si>
  <si>
    <t>IMC CLAMP 2"</t>
  </si>
  <si>
    <t>CONSU-0159</t>
  </si>
  <si>
    <t>IMC MOULDING 1/2</t>
  </si>
  <si>
    <t>CONSU-0160</t>
  </si>
  <si>
    <t>IMC MOULDING 1/4</t>
  </si>
  <si>
    <t>CONSU-0161</t>
  </si>
  <si>
    <t>IMC MOULDING 3/4</t>
  </si>
  <si>
    <t>CONSU-0162</t>
  </si>
  <si>
    <t>IMC MOULDING 3/8</t>
  </si>
  <si>
    <t>CONSU-0163</t>
  </si>
  <si>
    <t>IMC MOULDING 1"</t>
  </si>
  <si>
    <t>CONSU-0164</t>
  </si>
  <si>
    <t>IMC MOULDING 1 1/2</t>
  </si>
  <si>
    <t>CONSU-0165</t>
  </si>
  <si>
    <t>IMC MOULDING 1 1/4</t>
  </si>
  <si>
    <t>CONSU-0166</t>
  </si>
  <si>
    <t>IMC MOULDING 2"</t>
  </si>
  <si>
    <t>CONSU-0167</t>
  </si>
  <si>
    <t>IMC COUPLING 1/2</t>
  </si>
  <si>
    <t>CONSU-0168</t>
  </si>
  <si>
    <t>IMC COUPLING 1/4</t>
  </si>
  <si>
    <t>CONSU-0169</t>
  </si>
  <si>
    <t>IMC COUPLING 3/4</t>
  </si>
  <si>
    <t>CONSU-0170</t>
  </si>
  <si>
    <t>IMC COUPLING 3/8</t>
  </si>
  <si>
    <t>CONSU-0171</t>
  </si>
  <si>
    <t>IMC COUPLING 1"</t>
  </si>
  <si>
    <t>CONSU-0172</t>
  </si>
  <si>
    <t>IMC COUPLING 1 1/2</t>
  </si>
  <si>
    <t>CONSU-0173</t>
  </si>
  <si>
    <t>IMC COUPLING 1 1/4</t>
  </si>
  <si>
    <t>CONSU-0174</t>
  </si>
  <si>
    <t>IMC COUPLING 2"</t>
  </si>
  <si>
    <t>CONSU-0175</t>
  </si>
  <si>
    <t>IMC CONNECTOR 1/2</t>
  </si>
  <si>
    <t>CONSU-0176</t>
  </si>
  <si>
    <t>IMC CONNECTOR 1/4</t>
  </si>
  <si>
    <t>CONSU-0177</t>
  </si>
  <si>
    <t>IMC CONNECTOR 3/4</t>
  </si>
  <si>
    <t>CONSU-0178</t>
  </si>
  <si>
    <t>IMC CONNECTOR 3/8</t>
  </si>
  <si>
    <t>CONSU-0179</t>
  </si>
  <si>
    <t>IMC CONNECTOR 1"</t>
  </si>
  <si>
    <t>CONSU-0180</t>
  </si>
  <si>
    <t>IMC CONNECTOR 1 1/2</t>
  </si>
  <si>
    <t>CONSU-0181</t>
  </si>
  <si>
    <t>IMC CONNECTOR 1 1/4</t>
  </si>
  <si>
    <t>CONSU-0182</t>
  </si>
  <si>
    <t>IMC CONNECTOR 2"</t>
  </si>
  <si>
    <t>CONSU-0183</t>
  </si>
  <si>
    <t>IMC ELBOW 1/2</t>
  </si>
  <si>
    <t>CONSU-0184</t>
  </si>
  <si>
    <t>IMC ELBOW 1/4</t>
  </si>
  <si>
    <t>CONSU-0185</t>
  </si>
  <si>
    <t>IMC ELBOW 3/4</t>
  </si>
  <si>
    <t>CONSU-0186</t>
  </si>
  <si>
    <t>IMC ELBOW 3/8</t>
  </si>
  <si>
    <t>CONSU-0187</t>
  </si>
  <si>
    <t>IMC ELBOW 1"</t>
  </si>
  <si>
    <t>CONSU-0188</t>
  </si>
  <si>
    <t>IMC ELBOW 1 1/2</t>
  </si>
  <si>
    <t>CONSU-0189</t>
  </si>
  <si>
    <t>IMC ELBOW 1 1/4</t>
  </si>
  <si>
    <t>CONSU-0190</t>
  </si>
  <si>
    <t>IMC ELBOW 2"</t>
  </si>
  <si>
    <t>CONSU-0191</t>
  </si>
  <si>
    <t>IMC ELBOW 3"</t>
  </si>
  <si>
    <t>CONSU-0192</t>
  </si>
  <si>
    <t>CONSU-0193</t>
  </si>
  <si>
    <t>U-BOLT 3/4</t>
  </si>
  <si>
    <t>CONSU-0194</t>
  </si>
  <si>
    <t>U-BOLT 1/4</t>
  </si>
  <si>
    <t>CONSU-0195</t>
  </si>
  <si>
    <t>U-BOLT 3/8</t>
  </si>
  <si>
    <t>CONSU-0196</t>
  </si>
  <si>
    <t>LOCKNOT 1/2</t>
  </si>
  <si>
    <t>CONSU-0197</t>
  </si>
  <si>
    <t>LOCKNOT 3/4</t>
  </si>
  <si>
    <t>CONSU-0198</t>
  </si>
  <si>
    <t>LOCKNOT 1/4</t>
  </si>
  <si>
    <t>CONSU-0199</t>
  </si>
  <si>
    <t>LOCKNOT 3/8</t>
  </si>
  <si>
    <t>CONSU-0200</t>
  </si>
  <si>
    <t>UNISTRUT 1/2</t>
  </si>
  <si>
    <t>CONSU-0201</t>
  </si>
  <si>
    <t>UNISTRUT 3/4</t>
  </si>
  <si>
    <t>CONSU-0202</t>
  </si>
  <si>
    <t>UNISTRUT 1/4</t>
  </si>
  <si>
    <t>CONSU-0203</t>
  </si>
  <si>
    <t>UNISTRUT 3/8</t>
  </si>
  <si>
    <t>CONSU-0204</t>
  </si>
  <si>
    <t>WASHER 1/2</t>
  </si>
  <si>
    <t>CONSU-0205</t>
  </si>
  <si>
    <t>WASHER 1/4</t>
  </si>
  <si>
    <t>CONSU-0206</t>
  </si>
  <si>
    <t>WASHER 3/4</t>
  </si>
  <si>
    <t>CONSU-0207</t>
  </si>
  <si>
    <t>WASHER 3/8</t>
  </si>
  <si>
    <t>CONSU-0208</t>
  </si>
  <si>
    <t>WASHER 1"</t>
  </si>
  <si>
    <t>CONSU-0209</t>
  </si>
  <si>
    <t>NUTS 1/2</t>
  </si>
  <si>
    <t>CONSU-0210</t>
  </si>
  <si>
    <t>NUTS 1/4</t>
  </si>
  <si>
    <t>CONSU-0211</t>
  </si>
  <si>
    <t>NUTS 3/4</t>
  </si>
  <si>
    <t>CONSU-0212</t>
  </si>
  <si>
    <t>NUTS 3/8</t>
  </si>
  <si>
    <t>CONSU-0213</t>
  </si>
  <si>
    <t>NUTS 1"</t>
  </si>
  <si>
    <t>CONSU-0214</t>
  </si>
  <si>
    <t>BLACK SCREW 1/2</t>
  </si>
  <si>
    <t>CONSU-0215</t>
  </si>
  <si>
    <t>BLACK SCREW 1/4</t>
  </si>
  <si>
    <t>CONSU-0216</t>
  </si>
  <si>
    <t>BLACK SCREW 3/4</t>
  </si>
  <si>
    <t>CONSU-0217</t>
  </si>
  <si>
    <t>BLACK SCREW 1''</t>
  </si>
  <si>
    <t>CONSU-0218</t>
  </si>
  <si>
    <t>BLACK SCREW 1 1/2</t>
  </si>
  <si>
    <t>CONSU-0219</t>
  </si>
  <si>
    <t>BLACK SCREW 2"</t>
  </si>
  <si>
    <t>CONSU-0220</t>
  </si>
  <si>
    <t>BLACK SCREW 3''</t>
  </si>
  <si>
    <t>CONSU-0221</t>
  </si>
  <si>
    <t>TOX W/ SCREW #6</t>
  </si>
  <si>
    <t>CONSU-0222</t>
  </si>
  <si>
    <t>CABLE TIE 6''</t>
  </si>
  <si>
    <t>CONSU-0223</t>
  </si>
  <si>
    <t>CABLE TIE 8''</t>
  </si>
  <si>
    <t>CONSU-0224</t>
  </si>
  <si>
    <t>TF TWISTED WIRE #12</t>
  </si>
  <si>
    <t>CONSU-0225</t>
  </si>
  <si>
    <t>TF TWISTED WIRE #14</t>
  </si>
  <si>
    <t>CONSU-0226</t>
  </si>
  <si>
    <t>TWISTED PAIR TF WIRE #16 (150M)</t>
  </si>
  <si>
    <t>CONSU-0227</t>
  </si>
  <si>
    <t>THHN WIRE #12 -WHITE</t>
  </si>
  <si>
    <t>CONSU-0228</t>
  </si>
  <si>
    <t>THHN WIRE #12 -BLACK</t>
  </si>
  <si>
    <t>CONSU-0229</t>
  </si>
  <si>
    <t>THHN WIRE #12 -RED</t>
  </si>
  <si>
    <t>CONSU-0230</t>
  </si>
  <si>
    <t>THHN WIRE #12 -BLUE</t>
  </si>
  <si>
    <t>CONSU-0231</t>
  </si>
  <si>
    <t>THHN WIRE #12 -GREEN</t>
  </si>
  <si>
    <t>CONSU-0232</t>
  </si>
  <si>
    <t>THHN WIRE #14 -WHITE</t>
  </si>
  <si>
    <t>CONSU-0233</t>
  </si>
  <si>
    <t>THHN WIRE #14 -BLACK</t>
  </si>
  <si>
    <t>CONSU-0234</t>
  </si>
  <si>
    <t>THHN WIRE #14 -RED</t>
  </si>
  <si>
    <t>CONSU-0235</t>
  </si>
  <si>
    <t>THHN WIRE #14 -BLUE</t>
  </si>
  <si>
    <t>CONSU-0236</t>
  </si>
  <si>
    <t>THHN WIRE #14 -GREEN</t>
  </si>
  <si>
    <t>CONSU-0237</t>
  </si>
  <si>
    <t>THHN WIRE #16 -WHITE</t>
  </si>
  <si>
    <t>CONSU-0238</t>
  </si>
  <si>
    <t>THHN WIRE #16 -BLACK</t>
  </si>
  <si>
    <t>CONSU-0239</t>
  </si>
  <si>
    <t>THHN WIRE #16 -RED</t>
  </si>
  <si>
    <t>CONSU-0240</t>
  </si>
  <si>
    <t>THHN WIRE #16 -BLUE</t>
  </si>
  <si>
    <t>CONSU-0241</t>
  </si>
  <si>
    <t>THHN WIRE #16 -GREEN</t>
  </si>
  <si>
    <t>CONSU-0242</t>
  </si>
  <si>
    <t>thhn wire gauge #12 3.5 m ( red color ) 30meters</t>
  </si>
  <si>
    <t>CONSU-0243</t>
  </si>
  <si>
    <t>thhn wire gauge #12 3.5 m ( black color )30 meters</t>
  </si>
  <si>
    <t>CONSU-0244</t>
  </si>
  <si>
    <t>thhn wire gauge #12 3.5 m ( green color ) 30meters</t>
  </si>
  <si>
    <t>3.5 TTHN WIRE (RED)</t>
  </si>
  <si>
    <t>3.5 TTHN WIRE (BLACK)</t>
  </si>
  <si>
    <t>3.5 TTHN WIRE (GREEN)</t>
  </si>
  <si>
    <t>CONSU-0245</t>
  </si>
  <si>
    <t>G.I. WIRE # 16 (perkg)</t>
  </si>
  <si>
    <t>MEGA-110 , TOPBEST -90</t>
  </si>
  <si>
    <t>MASONRY DRILL BIT 8MM</t>
  </si>
  <si>
    <t>CONSU-0246</t>
  </si>
  <si>
    <t>MASONRY DRILL BIT (SDS) #6</t>
  </si>
  <si>
    <t>CONSU-0247</t>
  </si>
  <si>
    <t>MASONRY DRILL BIT  3/8 #12</t>
  </si>
  <si>
    <t>CONSU-0248</t>
  </si>
  <si>
    <t>MASONRY DRILL BIT  1/2 #14</t>
  </si>
  <si>
    <t>CONSU-0249</t>
  </si>
  <si>
    <t>DRILL BIT  METAL 1/2</t>
  </si>
  <si>
    <t>CONSU-0250</t>
  </si>
  <si>
    <t>DRILL BIT METAL 1/4</t>
  </si>
  <si>
    <t>CONSU-0251</t>
  </si>
  <si>
    <t>DRILL BIT METAL 3/8</t>
  </si>
  <si>
    <t>CONSU-0252</t>
  </si>
  <si>
    <t>DRILL BIT  METALL 1/8''</t>
  </si>
  <si>
    <t>CONSU-0253</t>
  </si>
  <si>
    <t>DRILL BIT METAL 3/4</t>
  </si>
  <si>
    <t>Welding rod 6011 (20kilo per box)</t>
  </si>
  <si>
    <t>Welding rod 6013 ( 20kilo per box)</t>
  </si>
  <si>
    <t>CONSU-0254</t>
  </si>
  <si>
    <t>Cutting Disc #14</t>
  </si>
  <si>
    <t>CONSU-0255</t>
  </si>
  <si>
    <t xml:space="preserve">Cutting disc #4 </t>
  </si>
  <si>
    <t>CONSU-0256</t>
  </si>
  <si>
    <t>Teflon tape 1"</t>
  </si>
  <si>
    <t>CONSU-0257</t>
  </si>
  <si>
    <t xml:space="preserve">GRINDING  DISC #4 </t>
  </si>
  <si>
    <t>MEGA -190, TOPBEST- 120</t>
  </si>
  <si>
    <t>CONSU-0258</t>
  </si>
  <si>
    <t>CUTOFF WHEEL #14</t>
  </si>
  <si>
    <t>MEGA -330, TOPBEST - 295</t>
  </si>
  <si>
    <t>CONSU-0259</t>
  </si>
  <si>
    <t xml:space="preserve">NIHON WELDING ROD; 7018 ;32mm (10kgs) </t>
  </si>
  <si>
    <t>WHITE PLASTIC MOLDING 1 1/2"</t>
  </si>
  <si>
    <t>WHITE PLASTIC MOLDING 1/2"</t>
  </si>
  <si>
    <t>PVC MALE ADAPTER W/ LOCK NUT 1/2"</t>
  </si>
  <si>
    <t>PVC MALE ADAPTER W/ LOCK NUT 3/4"</t>
  </si>
  <si>
    <t>METAL FLEXIBLE CONDUIT (30M) 3/4"</t>
  </si>
  <si>
    <t>PVC FLEXIBLE CONDUIT 3/4"</t>
  </si>
  <si>
    <t>GUIDE WIRE (1 KILO)</t>
  </si>
  <si>
    <t>GRIP ANCHOR 3/8</t>
  </si>
  <si>
    <t>CONDUIT HANGER 1/2"</t>
  </si>
  <si>
    <t>METAL FLEXIBLE CONDUIT (30M)  1/2"</t>
  </si>
  <si>
    <t>ANCHOR GRIT 3/8"</t>
  </si>
  <si>
    <t>LIQUID STRAIGHT CONNECTOR 2"</t>
  </si>
  <si>
    <t>DRILL BIT #6</t>
  </si>
  <si>
    <t>DRILL BIT #8</t>
  </si>
  <si>
    <t>INTERNATIONAL RED PAINT (1 GAL)</t>
  </si>
  <si>
    <t>CUTTING DISC 4" (20PCS)</t>
  </si>
  <si>
    <t>GRINDING DISC 4" (5PCS)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</si>
  <si>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</si>
  <si>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</si>
  <si>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</si>
  <si>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</si>
  <si>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</si>
  <si>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</si>
  <si>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C-CLAMP 1/2</t>
  </si>
  <si>
    <t>C-CLAMP 3/4</t>
  </si>
  <si>
    <t>PVC PIPE 1/2</t>
  </si>
  <si>
    <t>PVC PIPE 3/4</t>
  </si>
  <si>
    <t>EMT PIPE 1/2</t>
  </si>
  <si>
    <t>TF TWISTED WIRE #16</t>
  </si>
  <si>
    <t>DRILL BIT MASONRY 3/8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</si>
</sst>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mm/dd/yy"/>
    <numFmt numFmtId="166" formatCode="m/d/yyyy"/>
  </numFmts>
  <fonts count="50">
    <font>
      <sz val="11.0"/>
      <color theme="1"/>
      <name val="Calibri"/>
      <scheme val="minor"/>
    </font>
    <font>
      <b/>
      <sz val="10.0"/>
      <color theme="1"/>
      <name val="Calibri"/>
      <scheme val="minor"/>
    </font>
    <font>
      <b/>
      <sz val="9.0"/>
      <color theme="1"/>
      <name val="Calibri"/>
      <scheme val="minor"/>
    </font>
    <font>
      <b/>
      <sz val="9.0"/>
      <color rgb="FFFF0000"/>
      <name val="Calibri"/>
      <scheme val="minor"/>
    </font>
    <font>
      <b/>
      <sz val="11.0"/>
      <color theme="1"/>
      <name val="Calibri"/>
      <scheme val="minor"/>
    </font>
    <font/>
    <font>
      <b/>
      <sz val="11.0"/>
      <color theme="1"/>
      <name val="Bahnschrift semilight"/>
    </font>
    <font>
      <b/>
      <sz val="11.0"/>
      <color theme="1"/>
      <name val="Arial"/>
    </font>
    <font>
      <b/>
      <sz val="8.0"/>
      <color theme="1"/>
      <name val="Calibri"/>
      <scheme val="minor"/>
    </font>
    <font>
      <sz val="8.0"/>
      <color theme="1"/>
      <name val="Calibri"/>
      <scheme val="minor"/>
    </font>
    <font>
      <sz val="10.0"/>
      <color theme="1"/>
      <name val="Calibri"/>
      <scheme val="minor"/>
    </font>
    <font>
      <sz val="9.0"/>
      <color theme="1"/>
      <name val="Arial"/>
    </font>
    <font>
      <sz val="9.0"/>
      <color theme="1"/>
      <name val="Calibri"/>
    </font>
    <font>
      <sz val="9.0"/>
      <color theme="1"/>
      <name val="Calibri"/>
      <scheme val="minor"/>
    </font>
    <font>
      <b/>
      <sz val="9.0"/>
      <color rgb="FFFF0000"/>
      <name val="Calibri"/>
    </font>
    <font>
      <sz val="11.0"/>
      <color theme="1"/>
      <name val="Bahnschrift semilight"/>
    </font>
    <font>
      <sz val="9.0"/>
      <color rgb="FF000000"/>
      <name val="Arial Narrow"/>
    </font>
    <font>
      <sz val="9.0"/>
      <color rgb="FF222222"/>
      <name val="Arial"/>
    </font>
    <font>
      <b/>
      <sz val="9.0"/>
      <color rgb="FF757070"/>
      <name val="Calibri"/>
      <scheme val="minor"/>
    </font>
    <font>
      <sz val="9.0"/>
      <color rgb="FF000000"/>
      <name val="Calibri"/>
    </font>
    <font>
      <sz val="9.0"/>
      <color rgb="FF000000"/>
      <name val="Calibri"/>
      <scheme val="minor"/>
    </font>
    <font>
      <sz val="9.0"/>
      <color rgb="FF000000"/>
      <name val="Arial"/>
    </font>
    <font>
      <sz val="9.0"/>
      <color rgb="FFFF0000"/>
      <name val="Arial Narrow"/>
    </font>
    <font>
      <sz val="6.0"/>
      <color theme="1"/>
      <name val="Arial"/>
    </font>
    <font>
      <sz val="7.0"/>
      <color rgb="FF000000"/>
      <name val="Arial Narrow"/>
    </font>
    <font>
      <sz val="10.0"/>
      <color rgb="FF000000"/>
      <name val="Calibri"/>
    </font>
    <font>
      <sz val="7.0"/>
      <color rgb="FFFF0000"/>
      <name val="Arial Narrow"/>
    </font>
    <font>
      <sz val="10.0"/>
      <color theme="1"/>
      <name val="Calibri"/>
    </font>
    <font>
      <b/>
      <sz val="11.0"/>
      <color rgb="FFFF0000"/>
      <name val="Calibri"/>
    </font>
    <font>
      <sz val="11.0"/>
      <color theme="1"/>
      <name val="Arial"/>
    </font>
    <font>
      <b/>
      <sz val="8.0"/>
      <color rgb="FFFF0000"/>
      <name val="Calibri"/>
      <scheme val="minor"/>
    </font>
    <font>
      <color theme="1"/>
      <name val="Calibri"/>
      <scheme val="minor"/>
    </font>
    <font>
      <sz val="8.0"/>
      <color rgb="FF000000"/>
      <name val="Calibri"/>
      <scheme val="minor"/>
    </font>
    <font>
      <b/>
      <sz val="10.0"/>
      <color rgb="FF757070"/>
      <name val="Calibri"/>
    </font>
    <font>
      <sz val="10.0"/>
      <color rgb="FFFF0000"/>
      <name val="Calibri"/>
      <scheme val="minor"/>
    </font>
    <font>
      <b/>
      <sz val="10.0"/>
      <color rgb="FF757070"/>
      <name val="Calibri"/>
      <scheme val="minor"/>
    </font>
    <font>
      <b/>
      <sz val="11.0"/>
      <color rgb="FF000000"/>
      <name val="Calibri"/>
      <scheme val="minor"/>
    </font>
    <font>
      <sz val="8.0"/>
      <color rgb="FFFF0000"/>
      <name val="Calibri"/>
      <scheme val="minor"/>
    </font>
    <font>
      <b/>
      <sz val="11.0"/>
      <color rgb="FF0C0C0C"/>
      <name val="Calibri"/>
      <scheme val="minor"/>
    </font>
    <font>
      <sz val="10.0"/>
      <color rgb="FF000000"/>
      <name val="Calibri"/>
      <scheme val="minor"/>
    </font>
    <font>
      <b/>
      <i/>
      <sz val="10.0"/>
      <color rgb="FF757070"/>
      <name val="Calibri"/>
      <scheme val="minor"/>
    </font>
    <font>
      <sz val="8.0"/>
      <color rgb="FF505050"/>
      <name val="Calibri"/>
      <scheme val="minor"/>
    </font>
    <font>
      <sz val="10.0"/>
      <color rgb="FF505050"/>
      <name val="Calibri"/>
      <scheme val="minor"/>
    </font>
    <font>
      <sz val="10.0"/>
      <color rgb="FF222222"/>
      <name val="Calibri"/>
      <scheme val="minor"/>
    </font>
    <font>
      <b/>
      <sz val="9.0"/>
      <color rgb="FF000000"/>
      <name val="Calibri"/>
    </font>
    <font>
      <sz val="8.0"/>
      <color rgb="FF000000"/>
      <name val="Arial Narrow"/>
    </font>
    <font>
      <color rgb="FF000000"/>
      <name val="Docs-Calibri"/>
    </font>
    <font>
      <sz val="11.0"/>
      <color theme="1"/>
      <name val="Calibri"/>
    </font>
    <font>
      <sz val="8.0"/>
      <color rgb="FF757070"/>
      <name val="Calibri"/>
      <scheme val="minor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7">
    <border/>
    <border>
      <left style="medium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" fillId="2" fontId="2" numFmtId="164" xfId="0" applyAlignment="1" applyBorder="1" applyFont="1" applyNumberFormat="1">
      <alignment horizontal="center" shrinkToFit="0" vertical="center" wrapText="1"/>
    </xf>
    <xf borderId="2" fillId="2" fontId="3" numFmtId="14" xfId="0" applyAlignment="1" applyBorder="1" applyFont="1" applyNumberFormat="1">
      <alignment horizontal="center" shrinkToFit="0" vertical="center" wrapText="1"/>
    </xf>
    <xf borderId="3" fillId="3" fontId="4" numFmtId="164" xfId="0" applyAlignment="1" applyBorder="1" applyFill="1" applyFont="1" applyNumberFormat="1">
      <alignment horizontal="center" shrinkToFit="0" vertical="center" wrapText="1"/>
    </xf>
    <xf borderId="4" fillId="0" fontId="5" numFmtId="0" xfId="0" applyBorder="1" applyFont="1"/>
    <xf borderId="5" fillId="4" fontId="4" numFmtId="164" xfId="0" applyAlignment="1" applyBorder="1" applyFill="1" applyFont="1" applyNumberFormat="1">
      <alignment horizontal="center" shrinkToFit="0" vertical="center" wrapText="1"/>
    </xf>
    <xf borderId="5" fillId="5" fontId="4" numFmtId="164" xfId="0" applyAlignment="1" applyBorder="1" applyFill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7" fillId="0" fontId="5" numFmtId="0" xfId="0" applyBorder="1" applyFont="1"/>
    <xf borderId="8" fillId="0" fontId="5" numFmtId="0" xfId="0" applyBorder="1" applyFont="1"/>
    <xf borderId="9" fillId="3" fontId="8" numFmtId="164" xfId="0" applyAlignment="1" applyBorder="1" applyFont="1" applyNumberFormat="1">
      <alignment horizontal="center" shrinkToFit="0" vertical="center" wrapText="1"/>
    </xf>
    <xf borderId="10" fillId="3" fontId="8" numFmtId="164" xfId="0" applyAlignment="1" applyBorder="1" applyFont="1" applyNumberFormat="1">
      <alignment horizontal="center" shrinkToFit="0" vertical="center" wrapText="1"/>
    </xf>
    <xf borderId="11" fillId="4" fontId="9" numFmtId="164" xfId="0" applyAlignment="1" applyBorder="1" applyFont="1" applyNumberFormat="1">
      <alignment horizontal="center" shrinkToFit="0" vertical="center" wrapText="1"/>
    </xf>
    <xf borderId="10" fillId="4" fontId="9" numFmtId="164" xfId="0" applyAlignment="1" applyBorder="1" applyFont="1" applyNumberFormat="1">
      <alignment horizontal="center" shrinkToFit="0" vertical="center" wrapText="1"/>
    </xf>
    <xf borderId="11" fillId="5" fontId="9" numFmtId="164" xfId="0" applyAlignment="1" applyBorder="1" applyFont="1" applyNumberFormat="1">
      <alignment horizontal="center" shrinkToFit="0" vertical="center" wrapText="1"/>
    </xf>
    <xf borderId="10" fillId="5" fontId="9" numFmtId="164" xfId="0" applyAlignment="1" applyBorder="1" applyFont="1" applyNumberFormat="1">
      <alignment horizontal="center" shrinkToFit="0" vertical="center" wrapText="1"/>
    </xf>
    <xf borderId="12" fillId="0" fontId="5" numFmtId="0" xfId="0" applyBorder="1" applyFont="1"/>
    <xf borderId="13" fillId="0" fontId="10" numFmtId="0" xfId="0" applyAlignment="1" applyBorder="1" applyFont="1">
      <alignment vertical="center"/>
    </xf>
    <xf borderId="14" fillId="0" fontId="11" numFmtId="0" xfId="0" applyAlignment="1" applyBorder="1" applyFont="1">
      <alignment horizontal="left" vertical="center"/>
    </xf>
    <xf borderId="14" fillId="0" fontId="12" numFmtId="0" xfId="0" applyAlignment="1" applyBorder="1" applyFont="1">
      <alignment shrinkToFit="0" wrapText="1"/>
    </xf>
    <xf borderId="14" fillId="0" fontId="11" numFmtId="0" xfId="0" applyAlignment="1" applyBorder="1" applyFont="1">
      <alignment shrinkToFit="0" vertical="center" wrapText="1"/>
    </xf>
    <xf borderId="14" fillId="0" fontId="13" numFmtId="0" xfId="0" applyAlignment="1" applyBorder="1" applyFont="1">
      <alignment horizontal="left" shrinkToFit="0" vertical="center" wrapText="1"/>
    </xf>
    <xf borderId="14" fillId="0" fontId="11" numFmtId="164" xfId="0" applyAlignment="1" applyBorder="1" applyFont="1" applyNumberFormat="1">
      <alignment horizontal="right" readingOrder="0" shrinkToFit="0" vertical="center" wrapText="1"/>
    </xf>
    <xf borderId="14" fillId="0" fontId="14" numFmtId="0" xfId="0" applyAlignment="1" applyBorder="1" applyFont="1">
      <alignment vertical="center"/>
    </xf>
    <xf borderId="15" fillId="3" fontId="8" numFmtId="164" xfId="0" applyAlignment="1" applyBorder="1" applyFont="1" applyNumberFormat="1">
      <alignment horizontal="center" vertical="center"/>
    </xf>
    <xf borderId="16" fillId="3" fontId="8" numFmtId="164" xfId="0" applyAlignment="1" applyBorder="1" applyFont="1" applyNumberFormat="1">
      <alignment horizontal="center" vertical="center"/>
    </xf>
    <xf borderId="17" fillId="0" fontId="9" numFmtId="164" xfId="0" applyAlignment="1" applyBorder="1" applyFont="1" applyNumberFormat="1">
      <alignment horizontal="center" vertical="center"/>
    </xf>
    <xf borderId="18" fillId="0" fontId="9" numFmtId="164" xfId="0" applyAlignment="1" applyBorder="1" applyFont="1" applyNumberFormat="1">
      <alignment horizontal="center" vertical="center"/>
    </xf>
    <xf borderId="19" fillId="0" fontId="10" numFmtId="0" xfId="0" applyAlignment="1" applyBorder="1" applyFont="1">
      <alignment vertical="center"/>
    </xf>
    <xf borderId="0" fillId="0" fontId="15" numFmtId="0" xfId="0" applyFont="1"/>
    <xf borderId="14" fillId="0" fontId="14" numFmtId="165" xfId="0" applyAlignment="1" applyBorder="1" applyFont="1" applyNumberFormat="1">
      <alignment readingOrder="0" vertical="center"/>
    </xf>
    <xf borderId="13" fillId="0" fontId="10" numFmtId="0" xfId="0" applyAlignment="1" applyBorder="1" applyFont="1">
      <alignment readingOrder="0" vertical="center"/>
    </xf>
    <xf borderId="14" fillId="0" fontId="14" numFmtId="165" xfId="0" applyAlignment="1" applyBorder="1" applyFont="1" applyNumberFormat="1">
      <alignment vertical="center"/>
    </xf>
    <xf borderId="14" fillId="0" fontId="11" numFmtId="0" xfId="0" applyAlignment="1" applyBorder="1" applyFont="1">
      <alignment readingOrder="0" shrinkToFit="0" vertical="center" wrapText="1"/>
    </xf>
    <xf borderId="14" fillId="0" fontId="14" numFmtId="166" xfId="0" applyAlignment="1" applyBorder="1" applyFont="1" applyNumberFormat="1">
      <alignment readingOrder="0" vertical="center"/>
    </xf>
    <xf borderId="14" fillId="0" fontId="11" numFmtId="164" xfId="0" applyAlignment="1" applyBorder="1" applyFont="1" applyNumberFormat="1">
      <alignment horizontal="right" shrinkToFit="0" vertical="center" wrapText="1"/>
    </xf>
    <xf borderId="14" fillId="0" fontId="14" numFmtId="165" xfId="0" applyAlignment="1" applyBorder="1" applyFont="1" applyNumberFormat="1">
      <alignment horizontal="center" vertical="center"/>
    </xf>
    <xf borderId="14" fillId="0" fontId="14" numFmtId="0" xfId="0" applyAlignment="1" applyBorder="1" applyFont="1">
      <alignment horizontal="center" readingOrder="0" vertical="center"/>
    </xf>
    <xf borderId="14" fillId="0" fontId="16" numFmtId="164" xfId="0" applyAlignment="1" applyBorder="1" applyFont="1" applyNumberFormat="1">
      <alignment horizontal="center" shrinkToFit="0" vertical="center" wrapText="1"/>
    </xf>
    <xf borderId="14" fillId="0" fontId="11" numFmtId="164" xfId="0" applyAlignment="1" applyBorder="1" applyFont="1" applyNumberFormat="1">
      <alignment horizontal="right" shrinkToFit="0" wrapText="1"/>
    </xf>
    <xf borderId="14" fillId="0" fontId="11" numFmtId="0" xfId="0" applyAlignment="1" applyBorder="1" applyFont="1">
      <alignment horizontal="left" shrinkToFit="0" vertical="center" wrapText="1"/>
    </xf>
    <xf borderId="14" fillId="0" fontId="17" numFmtId="0" xfId="0" applyAlignment="1" applyBorder="1" applyFont="1">
      <alignment shrinkToFit="0" vertical="center" wrapText="1"/>
    </xf>
    <xf borderId="14" fillId="0" fontId="13" numFmtId="0" xfId="0" applyAlignment="1" applyBorder="1" applyFont="1">
      <alignment horizontal="left" vertical="center"/>
    </xf>
    <xf borderId="14" fillId="0" fontId="13" numFmtId="0" xfId="0" applyAlignment="1" applyBorder="1" applyFont="1">
      <alignment vertical="center"/>
    </xf>
    <xf borderId="14" fillId="0" fontId="18" numFmtId="164" xfId="0" applyAlignment="1" applyBorder="1" applyFont="1" applyNumberFormat="1">
      <alignment vertical="center"/>
    </xf>
    <xf borderId="14" fillId="0" fontId="13" numFmtId="0" xfId="0" applyAlignment="1" applyBorder="1" applyFont="1">
      <alignment horizontal="left" readingOrder="0" vertical="center"/>
    </xf>
    <xf borderId="14" fillId="0" fontId="14" numFmtId="165" xfId="0" applyAlignment="1" applyBorder="1" applyFont="1" applyNumberFormat="1">
      <alignment horizontal="center" readingOrder="0" vertical="center"/>
    </xf>
    <xf borderId="14" fillId="0" fontId="12" numFmtId="0" xfId="0" applyAlignment="1" applyBorder="1" applyFont="1">
      <alignment readingOrder="0" shrinkToFit="0" wrapText="1"/>
    </xf>
    <xf borderId="14" fillId="0" fontId="11" numFmtId="164" xfId="0" applyAlignment="1" applyBorder="1" applyFont="1" applyNumberFormat="1">
      <alignment shrinkToFit="0" vertical="center" wrapText="1"/>
    </xf>
    <xf borderId="14" fillId="0" fontId="11" numFmtId="0" xfId="0" applyAlignment="1" applyBorder="1" applyFont="1">
      <alignment shrinkToFit="0" wrapText="1"/>
    </xf>
    <xf borderId="14" fillId="0" fontId="14" numFmtId="0" xfId="0" applyAlignment="1" applyBorder="1" applyFont="1">
      <alignment horizontal="center" vertical="center"/>
    </xf>
    <xf borderId="14" fillId="0" fontId="11" numFmtId="164" xfId="0" applyAlignment="1" applyBorder="1" applyFont="1" applyNumberFormat="1">
      <alignment horizontal="right" readingOrder="0" shrinkToFit="0" wrapText="1"/>
    </xf>
    <xf borderId="14" fillId="0" fontId="12" numFmtId="164" xfId="0" applyAlignment="1" applyBorder="1" applyFont="1" applyNumberFormat="1">
      <alignment readingOrder="0" shrinkToFit="0" wrapText="1"/>
    </xf>
    <xf borderId="14" fillId="0" fontId="12" numFmtId="164" xfId="0" applyAlignment="1" applyBorder="1" applyFont="1" applyNumberFormat="1">
      <alignment shrinkToFit="0" wrapText="1"/>
    </xf>
    <xf borderId="14" fillId="0" fontId="19" numFmtId="164" xfId="0" applyAlignment="1" applyBorder="1" applyFont="1" applyNumberFormat="1">
      <alignment horizontal="center" shrinkToFit="0" vertical="center" wrapText="1"/>
    </xf>
    <xf borderId="14" fillId="0" fontId="19" numFmtId="164" xfId="0" applyAlignment="1" applyBorder="1" applyFont="1" applyNumberFormat="1">
      <alignment horizontal="center" readingOrder="0" shrinkToFit="0" vertical="center" wrapText="1"/>
    </xf>
    <xf borderId="14" fillId="0" fontId="11" numFmtId="0" xfId="0" applyAlignment="1" applyBorder="1" applyFont="1">
      <alignment horizontal="left" readingOrder="0" shrinkToFit="0" vertical="center" wrapText="1"/>
    </xf>
    <xf borderId="14" fillId="0" fontId="4" numFmtId="0" xfId="0" applyAlignment="1" applyBorder="1" applyFont="1">
      <alignment horizontal="left" vertical="center"/>
    </xf>
    <xf borderId="14" fillId="0" fontId="11" numFmtId="0" xfId="0" applyAlignment="1" applyBorder="1" applyFont="1">
      <alignment readingOrder="0" shrinkToFit="0" wrapText="1"/>
    </xf>
    <xf borderId="14" fillId="0" fontId="20" numFmtId="0" xfId="0" applyAlignment="1" applyBorder="1" applyFont="1">
      <alignment readingOrder="0" shrinkToFit="0" vertical="center" wrapText="1"/>
    </xf>
    <xf borderId="14" fillId="0" fontId="21" numFmtId="0" xfId="0" applyAlignment="1" applyBorder="1" applyFont="1">
      <alignment horizontal="left" readingOrder="0" shrinkToFit="0" vertical="top" wrapText="0"/>
    </xf>
    <xf borderId="14" fillId="0" fontId="22" numFmtId="164" xfId="0" applyAlignment="1" applyBorder="1" applyFont="1" applyNumberFormat="1">
      <alignment horizontal="center" shrinkToFit="0" vertical="center" wrapText="1"/>
    </xf>
    <xf borderId="14" fillId="0" fontId="12" numFmtId="164" xfId="0" applyAlignment="1" applyBorder="1" applyFont="1" applyNumberFormat="1">
      <alignment horizontal="center" readingOrder="0" shrinkToFit="0" vertical="center" wrapText="1"/>
    </xf>
    <xf borderId="8" fillId="0" fontId="23" numFmtId="0" xfId="0" applyAlignment="1" applyBorder="1" applyFont="1">
      <alignment horizontal="left" shrinkToFit="0" vertical="center" wrapText="1"/>
    </xf>
    <xf borderId="8" fillId="0" fontId="24" numFmtId="164" xfId="0" applyAlignment="1" applyBorder="1" applyFont="1" applyNumberFormat="1">
      <alignment horizontal="center" shrinkToFit="0" vertical="center" wrapText="1"/>
    </xf>
    <xf borderId="8" fillId="0" fontId="25" numFmtId="164" xfId="0" applyAlignment="1" applyBorder="1" applyFont="1" applyNumberFormat="1">
      <alignment horizontal="center" readingOrder="0" shrinkToFit="0" vertical="center" wrapText="1"/>
    </xf>
    <xf borderId="14" fillId="0" fontId="23" numFmtId="0" xfId="0" applyAlignment="1" applyBorder="1" applyFont="1">
      <alignment horizontal="left" shrinkToFit="0" vertical="center" wrapText="1"/>
    </xf>
    <xf borderId="14" fillId="0" fontId="24" numFmtId="164" xfId="0" applyAlignment="1" applyBorder="1" applyFont="1" applyNumberFormat="1">
      <alignment horizontal="center" shrinkToFit="0" vertical="center" wrapText="1"/>
    </xf>
    <xf borderId="14" fillId="0" fontId="25" numFmtId="164" xfId="0" applyAlignment="1" applyBorder="1" applyFont="1" applyNumberFormat="1">
      <alignment horizontal="center" readingOrder="0" shrinkToFit="0" vertical="center" wrapText="1"/>
    </xf>
    <xf borderId="14" fillId="0" fontId="26" numFmtId="164" xfId="0" applyAlignment="1" applyBorder="1" applyFont="1" applyNumberFormat="1">
      <alignment horizontal="center" shrinkToFit="0" vertical="center" wrapText="1"/>
    </xf>
    <xf borderId="14" fillId="0" fontId="27" numFmtId="164" xfId="0" applyAlignment="1" applyBorder="1" applyFont="1" applyNumberFormat="1">
      <alignment horizontal="center" readingOrder="0" shrinkToFit="0" vertical="center" wrapText="1"/>
    </xf>
    <xf borderId="14" fillId="0" fontId="21" numFmtId="0" xfId="0" applyAlignment="1" applyBorder="1" applyFont="1">
      <alignment readingOrder="0" shrinkToFit="0" vertical="bottom" wrapText="0"/>
    </xf>
    <xf borderId="14" fillId="0" fontId="21" numFmtId="164" xfId="0" applyAlignment="1" applyBorder="1" applyFont="1" applyNumberFormat="1">
      <alignment horizontal="right" readingOrder="0" shrinkToFit="0" vertical="bottom" wrapText="0"/>
    </xf>
    <xf borderId="14" fillId="0" fontId="28" numFmtId="165" xfId="0" applyAlignment="1" applyBorder="1" applyFont="1" applyNumberFormat="1">
      <alignment horizontal="center" readingOrder="0" vertical="center"/>
    </xf>
    <xf borderId="14" fillId="0" fontId="21" numFmtId="0" xfId="0" applyAlignment="1" applyBorder="1" applyFont="1">
      <alignment readingOrder="0" shrinkToFit="0" vertical="bottom" wrapText="1"/>
    </xf>
    <xf borderId="14" fillId="0" fontId="28" numFmtId="0" xfId="0" applyAlignment="1" applyBorder="1" applyFont="1">
      <alignment horizontal="center" readingOrder="0" vertical="center"/>
    </xf>
    <xf borderId="14" fillId="0" fontId="21" numFmtId="164" xfId="0" applyAlignment="1" applyBorder="1" applyFont="1" applyNumberFormat="1">
      <alignment horizontal="center" readingOrder="0" shrinkToFit="0" vertical="bottom" wrapText="0"/>
    </xf>
    <xf borderId="14" fillId="0" fontId="29" numFmtId="0" xfId="0" applyAlignment="1" applyBorder="1" applyFont="1">
      <alignment vertical="center"/>
    </xf>
    <xf borderId="0" fillId="0" fontId="29" numFmtId="0" xfId="0" applyAlignment="1" applyFont="1">
      <alignment vertical="center"/>
    </xf>
    <xf borderId="20" fillId="0" fontId="10" numFmtId="0" xfId="0" applyAlignment="1" applyBorder="1" applyFont="1">
      <alignment readingOrder="0" vertical="center"/>
    </xf>
    <xf borderId="21" fillId="0" fontId="30" numFmtId="0" xfId="0" applyAlignment="1" applyBorder="1" applyFont="1">
      <alignment horizontal="center" readingOrder="0" vertical="center"/>
    </xf>
    <xf borderId="22" fillId="0" fontId="30" numFmtId="14" xfId="0" applyAlignment="1" applyBorder="1" applyFont="1" applyNumberFormat="1">
      <alignment horizontal="center" readingOrder="0" vertical="center"/>
    </xf>
    <xf borderId="0" fillId="0" fontId="15" numFmtId="0" xfId="0" applyAlignment="1" applyFont="1">
      <alignment vertical="center"/>
    </xf>
    <xf borderId="14" fillId="0" fontId="31" numFmtId="0" xfId="0" applyBorder="1" applyFont="1"/>
    <xf borderId="14" fillId="0" fontId="23" numFmtId="0" xfId="0" applyAlignment="1" applyBorder="1" applyFont="1">
      <alignment horizontal="left" readingOrder="0" shrinkToFit="0" vertical="center" wrapText="1"/>
    </xf>
    <xf borderId="14" fillId="0" fontId="10" numFmtId="0" xfId="0" applyAlignment="1" applyBorder="1" applyFont="1">
      <alignment readingOrder="0" vertical="center"/>
    </xf>
    <xf borderId="14" fillId="0" fontId="10" numFmtId="0" xfId="0" applyAlignment="1" applyBorder="1" applyFont="1">
      <alignment vertical="center"/>
    </xf>
    <xf borderId="14" fillId="0" fontId="32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readingOrder="0"/>
    </xf>
    <xf borderId="14" fillId="0" fontId="25" numFmtId="164" xfId="0" applyAlignment="1" applyBorder="1" applyFont="1" applyNumberFormat="1">
      <alignment horizontal="center" shrinkToFit="0" vertical="center" wrapText="1"/>
    </xf>
    <xf borderId="22" fillId="0" fontId="30" numFmtId="14" xfId="0" applyAlignment="1" applyBorder="1" applyFont="1" applyNumberFormat="1">
      <alignment horizontal="center" vertical="center"/>
    </xf>
    <xf borderId="22" fillId="0" fontId="30" numFmtId="0" xfId="0" applyAlignment="1" applyBorder="1" applyFont="1">
      <alignment horizontal="center" readingOrder="0" vertical="center"/>
    </xf>
    <xf borderId="23" fillId="3" fontId="8" numFmtId="164" xfId="0" applyAlignment="1" applyBorder="1" applyFont="1" applyNumberFormat="1">
      <alignment horizontal="center" vertical="center"/>
    </xf>
    <xf borderId="22" fillId="3" fontId="8" numFmtId="164" xfId="0" applyAlignment="1" applyBorder="1" applyFont="1" applyNumberFormat="1">
      <alignment horizontal="center" vertical="center"/>
    </xf>
    <xf borderId="24" fillId="0" fontId="9" numFmtId="164" xfId="0" applyAlignment="1" applyBorder="1" applyFont="1" applyNumberFormat="1">
      <alignment horizontal="center" vertical="center"/>
    </xf>
    <xf borderId="22" fillId="0" fontId="9" numFmtId="164" xfId="0" applyAlignment="1" applyBorder="1" applyFont="1" applyNumberFormat="1">
      <alignment horizontal="center" vertical="center"/>
    </xf>
    <xf borderId="22" fillId="0" fontId="30" numFmtId="3" xfId="0" applyAlignment="1" applyBorder="1" applyFont="1" applyNumberFormat="1">
      <alignment horizontal="center" readingOrder="0" vertical="center"/>
    </xf>
    <xf borderId="14" fillId="0" fontId="32" numFmtId="0" xfId="0" applyAlignment="1" applyBorder="1" applyFont="1">
      <alignment shrinkToFit="0" vertical="center" wrapText="1"/>
    </xf>
    <xf borderId="14" fillId="0" fontId="9" numFmtId="0" xfId="0" applyAlignment="1" applyBorder="1" applyFont="1">
      <alignment horizontal="left" shrinkToFit="0" vertical="center" wrapText="1"/>
    </xf>
    <xf borderId="14" fillId="0" fontId="10" numFmtId="0" xfId="0" applyAlignment="1" applyBorder="1" applyFont="1">
      <alignment horizontal="left" shrinkToFit="0" vertical="center" wrapText="1"/>
    </xf>
    <xf borderId="14" fillId="0" fontId="33" numFmtId="164" xfId="0" applyAlignment="1" applyBorder="1" applyFont="1" applyNumberFormat="1">
      <alignment horizontal="right" vertical="center"/>
    </xf>
    <xf borderId="14" fillId="0" fontId="9" numFmtId="0" xfId="0" applyAlignment="1" applyBorder="1" applyFont="1">
      <alignment horizontal="left" vertical="center"/>
    </xf>
    <xf borderId="14" fillId="6" fontId="10" numFmtId="0" xfId="0" applyAlignment="1" applyBorder="1" applyFill="1" applyFont="1">
      <alignment horizontal="left" vertical="center"/>
    </xf>
    <xf borderId="14" fillId="6" fontId="10" numFmtId="0" xfId="0" applyAlignment="1" applyBorder="1" applyFont="1">
      <alignment horizontal="left" shrinkToFit="0" vertical="center" wrapText="1"/>
    </xf>
    <xf borderId="14" fillId="0" fontId="33" numFmtId="164" xfId="0" applyAlignment="1" applyBorder="1" applyFont="1" applyNumberFormat="1">
      <alignment horizontal="right" shrinkToFit="0" vertical="center" wrapText="1"/>
    </xf>
    <xf borderId="0" fillId="0" fontId="29" numFmtId="0" xfId="0" applyFont="1"/>
    <xf borderId="14" fillId="0" fontId="34" numFmtId="0" xfId="0" applyAlignment="1" applyBorder="1" applyFont="1">
      <alignment horizontal="left" shrinkToFit="0" vertical="center" wrapText="1"/>
    </xf>
    <xf borderId="14" fillId="0" fontId="9" numFmtId="49" xfId="0" applyAlignment="1" applyBorder="1" applyFont="1" applyNumberFormat="1">
      <alignment horizontal="left" vertical="center"/>
    </xf>
    <xf borderId="14" fillId="0" fontId="35" numFmtId="164" xfId="0" applyAlignment="1" applyBorder="1" applyFont="1" applyNumberFormat="1">
      <alignment horizontal="right" vertical="center"/>
    </xf>
    <xf borderId="14" fillId="0" fontId="4" numFmtId="49" xfId="0" applyAlignment="1" applyBorder="1" applyFont="1" applyNumberFormat="1">
      <alignment horizontal="left" vertical="center"/>
    </xf>
    <xf borderId="14" fillId="0" fontId="36" numFmtId="49" xfId="0" applyAlignment="1" applyBorder="1" applyFont="1" applyNumberFormat="1">
      <alignment horizontal="left" vertical="center"/>
    </xf>
    <xf borderId="14" fillId="0" fontId="35" numFmtId="164" xfId="0" applyAlignment="1" applyBorder="1" applyFont="1" applyNumberFormat="1">
      <alignment horizontal="right" shrinkToFit="0" vertical="center" wrapText="1"/>
    </xf>
    <xf borderId="14" fillId="0" fontId="37" numFmtId="0" xfId="0" applyAlignment="1" applyBorder="1" applyFont="1">
      <alignment horizontal="left" shrinkToFit="0" vertical="center" wrapText="1"/>
    </xf>
    <xf borderId="14" fillId="0" fontId="1" numFmtId="0" xfId="0" applyAlignment="1" applyBorder="1" applyFont="1">
      <alignment horizontal="left" shrinkToFit="0" vertical="center" wrapText="1"/>
    </xf>
    <xf borderId="14" fillId="0" fontId="38" numFmtId="49" xfId="0" applyAlignment="1" applyBorder="1" applyFont="1" applyNumberFormat="1">
      <alignment horizontal="left" vertical="center"/>
    </xf>
    <xf borderId="14" fillId="0" fontId="32" numFmtId="49" xfId="0" applyAlignment="1" applyBorder="1" applyFont="1" applyNumberFormat="1">
      <alignment horizontal="left" shrinkToFit="0" vertical="center" wrapText="1"/>
    </xf>
    <xf borderId="14" fillId="0" fontId="35" numFmtId="164" xfId="0" applyAlignment="1" applyBorder="1" applyFont="1" applyNumberFormat="1">
      <alignment horizontal="center" vertical="center"/>
    </xf>
    <xf borderId="14" fillId="0" fontId="38" numFmtId="49" xfId="0" applyAlignment="1" applyBorder="1" applyFont="1" applyNumberFormat="1">
      <alignment horizontal="left" shrinkToFit="0" vertical="center" wrapText="1"/>
    </xf>
    <xf borderId="14" fillId="0" fontId="35" numFmtId="164" xfId="0" applyAlignment="1" applyBorder="1" applyFont="1" applyNumberFormat="1">
      <alignment horizontal="center" shrinkToFit="0" vertical="center" wrapText="1"/>
    </xf>
    <xf borderId="14" fillId="0" fontId="39" numFmtId="49" xfId="0" applyAlignment="1" applyBorder="1" applyFont="1" applyNumberFormat="1">
      <alignment horizontal="left" shrinkToFit="0" vertical="center" wrapText="1"/>
    </xf>
    <xf borderId="14" fillId="0" fontId="9" numFmtId="49" xfId="0" applyAlignment="1" applyBorder="1" applyFont="1" applyNumberFormat="1">
      <alignment horizontal="left" shrinkToFit="0" vertical="center" wrapText="1"/>
    </xf>
    <xf borderId="14" fillId="0" fontId="10" numFmtId="49" xfId="0" applyAlignment="1" applyBorder="1" applyFont="1" applyNumberFormat="1">
      <alignment horizontal="left" shrinkToFit="0" vertical="center" wrapText="1"/>
    </xf>
    <xf borderId="14" fillId="0" fontId="4" numFmtId="49" xfId="0" applyAlignment="1" applyBorder="1" applyFont="1" applyNumberFormat="1">
      <alignment horizontal="left" shrinkToFit="0" vertical="center" wrapText="1"/>
    </xf>
    <xf borderId="14" fillId="0" fontId="40" numFmtId="164" xfId="0" applyAlignment="1" applyBorder="1" applyFont="1" applyNumberFormat="1">
      <alignment horizontal="right" shrinkToFit="0" vertical="center" wrapText="1"/>
    </xf>
    <xf borderId="14" fillId="0" fontId="41" numFmtId="0" xfId="0" applyAlignment="1" applyBorder="1" applyFont="1">
      <alignment horizontal="left" shrinkToFit="0" vertical="center" wrapText="1"/>
    </xf>
    <xf borderId="14" fillId="0" fontId="4" numFmtId="0" xfId="0" applyAlignment="1" applyBorder="1" applyFont="1">
      <alignment horizontal="left" shrinkToFit="0" vertical="center" wrapText="1"/>
    </xf>
    <xf borderId="14" fillId="0" fontId="36" numFmtId="49" xfId="0" applyAlignment="1" applyBorder="1" applyFont="1" applyNumberFormat="1">
      <alignment horizontal="left" shrinkToFit="0" vertical="center" wrapText="1"/>
    </xf>
    <xf borderId="14" fillId="0" fontId="36" numFmtId="0" xfId="0" applyAlignment="1" applyBorder="1" applyFont="1">
      <alignment horizontal="left" shrinkToFit="1" vertical="center" wrapText="0"/>
    </xf>
    <xf borderId="14" fillId="0" fontId="39" numFmtId="0" xfId="0" applyAlignment="1" applyBorder="1" applyFont="1">
      <alignment horizontal="left" shrinkToFit="1" vertical="center" wrapText="0"/>
    </xf>
    <xf borderId="14" fillId="0" fontId="10" numFmtId="0" xfId="0" applyAlignment="1" applyBorder="1" applyFont="1">
      <alignment horizontal="left" vertical="center"/>
    </xf>
    <xf borderId="14" fillId="0" fontId="42" numFmtId="0" xfId="0" applyAlignment="1" applyBorder="1" applyFont="1">
      <alignment horizontal="left" shrinkToFit="0" vertical="center" wrapText="1"/>
    </xf>
    <xf borderId="14" fillId="0" fontId="43" numFmtId="0" xfId="0" applyAlignment="1" applyBorder="1" applyFont="1">
      <alignment horizontal="left" shrinkToFit="0" vertical="center" wrapText="1"/>
    </xf>
    <xf borderId="14" fillId="6" fontId="4" numFmtId="0" xfId="0" applyAlignment="1" applyBorder="1" applyFont="1">
      <alignment horizontal="left" shrinkToFit="0" vertical="center" wrapText="1"/>
    </xf>
    <xf borderId="14" fillId="6" fontId="35" numFmtId="164" xfId="0" applyAlignment="1" applyBorder="1" applyFont="1" applyNumberFormat="1">
      <alignment horizontal="center" shrinkToFit="0" vertical="center" wrapText="1"/>
    </xf>
    <xf borderId="14" fillId="0" fontId="35" numFmtId="164" xfId="0" applyAlignment="1" applyBorder="1" applyFont="1" applyNumberFormat="1">
      <alignment shrinkToFit="0" vertical="center" wrapText="1"/>
    </xf>
    <xf borderId="24" fillId="0" fontId="10" numFmtId="0" xfId="0" applyAlignment="1" applyBorder="1" applyFont="1">
      <alignment vertical="center"/>
    </xf>
    <xf borderId="19" fillId="0" fontId="9" numFmtId="0" xfId="0" applyAlignment="1" applyBorder="1" applyFont="1">
      <alignment vertical="center"/>
    </xf>
    <xf borderId="14" fillId="0" fontId="35" numFmtId="164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  <xf borderId="0" fillId="0" fontId="35" numFmtId="164" xfId="0" applyAlignment="1" applyFont="1" applyNumberFormat="1">
      <alignment vertical="center"/>
    </xf>
    <xf borderId="0" fillId="0" fontId="30" numFmtId="14" xfId="0" applyAlignment="1" applyFont="1" applyNumberFormat="1">
      <alignment horizontal="center" vertical="center"/>
    </xf>
    <xf borderId="25" fillId="3" fontId="8" numFmtId="164" xfId="0" applyAlignment="1" applyBorder="1" applyFont="1" applyNumberForma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14" fillId="0" fontId="44" numFmtId="166" xfId="0" applyAlignment="1" applyBorder="1" applyFont="1" applyNumberFormat="1">
      <alignment readingOrder="0" vertical="center"/>
    </xf>
    <xf borderId="0" fillId="7" fontId="21" numFmtId="164" xfId="0" applyAlignment="1" applyFill="1" applyFont="1" applyNumberFormat="1">
      <alignment horizontal="left" readingOrder="0"/>
    </xf>
    <xf borderId="14" fillId="0" fontId="17" numFmtId="0" xfId="0" applyAlignment="1" applyBorder="1" applyFont="1">
      <alignment readingOrder="0" shrinkToFit="0" vertical="center" wrapText="1"/>
    </xf>
    <xf borderId="14" fillId="0" fontId="18" numFmtId="164" xfId="0" applyAlignment="1" applyBorder="1" applyFont="1" applyNumberFormat="1">
      <alignment readingOrder="0" vertical="center"/>
    </xf>
    <xf borderId="14" fillId="0" fontId="13" numFmtId="0" xfId="0" applyAlignment="1" applyBorder="1" applyFont="1">
      <alignment horizontal="left" readingOrder="0" shrinkToFit="0" vertical="center" wrapText="1"/>
    </xf>
    <xf borderId="14" fillId="0" fontId="11" numFmtId="164" xfId="0" applyAlignment="1" applyBorder="1" applyFont="1" applyNumberFormat="1">
      <alignment readingOrder="0" shrinkToFit="0" vertical="center" wrapText="1"/>
    </xf>
    <xf borderId="14" fillId="0" fontId="14" numFmtId="0" xfId="0" applyAlignment="1" applyBorder="1" applyFont="1">
      <alignment readingOrder="0" vertical="center"/>
    </xf>
    <xf borderId="14" fillId="0" fontId="28" numFmtId="165" xfId="0" applyAlignment="1" applyBorder="1" applyFont="1" applyNumberFormat="1">
      <alignment readingOrder="0" vertical="center"/>
    </xf>
    <xf borderId="2" fillId="2" fontId="2" numFmtId="14" xfId="0" applyAlignment="1" applyBorder="1" applyFont="1" applyNumberFormat="1">
      <alignment horizontal="center" shrinkToFit="0" vertical="center" wrapText="1"/>
    </xf>
    <xf borderId="5" fillId="4" fontId="4" numFmtId="164" xfId="0" applyAlignment="1" applyBorder="1" applyFont="1" applyNumberFormat="1">
      <alignment horizontal="center" readingOrder="0" shrinkToFit="0" vertical="center" wrapText="1"/>
    </xf>
    <xf borderId="14" fillId="0" fontId="13" numFmtId="164" xfId="0" applyAlignment="1" applyBorder="1" applyFont="1" applyNumberFormat="1">
      <alignment vertical="center"/>
    </xf>
    <xf borderId="14" fillId="0" fontId="12" numFmtId="165" xfId="0" applyAlignment="1" applyBorder="1" applyFont="1" applyNumberFormat="1">
      <alignment vertical="center"/>
    </xf>
    <xf borderId="14" fillId="0" fontId="12" numFmtId="165" xfId="0" applyAlignment="1" applyBorder="1" applyFont="1" applyNumberFormat="1">
      <alignment readingOrder="0" vertical="center"/>
    </xf>
    <xf borderId="14" fillId="0" fontId="12" numFmtId="0" xfId="0" applyAlignment="1" applyBorder="1" applyFont="1">
      <alignment shrinkToFit="0" vertical="center" wrapText="1"/>
    </xf>
    <xf borderId="14" fillId="0" fontId="12" numFmtId="166" xfId="0" applyAlignment="1" applyBorder="1" applyFont="1" applyNumberFormat="1">
      <alignment readingOrder="0" vertical="center"/>
    </xf>
    <xf borderId="14" fillId="0" fontId="12" numFmtId="0" xfId="0" applyAlignment="1" applyBorder="1" applyFont="1">
      <alignment readingOrder="0" vertical="center"/>
    </xf>
    <xf borderId="14" fillId="0" fontId="45" numFmtId="164" xfId="0" applyAlignment="1" applyBorder="1" applyFont="1" applyNumberFormat="1">
      <alignment horizontal="left" readingOrder="0" shrinkToFit="0" vertical="center" wrapText="1"/>
    </xf>
    <xf borderId="14" fillId="0" fontId="16" numFmtId="164" xfId="0" applyAlignment="1" applyBorder="1" applyFont="1" applyNumberFormat="1">
      <alignment horizontal="left" readingOrder="0" shrinkToFit="0" vertical="center" wrapText="1"/>
    </xf>
    <xf borderId="0" fillId="7" fontId="46" numFmtId="164" xfId="0" applyAlignment="1" applyFont="1" applyNumberFormat="1">
      <alignment horizontal="left" readingOrder="0"/>
    </xf>
    <xf borderId="14" fillId="0" fontId="20" numFmtId="0" xfId="0" applyAlignment="1" applyBorder="1" applyFont="1">
      <alignment shrinkToFit="0" vertical="center" wrapText="1"/>
    </xf>
    <xf borderId="8" fillId="0" fontId="25" numFmtId="164" xfId="0" applyAlignment="1" applyBorder="1" applyFont="1" applyNumberFormat="1">
      <alignment horizontal="center" shrinkToFit="0" vertical="center" wrapText="1"/>
    </xf>
    <xf borderId="8" fillId="0" fontId="47" numFmtId="165" xfId="0" applyAlignment="1" applyBorder="1" applyFont="1" applyNumberFormat="1">
      <alignment vertical="center"/>
    </xf>
    <xf borderId="14" fillId="0" fontId="47" numFmtId="165" xfId="0" applyAlignment="1" applyBorder="1" applyFont="1" applyNumberFormat="1">
      <alignment vertical="center"/>
    </xf>
    <xf borderId="22" fillId="0" fontId="48" numFmtId="14" xfId="0" applyAlignment="1" applyBorder="1" applyFont="1" applyNumberFormat="1">
      <alignment horizontal="center" vertical="center"/>
    </xf>
    <xf borderId="0" fillId="0" fontId="48" numFmtId="14" xfId="0" applyAlignment="1" applyFont="1" applyNumberFormat="1">
      <alignment horizontal="center" vertical="center"/>
    </xf>
    <xf borderId="2" fillId="2" fontId="2" numFmtId="4" xfId="0" applyAlignment="1" applyBorder="1" applyFont="1" applyNumberFormat="1">
      <alignment horizontal="center" shrinkToFit="0" vertical="center" wrapText="1"/>
    </xf>
    <xf borderId="2" fillId="2" fontId="2" numFmtId="4" xfId="0" applyAlignment="1" applyBorder="1" applyFont="1" applyNumberFormat="1">
      <alignment horizontal="center" readingOrder="0" shrinkToFit="0" vertical="center" wrapText="1"/>
    </xf>
    <xf borderId="14" fillId="0" fontId="27" numFmtId="0" xfId="0" applyAlignment="1" applyBorder="1" applyFont="1">
      <alignment readingOrder="0" shrinkToFit="0" wrapText="0"/>
    </xf>
    <xf borderId="14" fillId="0" fontId="49" numFmtId="0" xfId="0" applyAlignment="1" applyBorder="1" applyFont="1">
      <alignment horizontal="left" shrinkToFit="0" vertical="center" wrapText="1"/>
    </xf>
    <xf borderId="14" fillId="0" fontId="10" numFmtId="0" xfId="0" applyAlignment="1" applyBorder="1" applyFont="1">
      <alignment horizontal="left" readingOrder="0" shrinkToFit="0" vertical="bottom" wrapText="0"/>
    </xf>
    <xf borderId="14" fillId="0" fontId="27" numFmtId="4" xfId="0" applyAlignment="1" applyBorder="1" applyFont="1" applyNumberFormat="1">
      <alignment readingOrder="0" shrinkToFit="0" vertical="bottom" wrapText="0"/>
    </xf>
    <xf borderId="26" fillId="3" fontId="8" numFmtId="164" xfId="0" applyAlignment="1" applyBorder="1" applyFont="1" applyNumberFormat="1">
      <alignment horizontal="center" vertical="center"/>
    </xf>
    <xf borderId="14" fillId="0" fontId="27" numFmtId="0" xfId="0" applyAlignment="1" applyBorder="1" applyFont="1">
      <alignment horizontal="left" readingOrder="0" shrinkToFit="0" vertical="bottom" wrapText="0"/>
    </xf>
    <xf borderId="14" fillId="0" fontId="49" numFmtId="0" xfId="0" applyAlignment="1" applyBorder="1" applyFont="1">
      <alignment horizontal="left" readingOrder="0" shrinkToFit="0" vertical="center" wrapText="1"/>
    </xf>
    <xf borderId="14" fillId="0" fontId="29" numFmtId="165" xfId="0" applyAlignment="1" applyBorder="1" applyFont="1" applyNumberFormat="1">
      <alignment vertical="center"/>
    </xf>
    <xf borderId="14" fillId="0" fontId="48" numFmtId="14" xfId="0" applyAlignment="1" applyBorder="1" applyFont="1" applyNumberFormat="1">
      <alignment horizontal="center" vertical="center"/>
    </xf>
    <xf borderId="14" fillId="0" fontId="12" numFmtId="0" xfId="0" applyAlignment="1" applyBorder="1" applyFont="1">
      <alignment horizontal="left" readingOrder="0" shrinkToFit="0" vertical="bottom" wrapText="0"/>
    </xf>
    <xf borderId="14" fillId="0" fontId="12" numFmtId="4" xfId="0" applyAlignment="1" applyBorder="1" applyFont="1" applyNumberFormat="1">
      <alignment readingOrder="0" shrinkToFit="0" vertical="bottom" wrapText="0"/>
    </xf>
    <xf borderId="14" fillId="0" fontId="12" numFmtId="49" xfId="0" applyAlignment="1" applyBorder="1" applyFont="1" applyNumberFormat="1">
      <alignment horizontal="left" readingOrder="0" shrinkToFit="0" vertical="bottom" wrapText="0"/>
    </xf>
    <xf borderId="14" fillId="0" fontId="48" numFmtId="14" xfId="0" applyAlignment="1" applyBorder="1" applyFont="1" applyNumberFormat="1">
      <alignment horizontal="center" readingOrder="0" vertical="center"/>
    </xf>
    <xf borderId="19" fillId="0" fontId="10" numFmtId="0" xfId="0" applyAlignment="1" applyBorder="1" applyFont="1">
      <alignment readingOrder="0" vertical="center"/>
    </xf>
    <xf borderId="14" fillId="0" fontId="10" numFmtId="49" xfId="0" applyAlignment="1" applyBorder="1" applyFont="1" applyNumberFormat="1">
      <alignment horizontal="left" readingOrder="0" shrinkToFit="0" vertical="center" wrapText="1"/>
    </xf>
    <xf borderId="14" fillId="0" fontId="20" numFmtId="4" xfId="0" applyAlignment="1" applyBorder="1" applyFont="1" applyNumberFormat="1">
      <alignment horizontal="right" readingOrder="0" shrinkToFit="0" vertical="center" wrapText="1"/>
    </xf>
    <xf borderId="0" fillId="0" fontId="10" numFmtId="0" xfId="0" applyAlignment="1" applyFont="1">
      <alignment readingOrder="0"/>
    </xf>
    <xf borderId="14" fillId="0" fontId="39" numFmtId="4" xfId="0" applyAlignment="1" applyBorder="1" applyFont="1" applyNumberFormat="1">
      <alignment horizontal="right" readingOrder="0" shrinkToFit="0" vertical="center" wrapText="1"/>
    </xf>
    <xf borderId="20" fillId="0" fontId="10" numFmtId="0" xfId="0" applyAlignment="1" applyBorder="1" applyFont="1">
      <alignment readingOrder="0"/>
    </xf>
    <xf borderId="14" fillId="0" fontId="13" numFmtId="49" xfId="0" applyAlignment="1" applyBorder="1" applyFont="1" applyNumberFormat="1">
      <alignment horizontal="left" readingOrder="0" shrinkToFit="0" vertical="center" wrapText="1"/>
    </xf>
    <xf borderId="14" fillId="0" fontId="39" numFmtId="4" xfId="0" applyAlignment="1" applyBorder="1" applyFont="1" applyNumberFormat="1">
      <alignment horizontal="right" shrinkToFit="0" vertical="center" wrapText="1"/>
    </xf>
    <xf borderId="14" fillId="0" fontId="10" numFmtId="0" xfId="0" applyAlignment="1" applyBorder="1" applyFont="1">
      <alignment horizontal="left" readingOrder="0" shrinkToFit="0" vertical="center" wrapText="1"/>
    </xf>
    <xf borderId="14" fillId="0" fontId="10" numFmtId="0" xfId="0" applyAlignment="1" applyBorder="1" applyFont="1">
      <alignment horizontal="left" readingOrder="0" vertical="center"/>
    </xf>
    <xf borderId="14" fillId="0" fontId="42" numFmtId="0" xfId="0" applyAlignment="1" applyBorder="1" applyFont="1">
      <alignment horizontal="left" readingOrder="0" shrinkToFit="0" vertical="center" wrapText="1"/>
    </xf>
    <xf borderId="14" fillId="6" fontId="39" numFmtId="4" xfId="0" applyAlignment="1" applyBorder="1" applyFont="1" applyNumberFormat="1">
      <alignment horizontal="center" shrinkToFit="0" vertical="center" wrapText="1"/>
    </xf>
    <xf borderId="14" fillId="0" fontId="39" numFmtId="4" xfId="0" applyAlignment="1" applyBorder="1" applyFont="1" applyNumberFormat="1">
      <alignment shrinkToFit="0" vertical="center" wrapText="1"/>
    </xf>
    <xf borderId="21" fillId="0" fontId="39" numFmtId="4" xfId="0" applyAlignment="1" applyBorder="1" applyFont="1" applyNumberFormat="1">
      <alignment shrinkToFit="0" vertical="center" wrapText="1"/>
    </xf>
    <xf borderId="14" fillId="0" fontId="39" numFmtId="4" xfId="0" applyAlignment="1" applyBorder="1" applyFont="1" applyNumberFormat="1">
      <alignment horizontal="right" vertical="center"/>
    </xf>
    <xf borderId="21" fillId="0" fontId="39" numFmtId="4" xfId="0" applyAlignment="1" applyBorder="1" applyFont="1" applyNumberFormat="1">
      <alignment horizontal="right" vertical="center"/>
    </xf>
    <xf borderId="14" fillId="0" fontId="39" numFmtId="4" xfId="0" applyAlignment="1" applyBorder="1" applyFont="1" applyNumberFormat="1">
      <alignment horizontal="center" vertical="center"/>
    </xf>
    <xf borderId="21" fillId="0" fontId="39" numFmtId="4" xfId="0" applyAlignment="1" applyBorder="1" applyFont="1" applyNumberFormat="1">
      <alignment horizontal="center" vertical="center"/>
    </xf>
    <xf borderId="14" fillId="0" fontId="39" numFmtId="4" xfId="0" applyAlignment="1" applyBorder="1" applyFont="1" applyNumberFormat="1">
      <alignment vertical="center"/>
    </xf>
    <xf borderId="21" fillId="0" fontId="39" numFmtId="4" xfId="0" applyAlignment="1" applyBorder="1" applyFont="1" applyNumberFormat="1">
      <alignment vertical="center"/>
    </xf>
    <xf borderId="14" fillId="0" fontId="35" numFmtId="4" xfId="0" applyAlignment="1" applyBorder="1" applyFont="1" applyNumberFormat="1">
      <alignment vertical="center"/>
    </xf>
    <xf borderId="21" fillId="0" fontId="35" numFmtId="4" xfId="0" applyAlignment="1" applyBorder="1" applyFont="1" applyNumberFormat="1">
      <alignment vertical="center"/>
    </xf>
    <xf borderId="0" fillId="0" fontId="35" numFmtId="4" xfId="0" applyAlignment="1" applyFont="1" applyNumberFormat="1">
      <alignment vertical="center"/>
    </xf>
    <xf borderId="14" fillId="0" fontId="35" numFmtId="4" xfId="0" applyAlignment="1" applyBorder="1" applyFont="1" applyNumberFormat="1">
      <alignment horizontal="right" shrinkToFit="0" vertical="center" wrapText="1"/>
    </xf>
    <xf borderId="14" fillId="6" fontId="35" numFmtId="4" xfId="0" applyAlignment="1" applyBorder="1" applyFont="1" applyNumberFormat="1">
      <alignment horizontal="center" shrinkToFit="0" vertical="center" wrapText="1"/>
    </xf>
    <xf borderId="14" fillId="0" fontId="35" numFmtId="4" xfId="0" applyAlignment="1" applyBorder="1" applyFont="1" applyNumberFormat="1">
      <alignment shrinkToFit="0" vertical="center" wrapText="1"/>
    </xf>
    <xf borderId="14" fillId="0" fontId="35" numFmtId="4" xfId="0" applyAlignment="1" applyBorder="1" applyFont="1" applyNumberFormat="1">
      <alignment horizontal="right" vertical="center"/>
    </xf>
    <xf borderId="14" fillId="0" fontId="35" numFmtId="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1743075</xdr:colOff>
      <xdr:row>88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43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43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1743075</xdr:colOff>
      <xdr:row>78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38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38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1743075</xdr:colOff>
      <xdr:row>17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10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10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1743075</xdr:colOff>
      <xdr:row>18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11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11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1743075</xdr:colOff>
      <xdr:row>18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11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11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29"/>
    <col customWidth="1" min="2" max="2" width="15.14"/>
    <col customWidth="1" min="3" max="3" width="16.29"/>
    <col customWidth="1" min="4" max="4" width="42.14"/>
    <col customWidth="1" min="5" max="5" width="12.86"/>
    <col customWidth="1" min="6" max="6" width="10.71"/>
    <col customWidth="1" min="7" max="7" width="10.86"/>
    <col customWidth="1" min="8" max="13" width="13.0"/>
    <col customWidth="1" min="14" max="14" width="29.14"/>
    <col customWidth="1" min="15" max="15" width="13.57"/>
    <col customWidth="1" min="16" max="16" width="15.14"/>
    <col customWidth="1" min="17" max="17" width="43.0"/>
    <col customWidth="1" min="18" max="26" width="9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7" t="s">
        <v>8</v>
      </c>
      <c r="K1" s="6"/>
      <c r="L1" s="8" t="s">
        <v>9</v>
      </c>
      <c r="M1" s="6"/>
      <c r="N1" s="9" t="s">
        <v>10</v>
      </c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31.5" customHeight="1">
      <c r="A2" s="12"/>
      <c r="B2" s="13"/>
      <c r="C2" s="13"/>
      <c r="D2" s="13"/>
      <c r="E2" s="13"/>
      <c r="F2" s="13"/>
      <c r="G2" s="13"/>
      <c r="H2" s="14" t="s">
        <v>11</v>
      </c>
      <c r="I2" s="15" t="s">
        <v>12</v>
      </c>
      <c r="J2" s="16" t="s">
        <v>13</v>
      </c>
      <c r="K2" s="17" t="s">
        <v>14</v>
      </c>
      <c r="L2" s="18" t="s">
        <v>15</v>
      </c>
      <c r="M2" s="19" t="s">
        <v>16</v>
      </c>
      <c r="N2" s="20"/>
      <c r="O2" s="10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21"/>
      <c r="B3" s="22"/>
      <c r="C3" s="23"/>
      <c r="D3" s="24" t="s">
        <v>17</v>
      </c>
      <c r="E3" s="25"/>
      <c r="F3" s="26"/>
      <c r="G3" s="27"/>
      <c r="H3" s="28">
        <f t="shared" ref="H3:H6" si="1">F3*0.5+F3</f>
        <v>0</v>
      </c>
      <c r="I3" s="29">
        <f t="shared" ref="I3:I6" si="2">F3*0.3+F3</f>
        <v>0</v>
      </c>
      <c r="J3" s="30">
        <f t="shared" ref="J3:J6" si="3">F3*0.3+F3</f>
        <v>0</v>
      </c>
      <c r="K3" s="31">
        <f t="shared" ref="K3:K6" si="4">F3*0.2+F3</f>
        <v>0</v>
      </c>
      <c r="L3" s="30">
        <f t="shared" ref="L3:L6" si="5">F3*0.15+F3</f>
        <v>0</v>
      </c>
      <c r="M3" s="31">
        <f t="shared" ref="M3:M6" si="6">F3*0.1+F3</f>
        <v>0</v>
      </c>
      <c r="N3" s="32"/>
      <c r="O3" s="33"/>
    </row>
    <row r="4">
      <c r="A4" s="21"/>
      <c r="B4" s="22"/>
      <c r="C4" s="23"/>
      <c r="D4" s="24" t="s">
        <v>18</v>
      </c>
      <c r="E4" s="25"/>
      <c r="F4" s="26"/>
      <c r="G4" s="34"/>
      <c r="H4" s="28">
        <f t="shared" si="1"/>
        <v>0</v>
      </c>
      <c r="I4" s="29">
        <f t="shared" si="2"/>
        <v>0</v>
      </c>
      <c r="J4" s="30">
        <f t="shared" si="3"/>
        <v>0</v>
      </c>
      <c r="K4" s="31">
        <f t="shared" si="4"/>
        <v>0</v>
      </c>
      <c r="L4" s="30">
        <f t="shared" si="5"/>
        <v>0</v>
      </c>
      <c r="M4" s="31">
        <f t="shared" si="6"/>
        <v>0</v>
      </c>
      <c r="N4" s="32"/>
      <c r="O4" s="33"/>
    </row>
    <row r="5">
      <c r="A5" s="35"/>
      <c r="B5" s="22"/>
      <c r="C5" s="23"/>
      <c r="D5" s="24" t="s">
        <v>19</v>
      </c>
      <c r="E5" s="25"/>
      <c r="F5" s="26"/>
      <c r="G5" s="36"/>
      <c r="H5" s="28">
        <f t="shared" si="1"/>
        <v>0</v>
      </c>
      <c r="I5" s="29">
        <f t="shared" si="2"/>
        <v>0</v>
      </c>
      <c r="J5" s="30">
        <f t="shared" si="3"/>
        <v>0</v>
      </c>
      <c r="K5" s="31">
        <f t="shared" si="4"/>
        <v>0</v>
      </c>
      <c r="L5" s="30">
        <f t="shared" si="5"/>
        <v>0</v>
      </c>
      <c r="M5" s="31">
        <f t="shared" si="6"/>
        <v>0</v>
      </c>
      <c r="N5" s="32"/>
      <c r="O5" s="33"/>
    </row>
    <row r="6">
      <c r="A6" s="21"/>
      <c r="B6" s="22"/>
      <c r="C6" s="23"/>
      <c r="D6" s="37" t="s">
        <v>20</v>
      </c>
      <c r="E6" s="25"/>
      <c r="F6" s="26"/>
      <c r="G6" s="38"/>
      <c r="H6" s="28">
        <f t="shared" si="1"/>
        <v>0</v>
      </c>
      <c r="I6" s="29">
        <f t="shared" si="2"/>
        <v>0</v>
      </c>
      <c r="J6" s="30">
        <f t="shared" si="3"/>
        <v>0</v>
      </c>
      <c r="K6" s="31">
        <f t="shared" si="4"/>
        <v>0</v>
      </c>
      <c r="L6" s="30">
        <f t="shared" si="5"/>
        <v>0</v>
      </c>
      <c r="M6" s="31">
        <f t="shared" si="6"/>
        <v>0</v>
      </c>
      <c r="N6" s="32"/>
      <c r="O6" s="33"/>
    </row>
    <row r="7">
      <c r="A7" s="35"/>
      <c r="B7" s="22"/>
      <c r="C7" s="23"/>
      <c r="D7" s="37" t="s">
        <v>21</v>
      </c>
      <c r="E7" s="25"/>
      <c r="F7" s="26"/>
      <c r="G7" s="34"/>
      <c r="H7" s="28"/>
      <c r="I7" s="29"/>
      <c r="J7" s="30"/>
      <c r="K7" s="31"/>
      <c r="L7" s="30"/>
      <c r="M7" s="31"/>
      <c r="N7" s="32"/>
      <c r="O7" s="33"/>
    </row>
    <row r="8">
      <c r="A8" s="35"/>
      <c r="B8" s="22"/>
      <c r="C8" s="23"/>
      <c r="D8" s="24" t="s">
        <v>22</v>
      </c>
      <c r="E8" s="25"/>
      <c r="F8" s="39"/>
      <c r="G8" s="40"/>
      <c r="H8" s="28">
        <f>F8*0.5+F8</f>
        <v>0</v>
      </c>
      <c r="I8" s="29">
        <f>F8*0.3+F8</f>
        <v>0</v>
      </c>
      <c r="J8" s="30">
        <f>F8*0.3+F8</f>
        <v>0</v>
      </c>
      <c r="K8" s="31">
        <f>F8*0.2+F8</f>
        <v>0</v>
      </c>
      <c r="L8" s="30">
        <f>F8*0.15+F8</f>
        <v>0</v>
      </c>
      <c r="M8" s="31">
        <f>F8*0.1+F8</f>
        <v>0</v>
      </c>
      <c r="N8" s="32"/>
      <c r="O8" s="33"/>
    </row>
    <row r="9">
      <c r="A9" s="21"/>
      <c r="B9" s="22"/>
      <c r="C9" s="23"/>
      <c r="D9" s="37" t="s">
        <v>23</v>
      </c>
      <c r="E9" s="25"/>
      <c r="F9" s="39"/>
      <c r="G9" s="41">
        <v>95.0</v>
      </c>
      <c r="H9" s="28"/>
      <c r="I9" s="29"/>
      <c r="J9" s="30"/>
      <c r="K9" s="31"/>
      <c r="L9" s="30"/>
      <c r="M9" s="31"/>
      <c r="N9" s="32"/>
      <c r="O9" s="33"/>
    </row>
    <row r="10">
      <c r="A10" s="21"/>
      <c r="B10" s="22"/>
      <c r="C10" s="23"/>
      <c r="D10" s="24" t="s">
        <v>24</v>
      </c>
      <c r="E10" s="25"/>
      <c r="F10" s="39"/>
      <c r="G10" s="40"/>
      <c r="H10" s="28">
        <f t="shared" ref="H10:H11" si="7">F10*0.5+F10</f>
        <v>0</v>
      </c>
      <c r="I10" s="29">
        <f t="shared" ref="I10:I11" si="8">F10*0.3+F10</f>
        <v>0</v>
      </c>
      <c r="J10" s="30">
        <f t="shared" ref="J10:J11" si="9">F10*0.3+F10</f>
        <v>0</v>
      </c>
      <c r="K10" s="31">
        <f t="shared" ref="K10:K11" si="10">F10*0.2+F10</f>
        <v>0</v>
      </c>
      <c r="L10" s="30">
        <f t="shared" ref="L10:L11" si="11">F10*0.15+F10</f>
        <v>0</v>
      </c>
      <c r="M10" s="31">
        <f t="shared" ref="M10:M11" si="12">F10*0.1+F10</f>
        <v>0</v>
      </c>
      <c r="N10" s="32"/>
      <c r="O10" s="33"/>
    </row>
    <row r="11">
      <c r="A11" s="35"/>
      <c r="B11" s="22"/>
      <c r="C11" s="23"/>
      <c r="D11" s="24" t="s">
        <v>25</v>
      </c>
      <c r="E11" s="25"/>
      <c r="F11" s="39"/>
      <c r="G11" s="40"/>
      <c r="H11" s="28">
        <f t="shared" si="7"/>
        <v>0</v>
      </c>
      <c r="I11" s="29">
        <f t="shared" si="8"/>
        <v>0</v>
      </c>
      <c r="J11" s="30">
        <f t="shared" si="9"/>
        <v>0</v>
      </c>
      <c r="K11" s="31">
        <f t="shared" si="10"/>
        <v>0</v>
      </c>
      <c r="L11" s="30">
        <f t="shared" si="11"/>
        <v>0</v>
      </c>
      <c r="M11" s="31">
        <f t="shared" si="12"/>
        <v>0</v>
      </c>
      <c r="N11" s="32"/>
      <c r="O11" s="33"/>
    </row>
    <row r="12">
      <c r="A12" s="21"/>
      <c r="B12" s="22"/>
      <c r="C12" s="23"/>
      <c r="D12" s="37" t="s">
        <v>26</v>
      </c>
      <c r="E12" s="42"/>
      <c r="F12" s="43"/>
      <c r="G12" s="41">
        <v>30.0</v>
      </c>
      <c r="H12" s="28"/>
      <c r="I12" s="29"/>
      <c r="J12" s="30"/>
      <c r="K12" s="31"/>
      <c r="L12" s="30"/>
      <c r="M12" s="31"/>
      <c r="N12" s="32"/>
      <c r="O12" s="33"/>
    </row>
    <row r="13">
      <c r="A13" s="21"/>
      <c r="B13" s="22"/>
      <c r="C13" s="23"/>
      <c r="D13" s="24" t="s">
        <v>27</v>
      </c>
      <c r="E13" s="42"/>
      <c r="F13" s="43"/>
      <c r="G13" s="36"/>
      <c r="H13" s="28">
        <f t="shared" ref="H13:H24" si="13">F13*0.5+F13</f>
        <v>0</v>
      </c>
      <c r="I13" s="29">
        <f t="shared" ref="I13:I24" si="14">F13*0.3+F13</f>
        <v>0</v>
      </c>
      <c r="J13" s="30">
        <f t="shared" ref="J13:J24" si="15">F13*0.3+F13</f>
        <v>0</v>
      </c>
      <c r="K13" s="31">
        <f t="shared" ref="K13:K24" si="16">F13*0.2+F13</f>
        <v>0</v>
      </c>
      <c r="L13" s="30">
        <f t="shared" ref="L13:L24" si="17">F13*0.15+F13</f>
        <v>0</v>
      </c>
      <c r="M13" s="31">
        <f t="shared" ref="M13:M24" si="18">F13*0.1+F13</f>
        <v>0</v>
      </c>
      <c r="N13" s="32"/>
      <c r="O13" s="33"/>
    </row>
    <row r="14">
      <c r="A14" s="35"/>
      <c r="B14" s="44"/>
      <c r="C14" s="23"/>
      <c r="D14" s="45" t="s">
        <v>28</v>
      </c>
      <c r="E14" s="42"/>
      <c r="F14" s="43"/>
      <c r="G14" s="36"/>
      <c r="H14" s="28">
        <f t="shared" si="13"/>
        <v>0</v>
      </c>
      <c r="I14" s="29">
        <f t="shared" si="14"/>
        <v>0</v>
      </c>
      <c r="J14" s="30">
        <f t="shared" si="15"/>
        <v>0</v>
      </c>
      <c r="K14" s="31">
        <f t="shared" si="16"/>
        <v>0</v>
      </c>
      <c r="L14" s="30">
        <f t="shared" si="17"/>
        <v>0</v>
      </c>
      <c r="M14" s="31">
        <f t="shared" si="18"/>
        <v>0</v>
      </c>
      <c r="N14" s="32"/>
      <c r="O14" s="33"/>
    </row>
    <row r="15">
      <c r="A15" s="21"/>
      <c r="B15" s="22"/>
      <c r="C15" s="23"/>
      <c r="D15" s="46" t="s">
        <v>29</v>
      </c>
      <c r="E15" s="47"/>
      <c r="F15" s="48"/>
      <c r="G15" s="36"/>
      <c r="H15" s="28">
        <f t="shared" si="13"/>
        <v>0</v>
      </c>
      <c r="I15" s="29">
        <f t="shared" si="14"/>
        <v>0</v>
      </c>
      <c r="J15" s="30">
        <f t="shared" si="15"/>
        <v>0</v>
      </c>
      <c r="K15" s="31">
        <f t="shared" si="16"/>
        <v>0</v>
      </c>
      <c r="L15" s="30">
        <f t="shared" si="17"/>
        <v>0</v>
      </c>
      <c r="M15" s="31">
        <f t="shared" si="18"/>
        <v>0</v>
      </c>
      <c r="N15" s="32"/>
      <c r="O15" s="33"/>
    </row>
    <row r="16">
      <c r="A16" s="35"/>
      <c r="B16" s="22"/>
      <c r="C16" s="23"/>
      <c r="D16" s="46" t="s">
        <v>30</v>
      </c>
      <c r="E16" s="47"/>
      <c r="F16" s="48"/>
      <c r="G16" s="36"/>
      <c r="H16" s="28">
        <f t="shared" si="13"/>
        <v>0</v>
      </c>
      <c r="I16" s="29">
        <f t="shared" si="14"/>
        <v>0</v>
      </c>
      <c r="J16" s="30">
        <f t="shared" si="15"/>
        <v>0</v>
      </c>
      <c r="K16" s="31">
        <f t="shared" si="16"/>
        <v>0</v>
      </c>
      <c r="L16" s="30">
        <f t="shared" si="17"/>
        <v>0</v>
      </c>
      <c r="M16" s="31">
        <f t="shared" si="18"/>
        <v>0</v>
      </c>
      <c r="N16" s="32"/>
      <c r="O16" s="33"/>
    </row>
    <row r="17">
      <c r="A17" s="21"/>
      <c r="B17" s="22"/>
      <c r="C17" s="23"/>
      <c r="D17" s="46" t="s">
        <v>31</v>
      </c>
      <c r="E17" s="47"/>
      <c r="F17" s="48"/>
      <c r="G17" s="34"/>
      <c r="H17" s="28">
        <f t="shared" si="13"/>
        <v>0</v>
      </c>
      <c r="I17" s="29">
        <f t="shared" si="14"/>
        <v>0</v>
      </c>
      <c r="J17" s="30">
        <f t="shared" si="15"/>
        <v>0</v>
      </c>
      <c r="K17" s="31">
        <f t="shared" si="16"/>
        <v>0</v>
      </c>
      <c r="L17" s="30">
        <f t="shared" si="17"/>
        <v>0</v>
      </c>
      <c r="M17" s="31">
        <f t="shared" si="18"/>
        <v>0</v>
      </c>
      <c r="N17" s="32"/>
      <c r="O17" s="33"/>
    </row>
    <row r="18">
      <c r="A18" s="35"/>
      <c r="B18" s="22"/>
      <c r="C18" s="23"/>
      <c r="D18" s="46" t="s">
        <v>32</v>
      </c>
      <c r="E18" s="25"/>
      <c r="F18" s="26"/>
      <c r="G18" s="34"/>
      <c r="H18" s="28">
        <f t="shared" si="13"/>
        <v>0</v>
      </c>
      <c r="I18" s="29">
        <f t="shared" si="14"/>
        <v>0</v>
      </c>
      <c r="J18" s="30">
        <f t="shared" si="15"/>
        <v>0</v>
      </c>
      <c r="K18" s="31">
        <f t="shared" si="16"/>
        <v>0</v>
      </c>
      <c r="L18" s="30">
        <f t="shared" si="17"/>
        <v>0</v>
      </c>
      <c r="M18" s="31">
        <f t="shared" si="18"/>
        <v>0</v>
      </c>
      <c r="N18" s="32"/>
      <c r="O18" s="33"/>
    </row>
    <row r="19">
      <c r="A19" s="21"/>
      <c r="B19" s="22"/>
      <c r="C19" s="23"/>
      <c r="D19" s="46" t="s">
        <v>33</v>
      </c>
      <c r="E19" s="25"/>
      <c r="F19" s="39"/>
      <c r="G19" s="34"/>
      <c r="H19" s="28">
        <f t="shared" si="13"/>
        <v>0</v>
      </c>
      <c r="I19" s="29">
        <f t="shared" si="14"/>
        <v>0</v>
      </c>
      <c r="J19" s="30">
        <f t="shared" si="15"/>
        <v>0</v>
      </c>
      <c r="K19" s="31">
        <f t="shared" si="16"/>
        <v>0</v>
      </c>
      <c r="L19" s="30">
        <f t="shared" si="17"/>
        <v>0</v>
      </c>
      <c r="M19" s="31">
        <f t="shared" si="18"/>
        <v>0</v>
      </c>
      <c r="N19" s="32"/>
      <c r="O19" s="33"/>
    </row>
    <row r="20">
      <c r="A20" s="35"/>
      <c r="B20" s="22"/>
      <c r="C20" s="23"/>
      <c r="D20" s="46" t="s">
        <v>34</v>
      </c>
      <c r="E20" s="25"/>
      <c r="F20" s="39"/>
      <c r="G20" s="34"/>
      <c r="H20" s="28">
        <f t="shared" si="13"/>
        <v>0</v>
      </c>
      <c r="I20" s="29">
        <f t="shared" si="14"/>
        <v>0</v>
      </c>
      <c r="J20" s="30">
        <f t="shared" si="15"/>
        <v>0</v>
      </c>
      <c r="K20" s="31">
        <f t="shared" si="16"/>
        <v>0</v>
      </c>
      <c r="L20" s="30">
        <f t="shared" si="17"/>
        <v>0</v>
      </c>
      <c r="M20" s="31">
        <f t="shared" si="18"/>
        <v>0</v>
      </c>
      <c r="N20" s="32"/>
      <c r="O20" s="33"/>
    </row>
    <row r="21">
      <c r="A21" s="21"/>
      <c r="B21" s="22"/>
      <c r="C21" s="23"/>
      <c r="D21" s="46" t="s">
        <v>35</v>
      </c>
      <c r="E21" s="25"/>
      <c r="F21" s="39"/>
      <c r="G21" s="36"/>
      <c r="H21" s="28">
        <f t="shared" si="13"/>
        <v>0</v>
      </c>
      <c r="I21" s="29">
        <f t="shared" si="14"/>
        <v>0</v>
      </c>
      <c r="J21" s="30">
        <f t="shared" si="15"/>
        <v>0</v>
      </c>
      <c r="K21" s="31">
        <f t="shared" si="16"/>
        <v>0</v>
      </c>
      <c r="L21" s="30">
        <f t="shared" si="17"/>
        <v>0</v>
      </c>
      <c r="M21" s="31">
        <f t="shared" si="18"/>
        <v>0</v>
      </c>
      <c r="N21" s="32"/>
      <c r="O21" s="33"/>
    </row>
    <row r="22">
      <c r="A22" s="35"/>
      <c r="B22" s="22"/>
      <c r="C22" s="23"/>
      <c r="D22" s="46" t="s">
        <v>36</v>
      </c>
      <c r="E22" s="25"/>
      <c r="F22" s="39"/>
      <c r="G22" s="36"/>
      <c r="H22" s="28">
        <f t="shared" si="13"/>
        <v>0</v>
      </c>
      <c r="I22" s="29">
        <f t="shared" si="14"/>
        <v>0</v>
      </c>
      <c r="J22" s="30">
        <f t="shared" si="15"/>
        <v>0</v>
      </c>
      <c r="K22" s="31">
        <f t="shared" si="16"/>
        <v>0</v>
      </c>
      <c r="L22" s="30">
        <f t="shared" si="17"/>
        <v>0</v>
      </c>
      <c r="M22" s="31">
        <f t="shared" si="18"/>
        <v>0</v>
      </c>
      <c r="N22" s="32"/>
      <c r="O22" s="33"/>
    </row>
    <row r="23">
      <c r="A23" s="21"/>
      <c r="B23" s="22"/>
      <c r="C23" s="23"/>
      <c r="D23" s="46" t="s">
        <v>37</v>
      </c>
      <c r="E23" s="25"/>
      <c r="F23" s="39"/>
      <c r="G23" s="34"/>
      <c r="H23" s="28">
        <f t="shared" si="13"/>
        <v>0</v>
      </c>
      <c r="I23" s="29">
        <f t="shared" si="14"/>
        <v>0</v>
      </c>
      <c r="J23" s="30">
        <f t="shared" si="15"/>
        <v>0</v>
      </c>
      <c r="K23" s="31">
        <f t="shared" si="16"/>
        <v>0</v>
      </c>
      <c r="L23" s="30">
        <f t="shared" si="17"/>
        <v>0</v>
      </c>
      <c r="M23" s="31">
        <f t="shared" si="18"/>
        <v>0</v>
      </c>
      <c r="N23" s="32"/>
      <c r="O23" s="33"/>
    </row>
    <row r="24" ht="15.75" customHeight="1">
      <c r="A24" s="35"/>
      <c r="B24" s="22"/>
      <c r="C24" s="23"/>
      <c r="D24" s="49" t="s">
        <v>38</v>
      </c>
      <c r="E24" s="25"/>
      <c r="F24" s="39"/>
      <c r="G24" s="41">
        <v>4.0</v>
      </c>
      <c r="H24" s="28">
        <f t="shared" si="13"/>
        <v>0</v>
      </c>
      <c r="I24" s="29">
        <f t="shared" si="14"/>
        <v>0</v>
      </c>
      <c r="J24" s="30">
        <f t="shared" si="15"/>
        <v>0</v>
      </c>
      <c r="K24" s="31">
        <f t="shared" si="16"/>
        <v>0</v>
      </c>
      <c r="L24" s="30">
        <f t="shared" si="17"/>
        <v>0</v>
      </c>
      <c r="M24" s="31">
        <f t="shared" si="18"/>
        <v>0</v>
      </c>
      <c r="N24" s="32"/>
      <c r="O24" s="33"/>
    </row>
    <row r="25" ht="15.75" customHeight="1">
      <c r="A25" s="21"/>
      <c r="B25" s="22"/>
      <c r="C25" s="23"/>
      <c r="D25" s="37" t="s">
        <v>39</v>
      </c>
      <c r="E25" s="25"/>
      <c r="F25" s="39"/>
      <c r="G25" s="41">
        <v>550.0</v>
      </c>
      <c r="H25" s="28"/>
      <c r="I25" s="29"/>
      <c r="J25" s="30"/>
      <c r="K25" s="31"/>
      <c r="L25" s="30"/>
      <c r="M25" s="31"/>
      <c r="N25" s="32"/>
      <c r="O25" s="33"/>
    </row>
    <row r="26" ht="15.75" customHeight="1">
      <c r="A26" s="21"/>
      <c r="B26" s="22"/>
      <c r="C26" s="23"/>
      <c r="D26" s="37" t="s">
        <v>40</v>
      </c>
      <c r="E26" s="25"/>
      <c r="F26" s="39"/>
      <c r="G26" s="41">
        <v>760.0</v>
      </c>
      <c r="H26" s="28"/>
      <c r="I26" s="29"/>
      <c r="J26" s="30"/>
      <c r="K26" s="31"/>
      <c r="L26" s="30"/>
      <c r="M26" s="31"/>
      <c r="N26" s="32"/>
      <c r="O26" s="33"/>
    </row>
    <row r="27" ht="15.75" customHeight="1">
      <c r="A27" s="21"/>
      <c r="B27" s="22"/>
      <c r="C27" s="23"/>
      <c r="D27" s="24" t="s">
        <v>41</v>
      </c>
      <c r="E27" s="25"/>
      <c r="F27" s="39"/>
      <c r="G27" s="40"/>
      <c r="H27" s="28">
        <f t="shared" ref="H27:H28" si="19">F27*0.5+F27</f>
        <v>0</v>
      </c>
      <c r="I27" s="29">
        <f t="shared" ref="I27:I28" si="20">F27*0.3+F27</f>
        <v>0</v>
      </c>
      <c r="J27" s="30">
        <f t="shared" ref="J27:J28" si="21">F27*0.3+F27</f>
        <v>0</v>
      </c>
      <c r="K27" s="31">
        <f t="shared" ref="K27:K28" si="22">F27*0.2+F27</f>
        <v>0</v>
      </c>
      <c r="L27" s="30">
        <f t="shared" ref="L27:L28" si="23">F27*0.15+F27</f>
        <v>0</v>
      </c>
      <c r="M27" s="31">
        <f t="shared" ref="M27:M28" si="24">F27*0.1+F27</f>
        <v>0</v>
      </c>
      <c r="N27" s="32"/>
      <c r="O27" s="33"/>
    </row>
    <row r="28" ht="15.75" customHeight="1">
      <c r="A28" s="35"/>
      <c r="B28" s="22"/>
      <c r="C28" s="23"/>
      <c r="D28" s="37" t="s">
        <v>42</v>
      </c>
      <c r="E28" s="25"/>
      <c r="F28" s="26"/>
      <c r="G28" s="50"/>
      <c r="H28" s="28">
        <f t="shared" si="19"/>
        <v>0</v>
      </c>
      <c r="I28" s="29">
        <f t="shared" si="20"/>
        <v>0</v>
      </c>
      <c r="J28" s="30">
        <f t="shared" si="21"/>
        <v>0</v>
      </c>
      <c r="K28" s="31">
        <f t="shared" si="22"/>
        <v>0</v>
      </c>
      <c r="L28" s="30">
        <f t="shared" si="23"/>
        <v>0</v>
      </c>
      <c r="M28" s="31">
        <f t="shared" si="24"/>
        <v>0</v>
      </c>
      <c r="N28" s="32"/>
      <c r="O28" s="33"/>
    </row>
    <row r="29" ht="15.75" customHeight="1">
      <c r="A29" s="21"/>
      <c r="B29" s="22"/>
      <c r="C29" s="23"/>
      <c r="D29" s="37" t="s">
        <v>43</v>
      </c>
      <c r="E29" s="25"/>
      <c r="F29" s="39"/>
      <c r="G29" s="41">
        <v>55.0</v>
      </c>
      <c r="H29" s="28"/>
      <c r="I29" s="29"/>
      <c r="J29" s="30"/>
      <c r="K29" s="31"/>
      <c r="L29" s="30"/>
      <c r="M29" s="31"/>
      <c r="N29" s="32"/>
      <c r="O29" s="33"/>
    </row>
    <row r="30" ht="15.75" customHeight="1">
      <c r="A30" s="21"/>
      <c r="B30" s="22"/>
      <c r="C30" s="23"/>
      <c r="D30" s="24" t="s">
        <v>44</v>
      </c>
      <c r="E30" s="25"/>
      <c r="F30" s="39"/>
      <c r="G30" s="40"/>
      <c r="H30" s="28">
        <f t="shared" ref="H30:H45" si="25">F30*0.5+F30</f>
        <v>0</v>
      </c>
      <c r="I30" s="29">
        <f t="shared" ref="I30:I45" si="26">F30*0.3+F30</f>
        <v>0</v>
      </c>
      <c r="J30" s="30">
        <f t="shared" ref="J30:J45" si="27">F30*0.3+F30</f>
        <v>0</v>
      </c>
      <c r="K30" s="31">
        <f t="shared" ref="K30:K45" si="28">F30*0.2+F30</f>
        <v>0</v>
      </c>
      <c r="L30" s="30">
        <f t="shared" ref="L30:L45" si="29">F30*0.15+F30</f>
        <v>0</v>
      </c>
      <c r="M30" s="31">
        <f t="shared" ref="M30:M45" si="30">F30*0.1+F30</f>
        <v>0</v>
      </c>
      <c r="N30" s="32"/>
      <c r="O30" s="33"/>
    </row>
    <row r="31" ht="15.75" customHeight="1">
      <c r="A31" s="35"/>
      <c r="B31" s="22"/>
      <c r="C31" s="23"/>
      <c r="D31" s="46" t="s">
        <v>45</v>
      </c>
      <c r="E31" s="25"/>
      <c r="F31" s="39"/>
      <c r="G31" s="40"/>
      <c r="H31" s="28">
        <f t="shared" si="25"/>
        <v>0</v>
      </c>
      <c r="I31" s="29">
        <f t="shared" si="26"/>
        <v>0</v>
      </c>
      <c r="J31" s="30">
        <f t="shared" si="27"/>
        <v>0</v>
      </c>
      <c r="K31" s="31">
        <f t="shared" si="28"/>
        <v>0</v>
      </c>
      <c r="L31" s="30">
        <f t="shared" si="29"/>
        <v>0</v>
      </c>
      <c r="M31" s="31">
        <f t="shared" si="30"/>
        <v>0</v>
      </c>
      <c r="N31" s="32"/>
      <c r="O31" s="33"/>
    </row>
    <row r="32" ht="15.75" customHeight="1">
      <c r="A32" s="21"/>
      <c r="B32" s="22"/>
      <c r="C32" s="23"/>
      <c r="D32" s="46" t="s">
        <v>46</v>
      </c>
      <c r="E32" s="25"/>
      <c r="F32" s="39"/>
      <c r="G32" s="40"/>
      <c r="H32" s="28">
        <f t="shared" si="25"/>
        <v>0</v>
      </c>
      <c r="I32" s="29">
        <f t="shared" si="26"/>
        <v>0</v>
      </c>
      <c r="J32" s="30">
        <f t="shared" si="27"/>
        <v>0</v>
      </c>
      <c r="K32" s="31">
        <f t="shared" si="28"/>
        <v>0</v>
      </c>
      <c r="L32" s="30">
        <f t="shared" si="29"/>
        <v>0</v>
      </c>
      <c r="M32" s="31">
        <f t="shared" si="30"/>
        <v>0</v>
      </c>
      <c r="N32" s="32"/>
      <c r="O32" s="33"/>
    </row>
    <row r="33" ht="15.75" customHeight="1">
      <c r="A33" s="35"/>
      <c r="B33" s="22"/>
      <c r="C33" s="23"/>
      <c r="D33" s="25" t="s">
        <v>47</v>
      </c>
      <c r="E33" s="25"/>
      <c r="F33" s="39"/>
      <c r="G33" s="40"/>
      <c r="H33" s="28">
        <f t="shared" si="25"/>
        <v>0</v>
      </c>
      <c r="I33" s="29">
        <f t="shared" si="26"/>
        <v>0</v>
      </c>
      <c r="J33" s="30">
        <f t="shared" si="27"/>
        <v>0</v>
      </c>
      <c r="K33" s="31">
        <f t="shared" si="28"/>
        <v>0</v>
      </c>
      <c r="L33" s="30">
        <f t="shared" si="29"/>
        <v>0</v>
      </c>
      <c r="M33" s="31">
        <f t="shared" si="30"/>
        <v>0</v>
      </c>
      <c r="N33" s="32"/>
      <c r="O33" s="33"/>
    </row>
    <row r="34" ht="15.75" customHeight="1">
      <c r="A34" s="21"/>
      <c r="B34" s="22"/>
      <c r="C34" s="23"/>
      <c r="D34" s="24" t="s">
        <v>48</v>
      </c>
      <c r="E34" s="25"/>
      <c r="F34" s="26"/>
      <c r="G34" s="50"/>
      <c r="H34" s="28">
        <f t="shared" si="25"/>
        <v>0</v>
      </c>
      <c r="I34" s="29">
        <f t="shared" si="26"/>
        <v>0</v>
      </c>
      <c r="J34" s="30">
        <f t="shared" si="27"/>
        <v>0</v>
      </c>
      <c r="K34" s="31">
        <f t="shared" si="28"/>
        <v>0</v>
      </c>
      <c r="L34" s="30">
        <f t="shared" si="29"/>
        <v>0</v>
      </c>
      <c r="M34" s="31">
        <f t="shared" si="30"/>
        <v>0</v>
      </c>
      <c r="N34" s="32"/>
      <c r="O34" s="33"/>
    </row>
    <row r="35" ht="15.75" customHeight="1">
      <c r="A35" s="35"/>
      <c r="B35" s="22"/>
      <c r="C35" s="23"/>
      <c r="D35" s="24" t="s">
        <v>49</v>
      </c>
      <c r="E35" s="25"/>
      <c r="F35" s="39"/>
      <c r="G35" s="40"/>
      <c r="H35" s="28">
        <f t="shared" si="25"/>
        <v>0</v>
      </c>
      <c r="I35" s="29">
        <f t="shared" si="26"/>
        <v>0</v>
      </c>
      <c r="J35" s="30">
        <f t="shared" si="27"/>
        <v>0</v>
      </c>
      <c r="K35" s="31">
        <f t="shared" si="28"/>
        <v>0</v>
      </c>
      <c r="L35" s="30">
        <f t="shared" si="29"/>
        <v>0</v>
      </c>
      <c r="M35" s="31">
        <f t="shared" si="30"/>
        <v>0</v>
      </c>
      <c r="N35" s="32"/>
      <c r="O35" s="33"/>
    </row>
    <row r="36" ht="15.75" customHeight="1">
      <c r="A36" s="21"/>
      <c r="B36" s="22"/>
      <c r="C36" s="23"/>
      <c r="D36" s="46" t="s">
        <v>50</v>
      </c>
      <c r="E36" s="47"/>
      <c r="F36" s="48"/>
      <c r="G36" s="40"/>
      <c r="H36" s="28">
        <f t="shared" si="25"/>
        <v>0</v>
      </c>
      <c r="I36" s="29">
        <f t="shared" si="26"/>
        <v>0</v>
      </c>
      <c r="J36" s="30">
        <f t="shared" si="27"/>
        <v>0</v>
      </c>
      <c r="K36" s="31">
        <f t="shared" si="28"/>
        <v>0</v>
      </c>
      <c r="L36" s="30">
        <f t="shared" si="29"/>
        <v>0</v>
      </c>
      <c r="M36" s="31">
        <f t="shared" si="30"/>
        <v>0</v>
      </c>
      <c r="N36" s="32"/>
      <c r="O36" s="33"/>
    </row>
    <row r="37" ht="15.75" customHeight="1">
      <c r="A37" s="35"/>
      <c r="B37" s="44"/>
      <c r="C37" s="23"/>
      <c r="D37" s="24" t="s">
        <v>51</v>
      </c>
      <c r="E37" s="47"/>
      <c r="F37" s="48"/>
      <c r="G37" s="50"/>
      <c r="H37" s="28">
        <f t="shared" si="25"/>
        <v>0</v>
      </c>
      <c r="I37" s="29">
        <f t="shared" si="26"/>
        <v>0</v>
      </c>
      <c r="J37" s="30">
        <f t="shared" si="27"/>
        <v>0</v>
      </c>
      <c r="K37" s="31">
        <f t="shared" si="28"/>
        <v>0</v>
      </c>
      <c r="L37" s="30">
        <f t="shared" si="29"/>
        <v>0</v>
      </c>
      <c r="M37" s="31">
        <f t="shared" si="30"/>
        <v>0</v>
      </c>
      <c r="N37" s="32"/>
      <c r="O37" s="33"/>
    </row>
    <row r="38" ht="15.75" customHeight="1">
      <c r="A38" s="21"/>
      <c r="B38" s="22"/>
      <c r="C38" s="23"/>
      <c r="D38" s="24" t="s">
        <v>52</v>
      </c>
      <c r="E38" s="42"/>
      <c r="F38" s="39"/>
      <c r="G38" s="40"/>
      <c r="H38" s="28">
        <f t="shared" si="25"/>
        <v>0</v>
      </c>
      <c r="I38" s="29">
        <f t="shared" si="26"/>
        <v>0</v>
      </c>
      <c r="J38" s="30">
        <f t="shared" si="27"/>
        <v>0</v>
      </c>
      <c r="K38" s="31">
        <f t="shared" si="28"/>
        <v>0</v>
      </c>
      <c r="L38" s="30">
        <f t="shared" si="29"/>
        <v>0</v>
      </c>
      <c r="M38" s="31">
        <f t="shared" si="30"/>
        <v>0</v>
      </c>
      <c r="N38" s="32"/>
      <c r="O38" s="33"/>
    </row>
    <row r="39" ht="15.75" customHeight="1">
      <c r="A39" s="35"/>
      <c r="B39" s="22"/>
      <c r="C39" s="23"/>
      <c r="D39" s="46" t="s">
        <v>53</v>
      </c>
      <c r="E39" s="42"/>
      <c r="F39" s="39"/>
      <c r="G39" s="40"/>
      <c r="H39" s="28">
        <f t="shared" si="25"/>
        <v>0</v>
      </c>
      <c r="I39" s="29">
        <f t="shared" si="26"/>
        <v>0</v>
      </c>
      <c r="J39" s="30">
        <f t="shared" si="27"/>
        <v>0</v>
      </c>
      <c r="K39" s="31">
        <f t="shared" si="28"/>
        <v>0</v>
      </c>
      <c r="L39" s="30">
        <f t="shared" si="29"/>
        <v>0</v>
      </c>
      <c r="M39" s="31">
        <f t="shared" si="30"/>
        <v>0</v>
      </c>
      <c r="N39" s="32"/>
      <c r="O39" s="33"/>
    </row>
    <row r="40" ht="15.75" customHeight="1">
      <c r="A40" s="21"/>
      <c r="B40" s="22"/>
      <c r="C40" s="23"/>
      <c r="D40" s="24" t="s">
        <v>54</v>
      </c>
      <c r="E40" s="42"/>
      <c r="F40" s="39"/>
      <c r="G40" s="40"/>
      <c r="H40" s="28">
        <f t="shared" si="25"/>
        <v>0</v>
      </c>
      <c r="I40" s="29">
        <f t="shared" si="26"/>
        <v>0</v>
      </c>
      <c r="J40" s="30">
        <f t="shared" si="27"/>
        <v>0</v>
      </c>
      <c r="K40" s="31">
        <f t="shared" si="28"/>
        <v>0</v>
      </c>
      <c r="L40" s="30">
        <f t="shared" si="29"/>
        <v>0</v>
      </c>
      <c r="M40" s="31">
        <f t="shared" si="30"/>
        <v>0</v>
      </c>
      <c r="N40" s="32"/>
      <c r="O40" s="33"/>
    </row>
    <row r="41" ht="15.75" customHeight="1">
      <c r="A41" s="21"/>
      <c r="B41" s="22"/>
      <c r="C41" s="23"/>
      <c r="D41" s="46" t="s">
        <v>55</v>
      </c>
      <c r="E41" s="47"/>
      <c r="F41" s="48"/>
      <c r="G41" s="40"/>
      <c r="H41" s="28">
        <f t="shared" si="25"/>
        <v>0</v>
      </c>
      <c r="I41" s="29">
        <f t="shared" si="26"/>
        <v>0</v>
      </c>
      <c r="J41" s="30">
        <f t="shared" si="27"/>
        <v>0</v>
      </c>
      <c r="K41" s="31">
        <f t="shared" si="28"/>
        <v>0</v>
      </c>
      <c r="L41" s="30">
        <f t="shared" si="29"/>
        <v>0</v>
      </c>
      <c r="M41" s="31">
        <f t="shared" si="30"/>
        <v>0</v>
      </c>
      <c r="N41" s="32"/>
      <c r="O41" s="33"/>
    </row>
    <row r="42" ht="15.75" customHeight="1">
      <c r="A42" s="21"/>
      <c r="B42" s="22"/>
      <c r="C42" s="23"/>
      <c r="D42" s="24" t="s">
        <v>56</v>
      </c>
      <c r="E42" s="42"/>
      <c r="F42" s="39"/>
      <c r="G42" s="40"/>
      <c r="H42" s="28">
        <f t="shared" si="25"/>
        <v>0</v>
      </c>
      <c r="I42" s="29">
        <f t="shared" si="26"/>
        <v>0</v>
      </c>
      <c r="J42" s="30">
        <f t="shared" si="27"/>
        <v>0</v>
      </c>
      <c r="K42" s="31">
        <f t="shared" si="28"/>
        <v>0</v>
      </c>
      <c r="L42" s="30">
        <f t="shared" si="29"/>
        <v>0</v>
      </c>
      <c r="M42" s="31">
        <f t="shared" si="30"/>
        <v>0</v>
      </c>
      <c r="N42" s="32"/>
      <c r="O42" s="33"/>
    </row>
    <row r="43" ht="15.75" customHeight="1">
      <c r="A43" s="21"/>
      <c r="B43" s="22"/>
      <c r="C43" s="23"/>
      <c r="D43" s="24" t="s">
        <v>57</v>
      </c>
      <c r="E43" s="42"/>
      <c r="F43" s="39"/>
      <c r="G43" s="40"/>
      <c r="H43" s="28">
        <f t="shared" si="25"/>
        <v>0</v>
      </c>
      <c r="I43" s="29">
        <f t="shared" si="26"/>
        <v>0</v>
      </c>
      <c r="J43" s="30">
        <f t="shared" si="27"/>
        <v>0</v>
      </c>
      <c r="K43" s="31">
        <f t="shared" si="28"/>
        <v>0</v>
      </c>
      <c r="L43" s="30">
        <f t="shared" si="29"/>
        <v>0</v>
      </c>
      <c r="M43" s="31">
        <f t="shared" si="30"/>
        <v>0</v>
      </c>
      <c r="N43" s="32"/>
      <c r="O43" s="33"/>
    </row>
    <row r="44" ht="15.75" customHeight="1">
      <c r="A44" s="21"/>
      <c r="B44" s="22"/>
      <c r="C44" s="51" t="s">
        <v>58</v>
      </c>
      <c r="D44" s="24" t="s">
        <v>59</v>
      </c>
      <c r="E44" s="42"/>
      <c r="F44" s="52"/>
      <c r="G44" s="40"/>
      <c r="H44" s="28">
        <f t="shared" si="25"/>
        <v>0</v>
      </c>
      <c r="I44" s="29">
        <f t="shared" si="26"/>
        <v>0</v>
      </c>
      <c r="J44" s="30">
        <f t="shared" si="27"/>
        <v>0</v>
      </c>
      <c r="K44" s="31">
        <f t="shared" si="28"/>
        <v>0</v>
      </c>
      <c r="L44" s="30">
        <f t="shared" si="29"/>
        <v>0</v>
      </c>
      <c r="M44" s="31">
        <f t="shared" si="30"/>
        <v>0</v>
      </c>
      <c r="N44" s="32"/>
      <c r="O44" s="33"/>
    </row>
    <row r="45" ht="15.75" customHeight="1">
      <c r="A45" s="21"/>
      <c r="B45" s="22"/>
      <c r="C45" s="23"/>
      <c r="D45" s="24" t="s">
        <v>60</v>
      </c>
      <c r="E45" s="42"/>
      <c r="F45" s="39"/>
      <c r="G45" s="50"/>
      <c r="H45" s="28">
        <f t="shared" si="25"/>
        <v>0</v>
      </c>
      <c r="I45" s="29">
        <f t="shared" si="26"/>
        <v>0</v>
      </c>
      <c r="J45" s="30">
        <f t="shared" si="27"/>
        <v>0</v>
      </c>
      <c r="K45" s="31">
        <f t="shared" si="28"/>
        <v>0</v>
      </c>
      <c r="L45" s="30">
        <f t="shared" si="29"/>
        <v>0</v>
      </c>
      <c r="M45" s="31">
        <f t="shared" si="30"/>
        <v>0</v>
      </c>
      <c r="N45" s="32"/>
      <c r="O45" s="33"/>
    </row>
    <row r="46" ht="15.75" customHeight="1">
      <c r="A46" s="21"/>
      <c r="B46" s="22"/>
      <c r="C46" s="23"/>
      <c r="D46" s="37" t="s">
        <v>61</v>
      </c>
      <c r="E46" s="42"/>
      <c r="F46" s="39"/>
      <c r="G46" s="41">
        <v>2.0</v>
      </c>
      <c r="H46" s="28"/>
      <c r="I46" s="29"/>
      <c r="J46" s="30"/>
      <c r="K46" s="31"/>
      <c r="L46" s="30"/>
      <c r="M46" s="31"/>
      <c r="N46" s="32"/>
      <c r="O46" s="33"/>
    </row>
    <row r="47" ht="15.75" customHeight="1">
      <c r="A47" s="21"/>
      <c r="B47" s="22"/>
      <c r="C47" s="23"/>
      <c r="D47" s="37" t="s">
        <v>62</v>
      </c>
      <c r="E47" s="42"/>
      <c r="F47" s="39"/>
      <c r="G47" s="41"/>
      <c r="H47" s="28">
        <f>F47*0.5+F47</f>
        <v>0</v>
      </c>
      <c r="I47" s="29">
        <f>F47*0.3+F47</f>
        <v>0</v>
      </c>
      <c r="J47" s="30">
        <f>F47*0.3+F47</f>
        <v>0</v>
      </c>
      <c r="K47" s="31">
        <f>F47*0.2+F47</f>
        <v>0</v>
      </c>
      <c r="L47" s="30">
        <f>F47*0.15+F47</f>
        <v>0</v>
      </c>
      <c r="M47" s="31">
        <f>F47*0.1+F47</f>
        <v>0</v>
      </c>
      <c r="N47" s="32"/>
      <c r="O47" s="33"/>
    </row>
    <row r="48" ht="15.75" customHeight="1">
      <c r="A48" s="21"/>
      <c r="B48" s="22"/>
      <c r="C48" s="53"/>
      <c r="D48" s="37" t="s">
        <v>63</v>
      </c>
      <c r="E48" s="42"/>
      <c r="F48" s="39"/>
      <c r="G48" s="41">
        <v>150.0</v>
      </c>
      <c r="H48" s="28"/>
      <c r="I48" s="29"/>
      <c r="J48" s="30"/>
      <c r="K48" s="31"/>
      <c r="L48" s="30"/>
      <c r="M48" s="31"/>
      <c r="N48" s="32"/>
      <c r="O48" s="33"/>
    </row>
    <row r="49" ht="15.75" customHeight="1">
      <c r="A49" s="21"/>
      <c r="B49" s="22"/>
      <c r="C49" s="53"/>
      <c r="D49" s="37" t="s">
        <v>64</v>
      </c>
      <c r="E49" s="42"/>
      <c r="F49" s="39"/>
      <c r="G49" s="41">
        <v>2.0</v>
      </c>
      <c r="H49" s="28"/>
      <c r="I49" s="29"/>
      <c r="J49" s="30"/>
      <c r="K49" s="31"/>
      <c r="L49" s="30"/>
      <c r="M49" s="31"/>
      <c r="N49" s="32"/>
      <c r="O49" s="33"/>
    </row>
    <row r="50" ht="15.75" customHeight="1">
      <c r="A50" s="21"/>
      <c r="B50" s="22"/>
      <c r="C50" s="53"/>
      <c r="D50" s="24" t="s">
        <v>65</v>
      </c>
      <c r="E50" s="42"/>
      <c r="F50" s="39"/>
      <c r="G50" s="40"/>
      <c r="H50" s="28">
        <f t="shared" ref="H50:H51" si="31">F50*0.5+F50</f>
        <v>0</v>
      </c>
      <c r="I50" s="29">
        <f t="shared" ref="I50:I51" si="32">F50*0.3+F50</f>
        <v>0</v>
      </c>
      <c r="J50" s="30">
        <f t="shared" ref="J50:J51" si="33">F50*0.3+F50</f>
        <v>0</v>
      </c>
      <c r="K50" s="31">
        <f t="shared" ref="K50:K51" si="34">F50*0.2+F50</f>
        <v>0</v>
      </c>
      <c r="L50" s="30">
        <f t="shared" ref="L50:L51" si="35">F50*0.15+F50</f>
        <v>0</v>
      </c>
      <c r="M50" s="31">
        <f t="shared" ref="M50:M51" si="36">F50*0.1+F50</f>
        <v>0</v>
      </c>
      <c r="N50" s="32"/>
      <c r="O50" s="33"/>
    </row>
    <row r="51" ht="15.75" customHeight="1">
      <c r="A51" s="21"/>
      <c r="B51" s="22"/>
      <c r="C51" s="53"/>
      <c r="D51" s="24" t="s">
        <v>66</v>
      </c>
      <c r="E51" s="42"/>
      <c r="F51" s="39"/>
      <c r="G51" s="40"/>
      <c r="H51" s="28">
        <f t="shared" si="31"/>
        <v>0</v>
      </c>
      <c r="I51" s="29">
        <f t="shared" si="32"/>
        <v>0</v>
      </c>
      <c r="J51" s="30">
        <f t="shared" si="33"/>
        <v>0</v>
      </c>
      <c r="K51" s="31">
        <f t="shared" si="34"/>
        <v>0</v>
      </c>
      <c r="L51" s="30">
        <f t="shared" si="35"/>
        <v>0</v>
      </c>
      <c r="M51" s="31">
        <f t="shared" si="36"/>
        <v>0</v>
      </c>
      <c r="N51" s="32"/>
      <c r="O51" s="33"/>
    </row>
    <row r="52" ht="15.75" customHeight="1">
      <c r="A52" s="21"/>
      <c r="B52" s="22"/>
      <c r="C52" s="53"/>
      <c r="D52" s="37" t="s">
        <v>67</v>
      </c>
      <c r="E52" s="42"/>
      <c r="F52" s="39"/>
      <c r="G52" s="41">
        <v>1.0</v>
      </c>
      <c r="H52" s="28"/>
      <c r="I52" s="29"/>
      <c r="J52" s="30"/>
      <c r="K52" s="31"/>
      <c r="L52" s="30"/>
      <c r="M52" s="31"/>
      <c r="N52" s="32"/>
      <c r="O52" s="33"/>
    </row>
    <row r="53" ht="15.75" customHeight="1">
      <c r="A53" s="21"/>
      <c r="B53" s="22"/>
      <c r="C53" s="53"/>
      <c r="D53" s="37" t="s">
        <v>68</v>
      </c>
      <c r="E53" s="42"/>
      <c r="F53" s="39"/>
      <c r="G53" s="41">
        <v>1.2</v>
      </c>
      <c r="H53" s="28"/>
      <c r="I53" s="29"/>
      <c r="J53" s="30"/>
      <c r="K53" s="31"/>
      <c r="L53" s="30"/>
      <c r="M53" s="31"/>
      <c r="N53" s="32"/>
      <c r="O53" s="33"/>
    </row>
    <row r="54" ht="15.75" customHeight="1">
      <c r="A54" s="21"/>
      <c r="B54" s="22"/>
      <c r="C54" s="53"/>
      <c r="D54" s="24" t="s">
        <v>69</v>
      </c>
      <c r="E54" s="42"/>
      <c r="F54" s="39"/>
      <c r="G54" s="40"/>
      <c r="H54" s="28">
        <f t="shared" ref="H54:H74" si="37">F54*0.5+F54</f>
        <v>0</v>
      </c>
      <c r="I54" s="29">
        <f t="shared" ref="I54:I74" si="38">F54*0.3+F54</f>
        <v>0</v>
      </c>
      <c r="J54" s="30">
        <f t="shared" ref="J54:J74" si="39">F54*0.3+F54</f>
        <v>0</v>
      </c>
      <c r="K54" s="31">
        <f t="shared" ref="K54:K74" si="40">F54*0.2+F54</f>
        <v>0</v>
      </c>
      <c r="L54" s="30">
        <f t="shared" ref="L54:L74" si="41">F54*0.15+F54</f>
        <v>0</v>
      </c>
      <c r="M54" s="31">
        <f t="shared" ref="M54:M74" si="42">F54*0.1+F54</f>
        <v>0</v>
      </c>
      <c r="N54" s="32"/>
      <c r="O54" s="33"/>
    </row>
    <row r="55" ht="15.75" customHeight="1">
      <c r="A55" s="21"/>
      <c r="B55" s="22"/>
      <c r="C55" s="23"/>
      <c r="D55" s="24" t="s">
        <v>70</v>
      </c>
      <c r="E55" s="42"/>
      <c r="F55" s="26"/>
      <c r="G55" s="41">
        <v>60.0</v>
      </c>
      <c r="H55" s="28">
        <f t="shared" si="37"/>
        <v>0</v>
      </c>
      <c r="I55" s="29">
        <f t="shared" si="38"/>
        <v>0</v>
      </c>
      <c r="J55" s="30">
        <f t="shared" si="39"/>
        <v>0</v>
      </c>
      <c r="K55" s="31">
        <f t="shared" si="40"/>
        <v>0</v>
      </c>
      <c r="L55" s="30">
        <f t="shared" si="41"/>
        <v>0</v>
      </c>
      <c r="M55" s="31">
        <f t="shared" si="42"/>
        <v>0</v>
      </c>
      <c r="N55" s="32"/>
      <c r="O55" s="33"/>
    </row>
    <row r="56" ht="15.75" customHeight="1">
      <c r="A56" s="21"/>
      <c r="B56" s="22"/>
      <c r="C56" s="23"/>
      <c r="D56" s="37" t="s">
        <v>71</v>
      </c>
      <c r="E56" s="42"/>
      <c r="F56" s="26"/>
      <c r="G56" s="41">
        <v>40.0</v>
      </c>
      <c r="H56" s="28">
        <f t="shared" si="37"/>
        <v>0</v>
      </c>
      <c r="I56" s="29">
        <f t="shared" si="38"/>
        <v>0</v>
      </c>
      <c r="J56" s="30">
        <f t="shared" si="39"/>
        <v>0</v>
      </c>
      <c r="K56" s="31">
        <f t="shared" si="40"/>
        <v>0</v>
      </c>
      <c r="L56" s="30">
        <f t="shared" si="41"/>
        <v>0</v>
      </c>
      <c r="M56" s="31">
        <f t="shared" si="42"/>
        <v>0</v>
      </c>
      <c r="N56" s="32"/>
      <c r="O56" s="33"/>
    </row>
    <row r="57" ht="15.75" customHeight="1">
      <c r="A57" s="21"/>
      <c r="B57" s="22"/>
      <c r="C57" s="23"/>
      <c r="D57" s="24" t="s">
        <v>72</v>
      </c>
      <c r="E57" s="42"/>
      <c r="F57" s="39"/>
      <c r="G57" s="40"/>
      <c r="H57" s="28">
        <f t="shared" si="37"/>
        <v>0</v>
      </c>
      <c r="I57" s="29">
        <f t="shared" si="38"/>
        <v>0</v>
      </c>
      <c r="J57" s="30">
        <f t="shared" si="39"/>
        <v>0</v>
      </c>
      <c r="K57" s="31">
        <f t="shared" si="40"/>
        <v>0</v>
      </c>
      <c r="L57" s="30">
        <f t="shared" si="41"/>
        <v>0</v>
      </c>
      <c r="M57" s="31">
        <f t="shared" si="42"/>
        <v>0</v>
      </c>
      <c r="N57" s="32"/>
      <c r="O57" s="33"/>
    </row>
    <row r="58" ht="15.75" customHeight="1">
      <c r="A58" s="21"/>
      <c r="B58" s="44"/>
      <c r="C58" s="23"/>
      <c r="D58" s="24" t="s">
        <v>73</v>
      </c>
      <c r="E58" s="42"/>
      <c r="F58" s="39"/>
      <c r="G58" s="54"/>
      <c r="H58" s="28">
        <f t="shared" si="37"/>
        <v>0</v>
      </c>
      <c r="I58" s="29">
        <f t="shared" si="38"/>
        <v>0</v>
      </c>
      <c r="J58" s="30">
        <f t="shared" si="39"/>
        <v>0</v>
      </c>
      <c r="K58" s="31">
        <f t="shared" si="40"/>
        <v>0</v>
      </c>
      <c r="L58" s="30">
        <f t="shared" si="41"/>
        <v>0</v>
      </c>
      <c r="M58" s="31">
        <f t="shared" si="42"/>
        <v>0</v>
      </c>
      <c r="N58" s="32"/>
      <c r="O58" s="33"/>
    </row>
    <row r="59" ht="15.75" customHeight="1">
      <c r="A59" s="21"/>
      <c r="B59" s="44"/>
      <c r="C59" s="23"/>
      <c r="D59" s="24" t="s">
        <v>74</v>
      </c>
      <c r="E59" s="42"/>
      <c r="F59" s="39"/>
      <c r="G59" s="41">
        <v>60.0</v>
      </c>
      <c r="H59" s="28">
        <f t="shared" si="37"/>
        <v>0</v>
      </c>
      <c r="I59" s="29">
        <f t="shared" si="38"/>
        <v>0</v>
      </c>
      <c r="J59" s="30">
        <f t="shared" si="39"/>
        <v>0</v>
      </c>
      <c r="K59" s="31">
        <f t="shared" si="40"/>
        <v>0</v>
      </c>
      <c r="L59" s="30">
        <f t="shared" si="41"/>
        <v>0</v>
      </c>
      <c r="M59" s="31">
        <f t="shared" si="42"/>
        <v>0</v>
      </c>
      <c r="N59" s="32"/>
      <c r="O59" s="33"/>
    </row>
    <row r="60" ht="15.75" customHeight="1">
      <c r="A60" s="21"/>
      <c r="B60" s="44"/>
      <c r="C60" s="23"/>
      <c r="D60" s="24" t="s">
        <v>75</v>
      </c>
      <c r="E60" s="42"/>
      <c r="F60" s="39"/>
      <c r="G60" s="40"/>
      <c r="H60" s="28">
        <f t="shared" si="37"/>
        <v>0</v>
      </c>
      <c r="I60" s="29">
        <f t="shared" si="38"/>
        <v>0</v>
      </c>
      <c r="J60" s="30">
        <f t="shared" si="39"/>
        <v>0</v>
      </c>
      <c r="K60" s="31">
        <f t="shared" si="40"/>
        <v>0</v>
      </c>
      <c r="L60" s="30">
        <f t="shared" si="41"/>
        <v>0</v>
      </c>
      <c r="M60" s="31">
        <f t="shared" si="42"/>
        <v>0</v>
      </c>
      <c r="N60" s="32"/>
      <c r="O60" s="33"/>
    </row>
    <row r="61" ht="15.75" customHeight="1">
      <c r="A61" s="21"/>
      <c r="B61" s="44"/>
      <c r="C61" s="23"/>
      <c r="D61" s="46" t="s">
        <v>76</v>
      </c>
      <c r="E61" s="47"/>
      <c r="F61" s="48"/>
      <c r="G61" s="40"/>
      <c r="H61" s="28">
        <f t="shared" si="37"/>
        <v>0</v>
      </c>
      <c r="I61" s="29">
        <f t="shared" si="38"/>
        <v>0</v>
      </c>
      <c r="J61" s="30">
        <f t="shared" si="39"/>
        <v>0</v>
      </c>
      <c r="K61" s="31">
        <f t="shared" si="40"/>
        <v>0</v>
      </c>
      <c r="L61" s="30">
        <f t="shared" si="41"/>
        <v>0</v>
      </c>
      <c r="M61" s="31">
        <f t="shared" si="42"/>
        <v>0</v>
      </c>
      <c r="N61" s="32"/>
      <c r="O61" s="33"/>
    </row>
    <row r="62" ht="15.75" customHeight="1">
      <c r="A62" s="21"/>
      <c r="B62" s="44"/>
      <c r="C62" s="23"/>
      <c r="D62" s="46" t="s">
        <v>77</v>
      </c>
      <c r="E62" s="47"/>
      <c r="F62" s="48"/>
      <c r="G62" s="40"/>
      <c r="H62" s="28">
        <f t="shared" si="37"/>
        <v>0</v>
      </c>
      <c r="I62" s="29">
        <f t="shared" si="38"/>
        <v>0</v>
      </c>
      <c r="J62" s="30">
        <f t="shared" si="39"/>
        <v>0</v>
      </c>
      <c r="K62" s="31">
        <f t="shared" si="40"/>
        <v>0</v>
      </c>
      <c r="L62" s="30">
        <f t="shared" si="41"/>
        <v>0</v>
      </c>
      <c r="M62" s="31">
        <f t="shared" si="42"/>
        <v>0</v>
      </c>
      <c r="N62" s="32"/>
      <c r="O62" s="33"/>
    </row>
    <row r="63" ht="15.75" customHeight="1">
      <c r="A63" s="21"/>
      <c r="B63" s="44"/>
      <c r="C63" s="23"/>
      <c r="D63" s="24" t="s">
        <v>78</v>
      </c>
      <c r="E63" s="42"/>
      <c r="F63" s="39"/>
      <c r="G63" s="50"/>
      <c r="H63" s="28">
        <f t="shared" si="37"/>
        <v>0</v>
      </c>
      <c r="I63" s="29">
        <f t="shared" si="38"/>
        <v>0</v>
      </c>
      <c r="J63" s="30">
        <f t="shared" si="39"/>
        <v>0</v>
      </c>
      <c r="K63" s="31">
        <f t="shared" si="40"/>
        <v>0</v>
      </c>
      <c r="L63" s="30">
        <f t="shared" si="41"/>
        <v>0</v>
      </c>
      <c r="M63" s="31">
        <f t="shared" si="42"/>
        <v>0</v>
      </c>
      <c r="N63" s="32"/>
      <c r="O63" s="33"/>
    </row>
    <row r="64" ht="15.75" customHeight="1">
      <c r="A64" s="21"/>
      <c r="B64" s="44"/>
      <c r="C64" s="23"/>
      <c r="D64" s="24" t="s">
        <v>79</v>
      </c>
      <c r="E64" s="42"/>
      <c r="F64" s="39"/>
      <c r="G64" s="40"/>
      <c r="H64" s="28">
        <f t="shared" si="37"/>
        <v>0</v>
      </c>
      <c r="I64" s="29">
        <f t="shared" si="38"/>
        <v>0</v>
      </c>
      <c r="J64" s="30">
        <f t="shared" si="39"/>
        <v>0</v>
      </c>
      <c r="K64" s="31">
        <f t="shared" si="40"/>
        <v>0</v>
      </c>
      <c r="L64" s="30">
        <f t="shared" si="41"/>
        <v>0</v>
      </c>
      <c r="M64" s="31">
        <f t="shared" si="42"/>
        <v>0</v>
      </c>
      <c r="N64" s="32"/>
      <c r="O64" s="33"/>
    </row>
    <row r="65" ht="15.75" customHeight="1">
      <c r="A65" s="21"/>
      <c r="B65" s="44"/>
      <c r="C65" s="23"/>
      <c r="D65" s="24" t="s">
        <v>80</v>
      </c>
      <c r="E65" s="42"/>
      <c r="F65" s="39"/>
      <c r="G65" s="40"/>
      <c r="H65" s="28">
        <f t="shared" si="37"/>
        <v>0</v>
      </c>
      <c r="I65" s="29">
        <f t="shared" si="38"/>
        <v>0</v>
      </c>
      <c r="J65" s="30">
        <f t="shared" si="39"/>
        <v>0</v>
      </c>
      <c r="K65" s="31">
        <f t="shared" si="40"/>
        <v>0</v>
      </c>
      <c r="L65" s="30">
        <f t="shared" si="41"/>
        <v>0</v>
      </c>
      <c r="M65" s="31">
        <f t="shared" si="42"/>
        <v>0</v>
      </c>
      <c r="N65" s="32"/>
      <c r="O65" s="33"/>
    </row>
    <row r="66" ht="15.75" customHeight="1">
      <c r="A66" s="21"/>
      <c r="B66" s="44"/>
      <c r="C66" s="23"/>
      <c r="D66" s="24" t="s">
        <v>81</v>
      </c>
      <c r="E66" s="42"/>
      <c r="F66" s="39"/>
      <c r="G66" s="40"/>
      <c r="H66" s="28">
        <f t="shared" si="37"/>
        <v>0</v>
      </c>
      <c r="I66" s="29">
        <f t="shared" si="38"/>
        <v>0</v>
      </c>
      <c r="J66" s="30">
        <f t="shared" si="39"/>
        <v>0</v>
      </c>
      <c r="K66" s="31">
        <f t="shared" si="40"/>
        <v>0</v>
      </c>
      <c r="L66" s="30">
        <f t="shared" si="41"/>
        <v>0</v>
      </c>
      <c r="M66" s="31">
        <f t="shared" si="42"/>
        <v>0</v>
      </c>
      <c r="N66" s="32"/>
      <c r="O66" s="33"/>
    </row>
    <row r="67" ht="15.75" customHeight="1">
      <c r="A67" s="21"/>
      <c r="B67" s="44"/>
      <c r="C67" s="23"/>
      <c r="D67" s="37" t="s">
        <v>82</v>
      </c>
      <c r="E67" s="42"/>
      <c r="F67" s="55"/>
      <c r="G67" s="50"/>
      <c r="H67" s="28">
        <f t="shared" si="37"/>
        <v>0</v>
      </c>
      <c r="I67" s="29">
        <f t="shared" si="38"/>
        <v>0</v>
      </c>
      <c r="J67" s="30">
        <f t="shared" si="39"/>
        <v>0</v>
      </c>
      <c r="K67" s="31">
        <f t="shared" si="40"/>
        <v>0</v>
      </c>
      <c r="L67" s="30">
        <f t="shared" si="41"/>
        <v>0</v>
      </c>
      <c r="M67" s="31">
        <f t="shared" si="42"/>
        <v>0</v>
      </c>
      <c r="N67" s="32"/>
      <c r="O67" s="33"/>
    </row>
    <row r="68" ht="15.75" customHeight="1">
      <c r="A68" s="21"/>
      <c r="B68" s="44"/>
      <c r="C68" s="23"/>
      <c r="D68" s="24" t="s">
        <v>83</v>
      </c>
      <c r="E68" s="42"/>
      <c r="F68" s="43"/>
      <c r="G68" s="40"/>
      <c r="H68" s="28">
        <f t="shared" si="37"/>
        <v>0</v>
      </c>
      <c r="I68" s="29">
        <f t="shared" si="38"/>
        <v>0</v>
      </c>
      <c r="J68" s="30">
        <f t="shared" si="39"/>
        <v>0</v>
      </c>
      <c r="K68" s="31">
        <f t="shared" si="40"/>
        <v>0</v>
      </c>
      <c r="L68" s="30">
        <f t="shared" si="41"/>
        <v>0</v>
      </c>
      <c r="M68" s="31">
        <f t="shared" si="42"/>
        <v>0</v>
      </c>
      <c r="N68" s="32"/>
      <c r="O68" s="33"/>
    </row>
    <row r="69" ht="15.75" customHeight="1">
      <c r="A69" s="21"/>
      <c r="B69" s="44"/>
      <c r="C69" s="23"/>
      <c r="D69" s="45" t="s">
        <v>84</v>
      </c>
      <c r="E69" s="42"/>
      <c r="F69" s="43"/>
      <c r="G69" s="40"/>
      <c r="H69" s="28">
        <f t="shared" si="37"/>
        <v>0</v>
      </c>
      <c r="I69" s="29">
        <f t="shared" si="38"/>
        <v>0</v>
      </c>
      <c r="J69" s="30">
        <f t="shared" si="39"/>
        <v>0</v>
      </c>
      <c r="K69" s="31">
        <f t="shared" si="40"/>
        <v>0</v>
      </c>
      <c r="L69" s="30">
        <f t="shared" si="41"/>
        <v>0</v>
      </c>
      <c r="M69" s="31">
        <f t="shared" si="42"/>
        <v>0</v>
      </c>
      <c r="N69" s="32"/>
      <c r="O69" s="33"/>
    </row>
    <row r="70" ht="15.75" customHeight="1">
      <c r="A70" s="21"/>
      <c r="B70" s="44"/>
      <c r="C70" s="23"/>
      <c r="D70" s="45" t="s">
        <v>85</v>
      </c>
      <c r="E70" s="42"/>
      <c r="F70" s="56"/>
      <c r="G70" s="50"/>
      <c r="H70" s="28">
        <f t="shared" si="37"/>
        <v>0</v>
      </c>
      <c r="I70" s="29">
        <f t="shared" si="38"/>
        <v>0</v>
      </c>
      <c r="J70" s="30">
        <f t="shared" si="39"/>
        <v>0</v>
      </c>
      <c r="K70" s="31">
        <f t="shared" si="40"/>
        <v>0</v>
      </c>
      <c r="L70" s="30">
        <f t="shared" si="41"/>
        <v>0</v>
      </c>
      <c r="M70" s="31">
        <f t="shared" si="42"/>
        <v>0</v>
      </c>
      <c r="N70" s="32"/>
      <c r="O70" s="33"/>
    </row>
    <row r="71" ht="15.75" customHeight="1">
      <c r="A71" s="21"/>
      <c r="B71" s="44" t="s">
        <v>86</v>
      </c>
      <c r="C71" s="23"/>
      <c r="D71" s="45" t="s">
        <v>87</v>
      </c>
      <c r="E71" s="42"/>
      <c r="F71" s="57"/>
      <c r="G71" s="40"/>
      <c r="H71" s="28">
        <f t="shared" si="37"/>
        <v>0</v>
      </c>
      <c r="I71" s="29">
        <f t="shared" si="38"/>
        <v>0</v>
      </c>
      <c r="J71" s="30">
        <f t="shared" si="39"/>
        <v>0</v>
      </c>
      <c r="K71" s="31">
        <f t="shared" si="40"/>
        <v>0</v>
      </c>
      <c r="L71" s="30">
        <f t="shared" si="41"/>
        <v>0</v>
      </c>
      <c r="M71" s="31">
        <f t="shared" si="42"/>
        <v>0</v>
      </c>
      <c r="N71" s="32"/>
      <c r="O71" s="33"/>
    </row>
    <row r="72" ht="15.75" customHeight="1">
      <c r="A72" s="21"/>
      <c r="B72" s="44"/>
      <c r="C72" s="23"/>
      <c r="D72" s="23" t="s">
        <v>88</v>
      </c>
      <c r="E72" s="42"/>
      <c r="F72" s="58"/>
      <c r="G72" s="40"/>
      <c r="H72" s="28">
        <f t="shared" si="37"/>
        <v>0</v>
      </c>
      <c r="I72" s="29">
        <f t="shared" si="38"/>
        <v>0</v>
      </c>
      <c r="J72" s="30">
        <f t="shared" si="39"/>
        <v>0</v>
      </c>
      <c r="K72" s="31">
        <f t="shared" si="40"/>
        <v>0</v>
      </c>
      <c r="L72" s="30">
        <f t="shared" si="41"/>
        <v>0</v>
      </c>
      <c r="M72" s="31">
        <f t="shared" si="42"/>
        <v>0</v>
      </c>
      <c r="N72" s="32"/>
      <c r="O72" s="33"/>
    </row>
    <row r="73" ht="15.75" customHeight="1">
      <c r="A73" s="21"/>
      <c r="B73" s="44"/>
      <c r="C73" s="23"/>
      <c r="D73" s="23" t="s">
        <v>89</v>
      </c>
      <c r="E73" s="42"/>
      <c r="F73" s="58"/>
      <c r="G73" s="40"/>
      <c r="H73" s="28">
        <f t="shared" si="37"/>
        <v>0</v>
      </c>
      <c r="I73" s="29">
        <f t="shared" si="38"/>
        <v>0</v>
      </c>
      <c r="J73" s="30">
        <f t="shared" si="39"/>
        <v>0</v>
      </c>
      <c r="K73" s="31">
        <f t="shared" si="40"/>
        <v>0</v>
      </c>
      <c r="L73" s="30">
        <f t="shared" si="41"/>
        <v>0</v>
      </c>
      <c r="M73" s="31">
        <f t="shared" si="42"/>
        <v>0</v>
      </c>
      <c r="N73" s="32"/>
      <c r="O73" s="33"/>
    </row>
    <row r="74" ht="15.75" customHeight="1">
      <c r="A74" s="21"/>
      <c r="B74" s="44"/>
      <c r="C74" s="23"/>
      <c r="D74" s="24" t="s">
        <v>90</v>
      </c>
      <c r="E74" s="42"/>
      <c r="F74" s="26"/>
      <c r="G74" s="50"/>
      <c r="H74" s="28">
        <f t="shared" si="37"/>
        <v>0</v>
      </c>
      <c r="I74" s="29">
        <f t="shared" si="38"/>
        <v>0</v>
      </c>
      <c r="J74" s="30">
        <f t="shared" si="39"/>
        <v>0</v>
      </c>
      <c r="K74" s="31">
        <f t="shared" si="40"/>
        <v>0</v>
      </c>
      <c r="L74" s="30">
        <f t="shared" si="41"/>
        <v>0</v>
      </c>
      <c r="M74" s="31">
        <f t="shared" si="42"/>
        <v>0</v>
      </c>
      <c r="N74" s="32"/>
      <c r="O74" s="33"/>
    </row>
    <row r="75" ht="15.75" customHeight="1">
      <c r="A75" s="21"/>
      <c r="B75" s="44"/>
      <c r="C75" s="23"/>
      <c r="D75" s="37" t="s">
        <v>91</v>
      </c>
      <c r="E75" s="42"/>
      <c r="F75" s="26"/>
      <c r="G75" s="50"/>
      <c r="H75" s="28"/>
      <c r="I75" s="29"/>
      <c r="J75" s="30"/>
      <c r="K75" s="31"/>
      <c r="L75" s="30"/>
      <c r="M75" s="31"/>
      <c r="N75" s="32"/>
      <c r="O75" s="33"/>
    </row>
    <row r="76" ht="15.75" customHeight="1">
      <c r="A76" s="21"/>
      <c r="B76" s="44"/>
      <c r="C76" s="23"/>
      <c r="D76" s="37" t="s">
        <v>92</v>
      </c>
      <c r="E76" s="42"/>
      <c r="F76" s="39"/>
      <c r="G76" s="41">
        <v>75.0</v>
      </c>
      <c r="H76" s="28"/>
      <c r="I76" s="29"/>
      <c r="J76" s="30"/>
      <c r="K76" s="31"/>
      <c r="L76" s="30"/>
      <c r="M76" s="31"/>
      <c r="N76" s="32"/>
      <c r="O76" s="33"/>
    </row>
    <row r="77" ht="15.75" customHeight="1">
      <c r="A77" s="21"/>
      <c r="B77" s="44"/>
      <c r="C77" s="23"/>
      <c r="D77" s="24" t="s">
        <v>93</v>
      </c>
      <c r="E77" s="42"/>
      <c r="F77" s="39"/>
      <c r="G77" s="41">
        <v>100.0</v>
      </c>
      <c r="H77" s="28">
        <f t="shared" ref="H77:H87" si="43">F77*0.5+F77</f>
        <v>0</v>
      </c>
      <c r="I77" s="29">
        <f t="shared" ref="I77:I87" si="44">F77*0.3+F77</f>
        <v>0</v>
      </c>
      <c r="J77" s="30">
        <f t="shared" ref="J77:J87" si="45">F77*0.3+F77</f>
        <v>0</v>
      </c>
      <c r="K77" s="31">
        <f t="shared" ref="K77:K87" si="46">F77*0.2+F77</f>
        <v>0</v>
      </c>
      <c r="L77" s="30">
        <f t="shared" ref="L77:L87" si="47">F77*0.15+F77</f>
        <v>0</v>
      </c>
      <c r="M77" s="31">
        <f t="shared" ref="M77:M87" si="48">F77*0.1+F77</f>
        <v>0</v>
      </c>
      <c r="N77" s="32"/>
      <c r="O77" s="33"/>
    </row>
    <row r="78" ht="15.75" customHeight="1">
      <c r="A78" s="21"/>
      <c r="B78" s="44"/>
      <c r="C78" s="23"/>
      <c r="D78" s="24" t="s">
        <v>94</v>
      </c>
      <c r="E78" s="42"/>
      <c r="F78" s="39"/>
      <c r="G78" s="40"/>
      <c r="H78" s="28">
        <f t="shared" si="43"/>
        <v>0</v>
      </c>
      <c r="I78" s="29">
        <f t="shared" si="44"/>
        <v>0</v>
      </c>
      <c r="J78" s="30">
        <f t="shared" si="45"/>
        <v>0</v>
      </c>
      <c r="K78" s="31">
        <f t="shared" si="46"/>
        <v>0</v>
      </c>
      <c r="L78" s="30">
        <f t="shared" si="47"/>
        <v>0</v>
      </c>
      <c r="M78" s="31">
        <f t="shared" si="48"/>
        <v>0</v>
      </c>
      <c r="N78" s="32"/>
      <c r="O78" s="33"/>
    </row>
    <row r="79" ht="15.75" customHeight="1">
      <c r="A79" s="21"/>
      <c r="B79" s="44"/>
      <c r="C79" s="23"/>
      <c r="D79" s="46" t="s">
        <v>95</v>
      </c>
      <c r="E79" s="47"/>
      <c r="F79" s="39"/>
      <c r="G79" s="40"/>
      <c r="H79" s="28">
        <f t="shared" si="43"/>
        <v>0</v>
      </c>
      <c r="I79" s="29">
        <f t="shared" si="44"/>
        <v>0</v>
      </c>
      <c r="J79" s="30">
        <f t="shared" si="45"/>
        <v>0</v>
      </c>
      <c r="K79" s="31">
        <f t="shared" si="46"/>
        <v>0</v>
      </c>
      <c r="L79" s="30">
        <f t="shared" si="47"/>
        <v>0</v>
      </c>
      <c r="M79" s="31">
        <f t="shared" si="48"/>
        <v>0</v>
      </c>
      <c r="N79" s="32"/>
      <c r="O79" s="33"/>
    </row>
    <row r="80" ht="15.75" customHeight="1">
      <c r="A80" s="21"/>
      <c r="B80" s="44"/>
      <c r="C80" s="53"/>
      <c r="D80" s="53" t="s">
        <v>96</v>
      </c>
      <c r="E80" s="42"/>
      <c r="F80" s="58"/>
      <c r="G80" s="41">
        <v>80.0</v>
      </c>
      <c r="H80" s="28">
        <f t="shared" si="43"/>
        <v>0</v>
      </c>
      <c r="I80" s="29">
        <f t="shared" si="44"/>
        <v>0</v>
      </c>
      <c r="J80" s="30">
        <f t="shared" si="45"/>
        <v>0</v>
      </c>
      <c r="K80" s="31">
        <f t="shared" si="46"/>
        <v>0</v>
      </c>
      <c r="L80" s="30">
        <f t="shared" si="47"/>
        <v>0</v>
      </c>
      <c r="M80" s="31">
        <f t="shared" si="48"/>
        <v>0</v>
      </c>
      <c r="N80" s="32"/>
      <c r="O80" s="33"/>
    </row>
    <row r="81" ht="15.75" customHeight="1">
      <c r="A81" s="21"/>
      <c r="B81" s="44"/>
      <c r="C81" s="53"/>
      <c r="D81" s="53" t="s">
        <v>97</v>
      </c>
      <c r="E81" s="42"/>
      <c r="F81" s="58"/>
      <c r="G81" s="40"/>
      <c r="H81" s="28">
        <f t="shared" si="43"/>
        <v>0</v>
      </c>
      <c r="I81" s="29">
        <f t="shared" si="44"/>
        <v>0</v>
      </c>
      <c r="J81" s="30">
        <f t="shared" si="45"/>
        <v>0</v>
      </c>
      <c r="K81" s="31">
        <f t="shared" si="46"/>
        <v>0</v>
      </c>
      <c r="L81" s="30">
        <f t="shared" si="47"/>
        <v>0</v>
      </c>
      <c r="M81" s="31">
        <f t="shared" si="48"/>
        <v>0</v>
      </c>
      <c r="N81" s="32"/>
      <c r="O81" s="33"/>
    </row>
    <row r="82" ht="15.75" customHeight="1">
      <c r="A82" s="21"/>
      <c r="B82" s="44"/>
      <c r="C82" s="53"/>
      <c r="D82" s="53" t="s">
        <v>98</v>
      </c>
      <c r="E82" s="42"/>
      <c r="F82" s="59"/>
      <c r="G82" s="50"/>
      <c r="H82" s="28">
        <f t="shared" si="43"/>
        <v>0</v>
      </c>
      <c r="I82" s="29">
        <f t="shared" si="44"/>
        <v>0</v>
      </c>
      <c r="J82" s="30">
        <f t="shared" si="45"/>
        <v>0</v>
      </c>
      <c r="K82" s="31">
        <f t="shared" si="46"/>
        <v>0</v>
      </c>
      <c r="L82" s="30">
        <f t="shared" si="47"/>
        <v>0</v>
      </c>
      <c r="M82" s="31">
        <f t="shared" si="48"/>
        <v>0</v>
      </c>
      <c r="N82" s="32"/>
      <c r="O82" s="33"/>
    </row>
    <row r="83" ht="15.75" customHeight="1">
      <c r="A83" s="21"/>
      <c r="B83" s="44"/>
      <c r="C83" s="53"/>
      <c r="D83" s="53" t="s">
        <v>99</v>
      </c>
      <c r="E83" s="42"/>
      <c r="F83" s="58"/>
      <c r="G83" s="40"/>
      <c r="H83" s="28">
        <f t="shared" si="43"/>
        <v>0</v>
      </c>
      <c r="I83" s="29">
        <f t="shared" si="44"/>
        <v>0</v>
      </c>
      <c r="J83" s="30">
        <f t="shared" si="45"/>
        <v>0</v>
      </c>
      <c r="K83" s="31">
        <f t="shared" si="46"/>
        <v>0</v>
      </c>
      <c r="L83" s="30">
        <f t="shared" si="47"/>
        <v>0</v>
      </c>
      <c r="M83" s="31">
        <f t="shared" si="48"/>
        <v>0</v>
      </c>
      <c r="N83" s="32"/>
      <c r="O83" s="33"/>
    </row>
    <row r="84" ht="17.25" customHeight="1">
      <c r="A84" s="21"/>
      <c r="B84" s="60" t="s">
        <v>100</v>
      </c>
      <c r="C84" s="61"/>
      <c r="D84" s="62" t="s">
        <v>101</v>
      </c>
      <c r="E84" s="42"/>
      <c r="F84" s="59"/>
      <c r="G84" s="41"/>
      <c r="H84" s="28">
        <f t="shared" si="43"/>
        <v>0</v>
      </c>
      <c r="I84" s="29">
        <f t="shared" si="44"/>
        <v>0</v>
      </c>
      <c r="J84" s="30">
        <f t="shared" si="45"/>
        <v>0</v>
      </c>
      <c r="K84" s="31">
        <f t="shared" si="46"/>
        <v>0</v>
      </c>
      <c r="L84" s="30">
        <f t="shared" si="47"/>
        <v>0</v>
      </c>
      <c r="M84" s="31">
        <f t="shared" si="48"/>
        <v>0</v>
      </c>
      <c r="N84" s="32"/>
      <c r="O84" s="33"/>
    </row>
    <row r="85" ht="15.75" customHeight="1">
      <c r="A85" s="21"/>
      <c r="B85" s="60" t="s">
        <v>100</v>
      </c>
      <c r="C85" s="61"/>
      <c r="D85" s="62" t="s">
        <v>102</v>
      </c>
      <c r="E85" s="42"/>
      <c r="F85" s="59"/>
      <c r="G85" s="41"/>
      <c r="H85" s="28">
        <f t="shared" si="43"/>
        <v>0</v>
      </c>
      <c r="I85" s="29">
        <f t="shared" si="44"/>
        <v>0</v>
      </c>
      <c r="J85" s="30">
        <f t="shared" si="45"/>
        <v>0</v>
      </c>
      <c r="K85" s="31">
        <f t="shared" si="46"/>
        <v>0</v>
      </c>
      <c r="L85" s="30">
        <f t="shared" si="47"/>
        <v>0</v>
      </c>
      <c r="M85" s="31">
        <f t="shared" si="48"/>
        <v>0</v>
      </c>
      <c r="N85" s="32"/>
      <c r="O85" s="33"/>
    </row>
    <row r="86" ht="15.75" customHeight="1">
      <c r="A86" s="21"/>
      <c r="B86" s="44"/>
      <c r="C86" s="61"/>
      <c r="D86" s="62" t="s">
        <v>103</v>
      </c>
      <c r="E86" s="42"/>
      <c r="F86" s="59"/>
      <c r="G86" s="50"/>
      <c r="H86" s="28">
        <f t="shared" si="43"/>
        <v>0</v>
      </c>
      <c r="I86" s="29">
        <f t="shared" si="44"/>
        <v>0</v>
      </c>
      <c r="J86" s="30">
        <f t="shared" si="45"/>
        <v>0</v>
      </c>
      <c r="K86" s="31">
        <f t="shared" si="46"/>
        <v>0</v>
      </c>
      <c r="L86" s="30">
        <f t="shared" si="47"/>
        <v>0</v>
      </c>
      <c r="M86" s="31">
        <f t="shared" si="48"/>
        <v>0</v>
      </c>
      <c r="N86" s="32"/>
      <c r="O86" s="33"/>
    </row>
    <row r="87" ht="15.75" customHeight="1">
      <c r="A87" s="21"/>
      <c r="B87" s="44"/>
      <c r="C87" s="61"/>
      <c r="D87" s="63" t="s">
        <v>56</v>
      </c>
      <c r="E87" s="42"/>
      <c r="F87" s="59"/>
      <c r="G87" s="50"/>
      <c r="H87" s="28">
        <f t="shared" si="43"/>
        <v>0</v>
      </c>
      <c r="I87" s="29">
        <f t="shared" si="44"/>
        <v>0</v>
      </c>
      <c r="J87" s="30">
        <f t="shared" si="45"/>
        <v>0</v>
      </c>
      <c r="K87" s="31">
        <f t="shared" si="46"/>
        <v>0</v>
      </c>
      <c r="L87" s="30">
        <f t="shared" si="47"/>
        <v>0</v>
      </c>
      <c r="M87" s="31">
        <f t="shared" si="48"/>
        <v>0</v>
      </c>
      <c r="N87" s="32"/>
      <c r="O87" s="33"/>
    </row>
    <row r="88" ht="15.75" customHeight="1">
      <c r="A88" s="21"/>
      <c r="B88" s="44"/>
      <c r="C88" s="61"/>
      <c r="D88" s="64" t="s">
        <v>104</v>
      </c>
      <c r="E88" s="42"/>
      <c r="F88" s="59"/>
      <c r="G88" s="50"/>
      <c r="H88" s="28"/>
      <c r="I88" s="29"/>
      <c r="J88" s="30"/>
      <c r="K88" s="31"/>
      <c r="L88" s="30"/>
      <c r="M88" s="31"/>
      <c r="N88" s="32"/>
      <c r="O88" s="33"/>
    </row>
    <row r="89" ht="15.75" customHeight="1">
      <c r="A89" s="21"/>
      <c r="B89" s="44"/>
      <c r="C89" s="61"/>
      <c r="D89" s="63" t="s">
        <v>105</v>
      </c>
      <c r="E89" s="65"/>
      <c r="F89" s="66"/>
      <c r="G89" s="50"/>
      <c r="H89" s="28">
        <f t="shared" ref="H89:H113" si="49">F89*0.5+F89</f>
        <v>0</v>
      </c>
      <c r="I89" s="29">
        <f t="shared" ref="I89:I113" si="50">F89*0.3+F89</f>
        <v>0</v>
      </c>
      <c r="J89" s="30">
        <f t="shared" ref="J89:J113" si="51">F89*0.3+F89</f>
        <v>0</v>
      </c>
      <c r="K89" s="31">
        <f t="shared" ref="K89:K113" si="52">F89*0.2+F89</f>
        <v>0</v>
      </c>
      <c r="L89" s="30">
        <f t="shared" ref="L89:L113" si="53">F89*0.15+F89</f>
        <v>0</v>
      </c>
      <c r="M89" s="31">
        <f t="shared" ref="M89:M113" si="54">F89*0.1+F89</f>
        <v>0</v>
      </c>
      <c r="N89" s="32"/>
      <c r="O89" s="33"/>
    </row>
    <row r="90" ht="15.75" customHeight="1">
      <c r="A90" s="21"/>
      <c r="B90" s="44"/>
      <c r="C90" s="61"/>
      <c r="D90" s="63" t="s">
        <v>106</v>
      </c>
      <c r="E90" s="42"/>
      <c r="F90" s="59"/>
      <c r="G90" s="50"/>
      <c r="H90" s="28">
        <f t="shared" si="49"/>
        <v>0</v>
      </c>
      <c r="I90" s="29">
        <f t="shared" si="50"/>
        <v>0</v>
      </c>
      <c r="J90" s="30">
        <f t="shared" si="51"/>
        <v>0</v>
      </c>
      <c r="K90" s="31">
        <f t="shared" si="52"/>
        <v>0</v>
      </c>
      <c r="L90" s="30">
        <f t="shared" si="53"/>
        <v>0</v>
      </c>
      <c r="M90" s="31">
        <f t="shared" si="54"/>
        <v>0</v>
      </c>
      <c r="N90" s="32"/>
      <c r="O90" s="33"/>
    </row>
    <row r="91" ht="15.75" customHeight="1">
      <c r="A91" s="21"/>
      <c r="B91" s="67"/>
      <c r="C91" s="61"/>
      <c r="D91" s="63" t="s">
        <v>107</v>
      </c>
      <c r="E91" s="68"/>
      <c r="F91" s="69"/>
      <c r="G91" s="50"/>
      <c r="H91" s="28">
        <f t="shared" si="49"/>
        <v>0</v>
      </c>
      <c r="I91" s="29">
        <f t="shared" si="50"/>
        <v>0</v>
      </c>
      <c r="J91" s="30">
        <f t="shared" si="51"/>
        <v>0</v>
      </c>
      <c r="K91" s="31">
        <f t="shared" si="52"/>
        <v>0</v>
      </c>
      <c r="L91" s="30">
        <f t="shared" si="53"/>
        <v>0</v>
      </c>
      <c r="M91" s="31">
        <f t="shared" si="54"/>
        <v>0</v>
      </c>
      <c r="N91" s="32"/>
      <c r="O91" s="33"/>
    </row>
    <row r="92" ht="15.75" customHeight="1">
      <c r="A92" s="21"/>
      <c r="B92" s="70"/>
      <c r="C92" s="61"/>
      <c r="D92" s="63" t="s">
        <v>108</v>
      </c>
      <c r="E92" s="71"/>
      <c r="F92" s="72"/>
      <c r="G92" s="50"/>
      <c r="H92" s="28">
        <f t="shared" si="49"/>
        <v>0</v>
      </c>
      <c r="I92" s="29">
        <f t="shared" si="50"/>
        <v>0</v>
      </c>
      <c r="J92" s="30">
        <f t="shared" si="51"/>
        <v>0</v>
      </c>
      <c r="K92" s="31">
        <f t="shared" si="52"/>
        <v>0</v>
      </c>
      <c r="L92" s="30">
        <f t="shared" si="53"/>
        <v>0</v>
      </c>
      <c r="M92" s="31">
        <f t="shared" si="54"/>
        <v>0</v>
      </c>
      <c r="N92" s="32"/>
      <c r="O92" s="33"/>
    </row>
    <row r="93" ht="14.25" customHeight="1">
      <c r="A93" s="21"/>
      <c r="B93" s="70"/>
      <c r="C93" s="61"/>
      <c r="D93" s="63" t="s">
        <v>109</v>
      </c>
      <c r="E93" s="71"/>
      <c r="F93" s="72"/>
      <c r="G93" s="50"/>
      <c r="H93" s="28">
        <f t="shared" si="49"/>
        <v>0</v>
      </c>
      <c r="I93" s="29">
        <f t="shared" si="50"/>
        <v>0</v>
      </c>
      <c r="J93" s="30">
        <f t="shared" si="51"/>
        <v>0</v>
      </c>
      <c r="K93" s="31">
        <f t="shared" si="52"/>
        <v>0</v>
      </c>
      <c r="L93" s="30">
        <f t="shared" si="53"/>
        <v>0</v>
      </c>
      <c r="M93" s="31">
        <f t="shared" si="54"/>
        <v>0</v>
      </c>
      <c r="N93" s="32"/>
      <c r="O93" s="33"/>
    </row>
    <row r="94" ht="15.75" customHeight="1">
      <c r="A94" s="21"/>
      <c r="B94" s="70"/>
      <c r="C94" s="61"/>
      <c r="D94" s="63" t="s">
        <v>110</v>
      </c>
      <c r="E94" s="73"/>
      <c r="F94" s="74"/>
      <c r="G94" s="50"/>
      <c r="H94" s="28">
        <f t="shared" si="49"/>
        <v>0</v>
      </c>
      <c r="I94" s="29">
        <f t="shared" si="50"/>
        <v>0</v>
      </c>
      <c r="J94" s="30">
        <f t="shared" si="51"/>
        <v>0</v>
      </c>
      <c r="K94" s="31">
        <f t="shared" si="52"/>
        <v>0</v>
      </c>
      <c r="L94" s="30">
        <f t="shared" si="53"/>
        <v>0</v>
      </c>
      <c r="M94" s="31">
        <f t="shared" si="54"/>
        <v>0</v>
      </c>
      <c r="N94" s="32"/>
      <c r="O94" s="33"/>
    </row>
    <row r="95" ht="15.75" customHeight="1">
      <c r="A95" s="21"/>
      <c r="B95" s="70"/>
      <c r="C95" s="61"/>
      <c r="D95" s="75" t="s">
        <v>111</v>
      </c>
      <c r="E95" s="71"/>
      <c r="F95" s="76"/>
      <c r="G95" s="77"/>
      <c r="H95" s="28">
        <f t="shared" si="49"/>
        <v>0</v>
      </c>
      <c r="I95" s="29">
        <f t="shared" si="50"/>
        <v>0</v>
      </c>
      <c r="J95" s="30">
        <f t="shared" si="51"/>
        <v>0</v>
      </c>
      <c r="K95" s="31">
        <f t="shared" si="52"/>
        <v>0</v>
      </c>
      <c r="L95" s="30">
        <f t="shared" si="53"/>
        <v>0</v>
      </c>
      <c r="M95" s="31">
        <f t="shared" si="54"/>
        <v>0</v>
      </c>
      <c r="N95" s="32"/>
      <c r="O95" s="33"/>
    </row>
    <row r="96" ht="23.25" customHeight="1">
      <c r="A96" s="21"/>
      <c r="B96" s="70"/>
      <c r="C96" s="61"/>
      <c r="D96" s="78" t="s">
        <v>112</v>
      </c>
      <c r="E96" s="71"/>
      <c r="F96" s="76"/>
      <c r="G96" s="77"/>
      <c r="H96" s="28">
        <f t="shared" si="49"/>
        <v>0</v>
      </c>
      <c r="I96" s="29">
        <f t="shared" si="50"/>
        <v>0</v>
      </c>
      <c r="J96" s="30">
        <f t="shared" si="51"/>
        <v>0</v>
      </c>
      <c r="K96" s="31">
        <f t="shared" si="52"/>
        <v>0</v>
      </c>
      <c r="L96" s="30">
        <f t="shared" si="53"/>
        <v>0</v>
      </c>
      <c r="M96" s="31">
        <f t="shared" si="54"/>
        <v>0</v>
      </c>
      <c r="N96" s="32"/>
      <c r="O96" s="33"/>
    </row>
    <row r="97" ht="15.75" customHeight="1">
      <c r="A97" s="21"/>
      <c r="B97" s="70"/>
      <c r="C97" s="61"/>
      <c r="D97" s="75" t="s">
        <v>113</v>
      </c>
      <c r="E97" s="71"/>
      <c r="F97" s="76"/>
      <c r="G97" s="79">
        <v>2.0</v>
      </c>
      <c r="H97" s="28">
        <f t="shared" si="49"/>
        <v>0</v>
      </c>
      <c r="I97" s="29">
        <f t="shared" si="50"/>
        <v>0</v>
      </c>
      <c r="J97" s="30">
        <f t="shared" si="51"/>
        <v>0</v>
      </c>
      <c r="K97" s="31">
        <f t="shared" si="52"/>
        <v>0</v>
      </c>
      <c r="L97" s="30">
        <f t="shared" si="53"/>
        <v>0</v>
      </c>
      <c r="M97" s="31">
        <f t="shared" si="54"/>
        <v>0</v>
      </c>
      <c r="N97" s="32"/>
      <c r="O97" s="33"/>
    </row>
    <row r="98" ht="15.75" customHeight="1">
      <c r="A98" s="21"/>
      <c r="B98" s="70"/>
      <c r="C98" s="61"/>
      <c r="D98" s="75" t="s">
        <v>114</v>
      </c>
      <c r="E98" s="71"/>
      <c r="F98" s="76"/>
      <c r="G98" s="77"/>
      <c r="H98" s="28">
        <f t="shared" si="49"/>
        <v>0</v>
      </c>
      <c r="I98" s="29">
        <f t="shared" si="50"/>
        <v>0</v>
      </c>
      <c r="J98" s="30">
        <f t="shared" si="51"/>
        <v>0</v>
      </c>
      <c r="K98" s="31">
        <f t="shared" si="52"/>
        <v>0</v>
      </c>
      <c r="L98" s="30">
        <f t="shared" si="53"/>
        <v>0</v>
      </c>
      <c r="M98" s="31">
        <f t="shared" si="54"/>
        <v>0</v>
      </c>
      <c r="N98" s="32"/>
      <c r="O98" s="33"/>
    </row>
    <row r="99" ht="15.75" customHeight="1">
      <c r="A99" s="21"/>
      <c r="B99" s="70"/>
      <c r="C99" s="61"/>
      <c r="D99" s="75" t="s">
        <v>115</v>
      </c>
      <c r="E99" s="71"/>
      <c r="F99" s="76"/>
      <c r="G99" s="77"/>
      <c r="H99" s="28">
        <f t="shared" si="49"/>
        <v>0</v>
      </c>
      <c r="I99" s="29">
        <f t="shared" si="50"/>
        <v>0</v>
      </c>
      <c r="J99" s="30">
        <f t="shared" si="51"/>
        <v>0</v>
      </c>
      <c r="K99" s="31">
        <f t="shared" si="52"/>
        <v>0</v>
      </c>
      <c r="L99" s="30">
        <f t="shared" si="53"/>
        <v>0</v>
      </c>
      <c r="M99" s="31">
        <f t="shared" si="54"/>
        <v>0</v>
      </c>
      <c r="N99" s="32"/>
      <c r="O99" s="33"/>
    </row>
    <row r="100" ht="15.75" customHeight="1">
      <c r="A100" s="21"/>
      <c r="B100" s="70"/>
      <c r="C100" s="61"/>
      <c r="D100" s="75" t="s">
        <v>116</v>
      </c>
      <c r="E100" s="71"/>
      <c r="F100" s="76"/>
      <c r="G100" s="77"/>
      <c r="H100" s="28">
        <f t="shared" si="49"/>
        <v>0</v>
      </c>
      <c r="I100" s="29">
        <f t="shared" si="50"/>
        <v>0</v>
      </c>
      <c r="J100" s="30">
        <f t="shared" si="51"/>
        <v>0</v>
      </c>
      <c r="K100" s="31">
        <f t="shared" si="52"/>
        <v>0</v>
      </c>
      <c r="L100" s="30">
        <f t="shared" si="53"/>
        <v>0</v>
      </c>
      <c r="M100" s="31">
        <f t="shared" si="54"/>
        <v>0</v>
      </c>
      <c r="N100" s="32"/>
      <c r="O100" s="33"/>
    </row>
    <row r="101" ht="15.75" customHeight="1">
      <c r="A101" s="21"/>
      <c r="B101" s="70"/>
      <c r="C101" s="61"/>
      <c r="D101" s="75" t="s">
        <v>117</v>
      </c>
      <c r="E101" s="71"/>
      <c r="F101" s="80"/>
      <c r="G101" s="77"/>
      <c r="H101" s="28">
        <f t="shared" si="49"/>
        <v>0</v>
      </c>
      <c r="I101" s="29">
        <f t="shared" si="50"/>
        <v>0</v>
      </c>
      <c r="J101" s="30">
        <f t="shared" si="51"/>
        <v>0</v>
      </c>
      <c r="K101" s="31">
        <f t="shared" si="52"/>
        <v>0</v>
      </c>
      <c r="L101" s="30">
        <f t="shared" si="53"/>
        <v>0</v>
      </c>
      <c r="M101" s="31">
        <f t="shared" si="54"/>
        <v>0</v>
      </c>
      <c r="N101" s="32"/>
      <c r="O101" s="33"/>
    </row>
    <row r="102" ht="15.75" customHeight="1">
      <c r="A102" s="21"/>
      <c r="B102" s="70"/>
      <c r="C102" s="61"/>
      <c r="D102" s="75" t="s">
        <v>118</v>
      </c>
      <c r="E102" s="71"/>
      <c r="F102" s="80"/>
      <c r="G102" s="77"/>
      <c r="H102" s="28">
        <f t="shared" si="49"/>
        <v>0</v>
      </c>
      <c r="I102" s="29">
        <f t="shared" si="50"/>
        <v>0</v>
      </c>
      <c r="J102" s="30">
        <f t="shared" si="51"/>
        <v>0</v>
      </c>
      <c r="K102" s="31">
        <f t="shared" si="52"/>
        <v>0</v>
      </c>
      <c r="L102" s="30">
        <f t="shared" si="53"/>
        <v>0</v>
      </c>
      <c r="M102" s="31">
        <f t="shared" si="54"/>
        <v>0</v>
      </c>
      <c r="N102" s="32"/>
      <c r="O102" s="33"/>
    </row>
    <row r="103" ht="15.75" customHeight="1">
      <c r="A103" s="35"/>
      <c r="B103" s="70"/>
      <c r="C103" s="61"/>
      <c r="D103" s="75" t="s">
        <v>119</v>
      </c>
      <c r="E103" s="71"/>
      <c r="F103" s="80"/>
      <c r="G103" s="77"/>
      <c r="H103" s="28">
        <f t="shared" si="49"/>
        <v>0</v>
      </c>
      <c r="I103" s="29">
        <f t="shared" si="50"/>
        <v>0</v>
      </c>
      <c r="J103" s="30">
        <f t="shared" si="51"/>
        <v>0</v>
      </c>
      <c r="K103" s="31">
        <f t="shared" si="52"/>
        <v>0</v>
      </c>
      <c r="L103" s="30">
        <f t="shared" si="53"/>
        <v>0</v>
      </c>
      <c r="M103" s="31">
        <f t="shared" si="54"/>
        <v>0</v>
      </c>
      <c r="N103" s="32"/>
      <c r="O103" s="33"/>
    </row>
    <row r="104" ht="15.75" customHeight="1">
      <c r="A104" s="21"/>
      <c r="B104" s="70"/>
      <c r="C104" s="81"/>
      <c r="D104" s="75" t="s">
        <v>120</v>
      </c>
      <c r="E104" s="71"/>
      <c r="F104" s="80"/>
      <c r="G104" s="77"/>
      <c r="H104" s="28">
        <f t="shared" si="49"/>
        <v>0</v>
      </c>
      <c r="I104" s="29">
        <f t="shared" si="50"/>
        <v>0</v>
      </c>
      <c r="J104" s="30">
        <f t="shared" si="51"/>
        <v>0</v>
      </c>
      <c r="K104" s="31">
        <f t="shared" si="52"/>
        <v>0</v>
      </c>
      <c r="L104" s="30">
        <f t="shared" si="53"/>
        <v>0</v>
      </c>
      <c r="M104" s="31">
        <f t="shared" si="54"/>
        <v>0</v>
      </c>
      <c r="N104" s="32"/>
      <c r="O104" s="33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ht="15.75" customHeight="1">
      <c r="A105" s="35"/>
      <c r="B105" s="70"/>
      <c r="C105" s="61"/>
      <c r="D105" s="75" t="s">
        <v>121</v>
      </c>
      <c r="E105" s="71"/>
      <c r="F105" s="80"/>
      <c r="G105" s="77"/>
      <c r="H105" s="28">
        <f t="shared" si="49"/>
        <v>0</v>
      </c>
      <c r="I105" s="29">
        <f t="shared" si="50"/>
        <v>0</v>
      </c>
      <c r="J105" s="30">
        <f t="shared" si="51"/>
        <v>0</v>
      </c>
      <c r="K105" s="31">
        <f t="shared" si="52"/>
        <v>0</v>
      </c>
      <c r="L105" s="30">
        <f t="shared" si="53"/>
        <v>0</v>
      </c>
      <c r="M105" s="31">
        <f t="shared" si="54"/>
        <v>0</v>
      </c>
      <c r="N105" s="32"/>
      <c r="O105" s="33"/>
    </row>
    <row r="106" ht="15.75" customHeight="1">
      <c r="A106" s="35"/>
      <c r="B106" s="70"/>
      <c r="C106" s="61"/>
      <c r="D106" s="75" t="s">
        <v>122</v>
      </c>
      <c r="E106" s="71"/>
      <c r="F106" s="80"/>
      <c r="G106" s="77"/>
      <c r="H106" s="28">
        <f t="shared" si="49"/>
        <v>0</v>
      </c>
      <c r="I106" s="29">
        <f t="shared" si="50"/>
        <v>0</v>
      </c>
      <c r="J106" s="30">
        <f t="shared" si="51"/>
        <v>0</v>
      </c>
      <c r="K106" s="31">
        <f t="shared" si="52"/>
        <v>0</v>
      </c>
      <c r="L106" s="30">
        <f t="shared" si="53"/>
        <v>0</v>
      </c>
      <c r="M106" s="31">
        <f t="shared" si="54"/>
        <v>0</v>
      </c>
      <c r="N106" s="32"/>
      <c r="O106" s="33"/>
    </row>
    <row r="107" ht="15.75" customHeight="1">
      <c r="A107" s="21"/>
      <c r="B107" s="70"/>
      <c r="C107" s="61"/>
      <c r="D107" s="75" t="s">
        <v>123</v>
      </c>
      <c r="E107" s="71"/>
      <c r="F107" s="80"/>
      <c r="G107" s="77"/>
      <c r="H107" s="28">
        <f t="shared" si="49"/>
        <v>0</v>
      </c>
      <c r="I107" s="29">
        <f t="shared" si="50"/>
        <v>0</v>
      </c>
      <c r="J107" s="30">
        <f t="shared" si="51"/>
        <v>0</v>
      </c>
      <c r="K107" s="31">
        <f t="shared" si="52"/>
        <v>0</v>
      </c>
      <c r="L107" s="30">
        <f t="shared" si="53"/>
        <v>0</v>
      </c>
      <c r="M107" s="31">
        <f t="shared" si="54"/>
        <v>0</v>
      </c>
      <c r="N107" s="32"/>
      <c r="O107" s="33"/>
    </row>
    <row r="108" ht="15.75" customHeight="1">
      <c r="A108" s="35"/>
      <c r="B108" s="70"/>
      <c r="C108" s="61"/>
      <c r="D108" s="75" t="s">
        <v>124</v>
      </c>
      <c r="E108" s="71"/>
      <c r="F108" s="80"/>
      <c r="G108" s="79" t="s">
        <v>125</v>
      </c>
      <c r="H108" s="28">
        <f t="shared" si="49"/>
        <v>0</v>
      </c>
      <c r="I108" s="29">
        <f t="shared" si="50"/>
        <v>0</v>
      </c>
      <c r="J108" s="30">
        <f t="shared" si="51"/>
        <v>0</v>
      </c>
      <c r="K108" s="31">
        <f t="shared" si="52"/>
        <v>0</v>
      </c>
      <c r="L108" s="30">
        <f t="shared" si="53"/>
        <v>0</v>
      </c>
      <c r="M108" s="31">
        <f t="shared" si="54"/>
        <v>0</v>
      </c>
      <c r="N108" s="32"/>
      <c r="O108" s="33"/>
    </row>
    <row r="109" ht="15.75" customHeight="1">
      <c r="A109" s="21"/>
      <c r="B109" s="70"/>
      <c r="C109" s="61"/>
      <c r="D109" s="75" t="s">
        <v>126</v>
      </c>
      <c r="E109" s="71"/>
      <c r="F109" s="80"/>
      <c r="G109" s="77"/>
      <c r="H109" s="28">
        <f t="shared" si="49"/>
        <v>0</v>
      </c>
      <c r="I109" s="29">
        <f t="shared" si="50"/>
        <v>0</v>
      </c>
      <c r="J109" s="30">
        <f t="shared" si="51"/>
        <v>0</v>
      </c>
      <c r="K109" s="31">
        <f t="shared" si="52"/>
        <v>0</v>
      </c>
      <c r="L109" s="30">
        <f t="shared" si="53"/>
        <v>0</v>
      </c>
      <c r="M109" s="31">
        <f t="shared" si="54"/>
        <v>0</v>
      </c>
      <c r="N109" s="32"/>
      <c r="O109" s="33"/>
    </row>
    <row r="110" ht="15.75" customHeight="1">
      <c r="A110" s="35"/>
      <c r="B110" s="70"/>
      <c r="C110" s="61"/>
      <c r="D110" s="75" t="s">
        <v>127</v>
      </c>
      <c r="E110" s="71"/>
      <c r="F110" s="80"/>
      <c r="G110" s="77"/>
      <c r="H110" s="28">
        <f t="shared" si="49"/>
        <v>0</v>
      </c>
      <c r="I110" s="29">
        <f t="shared" si="50"/>
        <v>0</v>
      </c>
      <c r="J110" s="30">
        <f t="shared" si="51"/>
        <v>0</v>
      </c>
      <c r="K110" s="31">
        <f t="shared" si="52"/>
        <v>0</v>
      </c>
      <c r="L110" s="30">
        <f t="shared" si="53"/>
        <v>0</v>
      </c>
      <c r="M110" s="31">
        <f t="shared" si="54"/>
        <v>0</v>
      </c>
      <c r="N110" s="32"/>
      <c r="O110" s="33"/>
    </row>
    <row r="111" ht="15.75" customHeight="1">
      <c r="A111" s="21"/>
      <c r="B111" s="70"/>
      <c r="C111" s="61"/>
      <c r="D111" s="75" t="s">
        <v>128</v>
      </c>
      <c r="E111" s="71"/>
      <c r="F111" s="80"/>
      <c r="G111" s="79">
        <v>98.0</v>
      </c>
      <c r="H111" s="28">
        <f t="shared" si="49"/>
        <v>0</v>
      </c>
      <c r="I111" s="29">
        <f t="shared" si="50"/>
        <v>0</v>
      </c>
      <c r="J111" s="30">
        <f t="shared" si="51"/>
        <v>0</v>
      </c>
      <c r="K111" s="31">
        <f t="shared" si="52"/>
        <v>0</v>
      </c>
      <c r="L111" s="30">
        <f t="shared" si="53"/>
        <v>0</v>
      </c>
      <c r="M111" s="31">
        <f t="shared" si="54"/>
        <v>0</v>
      </c>
      <c r="N111" s="32"/>
      <c r="O111" s="33"/>
    </row>
    <row r="112" ht="15.75" customHeight="1">
      <c r="A112" s="21"/>
      <c r="B112" s="70"/>
      <c r="C112" s="61"/>
      <c r="D112" s="75" t="s">
        <v>129</v>
      </c>
      <c r="E112" s="71"/>
      <c r="F112" s="80"/>
      <c r="G112" s="77"/>
      <c r="H112" s="28">
        <f t="shared" si="49"/>
        <v>0</v>
      </c>
      <c r="I112" s="29">
        <f t="shared" si="50"/>
        <v>0</v>
      </c>
      <c r="J112" s="30">
        <f t="shared" si="51"/>
        <v>0</v>
      </c>
      <c r="K112" s="31">
        <f t="shared" si="52"/>
        <v>0</v>
      </c>
      <c r="L112" s="30">
        <f t="shared" si="53"/>
        <v>0</v>
      </c>
      <c r="M112" s="31">
        <f t="shared" si="54"/>
        <v>0</v>
      </c>
      <c r="N112" s="32"/>
      <c r="O112" s="33"/>
    </row>
    <row r="113" ht="15.75" customHeight="1">
      <c r="A113" s="21"/>
      <c r="B113" s="70"/>
      <c r="C113" s="61"/>
      <c r="D113" s="75" t="s">
        <v>130</v>
      </c>
      <c r="E113" s="71"/>
      <c r="F113" s="80"/>
      <c r="G113" s="77"/>
      <c r="H113" s="28">
        <f t="shared" si="49"/>
        <v>0</v>
      </c>
      <c r="I113" s="29">
        <f t="shared" si="50"/>
        <v>0</v>
      </c>
      <c r="J113" s="30">
        <f t="shared" si="51"/>
        <v>0</v>
      </c>
      <c r="K113" s="31">
        <f t="shared" si="52"/>
        <v>0</v>
      </c>
      <c r="L113" s="30">
        <f t="shared" si="53"/>
        <v>0</v>
      </c>
      <c r="M113" s="31">
        <f t="shared" si="54"/>
        <v>0</v>
      </c>
      <c r="N113" s="32"/>
      <c r="O113" s="33"/>
    </row>
    <row r="114" ht="15.75" customHeight="1">
      <c r="A114" s="21"/>
      <c r="B114" s="70"/>
      <c r="C114" s="61"/>
      <c r="D114" s="75" t="s">
        <v>131</v>
      </c>
      <c r="E114" s="71"/>
      <c r="F114" s="80"/>
      <c r="G114" s="79">
        <v>25.0</v>
      </c>
      <c r="H114" s="28"/>
      <c r="I114" s="29"/>
      <c r="J114" s="30"/>
      <c r="K114" s="31"/>
      <c r="L114" s="30"/>
      <c r="M114" s="31"/>
      <c r="N114" s="32"/>
      <c r="O114" s="33"/>
    </row>
    <row r="115" ht="15.75" customHeight="1">
      <c r="A115" s="21"/>
      <c r="B115" s="70"/>
      <c r="C115" s="61"/>
      <c r="D115" s="75" t="s">
        <v>132</v>
      </c>
      <c r="E115" s="71"/>
      <c r="F115" s="80"/>
      <c r="G115" s="77"/>
      <c r="H115" s="28">
        <f t="shared" ref="H115:H118" si="55">F115*0.5+F115</f>
        <v>0</v>
      </c>
      <c r="I115" s="29">
        <f t="shared" ref="I115:I118" si="56">F115*0.3+F115</f>
        <v>0</v>
      </c>
      <c r="J115" s="30">
        <f t="shared" ref="J115:J118" si="57">F115*0.3+F115</f>
        <v>0</v>
      </c>
      <c r="K115" s="31">
        <f t="shared" ref="K115:K118" si="58">F115*0.2+F115</f>
        <v>0</v>
      </c>
      <c r="L115" s="30">
        <f t="shared" ref="L115:L118" si="59">F115*0.15+F115</f>
        <v>0</v>
      </c>
      <c r="M115" s="31">
        <f t="shared" ref="M115:M118" si="60">F115*0.1+F115</f>
        <v>0</v>
      </c>
      <c r="N115" s="32"/>
      <c r="O115" s="33"/>
    </row>
    <row r="116" ht="15.75" customHeight="1">
      <c r="A116" s="21"/>
      <c r="B116" s="70"/>
      <c r="C116" s="61"/>
      <c r="D116" s="75" t="s">
        <v>133</v>
      </c>
      <c r="E116" s="71"/>
      <c r="F116" s="80"/>
      <c r="G116" s="77"/>
      <c r="H116" s="28">
        <f t="shared" si="55"/>
        <v>0</v>
      </c>
      <c r="I116" s="29">
        <f t="shared" si="56"/>
        <v>0</v>
      </c>
      <c r="J116" s="30">
        <f t="shared" si="57"/>
        <v>0</v>
      </c>
      <c r="K116" s="31">
        <f t="shared" si="58"/>
        <v>0</v>
      </c>
      <c r="L116" s="30">
        <f t="shared" si="59"/>
        <v>0</v>
      </c>
      <c r="M116" s="31">
        <f t="shared" si="60"/>
        <v>0</v>
      </c>
      <c r="N116" s="32"/>
      <c r="O116" s="33"/>
    </row>
    <row r="117" ht="15.75" customHeight="1">
      <c r="A117" s="21"/>
      <c r="B117" s="70"/>
      <c r="C117" s="61"/>
      <c r="D117" s="75" t="s">
        <v>134</v>
      </c>
      <c r="E117" s="71"/>
      <c r="F117" s="80"/>
      <c r="G117" s="77"/>
      <c r="H117" s="28">
        <f t="shared" si="55"/>
        <v>0</v>
      </c>
      <c r="I117" s="29">
        <f t="shared" si="56"/>
        <v>0</v>
      </c>
      <c r="J117" s="30">
        <f t="shared" si="57"/>
        <v>0</v>
      </c>
      <c r="K117" s="31">
        <f t="shared" si="58"/>
        <v>0</v>
      </c>
      <c r="L117" s="30">
        <f t="shared" si="59"/>
        <v>0</v>
      </c>
      <c r="M117" s="31">
        <f t="shared" si="60"/>
        <v>0</v>
      </c>
      <c r="N117" s="32"/>
      <c r="O117" s="33"/>
    </row>
    <row r="118" ht="15.75" customHeight="1">
      <c r="A118" s="21"/>
      <c r="B118" s="70"/>
      <c r="C118" s="61"/>
      <c r="D118" s="75" t="s">
        <v>135</v>
      </c>
      <c r="E118" s="71"/>
      <c r="F118" s="80"/>
      <c r="G118" s="77"/>
      <c r="H118" s="28">
        <f t="shared" si="55"/>
        <v>0</v>
      </c>
      <c r="I118" s="29">
        <f t="shared" si="56"/>
        <v>0</v>
      </c>
      <c r="J118" s="30">
        <f t="shared" si="57"/>
        <v>0</v>
      </c>
      <c r="K118" s="31">
        <f t="shared" si="58"/>
        <v>0</v>
      </c>
      <c r="L118" s="30">
        <f t="shared" si="59"/>
        <v>0</v>
      </c>
      <c r="M118" s="31">
        <f t="shared" si="60"/>
        <v>0</v>
      </c>
      <c r="N118" s="32"/>
      <c r="O118" s="33"/>
    </row>
    <row r="119" ht="15.75" customHeight="1">
      <c r="A119" s="21"/>
      <c r="B119" s="70"/>
      <c r="C119" s="61"/>
      <c r="D119" s="83" t="s">
        <v>136</v>
      </c>
      <c r="E119" s="71"/>
      <c r="F119" s="72"/>
      <c r="G119" s="84">
        <v>95.0</v>
      </c>
      <c r="H119" s="28"/>
      <c r="I119" s="29"/>
      <c r="J119" s="30"/>
      <c r="K119" s="31"/>
      <c r="L119" s="30"/>
      <c r="M119" s="31"/>
      <c r="N119" s="32"/>
      <c r="O119" s="33"/>
    </row>
    <row r="120" ht="15.75" customHeight="1">
      <c r="A120" s="21"/>
      <c r="B120" s="70"/>
      <c r="C120" s="61"/>
      <c r="D120" s="35" t="s">
        <v>137</v>
      </c>
      <c r="E120" s="71"/>
      <c r="F120" s="72"/>
      <c r="G120" s="85"/>
      <c r="H120" s="28">
        <f t="shared" ref="H120:H157" si="61">F120*0.5+F120</f>
        <v>0</v>
      </c>
      <c r="I120" s="29">
        <f t="shared" ref="I120:I157" si="62">F120*0.3+F120</f>
        <v>0</v>
      </c>
      <c r="J120" s="30">
        <f t="shared" ref="J120:J157" si="63">F120*0.3+F120</f>
        <v>0</v>
      </c>
      <c r="K120" s="31">
        <f t="shared" ref="K120:K157" si="64">F120*0.2+F120</f>
        <v>0</v>
      </c>
      <c r="L120" s="30">
        <f t="shared" ref="L120:L157" si="65">F120*0.15+F120</f>
        <v>0</v>
      </c>
      <c r="M120" s="31">
        <f t="shared" ref="M120:M157" si="66">F120*0.1+F120</f>
        <v>0</v>
      </c>
      <c r="N120" s="32"/>
      <c r="O120" s="33"/>
    </row>
    <row r="121" ht="15.75" customHeight="1">
      <c r="A121" s="21"/>
      <c r="B121" s="70"/>
      <c r="C121" s="81"/>
      <c r="D121" s="35" t="s">
        <v>138</v>
      </c>
      <c r="E121" s="71"/>
      <c r="F121" s="72"/>
      <c r="G121" s="85"/>
      <c r="H121" s="28">
        <f t="shared" si="61"/>
        <v>0</v>
      </c>
      <c r="I121" s="29">
        <f t="shared" si="62"/>
        <v>0</v>
      </c>
      <c r="J121" s="30">
        <f t="shared" si="63"/>
        <v>0</v>
      </c>
      <c r="K121" s="31">
        <f t="shared" si="64"/>
        <v>0</v>
      </c>
      <c r="L121" s="30">
        <f t="shared" si="65"/>
        <v>0</v>
      </c>
      <c r="M121" s="31">
        <f t="shared" si="66"/>
        <v>0</v>
      </c>
      <c r="N121" s="32"/>
      <c r="O121" s="86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ht="15.75" customHeight="1">
      <c r="A122" s="87"/>
      <c r="B122" s="70"/>
      <c r="C122" s="61"/>
      <c r="D122" s="35" t="s">
        <v>139</v>
      </c>
      <c r="E122" s="71"/>
      <c r="F122" s="72"/>
      <c r="G122" s="85"/>
      <c r="H122" s="28">
        <f t="shared" si="61"/>
        <v>0</v>
      </c>
      <c r="I122" s="29">
        <f t="shared" si="62"/>
        <v>0</v>
      </c>
      <c r="J122" s="30">
        <f t="shared" si="63"/>
        <v>0</v>
      </c>
      <c r="K122" s="31">
        <f t="shared" si="64"/>
        <v>0</v>
      </c>
      <c r="L122" s="30">
        <f t="shared" si="65"/>
        <v>0</v>
      </c>
      <c r="M122" s="31">
        <f t="shared" si="66"/>
        <v>0</v>
      </c>
      <c r="N122" s="32"/>
      <c r="O122" s="33"/>
    </row>
    <row r="123" ht="15.75" customHeight="1">
      <c r="A123" s="87"/>
      <c r="B123" s="70"/>
      <c r="C123" s="61"/>
      <c r="D123" s="35" t="s">
        <v>140</v>
      </c>
      <c r="E123" s="71"/>
      <c r="F123" s="72"/>
      <c r="G123" s="85"/>
      <c r="H123" s="28">
        <f t="shared" si="61"/>
        <v>0</v>
      </c>
      <c r="I123" s="29">
        <f t="shared" si="62"/>
        <v>0</v>
      </c>
      <c r="J123" s="30">
        <f t="shared" si="63"/>
        <v>0</v>
      </c>
      <c r="K123" s="31">
        <f t="shared" si="64"/>
        <v>0</v>
      </c>
      <c r="L123" s="30">
        <f t="shared" si="65"/>
        <v>0</v>
      </c>
      <c r="M123" s="31">
        <f t="shared" si="66"/>
        <v>0</v>
      </c>
      <c r="N123" s="32"/>
      <c r="O123" s="33"/>
    </row>
    <row r="124" ht="15.75" customHeight="1">
      <c r="A124" s="87"/>
      <c r="B124" s="70"/>
      <c r="C124" s="61"/>
      <c r="D124" s="35" t="s">
        <v>141</v>
      </c>
      <c r="E124" s="71"/>
      <c r="F124" s="72"/>
      <c r="G124" s="85"/>
      <c r="H124" s="28">
        <f t="shared" si="61"/>
        <v>0</v>
      </c>
      <c r="I124" s="29">
        <f t="shared" si="62"/>
        <v>0</v>
      </c>
      <c r="J124" s="30">
        <f t="shared" si="63"/>
        <v>0</v>
      </c>
      <c r="K124" s="31">
        <f t="shared" si="64"/>
        <v>0</v>
      </c>
      <c r="L124" s="30">
        <f t="shared" si="65"/>
        <v>0</v>
      </c>
      <c r="M124" s="31">
        <f t="shared" si="66"/>
        <v>0</v>
      </c>
      <c r="N124" s="32"/>
      <c r="O124" s="33"/>
    </row>
    <row r="125" ht="15.75" customHeight="1">
      <c r="A125" s="87"/>
      <c r="B125" s="70"/>
      <c r="C125" s="61"/>
      <c r="D125" s="35" t="s">
        <v>142</v>
      </c>
      <c r="E125" s="71"/>
      <c r="F125" s="72"/>
      <c r="G125" s="85"/>
      <c r="H125" s="28">
        <f t="shared" si="61"/>
        <v>0</v>
      </c>
      <c r="I125" s="29">
        <f t="shared" si="62"/>
        <v>0</v>
      </c>
      <c r="J125" s="30">
        <f t="shared" si="63"/>
        <v>0</v>
      </c>
      <c r="K125" s="31">
        <f t="shared" si="64"/>
        <v>0</v>
      </c>
      <c r="L125" s="30">
        <f t="shared" si="65"/>
        <v>0</v>
      </c>
      <c r="M125" s="31">
        <f t="shared" si="66"/>
        <v>0</v>
      </c>
      <c r="N125" s="32"/>
      <c r="O125" s="86"/>
    </row>
    <row r="126" ht="15.75" customHeight="1">
      <c r="A126" s="87"/>
      <c r="B126" s="70"/>
      <c r="C126" s="61"/>
      <c r="D126" s="35" t="s">
        <v>143</v>
      </c>
      <c r="E126" s="71"/>
      <c r="F126" s="72"/>
      <c r="G126" s="85"/>
      <c r="H126" s="28">
        <f t="shared" si="61"/>
        <v>0</v>
      </c>
      <c r="I126" s="29">
        <f t="shared" si="62"/>
        <v>0</v>
      </c>
      <c r="J126" s="30">
        <f t="shared" si="63"/>
        <v>0</v>
      </c>
      <c r="K126" s="31">
        <f t="shared" si="64"/>
        <v>0</v>
      </c>
      <c r="L126" s="30">
        <f t="shared" si="65"/>
        <v>0</v>
      </c>
      <c r="M126" s="31">
        <f t="shared" si="66"/>
        <v>0</v>
      </c>
      <c r="N126" s="32"/>
      <c r="O126" s="86"/>
    </row>
    <row r="127" ht="15.75" customHeight="1">
      <c r="A127" s="87"/>
      <c r="B127" s="70"/>
      <c r="C127" s="61"/>
      <c r="D127" s="35" t="s">
        <v>144</v>
      </c>
      <c r="E127" s="71"/>
      <c r="F127" s="72"/>
      <c r="G127" s="85"/>
      <c r="H127" s="28">
        <f t="shared" si="61"/>
        <v>0</v>
      </c>
      <c r="I127" s="29">
        <f t="shared" si="62"/>
        <v>0</v>
      </c>
      <c r="J127" s="30">
        <f t="shared" si="63"/>
        <v>0</v>
      </c>
      <c r="K127" s="31">
        <f t="shared" si="64"/>
        <v>0</v>
      </c>
      <c r="L127" s="30">
        <f t="shared" si="65"/>
        <v>0</v>
      </c>
      <c r="M127" s="31">
        <f t="shared" si="66"/>
        <v>0</v>
      </c>
      <c r="N127" s="32"/>
      <c r="O127" s="86"/>
    </row>
    <row r="128" ht="15.75" customHeight="1">
      <c r="A128" s="87"/>
      <c r="B128" s="70"/>
      <c r="C128" s="61"/>
      <c r="D128" s="35" t="s">
        <v>145</v>
      </c>
      <c r="E128" s="71"/>
      <c r="F128" s="72"/>
      <c r="G128" s="85"/>
      <c r="H128" s="28">
        <f t="shared" si="61"/>
        <v>0</v>
      </c>
      <c r="I128" s="29">
        <f t="shared" si="62"/>
        <v>0</v>
      </c>
      <c r="J128" s="30">
        <f t="shared" si="63"/>
        <v>0</v>
      </c>
      <c r="K128" s="31">
        <f t="shared" si="64"/>
        <v>0</v>
      </c>
      <c r="L128" s="30">
        <f t="shared" si="65"/>
        <v>0</v>
      </c>
      <c r="M128" s="31">
        <f t="shared" si="66"/>
        <v>0</v>
      </c>
      <c r="N128" s="32"/>
      <c r="O128" s="86"/>
    </row>
    <row r="129" ht="15.75" customHeight="1">
      <c r="A129" s="87"/>
      <c r="B129" s="70"/>
      <c r="C129" s="61"/>
      <c r="D129" s="35" t="s">
        <v>146</v>
      </c>
      <c r="E129" s="71"/>
      <c r="F129" s="72"/>
      <c r="G129" s="85"/>
      <c r="H129" s="28">
        <f t="shared" si="61"/>
        <v>0</v>
      </c>
      <c r="I129" s="29">
        <f t="shared" si="62"/>
        <v>0</v>
      </c>
      <c r="J129" s="30">
        <f t="shared" si="63"/>
        <v>0</v>
      </c>
      <c r="K129" s="31">
        <f t="shared" si="64"/>
        <v>0</v>
      </c>
      <c r="L129" s="30">
        <f t="shared" si="65"/>
        <v>0</v>
      </c>
      <c r="M129" s="31">
        <f t="shared" si="66"/>
        <v>0</v>
      </c>
      <c r="N129" s="32"/>
      <c r="O129" s="86"/>
    </row>
    <row r="130" ht="15.75" customHeight="1">
      <c r="A130" s="87"/>
      <c r="B130" s="70"/>
      <c r="C130" s="61"/>
      <c r="D130" s="35" t="s">
        <v>147</v>
      </c>
      <c r="E130" s="71"/>
      <c r="F130" s="72"/>
      <c r="G130" s="85"/>
      <c r="H130" s="28">
        <f t="shared" si="61"/>
        <v>0</v>
      </c>
      <c r="I130" s="29">
        <f t="shared" si="62"/>
        <v>0</v>
      </c>
      <c r="J130" s="30">
        <f t="shared" si="63"/>
        <v>0</v>
      </c>
      <c r="K130" s="31">
        <f t="shared" si="64"/>
        <v>0</v>
      </c>
      <c r="L130" s="30">
        <f t="shared" si="65"/>
        <v>0</v>
      </c>
      <c r="M130" s="31">
        <f t="shared" si="66"/>
        <v>0</v>
      </c>
      <c r="N130" s="32"/>
      <c r="O130" s="86"/>
    </row>
    <row r="131" ht="15.75" customHeight="1">
      <c r="A131" s="87"/>
      <c r="B131" s="70"/>
      <c r="C131" s="61"/>
      <c r="D131" s="35" t="s">
        <v>148</v>
      </c>
      <c r="E131" s="71"/>
      <c r="F131" s="72"/>
      <c r="G131" s="85"/>
      <c r="H131" s="28">
        <f t="shared" si="61"/>
        <v>0</v>
      </c>
      <c r="I131" s="29">
        <f t="shared" si="62"/>
        <v>0</v>
      </c>
      <c r="J131" s="30">
        <f t="shared" si="63"/>
        <v>0</v>
      </c>
      <c r="K131" s="31">
        <f t="shared" si="64"/>
        <v>0</v>
      </c>
      <c r="L131" s="30">
        <f t="shared" si="65"/>
        <v>0</v>
      </c>
      <c r="M131" s="31">
        <f t="shared" si="66"/>
        <v>0</v>
      </c>
      <c r="N131" s="32"/>
      <c r="O131" s="86"/>
    </row>
    <row r="132" ht="15.75" customHeight="1">
      <c r="A132" s="87"/>
      <c r="B132" s="70"/>
      <c r="C132" s="61"/>
      <c r="D132" s="35" t="s">
        <v>149</v>
      </c>
      <c r="E132" s="71"/>
      <c r="F132" s="72"/>
      <c r="G132" s="85"/>
      <c r="H132" s="28">
        <f t="shared" si="61"/>
        <v>0</v>
      </c>
      <c r="I132" s="29">
        <f t="shared" si="62"/>
        <v>0</v>
      </c>
      <c r="J132" s="30">
        <f t="shared" si="63"/>
        <v>0</v>
      </c>
      <c r="K132" s="31">
        <f t="shared" si="64"/>
        <v>0</v>
      </c>
      <c r="L132" s="30">
        <f t="shared" si="65"/>
        <v>0</v>
      </c>
      <c r="M132" s="31">
        <f t="shared" si="66"/>
        <v>0</v>
      </c>
      <c r="N132" s="32"/>
      <c r="O132" s="86"/>
    </row>
    <row r="133" ht="15.75" customHeight="1">
      <c r="A133" s="87"/>
      <c r="B133" s="70"/>
      <c r="C133" s="61"/>
      <c r="D133" s="35" t="s">
        <v>150</v>
      </c>
      <c r="E133" s="71"/>
      <c r="F133" s="72"/>
      <c r="G133" s="85"/>
      <c r="H133" s="28">
        <f t="shared" si="61"/>
        <v>0</v>
      </c>
      <c r="I133" s="29">
        <f t="shared" si="62"/>
        <v>0</v>
      </c>
      <c r="J133" s="30">
        <f t="shared" si="63"/>
        <v>0</v>
      </c>
      <c r="K133" s="31">
        <f t="shared" si="64"/>
        <v>0</v>
      </c>
      <c r="L133" s="30">
        <f t="shared" si="65"/>
        <v>0</v>
      </c>
      <c r="M133" s="31">
        <f t="shared" si="66"/>
        <v>0</v>
      </c>
      <c r="N133" s="32"/>
      <c r="O133" s="86"/>
    </row>
    <row r="134" ht="15.75" customHeight="1">
      <c r="A134" s="87"/>
      <c r="B134" s="70"/>
      <c r="C134" s="61"/>
      <c r="D134" s="35" t="s">
        <v>151</v>
      </c>
      <c r="E134" s="71"/>
      <c r="F134" s="72"/>
      <c r="G134" s="85"/>
      <c r="H134" s="28">
        <f t="shared" si="61"/>
        <v>0</v>
      </c>
      <c r="I134" s="29">
        <f t="shared" si="62"/>
        <v>0</v>
      </c>
      <c r="J134" s="30">
        <f t="shared" si="63"/>
        <v>0</v>
      </c>
      <c r="K134" s="31">
        <f t="shared" si="64"/>
        <v>0</v>
      </c>
      <c r="L134" s="30">
        <f t="shared" si="65"/>
        <v>0</v>
      </c>
      <c r="M134" s="31">
        <f t="shared" si="66"/>
        <v>0</v>
      </c>
      <c r="N134" s="32"/>
      <c r="O134" s="86"/>
    </row>
    <row r="135" ht="15.75" customHeight="1">
      <c r="A135" s="87"/>
      <c r="B135" s="70"/>
      <c r="C135" s="61"/>
      <c r="D135" s="35" t="s">
        <v>152</v>
      </c>
      <c r="E135" s="71"/>
      <c r="F135" s="72"/>
      <c r="G135" s="85"/>
      <c r="H135" s="28">
        <f t="shared" si="61"/>
        <v>0</v>
      </c>
      <c r="I135" s="29">
        <f t="shared" si="62"/>
        <v>0</v>
      </c>
      <c r="J135" s="30">
        <f t="shared" si="63"/>
        <v>0</v>
      </c>
      <c r="K135" s="31">
        <f t="shared" si="64"/>
        <v>0</v>
      </c>
      <c r="L135" s="30">
        <f t="shared" si="65"/>
        <v>0</v>
      </c>
      <c r="M135" s="31">
        <f t="shared" si="66"/>
        <v>0</v>
      </c>
      <c r="N135" s="32"/>
      <c r="O135" s="86"/>
    </row>
    <row r="136" ht="15.75" customHeight="1">
      <c r="A136" s="87"/>
      <c r="B136" s="88"/>
      <c r="C136" s="61"/>
      <c r="D136" s="35" t="s">
        <v>153</v>
      </c>
      <c r="E136" s="71"/>
      <c r="F136" s="72"/>
      <c r="G136" s="85"/>
      <c r="H136" s="28">
        <f t="shared" si="61"/>
        <v>0</v>
      </c>
      <c r="I136" s="29">
        <f t="shared" si="62"/>
        <v>0</v>
      </c>
      <c r="J136" s="30">
        <f t="shared" si="63"/>
        <v>0</v>
      </c>
      <c r="K136" s="31">
        <f t="shared" si="64"/>
        <v>0</v>
      </c>
      <c r="L136" s="30">
        <f t="shared" si="65"/>
        <v>0</v>
      </c>
      <c r="M136" s="31">
        <f t="shared" si="66"/>
        <v>0</v>
      </c>
      <c r="N136" s="32"/>
      <c r="O136" s="86"/>
    </row>
    <row r="137" ht="15.75" customHeight="1">
      <c r="A137" s="87"/>
      <c r="B137" s="88"/>
      <c r="C137" s="61"/>
      <c r="D137" s="35" t="s">
        <v>154</v>
      </c>
      <c r="E137" s="71"/>
      <c r="F137" s="72"/>
      <c r="G137" s="85"/>
      <c r="H137" s="28">
        <f t="shared" si="61"/>
        <v>0</v>
      </c>
      <c r="I137" s="29">
        <f t="shared" si="62"/>
        <v>0</v>
      </c>
      <c r="J137" s="30">
        <f t="shared" si="63"/>
        <v>0</v>
      </c>
      <c r="K137" s="31">
        <f t="shared" si="64"/>
        <v>0</v>
      </c>
      <c r="L137" s="30">
        <f t="shared" si="65"/>
        <v>0</v>
      </c>
      <c r="M137" s="31">
        <f t="shared" si="66"/>
        <v>0</v>
      </c>
      <c r="N137" s="32"/>
      <c r="O137" s="86"/>
    </row>
    <row r="138" ht="15.75" customHeight="1">
      <c r="A138" s="89"/>
      <c r="B138" s="88"/>
      <c r="C138" s="61"/>
      <c r="D138" s="35" t="s">
        <v>155</v>
      </c>
      <c r="E138" s="71"/>
      <c r="F138" s="72"/>
      <c r="G138" s="85"/>
      <c r="H138" s="28">
        <f t="shared" si="61"/>
        <v>0</v>
      </c>
      <c r="I138" s="29">
        <f t="shared" si="62"/>
        <v>0</v>
      </c>
      <c r="J138" s="30">
        <f t="shared" si="63"/>
        <v>0</v>
      </c>
      <c r="K138" s="31">
        <f t="shared" si="64"/>
        <v>0</v>
      </c>
      <c r="L138" s="30">
        <f t="shared" si="65"/>
        <v>0</v>
      </c>
      <c r="M138" s="31">
        <f t="shared" si="66"/>
        <v>0</v>
      </c>
      <c r="N138" s="32"/>
      <c r="O138" s="86"/>
    </row>
    <row r="139" ht="15.75" customHeight="1">
      <c r="A139" s="89"/>
      <c r="B139" s="88"/>
      <c r="C139" s="61"/>
      <c r="D139" s="35" t="s">
        <v>156</v>
      </c>
      <c r="E139" s="71"/>
      <c r="F139" s="72"/>
      <c r="G139" s="85"/>
      <c r="H139" s="28">
        <f t="shared" si="61"/>
        <v>0</v>
      </c>
      <c r="I139" s="29">
        <f t="shared" si="62"/>
        <v>0</v>
      </c>
      <c r="J139" s="30">
        <f t="shared" si="63"/>
        <v>0</v>
      </c>
      <c r="K139" s="31">
        <f t="shared" si="64"/>
        <v>0</v>
      </c>
      <c r="L139" s="30">
        <f t="shared" si="65"/>
        <v>0</v>
      </c>
      <c r="M139" s="31">
        <f t="shared" si="66"/>
        <v>0</v>
      </c>
      <c r="N139" s="32"/>
      <c r="O139" s="86"/>
    </row>
    <row r="140" ht="15.75" customHeight="1">
      <c r="A140" s="90"/>
      <c r="B140" s="70"/>
      <c r="C140" s="61"/>
      <c r="D140" s="91" t="s">
        <v>157</v>
      </c>
      <c r="E140" s="71"/>
      <c r="F140" s="72"/>
      <c r="G140" s="85"/>
      <c r="H140" s="28">
        <f t="shared" si="61"/>
        <v>0</v>
      </c>
      <c r="I140" s="29">
        <f t="shared" si="62"/>
        <v>0</v>
      </c>
      <c r="J140" s="30">
        <f t="shared" si="63"/>
        <v>0</v>
      </c>
      <c r="K140" s="31">
        <f t="shared" si="64"/>
        <v>0</v>
      </c>
      <c r="L140" s="30">
        <f t="shared" si="65"/>
        <v>0</v>
      </c>
      <c r="M140" s="31">
        <f t="shared" si="66"/>
        <v>0</v>
      </c>
      <c r="N140" s="32"/>
      <c r="O140" s="86"/>
    </row>
    <row r="141" ht="15.75" customHeight="1">
      <c r="A141" s="89"/>
      <c r="B141" s="88"/>
      <c r="C141" s="61"/>
      <c r="D141" s="91" t="s">
        <v>158</v>
      </c>
      <c r="E141" s="71"/>
      <c r="F141" s="72"/>
      <c r="G141" s="85"/>
      <c r="H141" s="28">
        <f t="shared" si="61"/>
        <v>0</v>
      </c>
      <c r="I141" s="29">
        <f t="shared" si="62"/>
        <v>0</v>
      </c>
      <c r="J141" s="30">
        <f t="shared" si="63"/>
        <v>0</v>
      </c>
      <c r="K141" s="31">
        <f t="shared" si="64"/>
        <v>0</v>
      </c>
      <c r="L141" s="30">
        <f t="shared" si="65"/>
        <v>0</v>
      </c>
      <c r="M141" s="31">
        <f t="shared" si="66"/>
        <v>0</v>
      </c>
      <c r="N141" s="32"/>
      <c r="O141" s="86"/>
    </row>
    <row r="142" ht="15.75" customHeight="1">
      <c r="A142" s="90"/>
      <c r="B142" s="70"/>
      <c r="C142" s="61"/>
      <c r="D142" s="91" t="s">
        <v>159</v>
      </c>
      <c r="E142" s="71"/>
      <c r="F142" s="72"/>
      <c r="G142" s="85"/>
      <c r="H142" s="28">
        <f t="shared" si="61"/>
        <v>0</v>
      </c>
      <c r="I142" s="29">
        <f t="shared" si="62"/>
        <v>0</v>
      </c>
      <c r="J142" s="30">
        <f t="shared" si="63"/>
        <v>0</v>
      </c>
      <c r="K142" s="31">
        <f t="shared" si="64"/>
        <v>0</v>
      </c>
      <c r="L142" s="30">
        <f t="shared" si="65"/>
        <v>0</v>
      </c>
      <c r="M142" s="31">
        <f t="shared" si="66"/>
        <v>0</v>
      </c>
      <c r="N142" s="32"/>
      <c r="O142" s="86"/>
    </row>
    <row r="143" ht="15.75" customHeight="1">
      <c r="A143" s="89"/>
      <c r="B143" s="88"/>
      <c r="C143" s="61"/>
      <c r="D143" s="91" t="s">
        <v>160</v>
      </c>
      <c r="E143" s="71"/>
      <c r="F143" s="72"/>
      <c r="G143" s="85"/>
      <c r="H143" s="28">
        <f t="shared" si="61"/>
        <v>0</v>
      </c>
      <c r="I143" s="29">
        <f t="shared" si="62"/>
        <v>0</v>
      </c>
      <c r="J143" s="30">
        <f t="shared" si="63"/>
        <v>0</v>
      </c>
      <c r="K143" s="31">
        <f t="shared" si="64"/>
        <v>0</v>
      </c>
      <c r="L143" s="30">
        <f t="shared" si="65"/>
        <v>0</v>
      </c>
      <c r="M143" s="31">
        <f t="shared" si="66"/>
        <v>0</v>
      </c>
      <c r="N143" s="32"/>
      <c r="O143" s="86"/>
    </row>
    <row r="144" ht="15.75" customHeight="1">
      <c r="A144" s="90"/>
      <c r="B144" s="70"/>
      <c r="C144" s="61"/>
      <c r="D144" s="91" t="s">
        <v>161</v>
      </c>
      <c r="E144" s="71"/>
      <c r="F144" s="72"/>
      <c r="G144" s="85"/>
      <c r="H144" s="28">
        <f t="shared" si="61"/>
        <v>0</v>
      </c>
      <c r="I144" s="29">
        <f t="shared" si="62"/>
        <v>0</v>
      </c>
      <c r="J144" s="30">
        <f t="shared" si="63"/>
        <v>0</v>
      </c>
      <c r="K144" s="31">
        <f t="shared" si="64"/>
        <v>0</v>
      </c>
      <c r="L144" s="30">
        <f t="shared" si="65"/>
        <v>0</v>
      </c>
      <c r="M144" s="31">
        <f t="shared" si="66"/>
        <v>0</v>
      </c>
      <c r="N144" s="32"/>
      <c r="O144" s="86"/>
    </row>
    <row r="145" ht="15.75" customHeight="1">
      <c r="A145" s="90"/>
      <c r="B145" s="70"/>
      <c r="C145" s="61"/>
      <c r="D145" s="92" t="s">
        <v>162</v>
      </c>
      <c r="E145" s="71"/>
      <c r="F145" s="72"/>
      <c r="G145" s="85"/>
      <c r="H145" s="28">
        <f t="shared" si="61"/>
        <v>0</v>
      </c>
      <c r="I145" s="29">
        <f t="shared" si="62"/>
        <v>0</v>
      </c>
      <c r="J145" s="30">
        <f t="shared" si="63"/>
        <v>0</v>
      </c>
      <c r="K145" s="31">
        <f t="shared" si="64"/>
        <v>0</v>
      </c>
      <c r="L145" s="30">
        <f t="shared" si="65"/>
        <v>0</v>
      </c>
      <c r="M145" s="31">
        <f t="shared" si="66"/>
        <v>0</v>
      </c>
      <c r="N145" s="32"/>
      <c r="O145" s="86"/>
    </row>
    <row r="146" ht="15.75" customHeight="1">
      <c r="A146" s="21"/>
      <c r="B146" s="70"/>
      <c r="C146" s="61"/>
      <c r="D146" s="91" t="s">
        <v>163</v>
      </c>
      <c r="E146" s="71"/>
      <c r="F146" s="72"/>
      <c r="G146" s="85"/>
      <c r="H146" s="28">
        <f t="shared" si="61"/>
        <v>0</v>
      </c>
      <c r="I146" s="29">
        <f t="shared" si="62"/>
        <v>0</v>
      </c>
      <c r="J146" s="30">
        <f t="shared" si="63"/>
        <v>0</v>
      </c>
      <c r="K146" s="31">
        <f t="shared" si="64"/>
        <v>0</v>
      </c>
      <c r="L146" s="30">
        <f t="shared" si="65"/>
        <v>0</v>
      </c>
      <c r="M146" s="31">
        <f t="shared" si="66"/>
        <v>0</v>
      </c>
      <c r="N146" s="32"/>
      <c r="O146" s="86"/>
    </row>
    <row r="147" ht="15.75" customHeight="1">
      <c r="A147" s="21"/>
      <c r="B147" s="70"/>
      <c r="C147" s="61"/>
      <c r="D147" s="91" t="s">
        <v>164</v>
      </c>
      <c r="E147" s="71"/>
      <c r="F147" s="72"/>
      <c r="G147" s="85"/>
      <c r="H147" s="28">
        <f t="shared" si="61"/>
        <v>0</v>
      </c>
      <c r="I147" s="29">
        <f t="shared" si="62"/>
        <v>0</v>
      </c>
      <c r="J147" s="30">
        <f t="shared" si="63"/>
        <v>0</v>
      </c>
      <c r="K147" s="31">
        <f t="shared" si="64"/>
        <v>0</v>
      </c>
      <c r="L147" s="30">
        <f t="shared" si="65"/>
        <v>0</v>
      </c>
      <c r="M147" s="31">
        <f t="shared" si="66"/>
        <v>0</v>
      </c>
      <c r="N147" s="32"/>
      <c r="O147" s="86"/>
    </row>
    <row r="148" ht="15.75" customHeight="1">
      <c r="A148" s="21"/>
      <c r="B148" s="70"/>
      <c r="C148" s="61"/>
      <c r="D148" s="91" t="s">
        <v>165</v>
      </c>
      <c r="E148" s="71"/>
      <c r="F148" s="93"/>
      <c r="G148" s="94"/>
      <c r="H148" s="28">
        <f t="shared" si="61"/>
        <v>0</v>
      </c>
      <c r="I148" s="29">
        <f t="shared" si="62"/>
        <v>0</v>
      </c>
      <c r="J148" s="30">
        <f t="shared" si="63"/>
        <v>0</v>
      </c>
      <c r="K148" s="31">
        <f t="shared" si="64"/>
        <v>0</v>
      </c>
      <c r="L148" s="30">
        <f t="shared" si="65"/>
        <v>0</v>
      </c>
      <c r="M148" s="31">
        <f t="shared" si="66"/>
        <v>0</v>
      </c>
      <c r="N148" s="32"/>
      <c r="O148" s="86"/>
    </row>
    <row r="149" ht="15.75" customHeight="1">
      <c r="A149" s="21"/>
      <c r="B149" s="70"/>
      <c r="C149" s="61"/>
      <c r="D149" s="91" t="s">
        <v>166</v>
      </c>
      <c r="E149" s="71"/>
      <c r="F149" s="72"/>
      <c r="G149" s="85"/>
      <c r="H149" s="28">
        <f t="shared" si="61"/>
        <v>0</v>
      </c>
      <c r="I149" s="29">
        <f t="shared" si="62"/>
        <v>0</v>
      </c>
      <c r="J149" s="30">
        <f t="shared" si="63"/>
        <v>0</v>
      </c>
      <c r="K149" s="31">
        <f t="shared" si="64"/>
        <v>0</v>
      </c>
      <c r="L149" s="30">
        <f t="shared" si="65"/>
        <v>0</v>
      </c>
      <c r="M149" s="31">
        <f t="shared" si="66"/>
        <v>0</v>
      </c>
      <c r="N149" s="32"/>
      <c r="O149" s="86"/>
    </row>
    <row r="150" ht="15.75" customHeight="1">
      <c r="A150" s="21"/>
      <c r="B150" s="70"/>
      <c r="C150" s="61"/>
      <c r="D150" s="91" t="s">
        <v>167</v>
      </c>
      <c r="E150" s="71"/>
      <c r="F150" s="72"/>
      <c r="G150" s="85"/>
      <c r="H150" s="28">
        <f t="shared" si="61"/>
        <v>0</v>
      </c>
      <c r="I150" s="29">
        <f t="shared" si="62"/>
        <v>0</v>
      </c>
      <c r="J150" s="30">
        <f t="shared" si="63"/>
        <v>0</v>
      </c>
      <c r="K150" s="31">
        <f t="shared" si="64"/>
        <v>0</v>
      </c>
      <c r="L150" s="30">
        <f t="shared" si="65"/>
        <v>0</v>
      </c>
      <c r="M150" s="31">
        <f t="shared" si="66"/>
        <v>0</v>
      </c>
      <c r="N150" s="32"/>
      <c r="O150" s="86"/>
    </row>
    <row r="151" ht="15.75" customHeight="1">
      <c r="A151" s="21"/>
      <c r="B151" s="70"/>
      <c r="C151" s="61"/>
      <c r="D151" s="91" t="s">
        <v>168</v>
      </c>
      <c r="E151" s="71"/>
      <c r="F151" s="72"/>
      <c r="G151" s="85"/>
      <c r="H151" s="28">
        <f t="shared" si="61"/>
        <v>0</v>
      </c>
      <c r="I151" s="29">
        <f t="shared" si="62"/>
        <v>0</v>
      </c>
      <c r="J151" s="30">
        <f t="shared" si="63"/>
        <v>0</v>
      </c>
      <c r="K151" s="31">
        <f t="shared" si="64"/>
        <v>0</v>
      </c>
      <c r="L151" s="30">
        <f t="shared" si="65"/>
        <v>0</v>
      </c>
      <c r="M151" s="31">
        <f t="shared" si="66"/>
        <v>0</v>
      </c>
      <c r="N151" s="32"/>
      <c r="O151" s="86"/>
    </row>
    <row r="152" ht="15.75" customHeight="1">
      <c r="A152" s="21"/>
      <c r="B152" s="70"/>
      <c r="C152" s="61"/>
      <c r="D152" s="91" t="s">
        <v>169</v>
      </c>
      <c r="E152" s="71"/>
      <c r="F152" s="72"/>
      <c r="G152" s="85"/>
      <c r="H152" s="28">
        <f t="shared" si="61"/>
        <v>0</v>
      </c>
      <c r="I152" s="29">
        <f t="shared" si="62"/>
        <v>0</v>
      </c>
      <c r="J152" s="30">
        <f t="shared" si="63"/>
        <v>0</v>
      </c>
      <c r="K152" s="31">
        <f t="shared" si="64"/>
        <v>0</v>
      </c>
      <c r="L152" s="30">
        <f t="shared" si="65"/>
        <v>0</v>
      </c>
      <c r="M152" s="31">
        <f t="shared" si="66"/>
        <v>0</v>
      </c>
      <c r="N152" s="32"/>
      <c r="O152" s="86"/>
    </row>
    <row r="153" ht="15.75" customHeight="1">
      <c r="A153" s="21"/>
      <c r="B153" s="70"/>
      <c r="C153" s="61"/>
      <c r="D153" s="91" t="s">
        <v>170</v>
      </c>
      <c r="E153" s="71"/>
      <c r="F153" s="72"/>
      <c r="G153" s="85"/>
      <c r="H153" s="28">
        <f t="shared" si="61"/>
        <v>0</v>
      </c>
      <c r="I153" s="29">
        <f t="shared" si="62"/>
        <v>0</v>
      </c>
      <c r="J153" s="30">
        <f t="shared" si="63"/>
        <v>0</v>
      </c>
      <c r="K153" s="31">
        <f t="shared" si="64"/>
        <v>0</v>
      </c>
      <c r="L153" s="30">
        <f t="shared" si="65"/>
        <v>0</v>
      </c>
      <c r="M153" s="31">
        <f t="shared" si="66"/>
        <v>0</v>
      </c>
      <c r="N153" s="32"/>
      <c r="O153" s="86"/>
    </row>
    <row r="154" ht="15.75" customHeight="1">
      <c r="A154" s="21"/>
      <c r="B154" s="70"/>
      <c r="C154" s="61"/>
      <c r="D154" s="91" t="s">
        <v>171</v>
      </c>
      <c r="E154" s="71"/>
      <c r="F154" s="72"/>
      <c r="G154" s="85"/>
      <c r="H154" s="28">
        <f t="shared" si="61"/>
        <v>0</v>
      </c>
      <c r="I154" s="29">
        <f t="shared" si="62"/>
        <v>0</v>
      </c>
      <c r="J154" s="30">
        <f t="shared" si="63"/>
        <v>0</v>
      </c>
      <c r="K154" s="31">
        <f t="shared" si="64"/>
        <v>0</v>
      </c>
      <c r="L154" s="30">
        <f t="shared" si="65"/>
        <v>0</v>
      </c>
      <c r="M154" s="31">
        <f t="shared" si="66"/>
        <v>0</v>
      </c>
      <c r="N154" s="32"/>
      <c r="O154" s="86"/>
    </row>
    <row r="155" ht="15.75" customHeight="1">
      <c r="A155" s="21"/>
      <c r="B155" s="70"/>
      <c r="C155" s="61"/>
      <c r="D155" s="91" t="s">
        <v>172</v>
      </c>
      <c r="E155" s="71"/>
      <c r="F155" s="72"/>
      <c r="G155" s="85"/>
      <c r="H155" s="28">
        <f t="shared" si="61"/>
        <v>0</v>
      </c>
      <c r="I155" s="29">
        <f t="shared" si="62"/>
        <v>0</v>
      </c>
      <c r="J155" s="30">
        <f t="shared" si="63"/>
        <v>0</v>
      </c>
      <c r="K155" s="31">
        <f t="shared" si="64"/>
        <v>0</v>
      </c>
      <c r="L155" s="30">
        <f t="shared" si="65"/>
        <v>0</v>
      </c>
      <c r="M155" s="31">
        <f t="shared" si="66"/>
        <v>0</v>
      </c>
      <c r="N155" s="32"/>
      <c r="O155" s="86"/>
    </row>
    <row r="156" ht="15.75" customHeight="1">
      <c r="A156" s="21"/>
      <c r="B156" s="70"/>
      <c r="C156" s="61"/>
      <c r="D156" s="91" t="s">
        <v>173</v>
      </c>
      <c r="E156" s="71"/>
      <c r="F156" s="72"/>
      <c r="G156" s="85"/>
      <c r="H156" s="28">
        <f t="shared" si="61"/>
        <v>0</v>
      </c>
      <c r="I156" s="29">
        <f t="shared" si="62"/>
        <v>0</v>
      </c>
      <c r="J156" s="30">
        <f t="shared" si="63"/>
        <v>0</v>
      </c>
      <c r="K156" s="31">
        <f t="shared" si="64"/>
        <v>0</v>
      </c>
      <c r="L156" s="30">
        <f t="shared" si="65"/>
        <v>0</v>
      </c>
      <c r="M156" s="31">
        <f t="shared" si="66"/>
        <v>0</v>
      </c>
      <c r="N156" s="32"/>
      <c r="O156" s="33"/>
    </row>
    <row r="157" ht="15.75" customHeight="1">
      <c r="A157" s="21"/>
      <c r="B157" s="70"/>
      <c r="C157" s="61"/>
      <c r="D157" s="91" t="s">
        <v>174</v>
      </c>
      <c r="E157" s="71"/>
      <c r="F157" s="72"/>
      <c r="G157" s="85"/>
      <c r="H157" s="28">
        <f t="shared" si="61"/>
        <v>0</v>
      </c>
      <c r="I157" s="29">
        <f t="shared" si="62"/>
        <v>0</v>
      </c>
      <c r="J157" s="30">
        <f t="shared" si="63"/>
        <v>0</v>
      </c>
      <c r="K157" s="31">
        <f t="shared" si="64"/>
        <v>0</v>
      </c>
      <c r="L157" s="30">
        <f t="shared" si="65"/>
        <v>0</v>
      </c>
      <c r="M157" s="31">
        <f t="shared" si="66"/>
        <v>0</v>
      </c>
      <c r="N157" s="32"/>
      <c r="O157" s="33"/>
    </row>
    <row r="158" ht="15.75" customHeight="1">
      <c r="A158" s="21"/>
      <c r="B158" s="70"/>
      <c r="C158" s="61"/>
      <c r="D158" s="91" t="s">
        <v>175</v>
      </c>
      <c r="E158" s="71"/>
      <c r="F158" s="72"/>
      <c r="G158" s="95">
        <v>20.0</v>
      </c>
      <c r="H158" s="28"/>
      <c r="I158" s="29"/>
      <c r="J158" s="30"/>
      <c r="K158" s="31"/>
      <c r="L158" s="30"/>
      <c r="M158" s="31"/>
      <c r="N158" s="32"/>
      <c r="O158" s="33"/>
    </row>
    <row r="159" ht="15.75" customHeight="1">
      <c r="A159" s="21"/>
      <c r="B159" s="70"/>
      <c r="C159" s="61"/>
      <c r="D159" s="91" t="s">
        <v>176</v>
      </c>
      <c r="E159" s="71"/>
      <c r="F159" s="72"/>
      <c r="G159" s="85"/>
      <c r="H159" s="28">
        <f t="shared" ref="H159:H175" si="67">F159*0.5+F159</f>
        <v>0</v>
      </c>
      <c r="I159" s="29">
        <f t="shared" ref="I159:I175" si="68">F159*0.3+F159</f>
        <v>0</v>
      </c>
      <c r="J159" s="30">
        <f t="shared" ref="J159:J175" si="69">F159*0.3+F159</f>
        <v>0</v>
      </c>
      <c r="K159" s="31">
        <f t="shared" ref="K159:K175" si="70">F159*0.2+F159</f>
        <v>0</v>
      </c>
      <c r="L159" s="30">
        <f t="shared" ref="L159:L175" si="71">F159*0.15+F159</f>
        <v>0</v>
      </c>
      <c r="M159" s="31">
        <f t="shared" ref="M159:M175" si="72">F159*0.1+F159</f>
        <v>0</v>
      </c>
      <c r="N159" s="32"/>
      <c r="O159" s="33"/>
    </row>
    <row r="160" ht="15.75" customHeight="1">
      <c r="A160" s="21"/>
      <c r="B160" s="70"/>
      <c r="C160" s="61"/>
      <c r="D160" s="35" t="s">
        <v>177</v>
      </c>
      <c r="E160" s="71"/>
      <c r="F160" s="72"/>
      <c r="G160" s="85"/>
      <c r="H160" s="96">
        <f t="shared" si="67"/>
        <v>0</v>
      </c>
      <c r="I160" s="97">
        <f t="shared" si="68"/>
        <v>0</v>
      </c>
      <c r="J160" s="98">
        <f t="shared" si="69"/>
        <v>0</v>
      </c>
      <c r="K160" s="99">
        <f t="shared" si="70"/>
        <v>0</v>
      </c>
      <c r="L160" s="98">
        <f t="shared" si="71"/>
        <v>0</v>
      </c>
      <c r="M160" s="99">
        <f t="shared" si="72"/>
        <v>0</v>
      </c>
      <c r="N160" s="32"/>
      <c r="O160" s="33"/>
    </row>
    <row r="161" ht="15.75" customHeight="1">
      <c r="A161" s="21"/>
      <c r="B161" s="70"/>
      <c r="C161" s="61"/>
      <c r="D161" s="91" t="s">
        <v>178</v>
      </c>
      <c r="E161" s="71"/>
      <c r="F161" s="93"/>
      <c r="G161" s="100">
        <v>4190.0</v>
      </c>
      <c r="H161" s="96">
        <f t="shared" si="67"/>
        <v>0</v>
      </c>
      <c r="I161" s="97">
        <f t="shared" si="68"/>
        <v>0</v>
      </c>
      <c r="J161" s="98">
        <f t="shared" si="69"/>
        <v>0</v>
      </c>
      <c r="K161" s="99">
        <f t="shared" si="70"/>
        <v>0</v>
      </c>
      <c r="L161" s="98">
        <f t="shared" si="71"/>
        <v>0</v>
      </c>
      <c r="M161" s="99">
        <f t="shared" si="72"/>
        <v>0</v>
      </c>
      <c r="N161" s="32"/>
      <c r="O161" s="33"/>
    </row>
    <row r="162" ht="15.75" customHeight="1">
      <c r="A162" s="21"/>
      <c r="B162" s="70"/>
      <c r="C162" s="61"/>
      <c r="D162" s="91" t="s">
        <v>179</v>
      </c>
      <c r="E162" s="71"/>
      <c r="F162" s="93"/>
      <c r="G162" s="95">
        <v>15.0</v>
      </c>
      <c r="H162" s="28">
        <f t="shared" si="67"/>
        <v>0</v>
      </c>
      <c r="I162" s="29">
        <f t="shared" si="68"/>
        <v>0</v>
      </c>
      <c r="J162" s="30">
        <f t="shared" si="69"/>
        <v>0</v>
      </c>
      <c r="K162" s="31">
        <f t="shared" si="70"/>
        <v>0</v>
      </c>
      <c r="L162" s="30">
        <f t="shared" si="71"/>
        <v>0</v>
      </c>
      <c r="M162" s="31">
        <f t="shared" si="72"/>
        <v>0</v>
      </c>
      <c r="N162" s="32"/>
      <c r="O162" s="33"/>
    </row>
    <row r="163" ht="15.75" customHeight="1">
      <c r="A163" s="21"/>
      <c r="B163" s="70"/>
      <c r="C163" s="61"/>
      <c r="D163" s="91" t="s">
        <v>180</v>
      </c>
      <c r="E163" s="71"/>
      <c r="F163" s="93"/>
      <c r="G163" s="95">
        <v>190.0</v>
      </c>
      <c r="H163" s="28">
        <f t="shared" si="67"/>
        <v>0</v>
      </c>
      <c r="I163" s="29">
        <f t="shared" si="68"/>
        <v>0</v>
      </c>
      <c r="J163" s="30">
        <f t="shared" si="69"/>
        <v>0</v>
      </c>
      <c r="K163" s="31">
        <f t="shared" si="70"/>
        <v>0</v>
      </c>
      <c r="L163" s="30">
        <f t="shared" si="71"/>
        <v>0</v>
      </c>
      <c r="M163" s="31">
        <f t="shared" si="72"/>
        <v>0</v>
      </c>
      <c r="N163" s="32"/>
      <c r="O163" s="86"/>
    </row>
    <row r="164" ht="15.75" customHeight="1">
      <c r="A164" s="21"/>
      <c r="B164" s="70"/>
      <c r="C164" s="61"/>
      <c r="D164" s="101"/>
      <c r="E164" s="71"/>
      <c r="F164" s="93"/>
      <c r="G164" s="94"/>
      <c r="H164" s="28">
        <f t="shared" si="67"/>
        <v>0</v>
      </c>
      <c r="I164" s="29">
        <f t="shared" si="68"/>
        <v>0</v>
      </c>
      <c r="J164" s="30">
        <f t="shared" si="69"/>
        <v>0</v>
      </c>
      <c r="K164" s="31">
        <f t="shared" si="70"/>
        <v>0</v>
      </c>
      <c r="L164" s="30">
        <f t="shared" si="71"/>
        <v>0</v>
      </c>
      <c r="M164" s="31">
        <f t="shared" si="72"/>
        <v>0</v>
      </c>
      <c r="N164" s="32"/>
      <c r="O164" s="86"/>
    </row>
    <row r="165" ht="15.75" customHeight="1">
      <c r="A165" s="21"/>
      <c r="B165" s="70"/>
      <c r="C165" s="61"/>
      <c r="D165" s="101"/>
      <c r="E165" s="71"/>
      <c r="F165" s="93"/>
      <c r="G165" s="94"/>
      <c r="H165" s="96">
        <f t="shared" si="67"/>
        <v>0</v>
      </c>
      <c r="I165" s="97">
        <f t="shared" si="68"/>
        <v>0</v>
      </c>
      <c r="J165" s="98">
        <f t="shared" si="69"/>
        <v>0</v>
      </c>
      <c r="K165" s="99">
        <f t="shared" si="70"/>
        <v>0</v>
      </c>
      <c r="L165" s="98">
        <f t="shared" si="71"/>
        <v>0</v>
      </c>
      <c r="M165" s="99">
        <f t="shared" si="72"/>
        <v>0</v>
      </c>
      <c r="N165" s="32"/>
      <c r="O165" s="86"/>
    </row>
    <row r="166" ht="15.75" customHeight="1">
      <c r="A166" s="21"/>
      <c r="B166" s="70"/>
      <c r="C166" s="61"/>
      <c r="D166" s="101"/>
      <c r="E166" s="71"/>
      <c r="F166" s="93"/>
      <c r="G166" s="94"/>
      <c r="H166" s="96">
        <f t="shared" si="67"/>
        <v>0</v>
      </c>
      <c r="I166" s="97">
        <f t="shared" si="68"/>
        <v>0</v>
      </c>
      <c r="J166" s="98">
        <f t="shared" si="69"/>
        <v>0</v>
      </c>
      <c r="K166" s="99">
        <f t="shared" si="70"/>
        <v>0</v>
      </c>
      <c r="L166" s="98">
        <f t="shared" si="71"/>
        <v>0</v>
      </c>
      <c r="M166" s="99">
        <f t="shared" si="72"/>
        <v>0</v>
      </c>
      <c r="N166" s="32"/>
      <c r="O166" s="86"/>
    </row>
    <row r="167" ht="15.75" customHeight="1">
      <c r="A167" s="21"/>
      <c r="B167" s="70"/>
      <c r="C167" s="61"/>
      <c r="D167" s="101"/>
      <c r="E167" s="71"/>
      <c r="F167" s="93"/>
      <c r="G167" s="94"/>
      <c r="H167" s="28">
        <f t="shared" si="67"/>
        <v>0</v>
      </c>
      <c r="I167" s="29">
        <f t="shared" si="68"/>
        <v>0</v>
      </c>
      <c r="J167" s="30">
        <f t="shared" si="69"/>
        <v>0</v>
      </c>
      <c r="K167" s="31">
        <f t="shared" si="70"/>
        <v>0</v>
      </c>
      <c r="L167" s="30">
        <f t="shared" si="71"/>
        <v>0</v>
      </c>
      <c r="M167" s="31">
        <f t="shared" si="72"/>
        <v>0</v>
      </c>
      <c r="N167" s="32"/>
      <c r="O167" s="86"/>
    </row>
    <row r="168" ht="15.75" customHeight="1">
      <c r="A168" s="21"/>
      <c r="B168" s="70"/>
      <c r="C168" s="61"/>
      <c r="D168" s="101"/>
      <c r="E168" s="71"/>
      <c r="F168" s="93"/>
      <c r="G168" s="94"/>
      <c r="H168" s="28">
        <f t="shared" si="67"/>
        <v>0</v>
      </c>
      <c r="I168" s="29">
        <f t="shared" si="68"/>
        <v>0</v>
      </c>
      <c r="J168" s="30">
        <f t="shared" si="69"/>
        <v>0</v>
      </c>
      <c r="K168" s="31">
        <f t="shared" si="70"/>
        <v>0</v>
      </c>
      <c r="L168" s="30">
        <f t="shared" si="71"/>
        <v>0</v>
      </c>
      <c r="M168" s="31">
        <f t="shared" si="72"/>
        <v>0</v>
      </c>
      <c r="N168" s="32"/>
      <c r="O168" s="86"/>
    </row>
    <row r="169" ht="15.75" customHeight="1">
      <c r="A169" s="21"/>
      <c r="B169" s="70"/>
      <c r="C169" s="61"/>
      <c r="D169" s="101"/>
      <c r="E169" s="71"/>
      <c r="F169" s="93"/>
      <c r="G169" s="94"/>
      <c r="H169" s="28">
        <f t="shared" si="67"/>
        <v>0</v>
      </c>
      <c r="I169" s="29">
        <f t="shared" si="68"/>
        <v>0</v>
      </c>
      <c r="J169" s="30">
        <f t="shared" si="69"/>
        <v>0</v>
      </c>
      <c r="K169" s="31">
        <f t="shared" si="70"/>
        <v>0</v>
      </c>
      <c r="L169" s="30">
        <f t="shared" si="71"/>
        <v>0</v>
      </c>
      <c r="M169" s="31">
        <f t="shared" si="72"/>
        <v>0</v>
      </c>
      <c r="N169" s="32"/>
      <c r="O169" s="86"/>
    </row>
    <row r="170" ht="15.75" customHeight="1">
      <c r="A170" s="21"/>
      <c r="B170" s="70"/>
      <c r="C170" s="61"/>
      <c r="D170" s="101"/>
      <c r="E170" s="71"/>
      <c r="F170" s="93"/>
      <c r="G170" s="94"/>
      <c r="H170" s="96">
        <f t="shared" si="67"/>
        <v>0</v>
      </c>
      <c r="I170" s="97">
        <f t="shared" si="68"/>
        <v>0</v>
      </c>
      <c r="J170" s="98">
        <f t="shared" si="69"/>
        <v>0</v>
      </c>
      <c r="K170" s="99">
        <f t="shared" si="70"/>
        <v>0</v>
      </c>
      <c r="L170" s="98">
        <f t="shared" si="71"/>
        <v>0</v>
      </c>
      <c r="M170" s="99">
        <f t="shared" si="72"/>
        <v>0</v>
      </c>
      <c r="N170" s="32"/>
      <c r="O170" s="86"/>
    </row>
    <row r="171" ht="15.75" customHeight="1">
      <c r="A171" s="21"/>
      <c r="B171" s="70"/>
      <c r="C171" s="61"/>
      <c r="D171" s="101"/>
      <c r="E171" s="71"/>
      <c r="F171" s="93"/>
      <c r="G171" s="94"/>
      <c r="H171" s="96">
        <f t="shared" si="67"/>
        <v>0</v>
      </c>
      <c r="I171" s="97">
        <f t="shared" si="68"/>
        <v>0</v>
      </c>
      <c r="J171" s="98">
        <f t="shared" si="69"/>
        <v>0</v>
      </c>
      <c r="K171" s="99">
        <f t="shared" si="70"/>
        <v>0</v>
      </c>
      <c r="L171" s="98">
        <f t="shared" si="71"/>
        <v>0</v>
      </c>
      <c r="M171" s="99">
        <f t="shared" si="72"/>
        <v>0</v>
      </c>
      <c r="N171" s="32"/>
      <c r="O171" s="86"/>
    </row>
    <row r="172" ht="15.75" customHeight="1">
      <c r="A172" s="21"/>
      <c r="B172" s="70"/>
      <c r="C172" s="61"/>
      <c r="D172" s="101"/>
      <c r="E172" s="71"/>
      <c r="F172" s="93"/>
      <c r="G172" s="94"/>
      <c r="H172" s="28">
        <f t="shared" si="67"/>
        <v>0</v>
      </c>
      <c r="I172" s="29">
        <f t="shared" si="68"/>
        <v>0</v>
      </c>
      <c r="J172" s="30">
        <f t="shared" si="69"/>
        <v>0</v>
      </c>
      <c r="K172" s="31">
        <f t="shared" si="70"/>
        <v>0</v>
      </c>
      <c r="L172" s="30">
        <f t="shared" si="71"/>
        <v>0</v>
      </c>
      <c r="M172" s="31">
        <f t="shared" si="72"/>
        <v>0</v>
      </c>
      <c r="N172" s="32"/>
      <c r="O172" s="86"/>
    </row>
    <row r="173" ht="15.75" customHeight="1">
      <c r="A173" s="21"/>
      <c r="B173" s="70"/>
      <c r="C173" s="61"/>
      <c r="D173" s="102"/>
      <c r="E173" s="103"/>
      <c r="F173" s="104"/>
      <c r="G173" s="94"/>
      <c r="H173" s="96">
        <f t="shared" si="67"/>
        <v>0</v>
      </c>
      <c r="I173" s="97">
        <f t="shared" si="68"/>
        <v>0</v>
      </c>
      <c r="J173" s="98">
        <f t="shared" si="69"/>
        <v>0</v>
      </c>
      <c r="K173" s="99">
        <f t="shared" si="70"/>
        <v>0</v>
      </c>
      <c r="L173" s="98">
        <f t="shared" si="71"/>
        <v>0</v>
      </c>
      <c r="M173" s="99">
        <f t="shared" si="72"/>
        <v>0</v>
      </c>
      <c r="N173" s="32"/>
      <c r="O173" s="86"/>
    </row>
    <row r="174" ht="15.75" customHeight="1">
      <c r="A174" s="21"/>
      <c r="B174" s="70"/>
      <c r="C174" s="61"/>
      <c r="D174" s="102"/>
      <c r="E174" s="103"/>
      <c r="F174" s="104"/>
      <c r="G174" s="94"/>
      <c r="H174" s="96">
        <f t="shared" si="67"/>
        <v>0</v>
      </c>
      <c r="I174" s="97">
        <f t="shared" si="68"/>
        <v>0</v>
      </c>
      <c r="J174" s="98">
        <f t="shared" si="69"/>
        <v>0</v>
      </c>
      <c r="K174" s="99">
        <f t="shared" si="70"/>
        <v>0</v>
      </c>
      <c r="L174" s="98">
        <f t="shared" si="71"/>
        <v>0</v>
      </c>
      <c r="M174" s="99">
        <f t="shared" si="72"/>
        <v>0</v>
      </c>
      <c r="N174" s="32"/>
      <c r="O174" s="86"/>
    </row>
    <row r="175" ht="15.75" customHeight="1">
      <c r="A175" s="21"/>
      <c r="B175" s="70"/>
      <c r="C175" s="61"/>
      <c r="D175" s="102"/>
      <c r="E175" s="103"/>
      <c r="F175" s="104"/>
      <c r="G175" s="94"/>
      <c r="H175" s="96">
        <f t="shared" si="67"/>
        <v>0</v>
      </c>
      <c r="I175" s="97">
        <f t="shared" si="68"/>
        <v>0</v>
      </c>
      <c r="J175" s="98">
        <f t="shared" si="69"/>
        <v>0</v>
      </c>
      <c r="K175" s="99">
        <f t="shared" si="70"/>
        <v>0</v>
      </c>
      <c r="L175" s="98">
        <f t="shared" si="71"/>
        <v>0</v>
      </c>
      <c r="M175" s="99">
        <f t="shared" si="72"/>
        <v>0</v>
      </c>
      <c r="N175" s="32"/>
      <c r="O175" s="86"/>
    </row>
    <row r="176" ht="15.75" customHeight="1">
      <c r="A176" s="21"/>
      <c r="B176" s="70"/>
      <c r="C176" s="61"/>
      <c r="D176" s="105"/>
      <c r="E176" s="106"/>
      <c r="F176" s="104"/>
      <c r="G176" s="94"/>
      <c r="H176" s="96">
        <f>F177*0.5+F177</f>
        <v>0</v>
      </c>
      <c r="I176" s="97">
        <f>F177*0.3+F177</f>
        <v>0</v>
      </c>
      <c r="J176" s="98">
        <f>F177*0.3+F177</f>
        <v>0</v>
      </c>
      <c r="K176" s="99">
        <f>F177*0.2+F177</f>
        <v>0</v>
      </c>
      <c r="L176" s="98">
        <f>F177*0.15+F177</f>
        <v>0</v>
      </c>
      <c r="M176" s="99">
        <f>F177*0.1+F177</f>
        <v>0</v>
      </c>
      <c r="N176" s="32"/>
      <c r="O176" s="86"/>
    </row>
    <row r="177" ht="15.75" customHeight="1">
      <c r="A177" s="21"/>
      <c r="B177" s="70"/>
      <c r="C177" s="61"/>
      <c r="D177" s="102"/>
      <c r="E177" s="103"/>
      <c r="F177" s="104"/>
      <c r="G177" s="94"/>
      <c r="H177" s="96">
        <f t="shared" ref="H177:H179" si="73">F177*0.5+F177</f>
        <v>0</v>
      </c>
      <c r="I177" s="97">
        <f t="shared" ref="I177:I179" si="74">F177*0.3+F177</f>
        <v>0</v>
      </c>
      <c r="J177" s="98">
        <f t="shared" ref="J177:J179" si="75">F177*0.3+F177</f>
        <v>0</v>
      </c>
      <c r="K177" s="99">
        <f t="shared" ref="K177:K179" si="76">F177*0.2+F177</f>
        <v>0</v>
      </c>
      <c r="L177" s="98">
        <f t="shared" ref="L177:L179" si="77">F177*0.15+F177</f>
        <v>0</v>
      </c>
      <c r="M177" s="99">
        <f t="shared" ref="M177:M179" si="78">F177*0.1+F177</f>
        <v>0</v>
      </c>
      <c r="N177" s="32"/>
      <c r="O177" s="86"/>
    </row>
    <row r="178" ht="15.75" customHeight="1">
      <c r="A178" s="21"/>
      <c r="B178" s="70"/>
      <c r="C178" s="61"/>
      <c r="D178" s="102"/>
      <c r="E178" s="103"/>
      <c r="F178" s="104"/>
      <c r="G178" s="94"/>
      <c r="H178" s="96">
        <f t="shared" si="73"/>
        <v>0</v>
      </c>
      <c r="I178" s="97">
        <f t="shared" si="74"/>
        <v>0</v>
      </c>
      <c r="J178" s="98">
        <f t="shared" si="75"/>
        <v>0</v>
      </c>
      <c r="K178" s="99">
        <f t="shared" si="76"/>
        <v>0</v>
      </c>
      <c r="L178" s="98">
        <f t="shared" si="77"/>
        <v>0</v>
      </c>
      <c r="M178" s="99">
        <f t="shared" si="78"/>
        <v>0</v>
      </c>
      <c r="N178" s="32"/>
      <c r="O178" s="86"/>
    </row>
    <row r="179" ht="15.75" customHeight="1">
      <c r="A179" s="21"/>
      <c r="B179" s="70"/>
      <c r="C179" s="61"/>
      <c r="D179" s="102"/>
      <c r="E179" s="103"/>
      <c r="F179" s="104"/>
      <c r="G179" s="94"/>
      <c r="H179" s="96">
        <f t="shared" si="73"/>
        <v>0</v>
      </c>
      <c r="I179" s="97">
        <f t="shared" si="74"/>
        <v>0</v>
      </c>
      <c r="J179" s="98">
        <f t="shared" si="75"/>
        <v>0</v>
      </c>
      <c r="K179" s="99">
        <f t="shared" si="76"/>
        <v>0</v>
      </c>
      <c r="L179" s="98">
        <f t="shared" si="77"/>
        <v>0</v>
      </c>
      <c r="M179" s="99">
        <f t="shared" si="78"/>
        <v>0</v>
      </c>
      <c r="N179" s="32"/>
      <c r="O179" s="86"/>
    </row>
    <row r="180" ht="15.75" customHeight="1">
      <c r="A180" s="21"/>
      <c r="B180" s="70"/>
      <c r="C180" s="61"/>
      <c r="D180" s="102"/>
      <c r="E180" s="103"/>
      <c r="F180" s="104"/>
      <c r="G180" s="94"/>
      <c r="H180" s="96">
        <f>F181*0.5+F181</f>
        <v>0</v>
      </c>
      <c r="I180" s="97">
        <f>F181*0.3+F181</f>
        <v>0</v>
      </c>
      <c r="J180" s="98">
        <f>F181*0.3+F181</f>
        <v>0</v>
      </c>
      <c r="K180" s="99">
        <f>F181*0.2+F181</f>
        <v>0</v>
      </c>
      <c r="L180" s="98">
        <f>F181*0.15+F181</f>
        <v>0</v>
      </c>
      <c r="M180" s="99">
        <f>F181*0.1+F181</f>
        <v>0</v>
      </c>
      <c r="N180" s="32"/>
      <c r="O180" s="86"/>
    </row>
    <row r="181" ht="15.75" customHeight="1">
      <c r="A181" s="21"/>
      <c r="B181" s="70"/>
      <c r="C181" s="61"/>
      <c r="D181" s="102"/>
      <c r="E181" s="107"/>
      <c r="F181" s="108"/>
      <c r="G181" s="94"/>
      <c r="H181" s="96">
        <f t="shared" ref="H181:H183" si="79">F181*0.5+F181</f>
        <v>0</v>
      </c>
      <c r="I181" s="97">
        <f t="shared" ref="I181:I183" si="80">F181*0.3+F181</f>
        <v>0</v>
      </c>
      <c r="J181" s="98">
        <f t="shared" ref="J181:J183" si="81">F181*0.3+F181</f>
        <v>0</v>
      </c>
      <c r="K181" s="99">
        <f t="shared" ref="K181:K183" si="82">F181*0.2+F181</f>
        <v>0</v>
      </c>
      <c r="L181" s="98">
        <f t="shared" ref="L181:L183" si="83">F181*0.15+F181</f>
        <v>0</v>
      </c>
      <c r="M181" s="99">
        <f t="shared" ref="M181:M183" si="84">F181*0.1+F181</f>
        <v>0</v>
      </c>
      <c r="N181" s="32"/>
      <c r="O181" s="33"/>
      <c r="P181" s="109"/>
      <c r="Q181" s="109"/>
    </row>
    <row r="182" ht="15.75" customHeight="1">
      <c r="A182" s="21"/>
      <c r="B182" s="70"/>
      <c r="C182" s="61"/>
      <c r="D182" s="102"/>
      <c r="E182" s="103"/>
      <c r="F182" s="104"/>
      <c r="G182" s="94"/>
      <c r="H182" s="96">
        <f t="shared" si="79"/>
        <v>0</v>
      </c>
      <c r="I182" s="97">
        <f t="shared" si="80"/>
        <v>0</v>
      </c>
      <c r="J182" s="98">
        <f t="shared" si="81"/>
        <v>0</v>
      </c>
      <c r="K182" s="99">
        <f t="shared" si="82"/>
        <v>0</v>
      </c>
      <c r="L182" s="98">
        <f t="shared" si="83"/>
        <v>0</v>
      </c>
      <c r="M182" s="99">
        <f t="shared" si="84"/>
        <v>0</v>
      </c>
      <c r="N182" s="32"/>
      <c r="O182" s="33"/>
      <c r="P182" s="109"/>
      <c r="Q182" s="109"/>
    </row>
    <row r="183" ht="15.75" customHeight="1">
      <c r="A183" s="21"/>
      <c r="B183" s="70"/>
      <c r="C183" s="61"/>
      <c r="D183" s="102"/>
      <c r="E183" s="103"/>
      <c r="F183" s="104"/>
      <c r="G183" s="94"/>
      <c r="H183" s="96">
        <f t="shared" si="79"/>
        <v>0</v>
      </c>
      <c r="I183" s="97">
        <f t="shared" si="80"/>
        <v>0</v>
      </c>
      <c r="J183" s="98">
        <f t="shared" si="81"/>
        <v>0</v>
      </c>
      <c r="K183" s="99">
        <f t="shared" si="82"/>
        <v>0</v>
      </c>
      <c r="L183" s="98">
        <f t="shared" si="83"/>
        <v>0</v>
      </c>
      <c r="M183" s="99">
        <f t="shared" si="84"/>
        <v>0</v>
      </c>
      <c r="N183" s="32"/>
      <c r="O183" s="33"/>
      <c r="P183" s="109"/>
      <c r="Q183" s="109"/>
    </row>
    <row r="184" ht="15.75" customHeight="1">
      <c r="A184" s="21"/>
      <c r="B184" s="70"/>
      <c r="C184" s="61"/>
      <c r="D184" s="102"/>
      <c r="E184" s="103"/>
      <c r="F184" s="104"/>
      <c r="G184" s="94"/>
      <c r="H184" s="96">
        <f>F185*0.5+F185</f>
        <v>0</v>
      </c>
      <c r="I184" s="97">
        <f>F185*0.3+F185</f>
        <v>0</v>
      </c>
      <c r="J184" s="98">
        <f>F185*0.3+F185</f>
        <v>0</v>
      </c>
      <c r="K184" s="99">
        <f>F185*0.2+F185</f>
        <v>0</v>
      </c>
      <c r="L184" s="98">
        <f>F185*0.15+F185</f>
        <v>0</v>
      </c>
      <c r="M184" s="99">
        <f>F185*0.1+F185</f>
        <v>0</v>
      </c>
      <c r="N184" s="32"/>
      <c r="O184" s="33"/>
      <c r="P184" s="109"/>
      <c r="Q184" s="109"/>
    </row>
    <row r="185" ht="15.75" customHeight="1">
      <c r="A185" s="21"/>
      <c r="B185" s="70"/>
      <c r="C185" s="61"/>
      <c r="D185" s="102"/>
      <c r="E185" s="103"/>
      <c r="F185" s="104"/>
      <c r="G185" s="94"/>
      <c r="H185" s="96">
        <f t="shared" ref="H185:H187" si="85">F185*0.5+F185</f>
        <v>0</v>
      </c>
      <c r="I185" s="97">
        <f t="shared" ref="I185:I187" si="86">F185*0.3+F185</f>
        <v>0</v>
      </c>
      <c r="J185" s="98">
        <f t="shared" ref="J185:J187" si="87">F185*0.3+F185</f>
        <v>0</v>
      </c>
      <c r="K185" s="99">
        <f t="shared" ref="K185:K187" si="88">F185*0.2+F185</f>
        <v>0</v>
      </c>
      <c r="L185" s="98">
        <f t="shared" ref="L185:L187" si="89">F185*0.15+F185</f>
        <v>0</v>
      </c>
      <c r="M185" s="99">
        <f t="shared" ref="M185:M187" si="90">F185*0.1+F185</f>
        <v>0</v>
      </c>
      <c r="N185" s="32"/>
      <c r="O185" s="33"/>
      <c r="P185" s="109"/>
      <c r="Q185" s="109"/>
    </row>
    <row r="186" ht="15.75" customHeight="1">
      <c r="A186" s="21"/>
      <c r="B186" s="70"/>
      <c r="C186" s="61"/>
      <c r="D186" s="102"/>
      <c r="E186" s="103"/>
      <c r="F186" s="104"/>
      <c r="G186" s="94"/>
      <c r="H186" s="96">
        <f t="shared" si="85"/>
        <v>0</v>
      </c>
      <c r="I186" s="97">
        <f t="shared" si="86"/>
        <v>0</v>
      </c>
      <c r="J186" s="98">
        <f t="shared" si="87"/>
        <v>0</v>
      </c>
      <c r="K186" s="99">
        <f t="shared" si="88"/>
        <v>0</v>
      </c>
      <c r="L186" s="98">
        <f t="shared" si="89"/>
        <v>0</v>
      </c>
      <c r="M186" s="99">
        <f t="shared" si="90"/>
        <v>0</v>
      </c>
      <c r="N186" s="32"/>
      <c r="O186" s="33"/>
      <c r="P186" s="109"/>
      <c r="Q186" s="109"/>
    </row>
    <row r="187" ht="15.75" customHeight="1">
      <c r="A187" s="21"/>
      <c r="B187" s="70"/>
      <c r="C187" s="61"/>
      <c r="D187" s="102"/>
      <c r="E187" s="110"/>
      <c r="F187" s="104"/>
      <c r="G187" s="94"/>
      <c r="H187" s="96">
        <f t="shared" si="85"/>
        <v>0</v>
      </c>
      <c r="I187" s="97">
        <f t="shared" si="86"/>
        <v>0</v>
      </c>
      <c r="J187" s="98">
        <f t="shared" si="87"/>
        <v>0</v>
      </c>
      <c r="K187" s="99">
        <f t="shared" si="88"/>
        <v>0</v>
      </c>
      <c r="L187" s="98">
        <f t="shared" si="89"/>
        <v>0</v>
      </c>
      <c r="M187" s="99">
        <f t="shared" si="90"/>
        <v>0</v>
      </c>
      <c r="N187" s="32"/>
      <c r="O187" s="33"/>
      <c r="P187" s="109"/>
      <c r="Q187" s="109"/>
    </row>
    <row r="188" ht="15.75" customHeight="1">
      <c r="A188" s="21"/>
      <c r="B188" s="70"/>
      <c r="C188" s="61"/>
      <c r="D188" s="102"/>
      <c r="E188" s="103"/>
      <c r="F188" s="104"/>
      <c r="G188" s="94"/>
      <c r="H188" s="96">
        <f>F189*0.5+F189</f>
        <v>0</v>
      </c>
      <c r="I188" s="97">
        <f>F189*0.3+F189</f>
        <v>0</v>
      </c>
      <c r="J188" s="98">
        <f>F189*0.3+F189</f>
        <v>0</v>
      </c>
      <c r="K188" s="99">
        <f>F189*0.2+F189</f>
        <v>0</v>
      </c>
      <c r="L188" s="98">
        <f>F189*0.15+F189</f>
        <v>0</v>
      </c>
      <c r="M188" s="99">
        <f>F189*0.1+F189</f>
        <v>0</v>
      </c>
      <c r="N188" s="32"/>
      <c r="O188" s="33"/>
      <c r="P188" s="109"/>
      <c r="Q188" s="109"/>
    </row>
    <row r="189" ht="15.75" customHeight="1">
      <c r="A189" s="21"/>
      <c r="B189" s="70"/>
      <c r="C189" s="61"/>
      <c r="D189" s="111"/>
      <c r="E189" s="103"/>
      <c r="F189" s="104"/>
      <c r="G189" s="94"/>
      <c r="H189" s="96">
        <f t="shared" ref="H189:H191" si="91">F189*0.5+F189</f>
        <v>0</v>
      </c>
      <c r="I189" s="97">
        <f t="shared" ref="I189:I191" si="92">F189*0.3+F189</f>
        <v>0</v>
      </c>
      <c r="J189" s="98">
        <f t="shared" ref="J189:J191" si="93">F189*0.3+F189</f>
        <v>0</v>
      </c>
      <c r="K189" s="99">
        <f t="shared" ref="K189:K191" si="94">F189*0.2+F189</f>
        <v>0</v>
      </c>
      <c r="L189" s="98">
        <f t="shared" ref="L189:L191" si="95">F189*0.15+F189</f>
        <v>0</v>
      </c>
      <c r="M189" s="99">
        <f t="shared" ref="M189:M191" si="96">F189*0.1+F189</f>
        <v>0</v>
      </c>
      <c r="N189" s="32"/>
      <c r="O189" s="33"/>
      <c r="P189" s="109"/>
      <c r="Q189" s="109"/>
    </row>
    <row r="190" ht="15.75" customHeight="1">
      <c r="A190" s="21"/>
      <c r="B190" s="70"/>
      <c r="C190" s="61"/>
      <c r="D190" s="102"/>
      <c r="E190" s="103"/>
      <c r="F190" s="112"/>
      <c r="G190" s="94"/>
      <c r="H190" s="96">
        <f t="shared" si="91"/>
        <v>0</v>
      </c>
      <c r="I190" s="97">
        <f t="shared" si="92"/>
        <v>0</v>
      </c>
      <c r="J190" s="98">
        <f t="shared" si="93"/>
        <v>0</v>
      </c>
      <c r="K190" s="99">
        <f t="shared" si="94"/>
        <v>0</v>
      </c>
      <c r="L190" s="98">
        <f t="shared" si="95"/>
        <v>0</v>
      </c>
      <c r="M190" s="99">
        <f t="shared" si="96"/>
        <v>0</v>
      </c>
      <c r="N190" s="32"/>
      <c r="O190" s="33"/>
      <c r="P190" s="109"/>
      <c r="Q190" s="109"/>
    </row>
    <row r="191" ht="15.75" customHeight="1">
      <c r="A191" s="21"/>
      <c r="B191" s="70"/>
      <c r="C191" s="61"/>
      <c r="D191" s="102"/>
      <c r="E191" s="103"/>
      <c r="F191" s="112"/>
      <c r="G191" s="94"/>
      <c r="H191" s="96">
        <f t="shared" si="91"/>
        <v>0</v>
      </c>
      <c r="I191" s="97">
        <f t="shared" si="92"/>
        <v>0</v>
      </c>
      <c r="J191" s="98">
        <f t="shared" si="93"/>
        <v>0</v>
      </c>
      <c r="K191" s="99">
        <f t="shared" si="94"/>
        <v>0</v>
      </c>
      <c r="L191" s="98">
        <f t="shared" si="95"/>
        <v>0</v>
      </c>
      <c r="M191" s="99">
        <f t="shared" si="96"/>
        <v>0</v>
      </c>
      <c r="N191" s="32"/>
      <c r="O191" s="33"/>
      <c r="P191" s="109"/>
      <c r="Q191" s="109"/>
    </row>
    <row r="192" ht="15.75" customHeight="1">
      <c r="A192" s="21"/>
      <c r="B192" s="70"/>
      <c r="C192" s="61"/>
      <c r="D192" s="102"/>
      <c r="E192" s="103"/>
      <c r="F192" s="112"/>
      <c r="G192" s="94"/>
      <c r="H192" s="96">
        <f>F193*0.5+F193</f>
        <v>0</v>
      </c>
      <c r="I192" s="97">
        <f>F193*0.3+F193</f>
        <v>0</v>
      </c>
      <c r="J192" s="98">
        <f>F193*0.3+F193</f>
        <v>0</v>
      </c>
      <c r="K192" s="99">
        <f>F193*0.2+F193</f>
        <v>0</v>
      </c>
      <c r="L192" s="98">
        <f>F193*0.15+F193</f>
        <v>0</v>
      </c>
      <c r="M192" s="99">
        <f>F193*0.1+F193</f>
        <v>0</v>
      </c>
      <c r="N192" s="32"/>
      <c r="O192" s="33"/>
      <c r="P192" s="109"/>
      <c r="Q192" s="109"/>
    </row>
    <row r="193" ht="15.75" customHeight="1">
      <c r="A193" s="21"/>
      <c r="B193" s="70"/>
      <c r="C193" s="61"/>
      <c r="D193" s="102"/>
      <c r="E193" s="103"/>
      <c r="F193" s="112"/>
      <c r="G193" s="94"/>
      <c r="H193" s="96">
        <f t="shared" ref="H193:H195" si="97">F193*0.5+F193</f>
        <v>0</v>
      </c>
      <c r="I193" s="97">
        <f t="shared" ref="I193:I195" si="98">F193*0.3+F193</f>
        <v>0</v>
      </c>
      <c r="J193" s="98">
        <f t="shared" ref="J193:J195" si="99">F193*0.3+F193</f>
        <v>0</v>
      </c>
      <c r="K193" s="99">
        <f t="shared" ref="K193:K195" si="100">F193*0.2+F193</f>
        <v>0</v>
      </c>
      <c r="L193" s="98">
        <f t="shared" ref="L193:L195" si="101">F193*0.15+F193</f>
        <v>0</v>
      </c>
      <c r="M193" s="99">
        <f t="shared" ref="M193:M195" si="102">F193*0.1+F193</f>
        <v>0</v>
      </c>
      <c r="N193" s="32"/>
      <c r="O193" s="33"/>
      <c r="P193" s="109"/>
      <c r="Q193" s="109"/>
    </row>
    <row r="194" ht="15.75" customHeight="1">
      <c r="A194" s="21"/>
      <c r="B194" s="70"/>
      <c r="C194" s="113"/>
      <c r="D194" s="102"/>
      <c r="E194" s="103"/>
      <c r="F194" s="112"/>
      <c r="G194" s="94"/>
      <c r="H194" s="96">
        <f t="shared" si="97"/>
        <v>0</v>
      </c>
      <c r="I194" s="97">
        <f t="shared" si="98"/>
        <v>0</v>
      </c>
      <c r="J194" s="98">
        <f t="shared" si="99"/>
        <v>0</v>
      </c>
      <c r="K194" s="99">
        <f t="shared" si="100"/>
        <v>0</v>
      </c>
      <c r="L194" s="98">
        <f t="shared" si="101"/>
        <v>0</v>
      </c>
      <c r="M194" s="99">
        <f t="shared" si="102"/>
        <v>0</v>
      </c>
      <c r="N194" s="32"/>
      <c r="O194" s="33"/>
      <c r="P194" s="109"/>
      <c r="Q194" s="109"/>
    </row>
    <row r="195" ht="15.75" customHeight="1">
      <c r="A195" s="21"/>
      <c r="B195" s="70"/>
      <c r="C195" s="113"/>
      <c r="D195" s="102"/>
      <c r="E195" s="103"/>
      <c r="F195" s="112"/>
      <c r="G195" s="94"/>
      <c r="H195" s="96">
        <f t="shared" si="97"/>
        <v>0</v>
      </c>
      <c r="I195" s="97">
        <f t="shared" si="98"/>
        <v>0</v>
      </c>
      <c r="J195" s="98">
        <f t="shared" si="99"/>
        <v>0</v>
      </c>
      <c r="K195" s="99">
        <f t="shared" si="100"/>
        <v>0</v>
      </c>
      <c r="L195" s="98">
        <f t="shared" si="101"/>
        <v>0</v>
      </c>
      <c r="M195" s="99">
        <f t="shared" si="102"/>
        <v>0</v>
      </c>
      <c r="N195" s="32"/>
      <c r="O195" s="33"/>
      <c r="P195" s="109"/>
      <c r="Q195" s="109"/>
    </row>
    <row r="196" ht="15.75" customHeight="1">
      <c r="A196" s="21"/>
      <c r="B196" s="70"/>
      <c r="C196" s="114"/>
      <c r="D196" s="102"/>
      <c r="E196" s="103"/>
      <c r="F196" s="112"/>
      <c r="G196" s="94"/>
      <c r="H196" s="96">
        <f>F197*0.5+F197</f>
        <v>0</v>
      </c>
      <c r="I196" s="97">
        <f>F197*0.3+F197</f>
        <v>0</v>
      </c>
      <c r="J196" s="98">
        <f>F197*0.3+F197</f>
        <v>0</v>
      </c>
      <c r="K196" s="99">
        <f>F197*0.2+F197</f>
        <v>0</v>
      </c>
      <c r="L196" s="98">
        <f>F197*0.15+F197</f>
        <v>0</v>
      </c>
      <c r="M196" s="99">
        <f>F197*0.1+F197</f>
        <v>0</v>
      </c>
      <c r="N196" s="32"/>
      <c r="O196" s="33"/>
      <c r="P196" s="109"/>
      <c r="Q196" s="109"/>
    </row>
    <row r="197" ht="15.75" customHeight="1">
      <c r="A197" s="21"/>
      <c r="B197" s="70"/>
      <c r="C197" s="113"/>
      <c r="D197" s="102"/>
      <c r="E197" s="103"/>
      <c r="F197" s="112"/>
      <c r="G197" s="94"/>
      <c r="H197" s="96">
        <f t="shared" ref="H197:H199" si="103">F197*0.5+F197</f>
        <v>0</v>
      </c>
      <c r="I197" s="97">
        <f t="shared" ref="I197:I199" si="104">F197*0.3+F197</f>
        <v>0</v>
      </c>
      <c r="J197" s="98">
        <f t="shared" ref="J197:J199" si="105">F197*0.3+F197</f>
        <v>0</v>
      </c>
      <c r="K197" s="99">
        <f t="shared" ref="K197:K199" si="106">F197*0.2+F197</f>
        <v>0</v>
      </c>
      <c r="L197" s="98">
        <f t="shared" ref="L197:L199" si="107">F197*0.15+F197</f>
        <v>0</v>
      </c>
      <c r="M197" s="99">
        <f t="shared" ref="M197:M199" si="108">F197*0.1+F197</f>
        <v>0</v>
      </c>
      <c r="N197" s="32"/>
      <c r="O197" s="33"/>
      <c r="P197" s="109"/>
      <c r="Q197" s="109"/>
    </row>
    <row r="198" ht="15.75" customHeight="1">
      <c r="A198" s="21"/>
      <c r="B198" s="70"/>
      <c r="C198" s="113"/>
      <c r="D198" s="102"/>
      <c r="E198" s="103"/>
      <c r="F198" s="112"/>
      <c r="G198" s="94"/>
      <c r="H198" s="96">
        <f t="shared" si="103"/>
        <v>0</v>
      </c>
      <c r="I198" s="97">
        <f t="shared" si="104"/>
        <v>0</v>
      </c>
      <c r="J198" s="98">
        <f t="shared" si="105"/>
        <v>0</v>
      </c>
      <c r="K198" s="99">
        <f t="shared" si="106"/>
        <v>0</v>
      </c>
      <c r="L198" s="98">
        <f t="shared" si="107"/>
        <v>0</v>
      </c>
      <c r="M198" s="99">
        <f t="shared" si="108"/>
        <v>0</v>
      </c>
      <c r="N198" s="32"/>
      <c r="O198" s="33"/>
      <c r="P198" s="109"/>
      <c r="Q198" s="109"/>
    </row>
    <row r="199" ht="15.75" customHeight="1">
      <c r="A199" s="21"/>
      <c r="B199" s="70"/>
      <c r="C199" s="113"/>
      <c r="D199" s="102"/>
      <c r="E199" s="103"/>
      <c r="F199" s="112"/>
      <c r="G199" s="94"/>
      <c r="H199" s="96">
        <f t="shared" si="103"/>
        <v>0</v>
      </c>
      <c r="I199" s="97">
        <f t="shared" si="104"/>
        <v>0</v>
      </c>
      <c r="J199" s="98">
        <f t="shared" si="105"/>
        <v>0</v>
      </c>
      <c r="K199" s="99">
        <f t="shared" si="106"/>
        <v>0</v>
      </c>
      <c r="L199" s="98">
        <f t="shared" si="107"/>
        <v>0</v>
      </c>
      <c r="M199" s="99">
        <f t="shared" si="108"/>
        <v>0</v>
      </c>
      <c r="N199" s="32"/>
      <c r="O199" s="33"/>
      <c r="P199" s="109"/>
      <c r="Q199" s="109"/>
    </row>
    <row r="200" ht="15.75" customHeight="1">
      <c r="A200" s="21"/>
      <c r="B200" s="70"/>
      <c r="C200" s="113"/>
      <c r="D200" s="102"/>
      <c r="E200" s="103"/>
      <c r="F200" s="112"/>
      <c r="G200" s="94"/>
      <c r="H200" s="96">
        <f>F201*0.5+F201</f>
        <v>0</v>
      </c>
      <c r="I200" s="97">
        <f>F201*0.3+F201</f>
        <v>0</v>
      </c>
      <c r="J200" s="98">
        <f>F201*0.3+F201</f>
        <v>0</v>
      </c>
      <c r="K200" s="99">
        <f>F201*0.2+F201</f>
        <v>0</v>
      </c>
      <c r="L200" s="98">
        <f>F201*0.15+F201</f>
        <v>0</v>
      </c>
      <c r="M200" s="99">
        <f>F201*0.1+F201</f>
        <v>0</v>
      </c>
      <c r="N200" s="32"/>
      <c r="O200" s="33"/>
      <c r="P200" s="109"/>
      <c r="Q200" s="109"/>
    </row>
    <row r="201" ht="15.75" customHeight="1">
      <c r="A201" s="21"/>
      <c r="B201" s="70"/>
      <c r="C201" s="113"/>
      <c r="D201" s="102"/>
      <c r="E201" s="103"/>
      <c r="F201" s="112"/>
      <c r="G201" s="94"/>
      <c r="H201" s="96">
        <f t="shared" ref="H201:H203" si="109">F201*0.5+F201</f>
        <v>0</v>
      </c>
      <c r="I201" s="97">
        <f t="shared" ref="I201:I203" si="110">F201*0.3+F201</f>
        <v>0</v>
      </c>
      <c r="J201" s="98">
        <f t="shared" ref="J201:J203" si="111">F201*0.3+F201</f>
        <v>0</v>
      </c>
      <c r="K201" s="99">
        <f t="shared" ref="K201:K203" si="112">F201*0.2+F201</f>
        <v>0</v>
      </c>
      <c r="L201" s="98">
        <f t="shared" ref="L201:L203" si="113">F201*0.15+F201</f>
        <v>0</v>
      </c>
      <c r="M201" s="99">
        <f t="shared" ref="M201:M203" si="114">F201*0.1+F201</f>
        <v>0</v>
      </c>
      <c r="N201" s="32"/>
      <c r="O201" s="33"/>
      <c r="P201" s="109"/>
      <c r="Q201" s="109"/>
    </row>
    <row r="202" ht="15.75" customHeight="1">
      <c r="A202" s="21"/>
      <c r="B202" s="70"/>
      <c r="C202" s="113"/>
      <c r="D202" s="102"/>
      <c r="E202" s="103"/>
      <c r="F202" s="112"/>
      <c r="G202" s="94"/>
      <c r="H202" s="96">
        <f t="shared" si="109"/>
        <v>0</v>
      </c>
      <c r="I202" s="97">
        <f t="shared" si="110"/>
        <v>0</v>
      </c>
      <c r="J202" s="98">
        <f t="shared" si="111"/>
        <v>0</v>
      </c>
      <c r="K202" s="99">
        <f t="shared" si="112"/>
        <v>0</v>
      </c>
      <c r="L202" s="98">
        <f t="shared" si="113"/>
        <v>0</v>
      </c>
      <c r="M202" s="99">
        <f t="shared" si="114"/>
        <v>0</v>
      </c>
      <c r="N202" s="32"/>
      <c r="O202" s="33"/>
      <c r="P202" s="109"/>
      <c r="Q202" s="109"/>
    </row>
    <row r="203" ht="15.75" customHeight="1">
      <c r="A203" s="21"/>
      <c r="B203" s="70"/>
      <c r="C203" s="113"/>
      <c r="D203" s="102"/>
      <c r="E203" s="103"/>
      <c r="F203" s="112"/>
      <c r="G203" s="94"/>
      <c r="H203" s="96">
        <f t="shared" si="109"/>
        <v>0</v>
      </c>
      <c r="I203" s="97">
        <f t="shared" si="110"/>
        <v>0</v>
      </c>
      <c r="J203" s="98">
        <f t="shared" si="111"/>
        <v>0</v>
      </c>
      <c r="K203" s="99">
        <f t="shared" si="112"/>
        <v>0</v>
      </c>
      <c r="L203" s="98">
        <f t="shared" si="113"/>
        <v>0</v>
      </c>
      <c r="M203" s="99">
        <f t="shared" si="114"/>
        <v>0</v>
      </c>
      <c r="N203" s="32"/>
      <c r="O203" s="33"/>
      <c r="P203" s="109"/>
      <c r="Q203" s="109"/>
    </row>
    <row r="204" ht="15.75" customHeight="1">
      <c r="A204" s="21"/>
      <c r="B204" s="70"/>
      <c r="C204" s="113"/>
      <c r="D204" s="102"/>
      <c r="E204" s="103"/>
      <c r="F204" s="112"/>
      <c r="G204" s="94"/>
      <c r="H204" s="96">
        <f>F205*0.5+F205</f>
        <v>0</v>
      </c>
      <c r="I204" s="97">
        <f>F205*0.3+F205</f>
        <v>0</v>
      </c>
      <c r="J204" s="98">
        <f>F205*0.3+F205</f>
        <v>0</v>
      </c>
      <c r="K204" s="99">
        <f>F205*0.2+F205</f>
        <v>0</v>
      </c>
      <c r="L204" s="98">
        <f>F205*0.15+F205</f>
        <v>0</v>
      </c>
      <c r="M204" s="99">
        <f>F205*0.1+F205</f>
        <v>0</v>
      </c>
      <c r="N204" s="32"/>
      <c r="O204" s="33"/>
      <c r="P204" s="109"/>
      <c r="Q204" s="109"/>
    </row>
    <row r="205" ht="15.75" customHeight="1">
      <c r="A205" s="21"/>
      <c r="B205" s="70"/>
      <c r="C205" s="61"/>
      <c r="D205" s="111"/>
      <c r="E205" s="103"/>
      <c r="F205" s="112"/>
      <c r="G205" s="94"/>
      <c r="H205" s="96">
        <f t="shared" ref="H205:H207" si="115">F205*0.5+F205</f>
        <v>0</v>
      </c>
      <c r="I205" s="97">
        <f t="shared" ref="I205:I207" si="116">F205*0.3+F205</f>
        <v>0</v>
      </c>
      <c r="J205" s="98">
        <f t="shared" ref="J205:J207" si="117">F205*0.3+F205</f>
        <v>0</v>
      </c>
      <c r="K205" s="99">
        <f t="shared" ref="K205:K207" si="118">F205*0.2+F205</f>
        <v>0</v>
      </c>
      <c r="L205" s="98">
        <f t="shared" ref="L205:L207" si="119">F205*0.15+F205</f>
        <v>0</v>
      </c>
      <c r="M205" s="99">
        <f t="shared" ref="M205:M207" si="120">F205*0.1+F205</f>
        <v>0</v>
      </c>
      <c r="N205" s="32"/>
      <c r="O205" s="33"/>
      <c r="P205" s="109"/>
      <c r="Q205" s="109"/>
    </row>
    <row r="206" ht="15.75" customHeight="1">
      <c r="A206" s="21"/>
      <c r="B206" s="70"/>
      <c r="C206" s="61"/>
      <c r="D206" s="111"/>
      <c r="E206" s="103"/>
      <c r="F206" s="112"/>
      <c r="G206" s="94"/>
      <c r="H206" s="96">
        <f t="shared" si="115"/>
        <v>0</v>
      </c>
      <c r="I206" s="97">
        <f t="shared" si="116"/>
        <v>0</v>
      </c>
      <c r="J206" s="98">
        <f t="shared" si="117"/>
        <v>0</v>
      </c>
      <c r="K206" s="99">
        <f t="shared" si="118"/>
        <v>0</v>
      </c>
      <c r="L206" s="98">
        <f t="shared" si="119"/>
        <v>0</v>
      </c>
      <c r="M206" s="99">
        <f t="shared" si="120"/>
        <v>0</v>
      </c>
      <c r="N206" s="32"/>
      <c r="O206" s="33"/>
      <c r="P206" s="109"/>
      <c r="Q206" s="109"/>
    </row>
    <row r="207" ht="15.75" customHeight="1">
      <c r="A207" s="21"/>
      <c r="B207" s="70"/>
      <c r="C207" s="113"/>
      <c r="D207" s="102"/>
      <c r="E207" s="103"/>
      <c r="F207" s="112"/>
      <c r="G207" s="94"/>
      <c r="H207" s="96">
        <f t="shared" si="115"/>
        <v>0</v>
      </c>
      <c r="I207" s="97">
        <f t="shared" si="116"/>
        <v>0</v>
      </c>
      <c r="J207" s="98">
        <f t="shared" si="117"/>
        <v>0</v>
      </c>
      <c r="K207" s="99">
        <f t="shared" si="118"/>
        <v>0</v>
      </c>
      <c r="L207" s="98">
        <f t="shared" si="119"/>
        <v>0</v>
      </c>
      <c r="M207" s="99">
        <f t="shared" si="120"/>
        <v>0</v>
      </c>
      <c r="N207" s="32"/>
      <c r="O207" s="33"/>
      <c r="P207" s="109"/>
      <c r="Q207" s="109"/>
    </row>
    <row r="208" ht="15.75" customHeight="1">
      <c r="A208" s="21"/>
      <c r="B208" s="70"/>
      <c r="C208" s="113"/>
      <c r="D208" s="102"/>
      <c r="E208" s="103"/>
      <c r="F208" s="112"/>
      <c r="G208" s="94"/>
      <c r="H208" s="96">
        <f>F209*0.5+F209</f>
        <v>0</v>
      </c>
      <c r="I208" s="97">
        <f>F209*0.3+F209</f>
        <v>0</v>
      </c>
      <c r="J208" s="98">
        <f>F209*0.3+F209</f>
        <v>0</v>
      </c>
      <c r="K208" s="99">
        <f>F209*0.2+F209</f>
        <v>0</v>
      </c>
      <c r="L208" s="98">
        <f>F209*0.15+F209</f>
        <v>0</v>
      </c>
      <c r="M208" s="99">
        <f>F209*0.1+F209</f>
        <v>0</v>
      </c>
      <c r="N208" s="32"/>
      <c r="O208" s="33"/>
      <c r="P208" s="109"/>
      <c r="Q208" s="109"/>
    </row>
    <row r="209" ht="15.75" customHeight="1">
      <c r="A209" s="21"/>
      <c r="B209" s="70"/>
      <c r="C209" s="113"/>
      <c r="D209" s="102"/>
      <c r="E209" s="103"/>
      <c r="F209" s="112"/>
      <c r="G209" s="94"/>
      <c r="H209" s="96">
        <f t="shared" ref="H209:H211" si="121">F209*0.5+F209</f>
        <v>0</v>
      </c>
      <c r="I209" s="97">
        <f t="shared" ref="I209:I211" si="122">F209*0.3+F209</f>
        <v>0</v>
      </c>
      <c r="J209" s="98">
        <f t="shared" ref="J209:J211" si="123">F209*0.3+F209</f>
        <v>0</v>
      </c>
      <c r="K209" s="99">
        <f t="shared" ref="K209:K211" si="124">F209*0.2+F209</f>
        <v>0</v>
      </c>
      <c r="L209" s="98">
        <f t="shared" ref="L209:L211" si="125">F209*0.15+F209</f>
        <v>0</v>
      </c>
      <c r="M209" s="99">
        <f t="shared" ref="M209:M211" si="126">F209*0.1+F209</f>
        <v>0</v>
      </c>
      <c r="N209" s="32"/>
      <c r="O209" s="33"/>
      <c r="P209" s="109"/>
      <c r="Q209" s="109"/>
    </row>
    <row r="210" ht="15.75" customHeight="1">
      <c r="A210" s="21"/>
      <c r="B210" s="70"/>
      <c r="C210" s="113"/>
      <c r="D210" s="102"/>
      <c r="E210" s="103"/>
      <c r="F210" s="112"/>
      <c r="G210" s="94"/>
      <c r="H210" s="96">
        <f t="shared" si="121"/>
        <v>0</v>
      </c>
      <c r="I210" s="97">
        <f t="shared" si="122"/>
        <v>0</v>
      </c>
      <c r="J210" s="98">
        <f t="shared" si="123"/>
        <v>0</v>
      </c>
      <c r="K210" s="99">
        <f t="shared" si="124"/>
        <v>0</v>
      </c>
      <c r="L210" s="98">
        <f t="shared" si="125"/>
        <v>0</v>
      </c>
      <c r="M210" s="99">
        <f t="shared" si="126"/>
        <v>0</v>
      </c>
      <c r="N210" s="32"/>
      <c r="O210" s="33"/>
      <c r="P210" s="109"/>
      <c r="Q210" s="109"/>
    </row>
    <row r="211" ht="15.75" customHeight="1">
      <c r="A211" s="21"/>
      <c r="B211" s="70"/>
      <c r="C211" s="113"/>
      <c r="D211" s="102"/>
      <c r="E211" s="103"/>
      <c r="F211" s="112"/>
      <c r="G211" s="94"/>
      <c r="H211" s="96">
        <f t="shared" si="121"/>
        <v>0</v>
      </c>
      <c r="I211" s="97">
        <f t="shared" si="122"/>
        <v>0</v>
      </c>
      <c r="J211" s="98">
        <f t="shared" si="123"/>
        <v>0</v>
      </c>
      <c r="K211" s="99">
        <f t="shared" si="124"/>
        <v>0</v>
      </c>
      <c r="L211" s="98">
        <f t="shared" si="125"/>
        <v>0</v>
      </c>
      <c r="M211" s="99">
        <f t="shared" si="126"/>
        <v>0</v>
      </c>
      <c r="N211" s="32"/>
      <c r="O211" s="33"/>
      <c r="P211" s="109"/>
      <c r="Q211" s="109"/>
    </row>
    <row r="212" ht="15.75" customHeight="1">
      <c r="A212" s="21"/>
      <c r="B212" s="70"/>
      <c r="C212" s="61"/>
      <c r="D212" s="102"/>
      <c r="E212" s="103"/>
      <c r="F212" s="115"/>
      <c r="G212" s="94"/>
      <c r="H212" s="96">
        <f>F213*0.5+F213</f>
        <v>0</v>
      </c>
      <c r="I212" s="97">
        <f>F213*0.3+F213</f>
        <v>0</v>
      </c>
      <c r="J212" s="98">
        <f>F213*0.3+F213</f>
        <v>0</v>
      </c>
      <c r="K212" s="99">
        <f>F213*0.2+F213</f>
        <v>0</v>
      </c>
      <c r="L212" s="98">
        <f>F213*0.15+F213</f>
        <v>0</v>
      </c>
      <c r="M212" s="99">
        <f>F213*0.1+F213</f>
        <v>0</v>
      </c>
      <c r="N212" s="32"/>
      <c r="O212" s="33"/>
      <c r="P212" s="109"/>
      <c r="Q212" s="109"/>
    </row>
    <row r="213" ht="15.75" customHeight="1">
      <c r="A213" s="21"/>
      <c r="B213" s="70"/>
      <c r="C213" s="113"/>
      <c r="D213" s="116"/>
      <c r="E213" s="103"/>
      <c r="F213" s="112"/>
      <c r="G213" s="94"/>
      <c r="H213" s="96">
        <f t="shared" ref="H213:H215" si="127">F213*0.5+F213</f>
        <v>0</v>
      </c>
      <c r="I213" s="97">
        <f t="shared" ref="I213:I215" si="128">F213*0.3+F213</f>
        <v>0</v>
      </c>
      <c r="J213" s="98">
        <f t="shared" ref="J213:J215" si="129">F213*0.3+F213</f>
        <v>0</v>
      </c>
      <c r="K213" s="99">
        <f t="shared" ref="K213:K215" si="130">F213*0.2+F213</f>
        <v>0</v>
      </c>
      <c r="L213" s="98">
        <f t="shared" ref="L213:L215" si="131">F213*0.15+F213</f>
        <v>0</v>
      </c>
      <c r="M213" s="99">
        <f t="shared" ref="M213:M215" si="132">F213*0.1+F213</f>
        <v>0</v>
      </c>
      <c r="N213" s="32"/>
      <c r="O213" s="33"/>
      <c r="P213" s="109"/>
      <c r="Q213" s="109"/>
    </row>
    <row r="214" ht="15.75" customHeight="1">
      <c r="A214" s="21"/>
      <c r="B214" s="70"/>
      <c r="C214" s="113"/>
      <c r="D214" s="116"/>
      <c r="E214" s="103"/>
      <c r="F214" s="112"/>
      <c r="G214" s="94"/>
      <c r="H214" s="96">
        <f t="shared" si="127"/>
        <v>0</v>
      </c>
      <c r="I214" s="97">
        <f t="shared" si="128"/>
        <v>0</v>
      </c>
      <c r="J214" s="98">
        <f t="shared" si="129"/>
        <v>0</v>
      </c>
      <c r="K214" s="99">
        <f t="shared" si="130"/>
        <v>0</v>
      </c>
      <c r="L214" s="98">
        <f t="shared" si="131"/>
        <v>0</v>
      </c>
      <c r="M214" s="99">
        <f t="shared" si="132"/>
        <v>0</v>
      </c>
      <c r="N214" s="32"/>
      <c r="O214" s="33"/>
      <c r="P214" s="109"/>
      <c r="Q214" s="109"/>
    </row>
    <row r="215" ht="15.75" customHeight="1">
      <c r="A215" s="21"/>
      <c r="B215" s="70"/>
      <c r="C215" s="113"/>
      <c r="D215" s="111"/>
      <c r="E215" s="117"/>
      <c r="F215" s="112"/>
      <c r="G215" s="94"/>
      <c r="H215" s="96">
        <f t="shared" si="127"/>
        <v>0</v>
      </c>
      <c r="I215" s="97">
        <f t="shared" si="128"/>
        <v>0</v>
      </c>
      <c r="J215" s="98">
        <f t="shared" si="129"/>
        <v>0</v>
      </c>
      <c r="K215" s="99">
        <f t="shared" si="130"/>
        <v>0</v>
      </c>
      <c r="L215" s="98">
        <f t="shared" si="131"/>
        <v>0</v>
      </c>
      <c r="M215" s="99">
        <f t="shared" si="132"/>
        <v>0</v>
      </c>
      <c r="N215" s="32"/>
      <c r="O215" s="33"/>
      <c r="P215" s="109"/>
      <c r="Q215" s="109"/>
    </row>
    <row r="216" ht="15.75" customHeight="1">
      <c r="A216" s="21"/>
      <c r="B216" s="70"/>
      <c r="C216" s="61"/>
      <c r="D216" s="111"/>
      <c r="E216" s="103"/>
      <c r="F216" s="112"/>
      <c r="G216" s="94"/>
      <c r="H216" s="96">
        <f>F217*0.5+F217</f>
        <v>0</v>
      </c>
      <c r="I216" s="97">
        <f>F217*0.3+F217</f>
        <v>0</v>
      </c>
      <c r="J216" s="98">
        <f>F217*0.3+F217</f>
        <v>0</v>
      </c>
      <c r="K216" s="99">
        <f>F217*0.2+F217</f>
        <v>0</v>
      </c>
      <c r="L216" s="98">
        <f>F217*0.15+F217</f>
        <v>0</v>
      </c>
      <c r="M216" s="99">
        <f>F217*0.1+F217</f>
        <v>0</v>
      </c>
      <c r="N216" s="32"/>
      <c r="O216" s="33"/>
      <c r="P216" s="109"/>
      <c r="Q216" s="109"/>
    </row>
    <row r="217" ht="15.75" customHeight="1">
      <c r="A217" s="21"/>
      <c r="B217" s="70"/>
      <c r="C217" s="61"/>
      <c r="D217" s="111"/>
      <c r="E217" s="103"/>
      <c r="F217" s="112"/>
      <c r="G217" s="94"/>
      <c r="H217" s="96">
        <f t="shared" ref="H217:H219" si="133">F217*0.5+F217</f>
        <v>0</v>
      </c>
      <c r="I217" s="97">
        <f t="shared" ref="I217:I219" si="134">F217*0.3+F217</f>
        <v>0</v>
      </c>
      <c r="J217" s="98">
        <f t="shared" ref="J217:J219" si="135">F217*0.3+F217</f>
        <v>0</v>
      </c>
      <c r="K217" s="99">
        <f t="shared" ref="K217:K219" si="136">F217*0.2+F217</f>
        <v>0</v>
      </c>
      <c r="L217" s="98">
        <f t="shared" ref="L217:L219" si="137">F217*0.15+F217</f>
        <v>0</v>
      </c>
      <c r="M217" s="99">
        <f t="shared" ref="M217:M219" si="138">F217*0.1+F217</f>
        <v>0</v>
      </c>
      <c r="N217" s="32"/>
      <c r="O217" s="33"/>
      <c r="P217" s="109"/>
      <c r="Q217" s="109"/>
    </row>
    <row r="218" ht="15.75" customHeight="1">
      <c r="A218" s="21"/>
      <c r="B218" s="70"/>
      <c r="C218" s="118"/>
      <c r="D218" s="119"/>
      <c r="E218" s="103"/>
      <c r="F218" s="120"/>
      <c r="G218" s="94"/>
      <c r="H218" s="96">
        <f t="shared" si="133"/>
        <v>0</v>
      </c>
      <c r="I218" s="97">
        <f t="shared" si="134"/>
        <v>0</v>
      </c>
      <c r="J218" s="98">
        <f t="shared" si="135"/>
        <v>0</v>
      </c>
      <c r="K218" s="99">
        <f t="shared" si="136"/>
        <v>0</v>
      </c>
      <c r="L218" s="98">
        <f t="shared" si="137"/>
        <v>0</v>
      </c>
      <c r="M218" s="99">
        <f t="shared" si="138"/>
        <v>0</v>
      </c>
      <c r="N218" s="32"/>
      <c r="O218" s="33"/>
    </row>
    <row r="219" ht="15.75" customHeight="1">
      <c r="A219" s="21"/>
      <c r="B219" s="70"/>
      <c r="C219" s="118"/>
      <c r="D219" s="119"/>
      <c r="E219" s="103"/>
      <c r="F219" s="120"/>
      <c r="G219" s="94"/>
      <c r="H219" s="96">
        <f t="shared" si="133"/>
        <v>0</v>
      </c>
      <c r="I219" s="97">
        <f t="shared" si="134"/>
        <v>0</v>
      </c>
      <c r="J219" s="98">
        <f t="shared" si="135"/>
        <v>0</v>
      </c>
      <c r="K219" s="99">
        <f t="shared" si="136"/>
        <v>0</v>
      </c>
      <c r="L219" s="98">
        <f t="shared" si="137"/>
        <v>0</v>
      </c>
      <c r="M219" s="99">
        <f t="shared" si="138"/>
        <v>0</v>
      </c>
      <c r="N219" s="32"/>
      <c r="O219" s="33"/>
    </row>
    <row r="220" ht="15.75" customHeight="1">
      <c r="A220" s="21"/>
      <c r="B220" s="70"/>
      <c r="C220" s="118"/>
      <c r="D220" s="119"/>
      <c r="E220" s="103"/>
      <c r="F220" s="120"/>
      <c r="G220" s="94"/>
      <c r="H220" s="96">
        <f>F221*0.5+F221</f>
        <v>0</v>
      </c>
      <c r="I220" s="97">
        <f>F221*0.3+F221</f>
        <v>0</v>
      </c>
      <c r="J220" s="98">
        <f>F221*0.3+F221</f>
        <v>0</v>
      </c>
      <c r="K220" s="99">
        <f>F221*0.2+F221</f>
        <v>0</v>
      </c>
      <c r="L220" s="98">
        <f>F221*0.15+F221</f>
        <v>0</v>
      </c>
      <c r="M220" s="99">
        <f>F221*0.1+F221</f>
        <v>0</v>
      </c>
      <c r="N220" s="32"/>
      <c r="O220" s="33"/>
    </row>
    <row r="221" ht="15.75" customHeight="1">
      <c r="A221" s="21"/>
      <c r="B221" s="70"/>
      <c r="C221" s="118"/>
      <c r="D221" s="119"/>
      <c r="E221" s="103"/>
      <c r="F221" s="120"/>
      <c r="G221" s="94"/>
      <c r="H221" s="96">
        <f t="shared" ref="H221:H223" si="139">F221*0.5+F221</f>
        <v>0</v>
      </c>
      <c r="I221" s="97">
        <f t="shared" ref="I221:I223" si="140">F221*0.3+F221</f>
        <v>0</v>
      </c>
      <c r="J221" s="98">
        <f t="shared" ref="J221:J223" si="141">F221*0.3+F221</f>
        <v>0</v>
      </c>
      <c r="K221" s="99">
        <f t="shared" ref="K221:K223" si="142">F221*0.2+F221</f>
        <v>0</v>
      </c>
      <c r="L221" s="98">
        <f t="shared" ref="L221:L223" si="143">F221*0.15+F221</f>
        <v>0</v>
      </c>
      <c r="M221" s="99">
        <f t="shared" ref="M221:M223" si="144">F221*0.1+F221</f>
        <v>0</v>
      </c>
      <c r="N221" s="32"/>
      <c r="O221" s="33"/>
    </row>
    <row r="222" ht="15.75" customHeight="1">
      <c r="A222" s="21"/>
      <c r="B222" s="70"/>
      <c r="C222" s="118"/>
      <c r="D222" s="119"/>
      <c r="E222" s="103"/>
      <c r="F222" s="120"/>
      <c r="G222" s="94"/>
      <c r="H222" s="96">
        <f t="shared" si="139"/>
        <v>0</v>
      </c>
      <c r="I222" s="97">
        <f t="shared" si="140"/>
        <v>0</v>
      </c>
      <c r="J222" s="98">
        <f t="shared" si="141"/>
        <v>0</v>
      </c>
      <c r="K222" s="99">
        <f t="shared" si="142"/>
        <v>0</v>
      </c>
      <c r="L222" s="98">
        <f t="shared" si="143"/>
        <v>0</v>
      </c>
      <c r="M222" s="99">
        <f t="shared" si="144"/>
        <v>0</v>
      </c>
      <c r="N222" s="32"/>
      <c r="O222" s="33"/>
    </row>
    <row r="223" ht="15.75" customHeight="1">
      <c r="A223" s="21"/>
      <c r="B223" s="70"/>
      <c r="C223" s="118"/>
      <c r="D223" s="119"/>
      <c r="E223" s="103"/>
      <c r="F223" s="120"/>
      <c r="G223" s="94"/>
      <c r="H223" s="96">
        <f t="shared" si="139"/>
        <v>0</v>
      </c>
      <c r="I223" s="97">
        <f t="shared" si="140"/>
        <v>0</v>
      </c>
      <c r="J223" s="98">
        <f t="shared" si="141"/>
        <v>0</v>
      </c>
      <c r="K223" s="99">
        <f t="shared" si="142"/>
        <v>0</v>
      </c>
      <c r="L223" s="98">
        <f t="shared" si="143"/>
        <v>0</v>
      </c>
      <c r="M223" s="99">
        <f t="shared" si="144"/>
        <v>0</v>
      </c>
      <c r="N223" s="32"/>
      <c r="O223" s="33"/>
    </row>
    <row r="224" ht="15.75" customHeight="1">
      <c r="A224" s="21"/>
      <c r="B224" s="70"/>
      <c r="C224" s="118"/>
      <c r="D224" s="119"/>
      <c r="E224" s="103"/>
      <c r="F224" s="120"/>
      <c r="G224" s="94"/>
      <c r="H224" s="96">
        <f>F225*0.5+F225</f>
        <v>0</v>
      </c>
      <c r="I224" s="97">
        <f>F225*0.3+F225</f>
        <v>0</v>
      </c>
      <c r="J224" s="98">
        <f>F225*0.3+F225</f>
        <v>0</v>
      </c>
      <c r="K224" s="99">
        <f>F225*0.2+F225</f>
        <v>0</v>
      </c>
      <c r="L224" s="98">
        <f>F225*0.15+F225</f>
        <v>0</v>
      </c>
      <c r="M224" s="99">
        <f>F225*0.1+F225</f>
        <v>0</v>
      </c>
      <c r="N224" s="32"/>
      <c r="O224" s="33"/>
    </row>
    <row r="225" ht="15.75" customHeight="1">
      <c r="A225" s="21"/>
      <c r="B225" s="70"/>
      <c r="C225" s="118"/>
      <c r="D225" s="119"/>
      <c r="E225" s="103"/>
      <c r="F225" s="120"/>
      <c r="G225" s="94"/>
      <c r="H225" s="96">
        <f t="shared" ref="H225:H227" si="145">F225*0.5+F225</f>
        <v>0</v>
      </c>
      <c r="I225" s="97">
        <f t="shared" ref="I225:I227" si="146">F225*0.3+F225</f>
        <v>0</v>
      </c>
      <c r="J225" s="98">
        <f t="shared" ref="J225:J227" si="147">F225*0.3+F225</f>
        <v>0</v>
      </c>
      <c r="K225" s="99">
        <f t="shared" ref="K225:K227" si="148">F225*0.2+F225</f>
        <v>0</v>
      </c>
      <c r="L225" s="98">
        <f t="shared" ref="L225:L227" si="149">F225*0.15+F225</f>
        <v>0</v>
      </c>
      <c r="M225" s="99">
        <f t="shared" ref="M225:M227" si="150">F225*0.1+F225</f>
        <v>0</v>
      </c>
      <c r="N225" s="32"/>
      <c r="O225" s="33"/>
    </row>
    <row r="226" ht="15.75" customHeight="1">
      <c r="A226" s="21"/>
      <c r="B226" s="70"/>
      <c r="C226" s="118"/>
      <c r="D226" s="119"/>
      <c r="E226" s="103"/>
      <c r="F226" s="120"/>
      <c r="G226" s="94"/>
      <c r="H226" s="96">
        <f t="shared" si="145"/>
        <v>0</v>
      </c>
      <c r="I226" s="97">
        <f t="shared" si="146"/>
        <v>0</v>
      </c>
      <c r="J226" s="98">
        <f t="shared" si="147"/>
        <v>0</v>
      </c>
      <c r="K226" s="99">
        <f t="shared" si="148"/>
        <v>0</v>
      </c>
      <c r="L226" s="98">
        <f t="shared" si="149"/>
        <v>0</v>
      </c>
      <c r="M226" s="99">
        <f t="shared" si="150"/>
        <v>0</v>
      </c>
      <c r="N226" s="32"/>
      <c r="O226" s="33"/>
    </row>
    <row r="227" ht="15.75" customHeight="1">
      <c r="A227" s="21"/>
      <c r="B227" s="70"/>
      <c r="C227" s="118"/>
      <c r="D227" s="119"/>
      <c r="E227" s="103"/>
      <c r="F227" s="120"/>
      <c r="G227" s="94"/>
      <c r="H227" s="96">
        <f t="shared" si="145"/>
        <v>0</v>
      </c>
      <c r="I227" s="97">
        <f t="shared" si="146"/>
        <v>0</v>
      </c>
      <c r="J227" s="98">
        <f t="shared" si="147"/>
        <v>0</v>
      </c>
      <c r="K227" s="99">
        <f t="shared" si="148"/>
        <v>0</v>
      </c>
      <c r="L227" s="98">
        <f t="shared" si="149"/>
        <v>0</v>
      </c>
      <c r="M227" s="99">
        <f t="shared" si="150"/>
        <v>0</v>
      </c>
      <c r="N227" s="32"/>
      <c r="O227" s="33"/>
    </row>
    <row r="228" ht="15.75" customHeight="1">
      <c r="A228" s="21"/>
      <c r="B228" s="70"/>
      <c r="C228" s="118"/>
      <c r="D228" s="119"/>
      <c r="E228" s="103"/>
      <c r="F228" s="120"/>
      <c r="G228" s="94"/>
      <c r="H228" s="96">
        <f>F229*0.5+F229</f>
        <v>0</v>
      </c>
      <c r="I228" s="97">
        <f>F229*0.3+F229</f>
        <v>0</v>
      </c>
      <c r="J228" s="98">
        <f>F229*0.3+F229</f>
        <v>0</v>
      </c>
      <c r="K228" s="99">
        <f>F229*0.2+F229</f>
        <v>0</v>
      </c>
      <c r="L228" s="98">
        <f>F229*0.15+F229</f>
        <v>0</v>
      </c>
      <c r="M228" s="99">
        <f>F229*0.1+F229</f>
        <v>0</v>
      </c>
      <c r="N228" s="32"/>
      <c r="O228" s="33"/>
    </row>
    <row r="229" ht="15.75" customHeight="1">
      <c r="A229" s="21"/>
      <c r="B229" s="70"/>
      <c r="C229" s="121"/>
      <c r="D229" s="119"/>
      <c r="E229" s="103"/>
      <c r="F229" s="122"/>
      <c r="G229" s="94"/>
      <c r="H229" s="96">
        <f t="shared" ref="H229:H231" si="151">F229*0.5+F229</f>
        <v>0</v>
      </c>
      <c r="I229" s="97">
        <f t="shared" ref="I229:I231" si="152">F229*0.3+F229</f>
        <v>0</v>
      </c>
      <c r="J229" s="98">
        <f t="shared" ref="J229:J231" si="153">F229*0.3+F229</f>
        <v>0</v>
      </c>
      <c r="K229" s="99">
        <f t="shared" ref="K229:K231" si="154">F229*0.2+F229</f>
        <v>0</v>
      </c>
      <c r="L229" s="98">
        <f t="shared" ref="L229:L231" si="155">F229*0.15+F229</f>
        <v>0</v>
      </c>
      <c r="M229" s="99">
        <f t="shared" ref="M229:M231" si="156">F229*0.1+F229</f>
        <v>0</v>
      </c>
      <c r="N229" s="32"/>
      <c r="O229" s="33"/>
    </row>
    <row r="230" ht="15.75" customHeight="1">
      <c r="A230" s="21"/>
      <c r="B230" s="70"/>
      <c r="C230" s="61"/>
      <c r="D230" s="119"/>
      <c r="E230" s="103"/>
      <c r="F230" s="120"/>
      <c r="G230" s="94"/>
      <c r="H230" s="96">
        <f t="shared" si="151"/>
        <v>0</v>
      </c>
      <c r="I230" s="97">
        <f t="shared" si="152"/>
        <v>0</v>
      </c>
      <c r="J230" s="98">
        <f t="shared" si="153"/>
        <v>0</v>
      </c>
      <c r="K230" s="99">
        <f t="shared" si="154"/>
        <v>0</v>
      </c>
      <c r="L230" s="98">
        <f t="shared" si="155"/>
        <v>0</v>
      </c>
      <c r="M230" s="99">
        <f t="shared" si="156"/>
        <v>0</v>
      </c>
      <c r="N230" s="32"/>
      <c r="O230" s="33"/>
    </row>
    <row r="231" ht="15.75" customHeight="1">
      <c r="A231" s="21"/>
      <c r="B231" s="70"/>
      <c r="C231" s="61"/>
      <c r="D231" s="119"/>
      <c r="E231" s="123"/>
      <c r="F231" s="120"/>
      <c r="G231" s="94"/>
      <c r="H231" s="96">
        <f t="shared" si="151"/>
        <v>0</v>
      </c>
      <c r="I231" s="97">
        <f t="shared" si="152"/>
        <v>0</v>
      </c>
      <c r="J231" s="98">
        <f t="shared" si="153"/>
        <v>0</v>
      </c>
      <c r="K231" s="99">
        <f t="shared" si="154"/>
        <v>0</v>
      </c>
      <c r="L231" s="98">
        <f t="shared" si="155"/>
        <v>0</v>
      </c>
      <c r="M231" s="99">
        <f t="shared" si="156"/>
        <v>0</v>
      </c>
      <c r="N231" s="32"/>
      <c r="O231" s="33"/>
    </row>
    <row r="232" ht="15.75" customHeight="1">
      <c r="A232" s="21"/>
      <c r="B232" s="70"/>
      <c r="C232" s="61"/>
      <c r="D232" s="119"/>
      <c r="E232" s="123"/>
      <c r="F232" s="120"/>
      <c r="G232" s="94"/>
      <c r="H232" s="96">
        <f>F233*0.5+F233</f>
        <v>0</v>
      </c>
      <c r="I232" s="97">
        <f>F233*0.3+F233</f>
        <v>0</v>
      </c>
      <c r="J232" s="98">
        <f>F233*0.3+F233</f>
        <v>0</v>
      </c>
      <c r="K232" s="99">
        <f>F233*0.2+F233</f>
        <v>0</v>
      </c>
      <c r="L232" s="98">
        <f>F233*0.15+F233</f>
        <v>0</v>
      </c>
      <c r="M232" s="99">
        <f>F233*0.1+F233</f>
        <v>0</v>
      </c>
      <c r="N232" s="32"/>
      <c r="O232" s="33"/>
    </row>
    <row r="233" ht="15.75" customHeight="1">
      <c r="A233" s="21"/>
      <c r="B233" s="70"/>
      <c r="C233" s="61"/>
      <c r="D233" s="119"/>
      <c r="E233" s="123"/>
      <c r="F233" s="120"/>
      <c r="G233" s="94"/>
      <c r="H233" s="96">
        <f t="shared" ref="H233:H235" si="157">F233*0.5+F233</f>
        <v>0</v>
      </c>
      <c r="I233" s="97">
        <f t="shared" ref="I233:I235" si="158">F233*0.3+F233</f>
        <v>0</v>
      </c>
      <c r="J233" s="98">
        <f t="shared" ref="J233:J235" si="159">F233*0.3+F233</f>
        <v>0</v>
      </c>
      <c r="K233" s="99">
        <f t="shared" ref="K233:K235" si="160">F233*0.2+F233</f>
        <v>0</v>
      </c>
      <c r="L233" s="98">
        <f t="shared" ref="L233:L235" si="161">F233*0.15+F233</f>
        <v>0</v>
      </c>
      <c r="M233" s="99">
        <f t="shared" ref="M233:M235" si="162">F233*0.1+F233</f>
        <v>0</v>
      </c>
      <c r="N233" s="32"/>
      <c r="O233" s="33"/>
    </row>
    <row r="234" ht="15.75" customHeight="1">
      <c r="A234" s="21"/>
      <c r="B234" s="70"/>
      <c r="C234" s="61"/>
      <c r="D234" s="119"/>
      <c r="E234" s="123"/>
      <c r="F234" s="120"/>
      <c r="G234" s="94"/>
      <c r="H234" s="96">
        <f t="shared" si="157"/>
        <v>0</v>
      </c>
      <c r="I234" s="97">
        <f t="shared" si="158"/>
        <v>0</v>
      </c>
      <c r="J234" s="98">
        <f t="shared" si="159"/>
        <v>0</v>
      </c>
      <c r="K234" s="99">
        <f t="shared" si="160"/>
        <v>0</v>
      </c>
      <c r="L234" s="98">
        <f t="shared" si="161"/>
        <v>0</v>
      </c>
      <c r="M234" s="99">
        <f t="shared" si="162"/>
        <v>0</v>
      </c>
      <c r="N234" s="32"/>
      <c r="O234" s="33"/>
    </row>
    <row r="235" ht="15.75" customHeight="1">
      <c r="A235" s="21"/>
      <c r="B235" s="70"/>
      <c r="C235" s="114"/>
      <c r="D235" s="124"/>
      <c r="E235" s="123"/>
      <c r="F235" s="122"/>
      <c r="G235" s="94"/>
      <c r="H235" s="96">
        <f t="shared" si="157"/>
        <v>0</v>
      </c>
      <c r="I235" s="97">
        <f t="shared" si="158"/>
        <v>0</v>
      </c>
      <c r="J235" s="98">
        <f t="shared" si="159"/>
        <v>0</v>
      </c>
      <c r="K235" s="99">
        <f t="shared" si="160"/>
        <v>0</v>
      </c>
      <c r="L235" s="98">
        <f t="shared" si="161"/>
        <v>0</v>
      </c>
      <c r="M235" s="99">
        <f t="shared" si="162"/>
        <v>0</v>
      </c>
      <c r="N235" s="32"/>
      <c r="O235" s="33"/>
    </row>
    <row r="236" ht="15.75" customHeight="1">
      <c r="A236" s="21"/>
      <c r="B236" s="70"/>
      <c r="C236" s="121"/>
      <c r="D236" s="124"/>
      <c r="E236" s="123"/>
      <c r="F236" s="122"/>
      <c r="G236" s="94"/>
      <c r="H236" s="96">
        <f>F237*0.5+F237</f>
        <v>0</v>
      </c>
      <c r="I236" s="97">
        <f>F237*0.3+F237</f>
        <v>0</v>
      </c>
      <c r="J236" s="98">
        <f>F237*0.3+F237</f>
        <v>0</v>
      </c>
      <c r="K236" s="99">
        <f>F237*0.2+F237</f>
        <v>0</v>
      </c>
      <c r="L236" s="98">
        <f>F237*0.15+F237</f>
        <v>0</v>
      </c>
      <c r="M236" s="99">
        <f>F237*0.1+F237</f>
        <v>0</v>
      </c>
      <c r="N236" s="32"/>
      <c r="O236" s="33"/>
    </row>
    <row r="237" ht="15.75" customHeight="1">
      <c r="A237" s="21"/>
      <c r="B237" s="70"/>
      <c r="C237" s="121"/>
      <c r="D237" s="124"/>
      <c r="E237" s="125"/>
      <c r="F237" s="122"/>
      <c r="G237" s="94"/>
      <c r="H237" s="96">
        <f t="shared" ref="H237:H239" si="163">F237*0.5+F237</f>
        <v>0</v>
      </c>
      <c r="I237" s="97">
        <f t="shared" ref="I237:I239" si="164">F237*0.3+F237</f>
        <v>0</v>
      </c>
      <c r="J237" s="98">
        <f t="shared" ref="J237:J239" si="165">F237*0.3+F237</f>
        <v>0</v>
      </c>
      <c r="K237" s="99">
        <f t="shared" ref="K237:K239" si="166">F237*0.2+F237</f>
        <v>0</v>
      </c>
      <c r="L237" s="98">
        <f t="shared" ref="L237:L239" si="167">F237*0.15+F237</f>
        <v>0</v>
      </c>
      <c r="M237" s="99">
        <f t="shared" ref="M237:M239" si="168">F237*0.1+F237</f>
        <v>0</v>
      </c>
      <c r="N237" s="32"/>
      <c r="O237" s="33"/>
    </row>
    <row r="238" ht="15.75" customHeight="1">
      <c r="A238" s="21"/>
      <c r="B238" s="70"/>
      <c r="C238" s="118"/>
      <c r="D238" s="124"/>
      <c r="E238" s="123"/>
      <c r="F238" s="120"/>
      <c r="G238" s="94"/>
      <c r="H238" s="96">
        <f t="shared" si="163"/>
        <v>0</v>
      </c>
      <c r="I238" s="97">
        <f t="shared" si="164"/>
        <v>0</v>
      </c>
      <c r="J238" s="98">
        <f t="shared" si="165"/>
        <v>0</v>
      </c>
      <c r="K238" s="99">
        <f t="shared" si="166"/>
        <v>0</v>
      </c>
      <c r="L238" s="98">
        <f t="shared" si="167"/>
        <v>0</v>
      </c>
      <c r="M238" s="99">
        <f t="shared" si="168"/>
        <v>0</v>
      </c>
      <c r="N238" s="32"/>
      <c r="O238" s="33"/>
    </row>
    <row r="239" ht="15.75" customHeight="1">
      <c r="A239" s="21"/>
      <c r="B239" s="70"/>
      <c r="C239" s="114"/>
      <c r="D239" s="124"/>
      <c r="E239" s="123"/>
      <c r="F239" s="122"/>
      <c r="G239" s="94"/>
      <c r="H239" s="96">
        <f t="shared" si="163"/>
        <v>0</v>
      </c>
      <c r="I239" s="97">
        <f t="shared" si="164"/>
        <v>0</v>
      </c>
      <c r="J239" s="98">
        <f t="shared" si="165"/>
        <v>0</v>
      </c>
      <c r="K239" s="99">
        <f t="shared" si="166"/>
        <v>0</v>
      </c>
      <c r="L239" s="98">
        <f t="shared" si="167"/>
        <v>0</v>
      </c>
      <c r="M239" s="99">
        <f t="shared" si="168"/>
        <v>0</v>
      </c>
      <c r="N239" s="32"/>
      <c r="O239" s="33"/>
    </row>
    <row r="240" ht="15.75" customHeight="1">
      <c r="A240" s="21"/>
      <c r="B240" s="70"/>
      <c r="C240" s="121"/>
      <c r="D240" s="124"/>
      <c r="E240" s="123"/>
      <c r="F240" s="120"/>
      <c r="G240" s="94"/>
      <c r="H240" s="96">
        <f>F241*0.5+F241</f>
        <v>0</v>
      </c>
      <c r="I240" s="97">
        <f>F241*0.3+F241</f>
        <v>0</v>
      </c>
      <c r="J240" s="98">
        <f>F241*0.3+F241</f>
        <v>0</v>
      </c>
      <c r="K240" s="99">
        <f>F241*0.2+F241</f>
        <v>0</v>
      </c>
      <c r="L240" s="98">
        <f>F241*0.15+F241</f>
        <v>0</v>
      </c>
      <c r="M240" s="99">
        <f>F241*0.1+F241</f>
        <v>0</v>
      </c>
      <c r="N240" s="32"/>
      <c r="O240" s="33"/>
    </row>
    <row r="241" ht="15.75" customHeight="1">
      <c r="A241" s="21"/>
      <c r="B241" s="70"/>
      <c r="C241" s="121"/>
      <c r="D241" s="124"/>
      <c r="E241" s="123"/>
      <c r="F241" s="122"/>
      <c r="G241" s="94"/>
      <c r="H241" s="96">
        <f t="shared" ref="H241:H243" si="169">F241*0.5+F241</f>
        <v>0</v>
      </c>
      <c r="I241" s="97">
        <f t="shared" ref="I241:I243" si="170">F241*0.3+F241</f>
        <v>0</v>
      </c>
      <c r="J241" s="98">
        <f t="shared" ref="J241:J243" si="171">F241*0.3+F241</f>
        <v>0</v>
      </c>
      <c r="K241" s="99">
        <f t="shared" ref="K241:K243" si="172">F241*0.2+F241</f>
        <v>0</v>
      </c>
      <c r="L241" s="98">
        <f t="shared" ref="L241:L243" si="173">F241*0.15+F241</f>
        <v>0</v>
      </c>
      <c r="M241" s="99">
        <f t="shared" ref="M241:M243" si="174">F241*0.1+F241</f>
        <v>0</v>
      </c>
      <c r="N241" s="32"/>
      <c r="O241" s="33"/>
    </row>
    <row r="242" ht="15.75" customHeight="1">
      <c r="A242" s="21"/>
      <c r="B242" s="70"/>
      <c r="C242" s="61"/>
      <c r="D242" s="124"/>
      <c r="E242" s="123"/>
      <c r="F242" s="112"/>
      <c r="G242" s="94"/>
      <c r="H242" s="96">
        <f t="shared" si="169"/>
        <v>0</v>
      </c>
      <c r="I242" s="97">
        <f t="shared" si="170"/>
        <v>0</v>
      </c>
      <c r="J242" s="98">
        <f t="shared" si="171"/>
        <v>0</v>
      </c>
      <c r="K242" s="99">
        <f t="shared" si="172"/>
        <v>0</v>
      </c>
      <c r="L242" s="98">
        <f t="shared" si="173"/>
        <v>0</v>
      </c>
      <c r="M242" s="99">
        <f t="shared" si="174"/>
        <v>0</v>
      </c>
      <c r="N242" s="32"/>
      <c r="O242" s="33"/>
    </row>
    <row r="243" ht="15.75" customHeight="1">
      <c r="A243" s="21"/>
      <c r="B243" s="70"/>
      <c r="C243" s="61"/>
      <c r="D243" s="124"/>
      <c r="E243" s="123"/>
      <c r="F243" s="122"/>
      <c r="G243" s="94"/>
      <c r="H243" s="96">
        <f t="shared" si="169"/>
        <v>0</v>
      </c>
      <c r="I243" s="97">
        <f t="shared" si="170"/>
        <v>0</v>
      </c>
      <c r="J243" s="98">
        <f t="shared" si="171"/>
        <v>0</v>
      </c>
      <c r="K243" s="99">
        <f t="shared" si="172"/>
        <v>0</v>
      </c>
      <c r="L243" s="98">
        <f t="shared" si="173"/>
        <v>0</v>
      </c>
      <c r="M243" s="99">
        <f t="shared" si="174"/>
        <v>0</v>
      </c>
      <c r="N243" s="32"/>
      <c r="O243" s="33"/>
    </row>
    <row r="244" ht="15.75" customHeight="1">
      <c r="A244" s="21"/>
      <c r="B244" s="70"/>
      <c r="C244" s="121"/>
      <c r="D244" s="124"/>
      <c r="E244" s="123"/>
      <c r="F244" s="120"/>
      <c r="G244" s="94"/>
      <c r="H244" s="96">
        <f>F245*0.5+F245</f>
        <v>0</v>
      </c>
      <c r="I244" s="97">
        <f>F245*0.3+F245</f>
        <v>0</v>
      </c>
      <c r="J244" s="98">
        <f>F245*0.3+F245</f>
        <v>0</v>
      </c>
      <c r="K244" s="99">
        <f>F245*0.2+F245</f>
        <v>0</v>
      </c>
      <c r="L244" s="98">
        <f>F245*0.15+F245</f>
        <v>0</v>
      </c>
      <c r="M244" s="99">
        <f>F245*0.1+F245</f>
        <v>0</v>
      </c>
      <c r="N244" s="32"/>
      <c r="O244" s="33"/>
    </row>
    <row r="245" ht="15.75" customHeight="1">
      <c r="A245" s="21"/>
      <c r="B245" s="70"/>
      <c r="C245" s="61"/>
      <c r="D245" s="119"/>
      <c r="E245" s="123"/>
      <c r="F245" s="120"/>
      <c r="G245" s="94"/>
      <c r="H245" s="96">
        <f t="shared" ref="H245:H247" si="175">F245*0.5+F245</f>
        <v>0</v>
      </c>
      <c r="I245" s="97">
        <f t="shared" ref="I245:I247" si="176">F245*0.3+F245</f>
        <v>0</v>
      </c>
      <c r="J245" s="98">
        <f t="shared" ref="J245:J247" si="177">F245*0.3+F245</f>
        <v>0</v>
      </c>
      <c r="K245" s="99">
        <f t="shared" ref="K245:K247" si="178">F245*0.2+F245</f>
        <v>0</v>
      </c>
      <c r="L245" s="98">
        <f t="shared" ref="L245:L247" si="179">F245*0.15+F245</f>
        <v>0</v>
      </c>
      <c r="M245" s="99">
        <f t="shared" ref="M245:M247" si="180">F245*0.1+F245</f>
        <v>0</v>
      </c>
      <c r="N245" s="32"/>
      <c r="O245" s="33"/>
    </row>
    <row r="246" ht="15.75" customHeight="1">
      <c r="A246" s="21"/>
      <c r="B246" s="70"/>
      <c r="C246" s="61"/>
      <c r="D246" s="119"/>
      <c r="E246" s="123"/>
      <c r="F246" s="120"/>
      <c r="G246" s="94"/>
      <c r="H246" s="96">
        <f t="shared" si="175"/>
        <v>0</v>
      </c>
      <c r="I246" s="97">
        <f t="shared" si="176"/>
        <v>0</v>
      </c>
      <c r="J246" s="98">
        <f t="shared" si="177"/>
        <v>0</v>
      </c>
      <c r="K246" s="99">
        <f t="shared" si="178"/>
        <v>0</v>
      </c>
      <c r="L246" s="98">
        <f t="shared" si="179"/>
        <v>0</v>
      </c>
      <c r="M246" s="99">
        <f t="shared" si="180"/>
        <v>0</v>
      </c>
      <c r="N246" s="32"/>
      <c r="O246" s="33"/>
    </row>
    <row r="247" ht="15.75" customHeight="1">
      <c r="A247" s="21"/>
      <c r="B247" s="70"/>
      <c r="C247" s="61"/>
      <c r="D247" s="119"/>
      <c r="E247" s="123"/>
      <c r="F247" s="120"/>
      <c r="G247" s="94"/>
      <c r="H247" s="96">
        <f t="shared" si="175"/>
        <v>0</v>
      </c>
      <c r="I247" s="97">
        <f t="shared" si="176"/>
        <v>0</v>
      </c>
      <c r="J247" s="98">
        <f t="shared" si="177"/>
        <v>0</v>
      </c>
      <c r="K247" s="99">
        <f t="shared" si="178"/>
        <v>0</v>
      </c>
      <c r="L247" s="98">
        <f t="shared" si="179"/>
        <v>0</v>
      </c>
      <c r="M247" s="99">
        <f t="shared" si="180"/>
        <v>0</v>
      </c>
      <c r="N247" s="32"/>
      <c r="O247" s="33"/>
    </row>
    <row r="248" ht="15.75" customHeight="1">
      <c r="A248" s="21"/>
      <c r="B248" s="70"/>
      <c r="C248" s="126"/>
      <c r="D248" s="124"/>
      <c r="E248" s="90"/>
      <c r="F248" s="112"/>
      <c r="G248" s="94"/>
      <c r="H248" s="96">
        <f>F249*0.5+F249</f>
        <v>0</v>
      </c>
      <c r="I248" s="97">
        <f>F249*0.3+F249</f>
        <v>0</v>
      </c>
      <c r="J248" s="98">
        <f>F249*0.3+F249</f>
        <v>0</v>
      </c>
      <c r="K248" s="99">
        <f>F249*0.2+F249</f>
        <v>0</v>
      </c>
      <c r="L248" s="98">
        <f>F249*0.15+F249</f>
        <v>0</v>
      </c>
      <c r="M248" s="99">
        <f>F249*0.1+F249</f>
        <v>0</v>
      </c>
      <c r="N248" s="32"/>
      <c r="O248" s="33"/>
    </row>
    <row r="249" ht="15.75" customHeight="1">
      <c r="A249" s="21"/>
      <c r="B249" s="70"/>
      <c r="C249" s="126"/>
      <c r="D249" s="124"/>
      <c r="E249" s="90"/>
      <c r="F249" s="112"/>
      <c r="G249" s="94"/>
      <c r="H249" s="96">
        <f t="shared" ref="H249:H251" si="181">F249*0.5+F249</f>
        <v>0</v>
      </c>
      <c r="I249" s="97">
        <f t="shared" ref="I249:I251" si="182">F249*0.3+F249</f>
        <v>0</v>
      </c>
      <c r="J249" s="98">
        <f t="shared" ref="J249:J251" si="183">F249*0.3+F249</f>
        <v>0</v>
      </c>
      <c r="K249" s="99">
        <f t="shared" ref="K249:K251" si="184">F249*0.2+F249</f>
        <v>0</v>
      </c>
      <c r="L249" s="98">
        <f t="shared" ref="L249:L251" si="185">F249*0.15+F249</f>
        <v>0</v>
      </c>
      <c r="M249" s="99">
        <f t="shared" ref="M249:M251" si="186">F249*0.1+F249</f>
        <v>0</v>
      </c>
      <c r="N249" s="32"/>
      <c r="O249" s="33"/>
    </row>
    <row r="250" ht="15.75" customHeight="1">
      <c r="A250" s="21"/>
      <c r="B250" s="70"/>
      <c r="C250" s="126"/>
      <c r="D250" s="124"/>
      <c r="E250" s="90"/>
      <c r="F250" s="112"/>
      <c r="G250" s="94"/>
      <c r="H250" s="96">
        <f t="shared" si="181"/>
        <v>0</v>
      </c>
      <c r="I250" s="97">
        <f t="shared" si="182"/>
        <v>0</v>
      </c>
      <c r="J250" s="98">
        <f t="shared" si="183"/>
        <v>0</v>
      </c>
      <c r="K250" s="99">
        <f t="shared" si="184"/>
        <v>0</v>
      </c>
      <c r="L250" s="98">
        <f t="shared" si="185"/>
        <v>0</v>
      </c>
      <c r="M250" s="99">
        <f t="shared" si="186"/>
        <v>0</v>
      </c>
      <c r="N250" s="32"/>
      <c r="O250" s="33"/>
    </row>
    <row r="251" ht="15.75" customHeight="1">
      <c r="A251" s="21"/>
      <c r="B251" s="70"/>
      <c r="C251" s="126"/>
      <c r="D251" s="124"/>
      <c r="E251" s="90"/>
      <c r="F251" s="112"/>
      <c r="G251" s="94"/>
      <c r="H251" s="96">
        <f t="shared" si="181"/>
        <v>0</v>
      </c>
      <c r="I251" s="97">
        <f t="shared" si="182"/>
        <v>0</v>
      </c>
      <c r="J251" s="98">
        <f t="shared" si="183"/>
        <v>0</v>
      </c>
      <c r="K251" s="99">
        <f t="shared" si="184"/>
        <v>0</v>
      </c>
      <c r="L251" s="98">
        <f t="shared" si="185"/>
        <v>0</v>
      </c>
      <c r="M251" s="99">
        <f t="shared" si="186"/>
        <v>0</v>
      </c>
      <c r="N251" s="32"/>
      <c r="O251" s="33"/>
    </row>
    <row r="252" ht="15.75" customHeight="1">
      <c r="A252" s="21"/>
      <c r="B252" s="70"/>
      <c r="C252" s="126"/>
      <c r="D252" s="124"/>
      <c r="E252" s="90"/>
      <c r="F252" s="112"/>
      <c r="G252" s="94"/>
      <c r="H252" s="96">
        <f>F253*0.5+F253</f>
        <v>0</v>
      </c>
      <c r="I252" s="97">
        <f>F253*0.3+F253</f>
        <v>0</v>
      </c>
      <c r="J252" s="98">
        <f>F253*0.3+F253</f>
        <v>0</v>
      </c>
      <c r="K252" s="99">
        <f>F253*0.2+F253</f>
        <v>0</v>
      </c>
      <c r="L252" s="98">
        <f>F253*0.15+F253</f>
        <v>0</v>
      </c>
      <c r="M252" s="99">
        <f>F253*0.1+F253</f>
        <v>0</v>
      </c>
      <c r="N252" s="32"/>
      <c r="O252" s="33"/>
    </row>
    <row r="253" ht="15.75" customHeight="1">
      <c r="A253" s="21"/>
      <c r="B253" s="70"/>
      <c r="C253" s="126"/>
      <c r="D253" s="124"/>
      <c r="E253" s="90"/>
      <c r="F253" s="112"/>
      <c r="G253" s="94"/>
      <c r="H253" s="96">
        <f t="shared" ref="H253:H255" si="187">F253*0.5+F253</f>
        <v>0</v>
      </c>
      <c r="I253" s="97">
        <f t="shared" ref="I253:I255" si="188">F253*0.3+F253</f>
        <v>0</v>
      </c>
      <c r="J253" s="98">
        <f t="shared" ref="J253:J255" si="189">F253*0.3+F253</f>
        <v>0</v>
      </c>
      <c r="K253" s="99">
        <f t="shared" ref="K253:K255" si="190">F253*0.2+F253</f>
        <v>0</v>
      </c>
      <c r="L253" s="98">
        <f t="shared" ref="L253:L255" si="191">F253*0.15+F253</f>
        <v>0</v>
      </c>
      <c r="M253" s="99">
        <f t="shared" ref="M253:M255" si="192">F253*0.1+F253</f>
        <v>0</v>
      </c>
      <c r="N253" s="32"/>
      <c r="O253" s="33"/>
    </row>
    <row r="254" ht="15.75" customHeight="1">
      <c r="A254" s="21"/>
      <c r="B254" s="70"/>
      <c r="C254" s="126"/>
      <c r="D254" s="124"/>
      <c r="E254" s="90"/>
      <c r="F254" s="112"/>
      <c r="G254" s="94"/>
      <c r="H254" s="96">
        <f t="shared" si="187"/>
        <v>0</v>
      </c>
      <c r="I254" s="97">
        <f t="shared" si="188"/>
        <v>0</v>
      </c>
      <c r="J254" s="98">
        <f t="shared" si="189"/>
        <v>0</v>
      </c>
      <c r="K254" s="99">
        <f t="shared" si="190"/>
        <v>0</v>
      </c>
      <c r="L254" s="98">
        <f t="shared" si="191"/>
        <v>0</v>
      </c>
      <c r="M254" s="99">
        <f t="shared" si="192"/>
        <v>0</v>
      </c>
      <c r="N254" s="32"/>
      <c r="O254" s="33"/>
    </row>
    <row r="255" ht="15.75" customHeight="1">
      <c r="A255" s="21"/>
      <c r="B255" s="70"/>
      <c r="C255" s="114"/>
      <c r="D255" s="124"/>
      <c r="E255" s="90"/>
      <c r="F255" s="112"/>
      <c r="G255" s="94"/>
      <c r="H255" s="96">
        <f t="shared" si="187"/>
        <v>0</v>
      </c>
      <c r="I255" s="97">
        <f t="shared" si="188"/>
        <v>0</v>
      </c>
      <c r="J255" s="98">
        <f t="shared" si="189"/>
        <v>0</v>
      </c>
      <c r="K255" s="99">
        <f t="shared" si="190"/>
        <v>0</v>
      </c>
      <c r="L255" s="98">
        <f t="shared" si="191"/>
        <v>0</v>
      </c>
      <c r="M255" s="99">
        <f t="shared" si="192"/>
        <v>0</v>
      </c>
      <c r="N255" s="32"/>
      <c r="O255" s="33"/>
    </row>
    <row r="256" ht="15.75" customHeight="1">
      <c r="A256" s="21"/>
      <c r="B256" s="70"/>
      <c r="C256" s="61"/>
      <c r="D256" s="124"/>
      <c r="E256" s="90"/>
      <c r="F256" s="115"/>
      <c r="G256" s="94"/>
      <c r="H256" s="96">
        <f>F257*0.5+F257</f>
        <v>0</v>
      </c>
      <c r="I256" s="97">
        <f>F257*0.3+F257</f>
        <v>0</v>
      </c>
      <c r="J256" s="98">
        <f>F257*0.3+F257</f>
        <v>0</v>
      </c>
      <c r="K256" s="99">
        <f>F257*0.2+F257</f>
        <v>0</v>
      </c>
      <c r="L256" s="98">
        <f>F257*0.15+F257</f>
        <v>0</v>
      </c>
      <c r="M256" s="99">
        <f>F257*0.1+F257</f>
        <v>0</v>
      </c>
      <c r="N256" s="32"/>
      <c r="O256" s="33"/>
    </row>
    <row r="257" ht="15.75" customHeight="1">
      <c r="A257" s="21"/>
      <c r="B257" s="70"/>
      <c r="C257" s="61"/>
      <c r="D257" s="124"/>
      <c r="E257" s="90"/>
      <c r="F257" s="115"/>
      <c r="G257" s="94"/>
      <c r="H257" s="96">
        <f t="shared" ref="H257:H259" si="193">F257*0.5+F257</f>
        <v>0</v>
      </c>
      <c r="I257" s="97">
        <f t="shared" ref="I257:I259" si="194">F257*0.3+F257</f>
        <v>0</v>
      </c>
      <c r="J257" s="98">
        <f t="shared" ref="J257:J259" si="195">F257*0.3+F257</f>
        <v>0</v>
      </c>
      <c r="K257" s="99">
        <f t="shared" ref="K257:K259" si="196">F257*0.2+F257</f>
        <v>0</v>
      </c>
      <c r="L257" s="98">
        <f t="shared" ref="L257:L259" si="197">F257*0.15+F257</f>
        <v>0</v>
      </c>
      <c r="M257" s="99">
        <f t="shared" ref="M257:M259" si="198">F257*0.1+F257</f>
        <v>0</v>
      </c>
      <c r="N257" s="32"/>
      <c r="O257" s="33"/>
    </row>
    <row r="258" ht="15.75" customHeight="1">
      <c r="A258" s="21"/>
      <c r="B258" s="70"/>
      <c r="C258" s="61"/>
      <c r="D258" s="124"/>
      <c r="E258" s="90"/>
      <c r="F258" s="115"/>
      <c r="G258" s="94"/>
      <c r="H258" s="96">
        <f t="shared" si="193"/>
        <v>0</v>
      </c>
      <c r="I258" s="97">
        <f t="shared" si="194"/>
        <v>0</v>
      </c>
      <c r="J258" s="98">
        <f t="shared" si="195"/>
        <v>0</v>
      </c>
      <c r="K258" s="99">
        <f t="shared" si="196"/>
        <v>0</v>
      </c>
      <c r="L258" s="98">
        <f t="shared" si="197"/>
        <v>0</v>
      </c>
      <c r="M258" s="99">
        <f t="shared" si="198"/>
        <v>0</v>
      </c>
      <c r="N258" s="32"/>
      <c r="O258" s="33"/>
    </row>
    <row r="259" ht="15.75" customHeight="1">
      <c r="A259" s="21"/>
      <c r="B259" s="70"/>
      <c r="C259" s="61"/>
      <c r="D259" s="102"/>
      <c r="E259" s="90"/>
      <c r="F259" s="115"/>
      <c r="G259" s="94"/>
      <c r="H259" s="96">
        <f t="shared" si="193"/>
        <v>0</v>
      </c>
      <c r="I259" s="97">
        <f t="shared" si="194"/>
        <v>0</v>
      </c>
      <c r="J259" s="98">
        <f t="shared" si="195"/>
        <v>0</v>
      </c>
      <c r="K259" s="99">
        <f t="shared" si="196"/>
        <v>0</v>
      </c>
      <c r="L259" s="98">
        <f t="shared" si="197"/>
        <v>0</v>
      </c>
      <c r="M259" s="99">
        <f t="shared" si="198"/>
        <v>0</v>
      </c>
      <c r="N259" s="32"/>
      <c r="O259" s="33"/>
    </row>
    <row r="260" ht="15.75" customHeight="1">
      <c r="A260" s="21"/>
      <c r="B260" s="70"/>
      <c r="C260" s="61"/>
      <c r="D260" s="124"/>
      <c r="E260" s="90"/>
      <c r="F260" s="115"/>
      <c r="G260" s="94"/>
      <c r="H260" s="96">
        <f>F261*0.5+F261</f>
        <v>0</v>
      </c>
      <c r="I260" s="97">
        <f>F261*0.3+F261</f>
        <v>0</v>
      </c>
      <c r="J260" s="98">
        <f>F261*0.3+F261</f>
        <v>0</v>
      </c>
      <c r="K260" s="99">
        <f>F261*0.2+F261</f>
        <v>0</v>
      </c>
      <c r="L260" s="98">
        <f>F261*0.15+F261</f>
        <v>0</v>
      </c>
      <c r="M260" s="99">
        <f>F261*0.1+F261</f>
        <v>0</v>
      </c>
      <c r="N260" s="32"/>
      <c r="O260" s="33"/>
    </row>
    <row r="261" ht="15.75" customHeight="1">
      <c r="A261" s="21"/>
      <c r="B261" s="70"/>
      <c r="C261" s="61"/>
      <c r="D261" s="124"/>
      <c r="E261" s="90"/>
      <c r="F261" s="115"/>
      <c r="G261" s="94"/>
      <c r="H261" s="96">
        <f t="shared" ref="H261:H263" si="199">F261*0.5+F261</f>
        <v>0</v>
      </c>
      <c r="I261" s="97">
        <f t="shared" ref="I261:I263" si="200">F261*0.3+F261</f>
        <v>0</v>
      </c>
      <c r="J261" s="98">
        <f t="shared" ref="J261:J263" si="201">F261*0.3+F261</f>
        <v>0</v>
      </c>
      <c r="K261" s="99">
        <f t="shared" ref="K261:K263" si="202">F261*0.2+F261</f>
        <v>0</v>
      </c>
      <c r="L261" s="98">
        <f t="shared" ref="L261:L263" si="203">F261*0.15+F261</f>
        <v>0</v>
      </c>
      <c r="M261" s="99">
        <f t="shared" ref="M261:M263" si="204">F261*0.1+F261</f>
        <v>0</v>
      </c>
      <c r="N261" s="32"/>
      <c r="O261" s="33"/>
    </row>
    <row r="262" ht="15.75" customHeight="1">
      <c r="A262" s="21"/>
      <c r="B262" s="70"/>
      <c r="C262" s="61"/>
      <c r="D262" s="124"/>
      <c r="E262" s="90"/>
      <c r="F262" s="115"/>
      <c r="G262" s="94"/>
      <c r="H262" s="96">
        <f t="shared" si="199"/>
        <v>0</v>
      </c>
      <c r="I262" s="97">
        <f t="shared" si="200"/>
        <v>0</v>
      </c>
      <c r="J262" s="98">
        <f t="shared" si="201"/>
        <v>0</v>
      </c>
      <c r="K262" s="99">
        <f t="shared" si="202"/>
        <v>0</v>
      </c>
      <c r="L262" s="98">
        <f t="shared" si="203"/>
        <v>0</v>
      </c>
      <c r="M262" s="99">
        <f t="shared" si="204"/>
        <v>0</v>
      </c>
      <c r="N262" s="32"/>
      <c r="O262" s="33"/>
    </row>
    <row r="263" ht="15.75" customHeight="1">
      <c r="A263" s="21"/>
      <c r="B263" s="70"/>
      <c r="C263" s="61"/>
      <c r="D263" s="124"/>
      <c r="E263" s="90"/>
      <c r="F263" s="115"/>
      <c r="G263" s="94"/>
      <c r="H263" s="96">
        <f t="shared" si="199"/>
        <v>0</v>
      </c>
      <c r="I263" s="97">
        <f t="shared" si="200"/>
        <v>0</v>
      </c>
      <c r="J263" s="98">
        <f t="shared" si="201"/>
        <v>0</v>
      </c>
      <c r="K263" s="99">
        <f t="shared" si="202"/>
        <v>0</v>
      </c>
      <c r="L263" s="98">
        <f t="shared" si="203"/>
        <v>0</v>
      </c>
      <c r="M263" s="99">
        <f t="shared" si="204"/>
        <v>0</v>
      </c>
      <c r="N263" s="32"/>
      <c r="O263" s="33"/>
    </row>
    <row r="264" ht="15.75" customHeight="1">
      <c r="A264" s="21"/>
      <c r="B264" s="70"/>
      <c r="C264" s="61"/>
      <c r="D264" s="124"/>
      <c r="E264" s="90"/>
      <c r="F264" s="115"/>
      <c r="G264" s="94"/>
      <c r="H264" s="96">
        <f>F265*0.5+F265</f>
        <v>0</v>
      </c>
      <c r="I264" s="97">
        <f>F265*0.3+F265</f>
        <v>0</v>
      </c>
      <c r="J264" s="98">
        <f>F265*0.3+F265</f>
        <v>0</v>
      </c>
      <c r="K264" s="99">
        <f>F265*0.2+F265</f>
        <v>0</v>
      </c>
      <c r="L264" s="98">
        <f>F265*0.15+F265</f>
        <v>0</v>
      </c>
      <c r="M264" s="99">
        <f>F265*0.1+F265</f>
        <v>0</v>
      </c>
      <c r="N264" s="32"/>
      <c r="O264" s="33"/>
    </row>
    <row r="265" ht="15.75" customHeight="1">
      <c r="A265" s="21"/>
      <c r="B265" s="70"/>
      <c r="C265" s="61"/>
      <c r="D265" s="124"/>
      <c r="E265" s="90"/>
      <c r="F265" s="115"/>
      <c r="G265" s="94"/>
      <c r="H265" s="96">
        <f t="shared" ref="H265:H267" si="205">F265*0.5+F265</f>
        <v>0</v>
      </c>
      <c r="I265" s="97">
        <f t="shared" ref="I265:I267" si="206">F265*0.3+F265</f>
        <v>0</v>
      </c>
      <c r="J265" s="98">
        <f t="shared" ref="J265:J267" si="207">F265*0.3+F265</f>
        <v>0</v>
      </c>
      <c r="K265" s="99">
        <f t="shared" ref="K265:K267" si="208">F265*0.2+F265</f>
        <v>0</v>
      </c>
      <c r="L265" s="98">
        <f t="shared" ref="L265:L267" si="209">F265*0.15+F265</f>
        <v>0</v>
      </c>
      <c r="M265" s="99">
        <f t="shared" ref="M265:M267" si="210">F265*0.1+F265</f>
        <v>0</v>
      </c>
      <c r="N265" s="32"/>
      <c r="O265" s="33"/>
    </row>
    <row r="266" ht="15.75" customHeight="1">
      <c r="A266" s="21"/>
      <c r="B266" s="70"/>
      <c r="C266" s="61"/>
      <c r="D266" s="124"/>
      <c r="E266" s="90"/>
      <c r="F266" s="112"/>
      <c r="G266" s="94"/>
      <c r="H266" s="96">
        <f t="shared" si="205"/>
        <v>0</v>
      </c>
      <c r="I266" s="97">
        <f t="shared" si="206"/>
        <v>0</v>
      </c>
      <c r="J266" s="98">
        <f t="shared" si="207"/>
        <v>0</v>
      </c>
      <c r="K266" s="99">
        <f t="shared" si="208"/>
        <v>0</v>
      </c>
      <c r="L266" s="98">
        <f t="shared" si="209"/>
        <v>0</v>
      </c>
      <c r="M266" s="99">
        <f t="shared" si="210"/>
        <v>0</v>
      </c>
      <c r="N266" s="32"/>
      <c r="O266" s="33"/>
    </row>
    <row r="267" ht="15.75" customHeight="1">
      <c r="A267" s="21"/>
      <c r="B267" s="70"/>
      <c r="C267" s="61"/>
      <c r="D267" s="102"/>
      <c r="E267" s="90"/>
      <c r="F267" s="127"/>
      <c r="G267" s="94"/>
      <c r="H267" s="96">
        <f t="shared" si="205"/>
        <v>0</v>
      </c>
      <c r="I267" s="97">
        <f t="shared" si="206"/>
        <v>0</v>
      </c>
      <c r="J267" s="98">
        <f t="shared" si="207"/>
        <v>0</v>
      </c>
      <c r="K267" s="99">
        <f t="shared" si="208"/>
        <v>0</v>
      </c>
      <c r="L267" s="98">
        <f t="shared" si="209"/>
        <v>0</v>
      </c>
      <c r="M267" s="99">
        <f t="shared" si="210"/>
        <v>0</v>
      </c>
      <c r="N267" s="32"/>
      <c r="O267" s="33"/>
    </row>
    <row r="268" ht="15.75" customHeight="1">
      <c r="A268" s="21"/>
      <c r="B268" s="70"/>
      <c r="C268" s="61"/>
      <c r="D268" s="128"/>
      <c r="E268" s="90"/>
      <c r="F268" s="127"/>
      <c r="G268" s="94"/>
      <c r="H268" s="96">
        <f>F269*0.5+F269</f>
        <v>0</v>
      </c>
      <c r="I268" s="97">
        <f>F269*0.3+F269</f>
        <v>0</v>
      </c>
      <c r="J268" s="98">
        <f>F269*0.3+F269</f>
        <v>0</v>
      </c>
      <c r="K268" s="99">
        <f>F269*0.2+F269</f>
        <v>0</v>
      </c>
      <c r="L268" s="98">
        <f>F269*0.15+F269</f>
        <v>0</v>
      </c>
      <c r="M268" s="99">
        <f>F269*0.1+F269</f>
        <v>0</v>
      </c>
      <c r="N268" s="32"/>
      <c r="O268" s="33"/>
    </row>
    <row r="269" ht="15.75" customHeight="1">
      <c r="A269" s="21"/>
      <c r="B269" s="70"/>
      <c r="C269" s="61"/>
      <c r="D269" s="102"/>
      <c r="E269" s="90"/>
      <c r="F269" s="127"/>
      <c r="G269" s="94"/>
      <c r="H269" s="96">
        <f t="shared" ref="H269:H271" si="211">F269*0.5+F269</f>
        <v>0</v>
      </c>
      <c r="I269" s="97">
        <f t="shared" ref="I269:I271" si="212">F269*0.3+F269</f>
        <v>0</v>
      </c>
      <c r="J269" s="98">
        <f t="shared" ref="J269:J271" si="213">F269*0.3+F269</f>
        <v>0</v>
      </c>
      <c r="K269" s="99">
        <f t="shared" ref="K269:K271" si="214">F269*0.2+F269</f>
        <v>0</v>
      </c>
      <c r="L269" s="98">
        <f t="shared" ref="L269:L271" si="215">F269*0.15+F269</f>
        <v>0</v>
      </c>
      <c r="M269" s="99">
        <f t="shared" ref="M269:M271" si="216">F269*0.1+F269</f>
        <v>0</v>
      </c>
      <c r="N269" s="32"/>
      <c r="O269" s="33"/>
    </row>
    <row r="270" ht="15.75" customHeight="1">
      <c r="A270" s="21"/>
      <c r="B270" s="70"/>
      <c r="C270" s="61"/>
      <c r="D270" s="102"/>
      <c r="E270" s="90"/>
      <c r="F270" s="127"/>
      <c r="G270" s="94"/>
      <c r="H270" s="96">
        <f t="shared" si="211"/>
        <v>0</v>
      </c>
      <c r="I270" s="97">
        <f t="shared" si="212"/>
        <v>0</v>
      </c>
      <c r="J270" s="98">
        <f t="shared" si="213"/>
        <v>0</v>
      </c>
      <c r="K270" s="99">
        <f t="shared" si="214"/>
        <v>0</v>
      </c>
      <c r="L270" s="98">
        <f t="shared" si="215"/>
        <v>0</v>
      </c>
      <c r="M270" s="99">
        <f t="shared" si="216"/>
        <v>0</v>
      </c>
      <c r="N270" s="32"/>
      <c r="O270" s="33"/>
    </row>
    <row r="271" ht="15.75" customHeight="1">
      <c r="A271" s="21"/>
      <c r="B271" s="70"/>
      <c r="C271" s="61"/>
      <c r="D271" s="102"/>
      <c r="E271" s="90"/>
      <c r="F271" s="127"/>
      <c r="G271" s="94"/>
      <c r="H271" s="96">
        <f t="shared" si="211"/>
        <v>0</v>
      </c>
      <c r="I271" s="97">
        <f t="shared" si="212"/>
        <v>0</v>
      </c>
      <c r="J271" s="98">
        <f t="shared" si="213"/>
        <v>0</v>
      </c>
      <c r="K271" s="99">
        <f t="shared" si="214"/>
        <v>0</v>
      </c>
      <c r="L271" s="98">
        <f t="shared" si="215"/>
        <v>0</v>
      </c>
      <c r="M271" s="99">
        <f t="shared" si="216"/>
        <v>0</v>
      </c>
      <c r="N271" s="32"/>
      <c r="O271" s="33"/>
    </row>
    <row r="272" ht="15.75" customHeight="1">
      <c r="A272" s="21"/>
      <c r="B272" s="70"/>
      <c r="C272" s="61"/>
      <c r="D272" s="102"/>
      <c r="E272" s="90"/>
      <c r="F272" s="127"/>
      <c r="G272" s="94"/>
      <c r="H272" s="96">
        <f>F273*0.5+F273</f>
        <v>0</v>
      </c>
      <c r="I272" s="97">
        <f>F273*0.3+F273</f>
        <v>0</v>
      </c>
      <c r="J272" s="98">
        <f>F273*0.3+F273</f>
        <v>0</v>
      </c>
      <c r="K272" s="99">
        <f>F273*0.2+F273</f>
        <v>0</v>
      </c>
      <c r="L272" s="98">
        <f>F273*0.15+F273</f>
        <v>0</v>
      </c>
      <c r="M272" s="99">
        <f>F273*0.1+F273</f>
        <v>0</v>
      </c>
      <c r="N272" s="32"/>
      <c r="O272" s="33"/>
    </row>
    <row r="273" ht="15.75" customHeight="1">
      <c r="A273" s="21"/>
      <c r="B273" s="70"/>
      <c r="C273" s="61"/>
      <c r="D273" s="102"/>
      <c r="E273" s="90"/>
      <c r="F273" s="115"/>
      <c r="G273" s="94"/>
      <c r="H273" s="96">
        <f t="shared" ref="H273:H275" si="217">F273*0.5+F273</f>
        <v>0</v>
      </c>
      <c r="I273" s="97">
        <f t="shared" ref="I273:I275" si="218">F273*0.3+F273</f>
        <v>0</v>
      </c>
      <c r="J273" s="98">
        <f t="shared" ref="J273:J275" si="219">F273*0.3+F273</f>
        <v>0</v>
      </c>
      <c r="K273" s="99">
        <f t="shared" ref="K273:K275" si="220">F273*0.2+F273</f>
        <v>0</v>
      </c>
      <c r="L273" s="98">
        <f t="shared" ref="L273:L275" si="221">F273*0.15+F273</f>
        <v>0</v>
      </c>
      <c r="M273" s="99">
        <f t="shared" ref="M273:M275" si="222">F273*0.1+F273</f>
        <v>0</v>
      </c>
      <c r="N273" s="32"/>
      <c r="O273" s="33"/>
    </row>
    <row r="274" ht="15.75" customHeight="1">
      <c r="A274" s="21"/>
      <c r="B274" s="70"/>
      <c r="C274" s="129"/>
      <c r="D274" s="102"/>
      <c r="E274" s="90"/>
      <c r="F274" s="115"/>
      <c r="G274" s="94"/>
      <c r="H274" s="96">
        <f t="shared" si="217"/>
        <v>0</v>
      </c>
      <c r="I274" s="97">
        <f t="shared" si="218"/>
        <v>0</v>
      </c>
      <c r="J274" s="98">
        <f t="shared" si="219"/>
        <v>0</v>
      </c>
      <c r="K274" s="99">
        <f t="shared" si="220"/>
        <v>0</v>
      </c>
      <c r="L274" s="98">
        <f t="shared" si="221"/>
        <v>0</v>
      </c>
      <c r="M274" s="99">
        <f t="shared" si="222"/>
        <v>0</v>
      </c>
      <c r="N274" s="32"/>
      <c r="O274" s="33"/>
    </row>
    <row r="275" ht="15.75" customHeight="1">
      <c r="A275" s="21"/>
      <c r="B275" s="70"/>
      <c r="C275" s="114"/>
      <c r="D275" s="124"/>
      <c r="E275" s="90"/>
      <c r="F275" s="115"/>
      <c r="G275" s="94"/>
      <c r="H275" s="96">
        <f t="shared" si="217"/>
        <v>0</v>
      </c>
      <c r="I275" s="97">
        <f t="shared" si="218"/>
        <v>0</v>
      </c>
      <c r="J275" s="98">
        <f t="shared" si="219"/>
        <v>0</v>
      </c>
      <c r="K275" s="99">
        <f t="shared" si="220"/>
        <v>0</v>
      </c>
      <c r="L275" s="98">
        <f t="shared" si="221"/>
        <v>0</v>
      </c>
      <c r="M275" s="99">
        <f t="shared" si="222"/>
        <v>0</v>
      </c>
      <c r="N275" s="32"/>
      <c r="O275" s="33"/>
    </row>
    <row r="276" ht="15.75" customHeight="1">
      <c r="A276" s="21"/>
      <c r="B276" s="70"/>
      <c r="C276" s="114"/>
      <c r="D276" s="124"/>
      <c r="E276" s="90"/>
      <c r="F276" s="115"/>
      <c r="G276" s="94"/>
      <c r="H276" s="96">
        <f>F277*0.5+F277</f>
        <v>0</v>
      </c>
      <c r="I276" s="97">
        <f>F277*0.3+F277</f>
        <v>0</v>
      </c>
      <c r="J276" s="98">
        <f>F277*0.3+F277</f>
        <v>0</v>
      </c>
      <c r="K276" s="99">
        <f>F277*0.2+F277</f>
        <v>0</v>
      </c>
      <c r="L276" s="98">
        <f>F277*0.15+F277</f>
        <v>0</v>
      </c>
      <c r="M276" s="99">
        <f>F277*0.1+F277</f>
        <v>0</v>
      </c>
      <c r="N276" s="32"/>
      <c r="O276" s="33"/>
    </row>
    <row r="277" ht="15.75" customHeight="1">
      <c r="A277" s="21"/>
      <c r="B277" s="70"/>
      <c r="C277" s="114"/>
      <c r="D277" s="124"/>
      <c r="E277" s="90"/>
      <c r="F277" s="115"/>
      <c r="G277" s="94"/>
      <c r="H277" s="96">
        <f t="shared" ref="H277:H279" si="223">F277*0.5+F277</f>
        <v>0</v>
      </c>
      <c r="I277" s="97">
        <f t="shared" ref="I277:I279" si="224">F277*0.3+F277</f>
        <v>0</v>
      </c>
      <c r="J277" s="98">
        <f t="shared" ref="J277:J279" si="225">F277*0.3+F277</f>
        <v>0</v>
      </c>
      <c r="K277" s="99">
        <f t="shared" ref="K277:K279" si="226">F277*0.2+F277</f>
        <v>0</v>
      </c>
      <c r="L277" s="98">
        <f t="shared" ref="L277:L279" si="227">F277*0.15+F277</f>
        <v>0</v>
      </c>
      <c r="M277" s="99">
        <f t="shared" ref="M277:M279" si="228">F277*0.1+F277</f>
        <v>0</v>
      </c>
      <c r="N277" s="32"/>
      <c r="O277" s="33"/>
    </row>
    <row r="278" ht="15.75" customHeight="1">
      <c r="A278" s="21"/>
      <c r="B278" s="70"/>
      <c r="C278" s="114"/>
      <c r="D278" s="124"/>
      <c r="E278" s="90"/>
      <c r="F278" s="115"/>
      <c r="G278" s="94"/>
      <c r="H278" s="96">
        <f t="shared" si="223"/>
        <v>0</v>
      </c>
      <c r="I278" s="97">
        <f t="shared" si="224"/>
        <v>0</v>
      </c>
      <c r="J278" s="98">
        <f t="shared" si="225"/>
        <v>0</v>
      </c>
      <c r="K278" s="99">
        <f t="shared" si="226"/>
        <v>0</v>
      </c>
      <c r="L278" s="98">
        <f t="shared" si="227"/>
        <v>0</v>
      </c>
      <c r="M278" s="99">
        <f t="shared" si="228"/>
        <v>0</v>
      </c>
      <c r="N278" s="32"/>
      <c r="O278" s="33"/>
    </row>
    <row r="279" ht="15.75" customHeight="1">
      <c r="A279" s="21"/>
      <c r="B279" s="70"/>
      <c r="C279" s="61"/>
      <c r="D279" s="124"/>
      <c r="E279" s="90"/>
      <c r="F279" s="115"/>
      <c r="G279" s="94"/>
      <c r="H279" s="96">
        <f t="shared" si="223"/>
        <v>0</v>
      </c>
      <c r="I279" s="97">
        <f t="shared" si="224"/>
        <v>0</v>
      </c>
      <c r="J279" s="98">
        <f t="shared" si="225"/>
        <v>0</v>
      </c>
      <c r="K279" s="99">
        <f t="shared" si="226"/>
        <v>0</v>
      </c>
      <c r="L279" s="98">
        <f t="shared" si="227"/>
        <v>0</v>
      </c>
      <c r="M279" s="99">
        <f t="shared" si="228"/>
        <v>0</v>
      </c>
      <c r="N279" s="32"/>
      <c r="O279" s="33"/>
    </row>
    <row r="280" ht="15.75" customHeight="1">
      <c r="A280" s="21"/>
      <c r="B280" s="70"/>
      <c r="C280" s="126"/>
      <c r="D280" s="124"/>
      <c r="E280" s="90"/>
      <c r="F280" s="115"/>
      <c r="G280" s="94"/>
      <c r="H280" s="96">
        <f>F281*0.5+F281</f>
        <v>0</v>
      </c>
      <c r="I280" s="97">
        <f>F281*0.3+F281</f>
        <v>0</v>
      </c>
      <c r="J280" s="98">
        <f>F281*0.3+F281</f>
        <v>0</v>
      </c>
      <c r="K280" s="99">
        <f>F281*0.2+F281</f>
        <v>0</v>
      </c>
      <c r="L280" s="98">
        <f>F281*0.15+F281</f>
        <v>0</v>
      </c>
      <c r="M280" s="99">
        <f>F281*0.1+F281</f>
        <v>0</v>
      </c>
      <c r="N280" s="32"/>
      <c r="O280" s="33"/>
    </row>
    <row r="281" ht="15.75" customHeight="1">
      <c r="A281" s="21"/>
      <c r="B281" s="70"/>
      <c r="C281" s="130"/>
      <c r="D281" s="124"/>
      <c r="E281" s="90"/>
      <c r="F281" s="115"/>
      <c r="G281" s="94"/>
      <c r="H281" s="96">
        <f t="shared" ref="H281:H283" si="229">F281*0.5+F281</f>
        <v>0</v>
      </c>
      <c r="I281" s="97">
        <f t="shared" ref="I281:I283" si="230">F281*0.3+F281</f>
        <v>0</v>
      </c>
      <c r="J281" s="98">
        <f t="shared" ref="J281:J283" si="231">F281*0.3+F281</f>
        <v>0</v>
      </c>
      <c r="K281" s="99">
        <f t="shared" ref="K281:K283" si="232">F281*0.2+F281</f>
        <v>0</v>
      </c>
      <c r="L281" s="98">
        <f t="shared" ref="L281:L283" si="233">F281*0.15+F281</f>
        <v>0</v>
      </c>
      <c r="M281" s="99">
        <f t="shared" ref="M281:M283" si="234">F281*0.1+F281</f>
        <v>0</v>
      </c>
      <c r="N281" s="32"/>
      <c r="O281" s="33"/>
    </row>
    <row r="282" ht="15.75" customHeight="1">
      <c r="A282" s="21"/>
      <c r="B282" s="70"/>
      <c r="C282" s="114"/>
      <c r="D282" s="124"/>
      <c r="E282" s="90"/>
      <c r="F282" s="115"/>
      <c r="G282" s="94"/>
      <c r="H282" s="96">
        <f t="shared" si="229"/>
        <v>0</v>
      </c>
      <c r="I282" s="97">
        <f t="shared" si="230"/>
        <v>0</v>
      </c>
      <c r="J282" s="98">
        <f t="shared" si="231"/>
        <v>0</v>
      </c>
      <c r="K282" s="99">
        <f t="shared" si="232"/>
        <v>0</v>
      </c>
      <c r="L282" s="98">
        <f t="shared" si="233"/>
        <v>0</v>
      </c>
      <c r="M282" s="99">
        <f t="shared" si="234"/>
        <v>0</v>
      </c>
      <c r="N282" s="32"/>
      <c r="O282" s="33"/>
    </row>
    <row r="283" ht="15.75" customHeight="1">
      <c r="A283" s="21"/>
      <c r="B283" s="70"/>
      <c r="C283" s="126"/>
      <c r="D283" s="124"/>
      <c r="E283" s="90"/>
      <c r="F283" s="115"/>
      <c r="G283" s="94"/>
      <c r="H283" s="96">
        <f t="shared" si="229"/>
        <v>0</v>
      </c>
      <c r="I283" s="97">
        <f t="shared" si="230"/>
        <v>0</v>
      </c>
      <c r="J283" s="98">
        <f t="shared" si="231"/>
        <v>0</v>
      </c>
      <c r="K283" s="99">
        <f t="shared" si="232"/>
        <v>0</v>
      </c>
      <c r="L283" s="98">
        <f t="shared" si="233"/>
        <v>0</v>
      </c>
      <c r="M283" s="99">
        <f t="shared" si="234"/>
        <v>0</v>
      </c>
      <c r="N283" s="32"/>
      <c r="O283" s="33"/>
    </row>
    <row r="284" ht="15.75" customHeight="1">
      <c r="A284" s="21"/>
      <c r="B284" s="70"/>
      <c r="C284" s="126"/>
      <c r="D284" s="124"/>
      <c r="E284" s="90"/>
      <c r="F284" s="115"/>
      <c r="G284" s="94"/>
      <c r="H284" s="96">
        <f>F285*0.5+F285</f>
        <v>0</v>
      </c>
      <c r="I284" s="97">
        <f>F285*0.3+F285</f>
        <v>0</v>
      </c>
      <c r="J284" s="98">
        <f>F285*0.3+F285</f>
        <v>0</v>
      </c>
      <c r="K284" s="99">
        <f>F285*0.2+F285</f>
        <v>0</v>
      </c>
      <c r="L284" s="98">
        <f>F285*0.15+F285</f>
        <v>0</v>
      </c>
      <c r="M284" s="99">
        <f>F285*0.1+F285</f>
        <v>0</v>
      </c>
      <c r="N284" s="32"/>
      <c r="O284" s="33"/>
    </row>
    <row r="285" ht="15.75" customHeight="1">
      <c r="A285" s="21"/>
      <c r="B285" s="70"/>
      <c r="C285" s="126"/>
      <c r="D285" s="124"/>
      <c r="E285" s="90"/>
      <c r="F285" s="115"/>
      <c r="G285" s="94"/>
      <c r="H285" s="96">
        <f t="shared" ref="H285:H287" si="235">F285*0.5+F285</f>
        <v>0</v>
      </c>
      <c r="I285" s="97">
        <f t="shared" ref="I285:I287" si="236">F285*0.3+F285</f>
        <v>0</v>
      </c>
      <c r="J285" s="98">
        <f t="shared" ref="J285:J287" si="237">F285*0.3+F285</f>
        <v>0</v>
      </c>
      <c r="K285" s="99">
        <f t="shared" ref="K285:K287" si="238">F285*0.2+F285</f>
        <v>0</v>
      </c>
      <c r="L285" s="98">
        <f t="shared" ref="L285:L287" si="239">F285*0.15+F285</f>
        <v>0</v>
      </c>
      <c r="M285" s="99">
        <f t="shared" ref="M285:M287" si="240">F285*0.1+F285</f>
        <v>0</v>
      </c>
      <c r="N285" s="32"/>
      <c r="O285" s="33"/>
    </row>
    <row r="286" ht="15.75" customHeight="1">
      <c r="A286" s="21"/>
      <c r="B286" s="70"/>
      <c r="C286" s="126"/>
      <c r="D286" s="124"/>
      <c r="E286" s="90"/>
      <c r="F286" s="115"/>
      <c r="G286" s="94"/>
      <c r="H286" s="96">
        <f t="shared" si="235"/>
        <v>0</v>
      </c>
      <c r="I286" s="97">
        <f t="shared" si="236"/>
        <v>0</v>
      </c>
      <c r="J286" s="98">
        <f t="shared" si="237"/>
        <v>0</v>
      </c>
      <c r="K286" s="99">
        <f t="shared" si="238"/>
        <v>0</v>
      </c>
      <c r="L286" s="98">
        <f t="shared" si="239"/>
        <v>0</v>
      </c>
      <c r="M286" s="99">
        <f t="shared" si="240"/>
        <v>0</v>
      </c>
      <c r="N286" s="32"/>
      <c r="O286" s="33"/>
    </row>
    <row r="287" ht="15.75" customHeight="1">
      <c r="A287" s="21"/>
      <c r="B287" s="70"/>
      <c r="C287" s="126"/>
      <c r="D287" s="124"/>
      <c r="E287" s="90"/>
      <c r="F287" s="115"/>
      <c r="G287" s="94"/>
      <c r="H287" s="96">
        <f t="shared" si="235"/>
        <v>0</v>
      </c>
      <c r="I287" s="97">
        <f t="shared" si="236"/>
        <v>0</v>
      </c>
      <c r="J287" s="98">
        <f t="shared" si="237"/>
        <v>0</v>
      </c>
      <c r="K287" s="99">
        <f t="shared" si="238"/>
        <v>0</v>
      </c>
      <c r="L287" s="98">
        <f t="shared" si="239"/>
        <v>0</v>
      </c>
      <c r="M287" s="99">
        <f t="shared" si="240"/>
        <v>0</v>
      </c>
      <c r="N287" s="32"/>
      <c r="O287" s="33"/>
    </row>
    <row r="288" ht="15.75" customHeight="1">
      <c r="A288" s="21"/>
      <c r="B288" s="70"/>
      <c r="C288" s="126"/>
      <c r="D288" s="124"/>
      <c r="E288" s="90"/>
      <c r="F288" s="115"/>
      <c r="G288" s="94"/>
      <c r="H288" s="96">
        <f>F289*0.5+F289</f>
        <v>0</v>
      </c>
      <c r="I288" s="97">
        <f>F289*0.3+F289</f>
        <v>0</v>
      </c>
      <c r="J288" s="98">
        <f>F289*0.3+F289</f>
        <v>0</v>
      </c>
      <c r="K288" s="99">
        <f>F289*0.2+F289</f>
        <v>0</v>
      </c>
      <c r="L288" s="98">
        <f>F289*0.15+F289</f>
        <v>0</v>
      </c>
      <c r="M288" s="99">
        <f>F289*0.1+F289</f>
        <v>0</v>
      </c>
      <c r="N288" s="32"/>
      <c r="O288" s="33"/>
    </row>
    <row r="289" ht="15.75" customHeight="1">
      <c r="A289" s="21"/>
      <c r="B289" s="70"/>
      <c r="C289" s="126"/>
      <c r="D289" s="125"/>
      <c r="E289" s="90"/>
      <c r="F289" s="115"/>
      <c r="G289" s="94"/>
      <c r="H289" s="96">
        <f t="shared" ref="H289:H291" si="241">F289*0.5+F289</f>
        <v>0</v>
      </c>
      <c r="I289" s="97">
        <f t="shared" ref="I289:I291" si="242">F289*0.3+F289</f>
        <v>0</v>
      </c>
      <c r="J289" s="98">
        <f t="shared" ref="J289:J291" si="243">F289*0.3+F289</f>
        <v>0</v>
      </c>
      <c r="K289" s="99">
        <f t="shared" ref="K289:K291" si="244">F289*0.2+F289</f>
        <v>0</v>
      </c>
      <c r="L289" s="98">
        <f t="shared" ref="L289:L291" si="245">F289*0.15+F289</f>
        <v>0</v>
      </c>
      <c r="M289" s="99">
        <f t="shared" ref="M289:M291" si="246">F289*0.1+F289</f>
        <v>0</v>
      </c>
      <c r="N289" s="32"/>
      <c r="O289" s="33"/>
    </row>
    <row r="290" ht="15.75" customHeight="1">
      <c r="A290" s="21"/>
      <c r="B290" s="70"/>
      <c r="C290" s="126"/>
      <c r="D290" s="125"/>
      <c r="E290" s="90"/>
      <c r="F290" s="115"/>
      <c r="G290" s="94"/>
      <c r="H290" s="96">
        <f t="shared" si="241"/>
        <v>0</v>
      </c>
      <c r="I290" s="97">
        <f t="shared" si="242"/>
        <v>0</v>
      </c>
      <c r="J290" s="98">
        <f t="shared" si="243"/>
        <v>0</v>
      </c>
      <c r="K290" s="99">
        <f t="shared" si="244"/>
        <v>0</v>
      </c>
      <c r="L290" s="98">
        <f t="shared" si="245"/>
        <v>0</v>
      </c>
      <c r="M290" s="99">
        <f t="shared" si="246"/>
        <v>0</v>
      </c>
      <c r="N290" s="32"/>
      <c r="O290" s="33"/>
    </row>
    <row r="291" ht="15.75" customHeight="1">
      <c r="A291" s="21"/>
      <c r="B291" s="70"/>
      <c r="C291" s="126"/>
      <c r="D291" s="125"/>
      <c r="E291" s="90"/>
      <c r="F291" s="115"/>
      <c r="G291" s="94"/>
      <c r="H291" s="96">
        <f t="shared" si="241"/>
        <v>0</v>
      </c>
      <c r="I291" s="97">
        <f t="shared" si="242"/>
        <v>0</v>
      </c>
      <c r="J291" s="98">
        <f t="shared" si="243"/>
        <v>0</v>
      </c>
      <c r="K291" s="99">
        <f t="shared" si="244"/>
        <v>0</v>
      </c>
      <c r="L291" s="98">
        <f t="shared" si="245"/>
        <v>0</v>
      </c>
      <c r="M291" s="99">
        <f t="shared" si="246"/>
        <v>0</v>
      </c>
      <c r="N291" s="32"/>
      <c r="O291" s="33"/>
    </row>
    <row r="292" ht="15.75" customHeight="1">
      <c r="A292" s="21"/>
      <c r="B292" s="70"/>
      <c r="C292" s="126"/>
      <c r="D292" s="125"/>
      <c r="E292" s="90"/>
      <c r="F292" s="115"/>
      <c r="G292" s="94"/>
      <c r="H292" s="96">
        <f>F293*0.5+F293</f>
        <v>0</v>
      </c>
      <c r="I292" s="97">
        <f>F293*0.3+F293</f>
        <v>0</v>
      </c>
      <c r="J292" s="98">
        <f>F293*0.3+F293</f>
        <v>0</v>
      </c>
      <c r="K292" s="99">
        <f>F293*0.2+F293</f>
        <v>0</v>
      </c>
      <c r="L292" s="98">
        <f>F293*0.15+F293</f>
        <v>0</v>
      </c>
      <c r="M292" s="99">
        <f>F293*0.1+F293</f>
        <v>0</v>
      </c>
      <c r="N292" s="32"/>
      <c r="O292" s="33"/>
    </row>
    <row r="293" ht="15.75" customHeight="1">
      <c r="A293" s="21"/>
      <c r="B293" s="70"/>
      <c r="C293" s="126"/>
      <c r="D293" s="125"/>
      <c r="E293" s="90"/>
      <c r="F293" s="115"/>
      <c r="G293" s="94"/>
      <c r="H293" s="96">
        <f t="shared" ref="H293:H295" si="247">F293*0.5+F293</f>
        <v>0</v>
      </c>
      <c r="I293" s="97">
        <f t="shared" ref="I293:I295" si="248">F293*0.3+F293</f>
        <v>0</v>
      </c>
      <c r="J293" s="98">
        <f t="shared" ref="J293:J295" si="249">F293*0.3+F293</f>
        <v>0</v>
      </c>
      <c r="K293" s="99">
        <f t="shared" ref="K293:K295" si="250">F293*0.2+F293</f>
        <v>0</v>
      </c>
      <c r="L293" s="98">
        <f t="shared" ref="L293:L295" si="251">F293*0.15+F293</f>
        <v>0</v>
      </c>
      <c r="M293" s="99">
        <f t="shared" ref="M293:M295" si="252">F293*0.1+F293</f>
        <v>0</v>
      </c>
      <c r="N293" s="32"/>
      <c r="O293" s="33"/>
    </row>
    <row r="294" ht="15.75" customHeight="1">
      <c r="A294" s="21"/>
      <c r="B294" s="70"/>
      <c r="C294" s="61"/>
      <c r="D294" s="125"/>
      <c r="E294" s="90"/>
      <c r="F294" s="115"/>
      <c r="G294" s="94"/>
      <c r="H294" s="96">
        <f t="shared" si="247"/>
        <v>0</v>
      </c>
      <c r="I294" s="97">
        <f t="shared" si="248"/>
        <v>0</v>
      </c>
      <c r="J294" s="98">
        <f t="shared" si="249"/>
        <v>0</v>
      </c>
      <c r="K294" s="99">
        <f t="shared" si="250"/>
        <v>0</v>
      </c>
      <c r="L294" s="98">
        <f t="shared" si="251"/>
        <v>0</v>
      </c>
      <c r="M294" s="99">
        <f t="shared" si="252"/>
        <v>0</v>
      </c>
      <c r="N294" s="32"/>
      <c r="O294" s="33"/>
    </row>
    <row r="295" ht="15.75" customHeight="1">
      <c r="A295" s="21"/>
      <c r="B295" s="70"/>
      <c r="C295" s="61"/>
      <c r="D295" s="103"/>
      <c r="E295" s="90"/>
      <c r="F295" s="115"/>
      <c r="G295" s="94"/>
      <c r="H295" s="96">
        <f t="shared" si="247"/>
        <v>0</v>
      </c>
      <c r="I295" s="97">
        <f t="shared" si="248"/>
        <v>0</v>
      </c>
      <c r="J295" s="98">
        <f t="shared" si="249"/>
        <v>0</v>
      </c>
      <c r="K295" s="99">
        <f t="shared" si="250"/>
        <v>0</v>
      </c>
      <c r="L295" s="98">
        <f t="shared" si="251"/>
        <v>0</v>
      </c>
      <c r="M295" s="99">
        <f t="shared" si="252"/>
        <v>0</v>
      </c>
      <c r="N295" s="32"/>
      <c r="O295" s="33"/>
    </row>
    <row r="296" ht="15.75" customHeight="1">
      <c r="A296" s="21"/>
      <c r="B296" s="70"/>
      <c r="C296" s="61"/>
      <c r="D296" s="103"/>
      <c r="E296" s="90"/>
      <c r="F296" s="115"/>
      <c r="G296" s="94"/>
      <c r="H296" s="96">
        <f>F297*0.5+F297</f>
        <v>0</v>
      </c>
      <c r="I296" s="97">
        <f>F297*0.3+F297</f>
        <v>0</v>
      </c>
      <c r="J296" s="98">
        <f>F297*0.3+F297</f>
        <v>0</v>
      </c>
      <c r="K296" s="99">
        <f>F297*0.2+F297</f>
        <v>0</v>
      </c>
      <c r="L296" s="98">
        <f>F297*0.15+F297</f>
        <v>0</v>
      </c>
      <c r="M296" s="99">
        <f>F297*0.1+F297</f>
        <v>0</v>
      </c>
      <c r="N296" s="32"/>
      <c r="O296" s="33"/>
    </row>
    <row r="297" ht="15.75" customHeight="1">
      <c r="A297" s="21"/>
      <c r="B297" s="70"/>
      <c r="C297" s="61"/>
      <c r="D297" s="125"/>
      <c r="E297" s="90"/>
      <c r="F297" s="115"/>
      <c r="G297" s="94"/>
      <c r="H297" s="96">
        <f t="shared" ref="H297:H299" si="253">F297*0.5+F297</f>
        <v>0</v>
      </c>
      <c r="I297" s="97">
        <f t="shared" ref="I297:I299" si="254">F297*0.3+F297</f>
        <v>0</v>
      </c>
      <c r="J297" s="98">
        <f t="shared" ref="J297:J299" si="255">F297*0.3+F297</f>
        <v>0</v>
      </c>
      <c r="K297" s="99">
        <f t="shared" ref="K297:K299" si="256">F297*0.2+F297</f>
        <v>0</v>
      </c>
      <c r="L297" s="98">
        <f t="shared" ref="L297:L299" si="257">F297*0.15+F297</f>
        <v>0</v>
      </c>
      <c r="M297" s="99">
        <f t="shared" ref="M297:M299" si="258">F297*0.1+F297</f>
        <v>0</v>
      </c>
      <c r="N297" s="32"/>
      <c r="O297" s="33"/>
    </row>
    <row r="298" ht="15.75" customHeight="1">
      <c r="A298" s="21"/>
      <c r="B298" s="70"/>
      <c r="C298" s="126"/>
      <c r="D298" s="125"/>
      <c r="E298" s="90"/>
      <c r="F298" s="115"/>
      <c r="G298" s="94"/>
      <c r="H298" s="96">
        <f t="shared" si="253"/>
        <v>0</v>
      </c>
      <c r="I298" s="97">
        <f t="shared" si="254"/>
        <v>0</v>
      </c>
      <c r="J298" s="98">
        <f t="shared" si="255"/>
        <v>0</v>
      </c>
      <c r="K298" s="99">
        <f t="shared" si="256"/>
        <v>0</v>
      </c>
      <c r="L298" s="98">
        <f t="shared" si="257"/>
        <v>0</v>
      </c>
      <c r="M298" s="99">
        <f t="shared" si="258"/>
        <v>0</v>
      </c>
      <c r="N298" s="32"/>
      <c r="O298" s="33"/>
    </row>
    <row r="299" ht="15.75" customHeight="1">
      <c r="A299" s="21"/>
      <c r="B299" s="70"/>
      <c r="C299" s="126"/>
      <c r="D299" s="125"/>
      <c r="E299" s="90"/>
      <c r="F299" s="115"/>
      <c r="G299" s="94"/>
      <c r="H299" s="96">
        <f t="shared" si="253"/>
        <v>0</v>
      </c>
      <c r="I299" s="97">
        <f t="shared" si="254"/>
        <v>0</v>
      </c>
      <c r="J299" s="98">
        <f t="shared" si="255"/>
        <v>0</v>
      </c>
      <c r="K299" s="99">
        <f t="shared" si="256"/>
        <v>0</v>
      </c>
      <c r="L299" s="98">
        <f t="shared" si="257"/>
        <v>0</v>
      </c>
      <c r="M299" s="99">
        <f t="shared" si="258"/>
        <v>0</v>
      </c>
      <c r="N299" s="32"/>
      <c r="O299" s="33"/>
    </row>
    <row r="300" ht="15.75" customHeight="1">
      <c r="A300" s="21"/>
      <c r="B300" s="70"/>
      <c r="C300" s="126"/>
      <c r="D300" s="125"/>
      <c r="E300" s="90"/>
      <c r="F300" s="115"/>
      <c r="G300" s="94"/>
      <c r="H300" s="96">
        <f>F301*0.5+F301</f>
        <v>0</v>
      </c>
      <c r="I300" s="97">
        <f>F301*0.3+F301</f>
        <v>0</v>
      </c>
      <c r="J300" s="98">
        <f>F301*0.3+F301</f>
        <v>0</v>
      </c>
      <c r="K300" s="99">
        <f>F301*0.2+F301</f>
        <v>0</v>
      </c>
      <c r="L300" s="98">
        <f>F301*0.15+F301</f>
        <v>0</v>
      </c>
      <c r="M300" s="99">
        <f>F301*0.1+F301</f>
        <v>0</v>
      </c>
      <c r="N300" s="32"/>
      <c r="O300" s="33"/>
    </row>
    <row r="301" ht="15.75" customHeight="1">
      <c r="A301" s="21"/>
      <c r="B301" s="70"/>
      <c r="C301" s="126"/>
      <c r="D301" s="125"/>
      <c r="E301" s="90"/>
      <c r="F301" s="115"/>
      <c r="G301" s="94"/>
      <c r="H301" s="96">
        <f t="shared" ref="H301:H303" si="259">F301*0.5+F301</f>
        <v>0</v>
      </c>
      <c r="I301" s="97">
        <f t="shared" ref="I301:I303" si="260">F301*0.3+F301</f>
        <v>0</v>
      </c>
      <c r="J301" s="98">
        <f t="shared" ref="J301:J303" si="261">F301*0.3+F301</f>
        <v>0</v>
      </c>
      <c r="K301" s="99">
        <f t="shared" ref="K301:K303" si="262">F301*0.2+F301</f>
        <v>0</v>
      </c>
      <c r="L301" s="98">
        <f t="shared" ref="L301:L303" si="263">F301*0.15+F301</f>
        <v>0</v>
      </c>
      <c r="M301" s="99">
        <f t="shared" ref="M301:M303" si="264">F301*0.1+F301</f>
        <v>0</v>
      </c>
      <c r="N301" s="32"/>
      <c r="O301" s="33"/>
    </row>
    <row r="302" ht="15.75" customHeight="1">
      <c r="A302" s="21"/>
      <c r="B302" s="70"/>
      <c r="C302" s="126"/>
      <c r="D302" s="125"/>
      <c r="E302" s="90"/>
      <c r="F302" s="115"/>
      <c r="G302" s="94"/>
      <c r="H302" s="96">
        <f t="shared" si="259"/>
        <v>0</v>
      </c>
      <c r="I302" s="97">
        <f t="shared" si="260"/>
        <v>0</v>
      </c>
      <c r="J302" s="98">
        <f t="shared" si="261"/>
        <v>0</v>
      </c>
      <c r="K302" s="99">
        <f t="shared" si="262"/>
        <v>0</v>
      </c>
      <c r="L302" s="98">
        <f t="shared" si="263"/>
        <v>0</v>
      </c>
      <c r="M302" s="99">
        <f t="shared" si="264"/>
        <v>0</v>
      </c>
      <c r="N302" s="32"/>
      <c r="O302" s="33"/>
    </row>
    <row r="303" ht="15.75" customHeight="1">
      <c r="A303" s="21"/>
      <c r="B303" s="70"/>
      <c r="C303" s="126"/>
      <c r="D303" s="125"/>
      <c r="E303" s="90"/>
      <c r="F303" s="115"/>
      <c r="G303" s="94"/>
      <c r="H303" s="96">
        <f t="shared" si="259"/>
        <v>0</v>
      </c>
      <c r="I303" s="97">
        <f t="shared" si="260"/>
        <v>0</v>
      </c>
      <c r="J303" s="98">
        <f t="shared" si="261"/>
        <v>0</v>
      </c>
      <c r="K303" s="99">
        <f t="shared" si="262"/>
        <v>0</v>
      </c>
      <c r="L303" s="98">
        <f t="shared" si="263"/>
        <v>0</v>
      </c>
      <c r="M303" s="99">
        <f t="shared" si="264"/>
        <v>0</v>
      </c>
      <c r="N303" s="32"/>
      <c r="O303" s="33"/>
    </row>
    <row r="304" ht="15.75" customHeight="1">
      <c r="A304" s="21"/>
      <c r="B304" s="70"/>
      <c r="C304" s="126"/>
      <c r="D304" s="125"/>
      <c r="E304" s="90"/>
      <c r="F304" s="115"/>
      <c r="G304" s="94"/>
      <c r="H304" s="96">
        <f>F305*0.5+F305</f>
        <v>0</v>
      </c>
      <c r="I304" s="97">
        <f>F305*0.3+F305</f>
        <v>0</v>
      </c>
      <c r="J304" s="98">
        <f>F305*0.3+F305</f>
        <v>0</v>
      </c>
      <c r="K304" s="99">
        <f>F305*0.2+F305</f>
        <v>0</v>
      </c>
      <c r="L304" s="98">
        <f>F305*0.15+F305</f>
        <v>0</v>
      </c>
      <c r="M304" s="99">
        <f>F305*0.1+F305</f>
        <v>0</v>
      </c>
      <c r="N304" s="32"/>
      <c r="O304" s="33"/>
    </row>
    <row r="305" ht="15.75" customHeight="1">
      <c r="A305" s="21"/>
      <c r="B305" s="70"/>
      <c r="C305" s="126"/>
      <c r="D305" s="125"/>
      <c r="E305" s="90"/>
      <c r="F305" s="115"/>
      <c r="G305" s="94"/>
      <c r="H305" s="96">
        <f t="shared" ref="H305:H307" si="265">F305*0.5+F305</f>
        <v>0</v>
      </c>
      <c r="I305" s="97">
        <f t="shared" ref="I305:I307" si="266">F305*0.3+F305</f>
        <v>0</v>
      </c>
      <c r="J305" s="98">
        <f t="shared" ref="J305:J307" si="267">F305*0.3+F305</f>
        <v>0</v>
      </c>
      <c r="K305" s="99">
        <f t="shared" ref="K305:K307" si="268">F305*0.2+F305</f>
        <v>0</v>
      </c>
      <c r="L305" s="98">
        <f t="shared" ref="L305:L307" si="269">F305*0.15+F305</f>
        <v>0</v>
      </c>
      <c r="M305" s="99">
        <f t="shared" ref="M305:M307" si="270">F305*0.1+F305</f>
        <v>0</v>
      </c>
      <c r="N305" s="32"/>
      <c r="O305" s="33"/>
    </row>
    <row r="306" ht="15.75" customHeight="1">
      <c r="A306" s="21"/>
      <c r="B306" s="70"/>
      <c r="C306" s="61"/>
      <c r="D306" s="103"/>
      <c r="E306" s="90"/>
      <c r="F306" s="115"/>
      <c r="G306" s="94"/>
      <c r="H306" s="96">
        <f t="shared" si="265"/>
        <v>0</v>
      </c>
      <c r="I306" s="97">
        <f t="shared" si="266"/>
        <v>0</v>
      </c>
      <c r="J306" s="98">
        <f t="shared" si="267"/>
        <v>0</v>
      </c>
      <c r="K306" s="99">
        <f t="shared" si="268"/>
        <v>0</v>
      </c>
      <c r="L306" s="98">
        <f t="shared" si="269"/>
        <v>0</v>
      </c>
      <c r="M306" s="99">
        <f t="shared" si="270"/>
        <v>0</v>
      </c>
      <c r="N306" s="32"/>
      <c r="O306" s="33"/>
    </row>
    <row r="307" ht="15.75" customHeight="1">
      <c r="A307" s="21"/>
      <c r="B307" s="70"/>
      <c r="C307" s="61"/>
      <c r="D307" s="103"/>
      <c r="E307" s="90"/>
      <c r="F307" s="115"/>
      <c r="G307" s="94"/>
      <c r="H307" s="96">
        <f t="shared" si="265"/>
        <v>0</v>
      </c>
      <c r="I307" s="97">
        <f t="shared" si="266"/>
        <v>0</v>
      </c>
      <c r="J307" s="98">
        <f t="shared" si="267"/>
        <v>0</v>
      </c>
      <c r="K307" s="99">
        <f t="shared" si="268"/>
        <v>0</v>
      </c>
      <c r="L307" s="98">
        <f t="shared" si="269"/>
        <v>0</v>
      </c>
      <c r="M307" s="99">
        <f t="shared" si="270"/>
        <v>0</v>
      </c>
      <c r="N307" s="32"/>
      <c r="O307" s="33"/>
    </row>
    <row r="308" ht="15.75" customHeight="1">
      <c r="A308" s="21"/>
      <c r="B308" s="70"/>
      <c r="C308" s="114"/>
      <c r="D308" s="125"/>
      <c r="E308" s="90"/>
      <c r="F308" s="115"/>
      <c r="G308" s="94"/>
      <c r="H308" s="96">
        <f>F309*0.5+F309</f>
        <v>0</v>
      </c>
      <c r="I308" s="97">
        <f>F309*0.3+F309</f>
        <v>0</v>
      </c>
      <c r="J308" s="98">
        <f>F309*0.3+F309</f>
        <v>0</v>
      </c>
      <c r="K308" s="99">
        <f>F309*0.2+F309</f>
        <v>0</v>
      </c>
      <c r="L308" s="98">
        <f>F309*0.15+F309</f>
        <v>0</v>
      </c>
      <c r="M308" s="99">
        <f>F309*0.1+F309</f>
        <v>0</v>
      </c>
      <c r="N308" s="32"/>
      <c r="O308" s="33"/>
    </row>
    <row r="309" ht="15.75" customHeight="1">
      <c r="A309" s="21"/>
      <c r="B309" s="70"/>
      <c r="C309" s="126"/>
      <c r="D309" s="125"/>
      <c r="E309" s="90"/>
      <c r="F309" s="115"/>
      <c r="G309" s="94"/>
      <c r="H309" s="96">
        <f t="shared" ref="H309:H311" si="271">F309*0.5+F309</f>
        <v>0</v>
      </c>
      <c r="I309" s="97">
        <f t="shared" ref="I309:I311" si="272">F309*0.3+F309</f>
        <v>0</v>
      </c>
      <c r="J309" s="98">
        <f t="shared" ref="J309:J311" si="273">F309*0.3+F309</f>
        <v>0</v>
      </c>
      <c r="K309" s="99">
        <f t="shared" ref="K309:K311" si="274">F309*0.2+F309</f>
        <v>0</v>
      </c>
      <c r="L309" s="98">
        <f t="shared" ref="L309:L311" si="275">F309*0.15+F309</f>
        <v>0</v>
      </c>
      <c r="M309" s="99">
        <f t="shared" ref="M309:M311" si="276">F309*0.1+F309</f>
        <v>0</v>
      </c>
      <c r="N309" s="32"/>
      <c r="O309" s="33"/>
    </row>
    <row r="310" ht="15.75" customHeight="1">
      <c r="A310" s="21"/>
      <c r="B310" s="70"/>
      <c r="C310" s="126"/>
      <c r="D310" s="125"/>
      <c r="E310" s="90"/>
      <c r="F310" s="115"/>
      <c r="G310" s="94"/>
      <c r="H310" s="96">
        <f t="shared" si="271"/>
        <v>0</v>
      </c>
      <c r="I310" s="97">
        <f t="shared" si="272"/>
        <v>0</v>
      </c>
      <c r="J310" s="98">
        <f t="shared" si="273"/>
        <v>0</v>
      </c>
      <c r="K310" s="99">
        <f t="shared" si="274"/>
        <v>0</v>
      </c>
      <c r="L310" s="98">
        <f t="shared" si="275"/>
        <v>0</v>
      </c>
      <c r="M310" s="99">
        <f t="shared" si="276"/>
        <v>0</v>
      </c>
      <c r="N310" s="32"/>
      <c r="O310" s="33"/>
    </row>
    <row r="311" ht="15.75" customHeight="1">
      <c r="A311" s="21"/>
      <c r="B311" s="70"/>
      <c r="C311" s="114"/>
      <c r="D311" s="125"/>
      <c r="E311" s="90"/>
      <c r="F311" s="115"/>
      <c r="G311" s="94"/>
      <c r="H311" s="96">
        <f t="shared" si="271"/>
        <v>0</v>
      </c>
      <c r="I311" s="97">
        <f t="shared" si="272"/>
        <v>0</v>
      </c>
      <c r="J311" s="98">
        <f t="shared" si="273"/>
        <v>0</v>
      </c>
      <c r="K311" s="99">
        <f t="shared" si="274"/>
        <v>0</v>
      </c>
      <c r="L311" s="98">
        <f t="shared" si="275"/>
        <v>0</v>
      </c>
      <c r="M311" s="99">
        <f t="shared" si="276"/>
        <v>0</v>
      </c>
      <c r="N311" s="32"/>
      <c r="O311" s="33"/>
    </row>
    <row r="312" ht="15.75" customHeight="1">
      <c r="A312" s="21"/>
      <c r="B312" s="70"/>
      <c r="C312" s="114"/>
      <c r="D312" s="125"/>
      <c r="E312" s="90"/>
      <c r="F312" s="115"/>
      <c r="G312" s="94"/>
      <c r="H312" s="96">
        <f>F313*0.5+F313</f>
        <v>0</v>
      </c>
      <c r="I312" s="97">
        <f>F313*0.3+F313</f>
        <v>0</v>
      </c>
      <c r="J312" s="98">
        <f>F313*0.3+F313</f>
        <v>0</v>
      </c>
      <c r="K312" s="99">
        <f>F313*0.2+F313</f>
        <v>0</v>
      </c>
      <c r="L312" s="98">
        <f>F313*0.15+F313</f>
        <v>0</v>
      </c>
      <c r="M312" s="99">
        <f>F313*0.1+F313</f>
        <v>0</v>
      </c>
      <c r="N312" s="32"/>
      <c r="O312" s="33"/>
    </row>
    <row r="313" ht="15.75" customHeight="1">
      <c r="A313" s="21"/>
      <c r="B313" s="70"/>
      <c r="C313" s="114"/>
      <c r="D313" s="103"/>
      <c r="E313" s="90"/>
      <c r="F313" s="115"/>
      <c r="G313" s="94"/>
      <c r="H313" s="96">
        <f t="shared" ref="H313:H315" si="277">F313*0.5+F313</f>
        <v>0</v>
      </c>
      <c r="I313" s="97">
        <f t="shared" ref="I313:I315" si="278">F313*0.3+F313</f>
        <v>0</v>
      </c>
      <c r="J313" s="98">
        <f t="shared" ref="J313:J315" si="279">F313*0.3+F313</f>
        <v>0</v>
      </c>
      <c r="K313" s="99">
        <f t="shared" ref="K313:K315" si="280">F313*0.2+F313</f>
        <v>0</v>
      </c>
      <c r="L313" s="98">
        <f t="shared" ref="L313:L315" si="281">F313*0.15+F313</f>
        <v>0</v>
      </c>
      <c r="M313" s="99">
        <f t="shared" ref="M313:M315" si="282">F313*0.1+F313</f>
        <v>0</v>
      </c>
      <c r="N313" s="32"/>
      <c r="O313" s="33"/>
    </row>
    <row r="314" ht="15.75" customHeight="1">
      <c r="A314" s="21"/>
      <c r="B314" s="70"/>
      <c r="C314" s="131"/>
      <c r="D314" s="132"/>
      <c r="E314" s="90"/>
      <c r="F314" s="115"/>
      <c r="G314" s="94"/>
      <c r="H314" s="96">
        <f t="shared" si="277"/>
        <v>0</v>
      </c>
      <c r="I314" s="97">
        <f t="shared" si="278"/>
        <v>0</v>
      </c>
      <c r="J314" s="98">
        <f t="shared" si="279"/>
        <v>0</v>
      </c>
      <c r="K314" s="99">
        <f t="shared" si="280"/>
        <v>0</v>
      </c>
      <c r="L314" s="98">
        <f t="shared" si="281"/>
        <v>0</v>
      </c>
      <c r="M314" s="99">
        <f t="shared" si="282"/>
        <v>0</v>
      </c>
      <c r="N314" s="32"/>
      <c r="O314" s="33"/>
    </row>
    <row r="315" ht="15.75" customHeight="1">
      <c r="A315" s="21"/>
      <c r="B315" s="70"/>
      <c r="C315" s="129"/>
      <c r="D315" s="133"/>
      <c r="E315" s="90"/>
      <c r="F315" s="115"/>
      <c r="G315" s="94"/>
      <c r="H315" s="96">
        <f t="shared" si="277"/>
        <v>0</v>
      </c>
      <c r="I315" s="97">
        <f t="shared" si="278"/>
        <v>0</v>
      </c>
      <c r="J315" s="98">
        <f t="shared" si="279"/>
        <v>0</v>
      </c>
      <c r="K315" s="99">
        <f t="shared" si="280"/>
        <v>0</v>
      </c>
      <c r="L315" s="98">
        <f t="shared" si="281"/>
        <v>0</v>
      </c>
      <c r="M315" s="99">
        <f t="shared" si="282"/>
        <v>0</v>
      </c>
      <c r="N315" s="32"/>
      <c r="O315" s="33"/>
    </row>
    <row r="316" ht="15.75" customHeight="1">
      <c r="A316" s="21"/>
      <c r="B316" s="70"/>
      <c r="C316" s="126"/>
      <c r="D316" s="103"/>
      <c r="E316" s="90"/>
      <c r="F316" s="115"/>
      <c r="G316" s="94"/>
      <c r="H316" s="96">
        <f>F317*0.5+F317</f>
        <v>0</v>
      </c>
      <c r="I316" s="97">
        <f>F317*0.3+F317</f>
        <v>0</v>
      </c>
      <c r="J316" s="98">
        <f>F317*0.3+F317</f>
        <v>0</v>
      </c>
      <c r="K316" s="99">
        <f>F317*0.2+F317</f>
        <v>0</v>
      </c>
      <c r="L316" s="98">
        <f>F317*0.15+F317</f>
        <v>0</v>
      </c>
      <c r="M316" s="99">
        <f>F317*0.1+F317</f>
        <v>0</v>
      </c>
      <c r="N316" s="32"/>
      <c r="O316" s="33"/>
    </row>
    <row r="317" ht="15.75" customHeight="1">
      <c r="A317" s="21"/>
      <c r="B317" s="70"/>
      <c r="C317" s="126"/>
      <c r="D317" s="103"/>
      <c r="E317" s="90"/>
      <c r="F317" s="115"/>
      <c r="G317" s="94"/>
      <c r="H317" s="96">
        <f t="shared" ref="H317:H319" si="283">F317*0.5+F317</f>
        <v>0</v>
      </c>
      <c r="I317" s="97">
        <f t="shared" ref="I317:I319" si="284">F317*0.3+F317</f>
        <v>0</v>
      </c>
      <c r="J317" s="98">
        <f t="shared" ref="J317:J319" si="285">F317*0.3+F317</f>
        <v>0</v>
      </c>
      <c r="K317" s="99">
        <f t="shared" ref="K317:K319" si="286">F317*0.2+F317</f>
        <v>0</v>
      </c>
      <c r="L317" s="98">
        <f t="shared" ref="L317:L319" si="287">F317*0.15+F317</f>
        <v>0</v>
      </c>
      <c r="M317" s="99">
        <f t="shared" ref="M317:M319" si="288">F317*0.1+F317</f>
        <v>0</v>
      </c>
      <c r="N317" s="32"/>
      <c r="O317" s="33"/>
    </row>
    <row r="318" ht="15.75" customHeight="1">
      <c r="A318" s="21"/>
      <c r="B318" s="70"/>
      <c r="C318" s="126"/>
      <c r="D318" s="103"/>
      <c r="E318" s="90"/>
      <c r="F318" s="115"/>
      <c r="G318" s="94"/>
      <c r="H318" s="96">
        <f t="shared" si="283"/>
        <v>0</v>
      </c>
      <c r="I318" s="97">
        <f t="shared" si="284"/>
        <v>0</v>
      </c>
      <c r="J318" s="98">
        <f t="shared" si="285"/>
        <v>0</v>
      </c>
      <c r="K318" s="99">
        <f t="shared" si="286"/>
        <v>0</v>
      </c>
      <c r="L318" s="98">
        <f t="shared" si="287"/>
        <v>0</v>
      </c>
      <c r="M318" s="99">
        <f t="shared" si="288"/>
        <v>0</v>
      </c>
      <c r="N318" s="32"/>
      <c r="O318" s="33"/>
    </row>
    <row r="319" ht="15.75" customHeight="1">
      <c r="A319" s="21"/>
      <c r="B319" s="70"/>
      <c r="C319" s="126"/>
      <c r="D319" s="103"/>
      <c r="E319" s="90"/>
      <c r="F319" s="115"/>
      <c r="G319" s="94"/>
      <c r="H319" s="96">
        <f t="shared" si="283"/>
        <v>0</v>
      </c>
      <c r="I319" s="97">
        <f t="shared" si="284"/>
        <v>0</v>
      </c>
      <c r="J319" s="98">
        <f t="shared" si="285"/>
        <v>0</v>
      </c>
      <c r="K319" s="99">
        <f t="shared" si="286"/>
        <v>0</v>
      </c>
      <c r="L319" s="98">
        <f t="shared" si="287"/>
        <v>0</v>
      </c>
      <c r="M319" s="99">
        <f t="shared" si="288"/>
        <v>0</v>
      </c>
      <c r="N319" s="32"/>
      <c r="O319" s="33"/>
    </row>
    <row r="320" ht="15.75" customHeight="1">
      <c r="A320" s="21"/>
      <c r="B320" s="70"/>
      <c r="C320" s="129"/>
      <c r="D320" s="134"/>
      <c r="E320" s="90"/>
      <c r="F320" s="115"/>
      <c r="G320" s="94"/>
      <c r="H320" s="96">
        <f>F321*0.5+F321</f>
        <v>0</v>
      </c>
      <c r="I320" s="97">
        <f>F321*0.3+F321</f>
        <v>0</v>
      </c>
      <c r="J320" s="98">
        <f>F321*0.3+F321</f>
        <v>0</v>
      </c>
      <c r="K320" s="99">
        <f>F321*0.2+F321</f>
        <v>0</v>
      </c>
      <c r="L320" s="98">
        <f>F321*0.15+F321</f>
        <v>0</v>
      </c>
      <c r="M320" s="99">
        <f>F321*0.1+F321</f>
        <v>0</v>
      </c>
      <c r="N320" s="32"/>
      <c r="O320" s="33"/>
    </row>
    <row r="321" ht="15.75" customHeight="1">
      <c r="A321" s="21"/>
      <c r="B321" s="70"/>
      <c r="C321" s="129"/>
      <c r="D321" s="134"/>
      <c r="E321" s="90"/>
      <c r="F321" s="115"/>
      <c r="G321" s="94"/>
      <c r="H321" s="96">
        <f t="shared" ref="H321:H323" si="289">F321*0.5+F321</f>
        <v>0</v>
      </c>
      <c r="I321" s="97">
        <f t="shared" ref="I321:I323" si="290">F321*0.3+F321</f>
        <v>0</v>
      </c>
      <c r="J321" s="98">
        <f t="shared" ref="J321:J323" si="291">F321*0.3+F321</f>
        <v>0</v>
      </c>
      <c r="K321" s="99">
        <f t="shared" ref="K321:K323" si="292">F321*0.2+F321</f>
        <v>0</v>
      </c>
      <c r="L321" s="98">
        <f t="shared" ref="L321:L323" si="293">F321*0.15+F321</f>
        <v>0</v>
      </c>
      <c r="M321" s="99">
        <f t="shared" ref="M321:M323" si="294">F321*0.1+F321</f>
        <v>0</v>
      </c>
      <c r="N321" s="32"/>
      <c r="O321" s="33"/>
    </row>
    <row r="322" ht="15.75" customHeight="1">
      <c r="A322" s="21"/>
      <c r="B322" s="70"/>
      <c r="C322" s="129"/>
      <c r="D322" s="133"/>
      <c r="E322" s="90"/>
      <c r="F322" s="115"/>
      <c r="G322" s="94"/>
      <c r="H322" s="96">
        <f t="shared" si="289"/>
        <v>0</v>
      </c>
      <c r="I322" s="97">
        <f t="shared" si="290"/>
        <v>0</v>
      </c>
      <c r="J322" s="98">
        <f t="shared" si="291"/>
        <v>0</v>
      </c>
      <c r="K322" s="99">
        <f t="shared" si="292"/>
        <v>0</v>
      </c>
      <c r="L322" s="98">
        <f t="shared" si="293"/>
        <v>0</v>
      </c>
      <c r="M322" s="99">
        <f t="shared" si="294"/>
        <v>0</v>
      </c>
      <c r="N322" s="32"/>
      <c r="O322" s="33"/>
    </row>
    <row r="323" ht="15.75" customHeight="1">
      <c r="A323" s="21"/>
      <c r="B323" s="70"/>
      <c r="C323" s="61"/>
      <c r="D323" s="103"/>
      <c r="E323" s="90"/>
      <c r="F323" s="115"/>
      <c r="G323" s="94"/>
      <c r="H323" s="96">
        <f t="shared" si="289"/>
        <v>0</v>
      </c>
      <c r="I323" s="97">
        <f t="shared" si="290"/>
        <v>0</v>
      </c>
      <c r="J323" s="98">
        <f t="shared" si="291"/>
        <v>0</v>
      </c>
      <c r="K323" s="99">
        <f t="shared" si="292"/>
        <v>0</v>
      </c>
      <c r="L323" s="98">
        <f t="shared" si="293"/>
        <v>0</v>
      </c>
      <c r="M323" s="99">
        <f t="shared" si="294"/>
        <v>0</v>
      </c>
      <c r="N323" s="32"/>
      <c r="O323" s="33"/>
    </row>
    <row r="324" ht="15.75" customHeight="1">
      <c r="A324" s="21"/>
      <c r="B324" s="70"/>
      <c r="C324" s="61"/>
      <c r="D324" s="103"/>
      <c r="E324" s="90"/>
      <c r="F324" s="115"/>
      <c r="G324" s="94"/>
      <c r="H324" s="96">
        <f>F325*0.5+F325</f>
        <v>0</v>
      </c>
      <c r="I324" s="97">
        <f>F325*0.3+F325</f>
        <v>0</v>
      </c>
      <c r="J324" s="98">
        <f>F325*0.3+F325</f>
        <v>0</v>
      </c>
      <c r="K324" s="99">
        <f>F325*0.2+F325</f>
        <v>0</v>
      </c>
      <c r="L324" s="98">
        <f>F325*0.15+F325</f>
        <v>0</v>
      </c>
      <c r="M324" s="99">
        <f>F325*0.1+F325</f>
        <v>0</v>
      </c>
      <c r="N324" s="32"/>
      <c r="O324" s="33"/>
    </row>
    <row r="325" ht="15.75" customHeight="1">
      <c r="A325" s="21"/>
      <c r="B325" s="70"/>
      <c r="C325" s="61"/>
      <c r="D325" s="103"/>
      <c r="E325" s="90"/>
      <c r="F325" s="115"/>
      <c r="G325" s="94"/>
      <c r="H325" s="96">
        <f t="shared" ref="H325:H327" si="295">F325*0.5+F325</f>
        <v>0</v>
      </c>
      <c r="I325" s="97">
        <f t="shared" ref="I325:I327" si="296">F325*0.3+F325</f>
        <v>0</v>
      </c>
      <c r="J325" s="98">
        <f t="shared" ref="J325:J327" si="297">F325*0.3+F325</f>
        <v>0</v>
      </c>
      <c r="K325" s="99">
        <f t="shared" ref="K325:K327" si="298">F325*0.2+F325</f>
        <v>0</v>
      </c>
      <c r="L325" s="98">
        <f t="shared" ref="L325:L327" si="299">F325*0.15+F325</f>
        <v>0</v>
      </c>
      <c r="M325" s="99">
        <f t="shared" ref="M325:M327" si="300">F325*0.1+F325</f>
        <v>0</v>
      </c>
      <c r="N325" s="32"/>
      <c r="O325" s="33"/>
    </row>
    <row r="326" ht="15.75" customHeight="1">
      <c r="A326" s="21"/>
      <c r="B326" s="70"/>
      <c r="C326" s="61"/>
      <c r="D326" s="103"/>
      <c r="E326" s="90"/>
      <c r="F326" s="115"/>
      <c r="G326" s="94"/>
      <c r="H326" s="96">
        <f t="shared" si="295"/>
        <v>0</v>
      </c>
      <c r="I326" s="97">
        <f t="shared" si="296"/>
        <v>0</v>
      </c>
      <c r="J326" s="98">
        <f t="shared" si="297"/>
        <v>0</v>
      </c>
      <c r="K326" s="99">
        <f t="shared" si="298"/>
        <v>0</v>
      </c>
      <c r="L326" s="98">
        <f t="shared" si="299"/>
        <v>0</v>
      </c>
      <c r="M326" s="99">
        <f t="shared" si="300"/>
        <v>0</v>
      </c>
      <c r="N326" s="32"/>
      <c r="O326" s="33"/>
    </row>
    <row r="327" ht="15.75" customHeight="1">
      <c r="A327" s="21"/>
      <c r="B327" s="70"/>
      <c r="C327" s="61"/>
      <c r="D327" s="103"/>
      <c r="E327" s="90"/>
      <c r="F327" s="115"/>
      <c r="G327" s="94"/>
      <c r="H327" s="96">
        <f t="shared" si="295"/>
        <v>0</v>
      </c>
      <c r="I327" s="97">
        <f t="shared" si="296"/>
        <v>0</v>
      </c>
      <c r="J327" s="98">
        <f t="shared" si="297"/>
        <v>0</v>
      </c>
      <c r="K327" s="99">
        <f t="shared" si="298"/>
        <v>0</v>
      </c>
      <c r="L327" s="98">
        <f t="shared" si="299"/>
        <v>0</v>
      </c>
      <c r="M327" s="99">
        <f t="shared" si="300"/>
        <v>0</v>
      </c>
      <c r="N327" s="32"/>
      <c r="O327" s="33"/>
    </row>
    <row r="328" ht="15.75" customHeight="1">
      <c r="A328" s="21"/>
      <c r="B328" s="70"/>
      <c r="C328" s="61"/>
      <c r="D328" s="103"/>
      <c r="E328" s="90"/>
      <c r="F328" s="115"/>
      <c r="G328" s="94"/>
      <c r="H328" s="96">
        <f>F329*0.5+F329</f>
        <v>0</v>
      </c>
      <c r="I328" s="97">
        <f>F329*0.3+F329</f>
        <v>0</v>
      </c>
      <c r="J328" s="98">
        <f>F329*0.3+F329</f>
        <v>0</v>
      </c>
      <c r="K328" s="99">
        <f>F329*0.2+F329</f>
        <v>0</v>
      </c>
      <c r="L328" s="98">
        <f>F329*0.15+F329</f>
        <v>0</v>
      </c>
      <c r="M328" s="99">
        <f>F329*0.1+F329</f>
        <v>0</v>
      </c>
      <c r="N328" s="32"/>
      <c r="O328" s="33"/>
    </row>
    <row r="329" ht="15.75" customHeight="1">
      <c r="A329" s="21"/>
      <c r="B329" s="70"/>
      <c r="C329" s="61"/>
      <c r="D329" s="103"/>
      <c r="E329" s="90"/>
      <c r="F329" s="115"/>
      <c r="G329" s="94"/>
      <c r="H329" s="96">
        <f t="shared" ref="H329:H331" si="301">F329*0.5+F329</f>
        <v>0</v>
      </c>
      <c r="I329" s="97">
        <f t="shared" ref="I329:I331" si="302">F329*0.3+F329</f>
        <v>0</v>
      </c>
      <c r="J329" s="98">
        <f t="shared" ref="J329:J331" si="303">F329*0.3+F329</f>
        <v>0</v>
      </c>
      <c r="K329" s="99">
        <f t="shared" ref="K329:K331" si="304">F329*0.2+F329</f>
        <v>0</v>
      </c>
      <c r="L329" s="98">
        <f t="shared" ref="L329:L331" si="305">F329*0.15+F329</f>
        <v>0</v>
      </c>
      <c r="M329" s="99">
        <f t="shared" ref="M329:M331" si="306">F329*0.1+F329</f>
        <v>0</v>
      </c>
      <c r="N329" s="32"/>
      <c r="O329" s="33"/>
    </row>
    <row r="330" ht="15.75" customHeight="1">
      <c r="A330" s="21"/>
      <c r="B330" s="70"/>
      <c r="C330" s="131"/>
      <c r="D330" s="103"/>
      <c r="E330" s="90"/>
      <c r="F330" s="115"/>
      <c r="G330" s="94"/>
      <c r="H330" s="96">
        <f t="shared" si="301"/>
        <v>0</v>
      </c>
      <c r="I330" s="97">
        <f t="shared" si="302"/>
        <v>0</v>
      </c>
      <c r="J330" s="98">
        <f t="shared" si="303"/>
        <v>0</v>
      </c>
      <c r="K330" s="99">
        <f t="shared" si="304"/>
        <v>0</v>
      </c>
      <c r="L330" s="98">
        <f t="shared" si="305"/>
        <v>0</v>
      </c>
      <c r="M330" s="99">
        <f t="shared" si="306"/>
        <v>0</v>
      </c>
      <c r="N330" s="32"/>
      <c r="O330" s="33"/>
    </row>
    <row r="331" ht="15.75" customHeight="1">
      <c r="A331" s="21"/>
      <c r="B331" s="70"/>
      <c r="C331" s="61"/>
      <c r="D331" s="133"/>
      <c r="E331" s="90"/>
      <c r="F331" s="115"/>
      <c r="G331" s="94"/>
      <c r="H331" s="96">
        <f t="shared" si="301"/>
        <v>0</v>
      </c>
      <c r="I331" s="97">
        <f t="shared" si="302"/>
        <v>0</v>
      </c>
      <c r="J331" s="98">
        <f t="shared" si="303"/>
        <v>0</v>
      </c>
      <c r="K331" s="99">
        <f t="shared" si="304"/>
        <v>0</v>
      </c>
      <c r="L331" s="98">
        <f t="shared" si="305"/>
        <v>0</v>
      </c>
      <c r="M331" s="99">
        <f t="shared" si="306"/>
        <v>0</v>
      </c>
      <c r="N331" s="32"/>
      <c r="O331" s="33"/>
    </row>
    <row r="332" ht="15.75" customHeight="1">
      <c r="A332" s="21"/>
      <c r="B332" s="70"/>
      <c r="C332" s="61"/>
      <c r="D332" s="135"/>
      <c r="E332" s="90"/>
      <c r="F332" s="115"/>
      <c r="G332" s="94"/>
      <c r="H332" s="96">
        <f>F333*0.5+F333</f>
        <v>0</v>
      </c>
      <c r="I332" s="97">
        <f>F333*0.3+F333</f>
        <v>0</v>
      </c>
      <c r="J332" s="98">
        <f>F333*0.3+F333</f>
        <v>0</v>
      </c>
      <c r="K332" s="99">
        <f>F333*0.2+F333</f>
        <v>0</v>
      </c>
      <c r="L332" s="98">
        <f>F333*0.15+F333</f>
        <v>0</v>
      </c>
      <c r="M332" s="99">
        <f>F333*0.1+F333</f>
        <v>0</v>
      </c>
      <c r="N332" s="32"/>
      <c r="O332" s="33"/>
    </row>
    <row r="333" ht="15.75" customHeight="1">
      <c r="A333" s="21"/>
      <c r="B333" s="70"/>
      <c r="C333" s="136"/>
      <c r="D333" s="107"/>
      <c r="E333" s="90"/>
      <c r="F333" s="137"/>
      <c r="G333" s="94"/>
      <c r="H333" s="96">
        <f t="shared" ref="H333:H335" si="307">F333*0.5+F333</f>
        <v>0</v>
      </c>
      <c r="I333" s="97">
        <f t="shared" ref="I333:I335" si="308">F333*0.3+F333</f>
        <v>0</v>
      </c>
      <c r="J333" s="98">
        <f t="shared" ref="J333:J335" si="309">F333*0.3+F333</f>
        <v>0</v>
      </c>
      <c r="K333" s="99">
        <f t="shared" ref="K333:K335" si="310">F333*0.2+F333</f>
        <v>0</v>
      </c>
      <c r="L333" s="98">
        <f t="shared" ref="L333:L335" si="311">F333*0.15+F333</f>
        <v>0</v>
      </c>
      <c r="M333" s="99">
        <f t="shared" ref="M333:M335" si="312">F333*0.1+F333</f>
        <v>0</v>
      </c>
      <c r="N333" s="32"/>
      <c r="O333" s="33"/>
    </row>
    <row r="334" ht="15.75" customHeight="1">
      <c r="A334" s="21"/>
      <c r="B334" s="70"/>
      <c r="C334" s="114"/>
      <c r="D334" s="125"/>
      <c r="E334" s="90"/>
      <c r="F334" s="138"/>
      <c r="G334" s="94"/>
      <c r="H334" s="96">
        <f t="shared" si="307"/>
        <v>0</v>
      </c>
      <c r="I334" s="97">
        <f t="shared" si="308"/>
        <v>0</v>
      </c>
      <c r="J334" s="98">
        <f t="shared" si="309"/>
        <v>0</v>
      </c>
      <c r="K334" s="99">
        <f t="shared" si="310"/>
        <v>0</v>
      </c>
      <c r="L334" s="98">
        <f t="shared" si="311"/>
        <v>0</v>
      </c>
      <c r="M334" s="99">
        <f t="shared" si="312"/>
        <v>0</v>
      </c>
      <c r="N334" s="32"/>
      <c r="O334" s="33"/>
    </row>
    <row r="335" ht="15.75" customHeight="1">
      <c r="A335" s="21"/>
      <c r="B335" s="70"/>
      <c r="C335" s="114"/>
      <c r="D335" s="125"/>
      <c r="E335" s="90"/>
      <c r="F335" s="138"/>
      <c r="G335" s="94"/>
      <c r="H335" s="96">
        <f t="shared" si="307"/>
        <v>0</v>
      </c>
      <c r="I335" s="97">
        <f t="shared" si="308"/>
        <v>0</v>
      </c>
      <c r="J335" s="98">
        <f t="shared" si="309"/>
        <v>0</v>
      </c>
      <c r="K335" s="99">
        <f t="shared" si="310"/>
        <v>0</v>
      </c>
      <c r="L335" s="98">
        <f t="shared" si="311"/>
        <v>0</v>
      </c>
      <c r="M335" s="99">
        <f t="shared" si="312"/>
        <v>0</v>
      </c>
      <c r="N335" s="32"/>
      <c r="O335" s="33"/>
    </row>
    <row r="336" ht="15.75" customHeight="1">
      <c r="A336" s="21"/>
      <c r="B336" s="70"/>
      <c r="C336" s="114"/>
      <c r="D336" s="125"/>
      <c r="E336" s="90"/>
      <c r="F336" s="138"/>
      <c r="G336" s="94"/>
      <c r="H336" s="96">
        <f>F337*0.5+F337</f>
        <v>0</v>
      </c>
      <c r="I336" s="97">
        <f>F337*0.3+F337</f>
        <v>0</v>
      </c>
      <c r="J336" s="98">
        <f>F337*0.3+F337</f>
        <v>0</v>
      </c>
      <c r="K336" s="99">
        <f>F337*0.2+F337</f>
        <v>0</v>
      </c>
      <c r="L336" s="98">
        <f>F337*0.15+F337</f>
        <v>0</v>
      </c>
      <c r="M336" s="99">
        <f>F337*0.1+F337</f>
        <v>0</v>
      </c>
      <c r="N336" s="32"/>
      <c r="O336" s="33"/>
    </row>
    <row r="337" ht="15.75" customHeight="1">
      <c r="A337" s="21"/>
      <c r="B337" s="70"/>
      <c r="C337" s="114"/>
      <c r="D337" s="125"/>
      <c r="E337" s="90"/>
      <c r="F337" s="138"/>
      <c r="G337" s="94"/>
      <c r="H337" s="96">
        <f t="shared" ref="H337:H339" si="313">F337*0.5+F337</f>
        <v>0</v>
      </c>
      <c r="I337" s="97">
        <f t="shared" ref="I337:I339" si="314">F337*0.3+F337</f>
        <v>0</v>
      </c>
      <c r="J337" s="98">
        <f t="shared" ref="J337:J339" si="315">F337*0.3+F337</f>
        <v>0</v>
      </c>
      <c r="K337" s="99">
        <f t="shared" ref="K337:K339" si="316">F337*0.2+F337</f>
        <v>0</v>
      </c>
      <c r="L337" s="98">
        <f t="shared" ref="L337:L339" si="317">F337*0.15+F337</f>
        <v>0</v>
      </c>
      <c r="M337" s="99">
        <f t="shared" ref="M337:M339" si="318">F337*0.1+F337</f>
        <v>0</v>
      </c>
      <c r="N337" s="32"/>
      <c r="O337" s="33"/>
    </row>
    <row r="338" ht="15.75" customHeight="1">
      <c r="A338" s="21"/>
      <c r="B338" s="70"/>
      <c r="C338" s="114"/>
      <c r="D338" s="125"/>
      <c r="E338" s="90"/>
      <c r="F338" s="138"/>
      <c r="G338" s="94"/>
      <c r="H338" s="96">
        <f t="shared" si="313"/>
        <v>0</v>
      </c>
      <c r="I338" s="97">
        <f t="shared" si="314"/>
        <v>0</v>
      </c>
      <c r="J338" s="98">
        <f t="shared" si="315"/>
        <v>0</v>
      </c>
      <c r="K338" s="99">
        <f t="shared" si="316"/>
        <v>0</v>
      </c>
      <c r="L338" s="98">
        <f t="shared" si="317"/>
        <v>0</v>
      </c>
      <c r="M338" s="99">
        <f t="shared" si="318"/>
        <v>0</v>
      </c>
      <c r="N338" s="32"/>
      <c r="O338" s="33"/>
    </row>
    <row r="339" ht="15.75" customHeight="1">
      <c r="A339" s="21"/>
      <c r="B339" s="70"/>
      <c r="C339" s="114"/>
      <c r="D339" s="125"/>
      <c r="E339" s="90"/>
      <c r="F339" s="138"/>
      <c r="G339" s="94"/>
      <c r="H339" s="96">
        <f t="shared" si="313"/>
        <v>0</v>
      </c>
      <c r="I339" s="97">
        <f t="shared" si="314"/>
        <v>0</v>
      </c>
      <c r="J339" s="98">
        <f t="shared" si="315"/>
        <v>0</v>
      </c>
      <c r="K339" s="99">
        <f t="shared" si="316"/>
        <v>0</v>
      </c>
      <c r="L339" s="98">
        <f t="shared" si="317"/>
        <v>0</v>
      </c>
      <c r="M339" s="99">
        <f t="shared" si="318"/>
        <v>0</v>
      </c>
      <c r="N339" s="32"/>
      <c r="O339" s="33"/>
    </row>
    <row r="340" ht="15.75" customHeight="1">
      <c r="A340" s="21"/>
      <c r="B340" s="70"/>
      <c r="C340" s="114"/>
      <c r="D340" s="125"/>
      <c r="E340" s="90"/>
      <c r="F340" s="112"/>
      <c r="G340" s="94"/>
      <c r="H340" s="96">
        <f>F341*0.5+F341</f>
        <v>0</v>
      </c>
      <c r="I340" s="97">
        <f>F341*0.3+F341</f>
        <v>0</v>
      </c>
      <c r="J340" s="98">
        <f>F341*0.3+F341</f>
        <v>0</v>
      </c>
      <c r="K340" s="99">
        <f>F341*0.2+F341</f>
        <v>0</v>
      </c>
      <c r="L340" s="98">
        <f>F341*0.15+F341</f>
        <v>0</v>
      </c>
      <c r="M340" s="99">
        <f>F341*0.1+F341</f>
        <v>0</v>
      </c>
      <c r="N340" s="32"/>
      <c r="O340" s="33"/>
    </row>
    <row r="341" ht="15.75" customHeight="1">
      <c r="A341" s="21"/>
      <c r="B341" s="70"/>
      <c r="C341" s="61"/>
      <c r="D341" s="103"/>
      <c r="E341" s="90"/>
      <c r="F341" s="120"/>
      <c r="G341" s="94"/>
      <c r="H341" s="96">
        <f>F341*0.5+F341</f>
        <v>0</v>
      </c>
      <c r="I341" s="97">
        <f>F341*0.3+F341</f>
        <v>0</v>
      </c>
      <c r="J341" s="98">
        <f>F341*0.3+F341</f>
        <v>0</v>
      </c>
      <c r="K341" s="99">
        <f>F341*0.2+F341</f>
        <v>0</v>
      </c>
      <c r="L341" s="98">
        <f>F341*0.15+F341</f>
        <v>0</v>
      </c>
      <c r="M341" s="99">
        <f>F341*0.1+F341</f>
        <v>0</v>
      </c>
      <c r="N341" s="32"/>
      <c r="O341" s="33"/>
    </row>
    <row r="342" ht="15.75" customHeight="1">
      <c r="A342" s="139"/>
      <c r="B342" s="140"/>
      <c r="C342" s="61"/>
      <c r="D342" s="133"/>
      <c r="E342" s="90"/>
      <c r="F342" s="141"/>
      <c r="G342" s="94"/>
      <c r="H342" s="96"/>
      <c r="I342" s="97"/>
      <c r="J342" s="98"/>
      <c r="K342" s="99"/>
      <c r="L342" s="98"/>
      <c r="M342" s="99"/>
      <c r="N342" s="32"/>
      <c r="O342" s="33"/>
    </row>
    <row r="343" ht="15.75" customHeight="1">
      <c r="A343" s="139"/>
      <c r="B343" s="140"/>
      <c r="C343" s="61"/>
      <c r="D343" s="133"/>
      <c r="E343" s="90"/>
      <c r="F343" s="141"/>
      <c r="G343" s="94"/>
      <c r="H343" s="96"/>
      <c r="I343" s="97"/>
      <c r="J343" s="98"/>
      <c r="K343" s="99"/>
      <c r="L343" s="98"/>
      <c r="M343" s="99"/>
      <c r="N343" s="32"/>
      <c r="O343" s="33"/>
    </row>
    <row r="344" ht="15.75" customHeight="1">
      <c r="A344" s="139"/>
      <c r="B344" s="140"/>
      <c r="C344" s="61"/>
      <c r="D344" s="133"/>
      <c r="E344" s="90"/>
      <c r="F344" s="141"/>
      <c r="G344" s="94"/>
      <c r="H344" s="96"/>
      <c r="I344" s="97"/>
      <c r="J344" s="98"/>
      <c r="K344" s="99"/>
      <c r="L344" s="98"/>
      <c r="M344" s="99"/>
      <c r="N344" s="32"/>
      <c r="O344" s="33"/>
    </row>
    <row r="345" ht="15.75" customHeight="1">
      <c r="A345" s="139"/>
      <c r="B345" s="140"/>
      <c r="C345" s="61"/>
      <c r="D345" s="133"/>
      <c r="E345" s="90"/>
      <c r="F345" s="141"/>
      <c r="G345" s="94"/>
      <c r="H345" s="96"/>
      <c r="I345" s="97"/>
      <c r="J345" s="98"/>
      <c r="K345" s="99"/>
      <c r="L345" s="98"/>
      <c r="M345" s="99"/>
      <c r="N345" s="32"/>
      <c r="O345" s="33"/>
    </row>
    <row r="346" ht="15.75" customHeight="1">
      <c r="A346" s="139"/>
      <c r="B346" s="140"/>
      <c r="C346" s="61"/>
      <c r="D346" s="133"/>
      <c r="E346" s="90"/>
      <c r="F346" s="141"/>
      <c r="G346" s="94"/>
      <c r="H346" s="96"/>
      <c r="I346" s="97"/>
      <c r="J346" s="98"/>
      <c r="K346" s="99"/>
      <c r="L346" s="98"/>
      <c r="M346" s="99"/>
      <c r="N346" s="32"/>
      <c r="O346" s="33"/>
    </row>
    <row r="347" ht="15.75" customHeight="1">
      <c r="A347" s="139"/>
      <c r="B347" s="140"/>
      <c r="C347" s="61"/>
      <c r="D347" s="133"/>
      <c r="E347" s="90"/>
      <c r="F347" s="141"/>
      <c r="G347" s="94"/>
      <c r="H347" s="96"/>
      <c r="I347" s="97"/>
      <c r="J347" s="98"/>
      <c r="K347" s="99"/>
      <c r="L347" s="98"/>
      <c r="M347" s="99"/>
      <c r="N347" s="32"/>
      <c r="O347" s="33"/>
    </row>
    <row r="348" ht="15.75" customHeight="1">
      <c r="A348" s="139"/>
      <c r="B348" s="140"/>
      <c r="C348" s="61"/>
      <c r="D348" s="133"/>
      <c r="E348" s="90"/>
      <c r="F348" s="141"/>
      <c r="G348" s="94"/>
      <c r="H348" s="96"/>
      <c r="I348" s="97"/>
      <c r="J348" s="98"/>
      <c r="K348" s="99"/>
      <c r="L348" s="98"/>
      <c r="M348" s="99"/>
      <c r="N348" s="32"/>
      <c r="O348" s="33"/>
    </row>
    <row r="349" ht="15.75" customHeight="1">
      <c r="A349" s="139"/>
      <c r="B349" s="140"/>
      <c r="C349" s="61"/>
      <c r="D349" s="133"/>
      <c r="E349" s="90"/>
      <c r="F349" s="141"/>
      <c r="G349" s="94"/>
      <c r="H349" s="96"/>
      <c r="I349" s="97"/>
      <c r="J349" s="98"/>
      <c r="K349" s="99"/>
      <c r="L349" s="98"/>
      <c r="M349" s="99"/>
      <c r="N349" s="32"/>
      <c r="O349" s="33"/>
    </row>
    <row r="350" ht="15.75" customHeight="1">
      <c r="A350" s="139"/>
      <c r="B350" s="140"/>
      <c r="C350" s="61"/>
      <c r="D350" s="133"/>
      <c r="E350" s="90"/>
      <c r="F350" s="141"/>
      <c r="G350" s="94"/>
      <c r="H350" s="96"/>
      <c r="I350" s="97"/>
      <c r="J350" s="98"/>
      <c r="K350" s="99"/>
      <c r="L350" s="98"/>
      <c r="M350" s="99"/>
      <c r="N350" s="32"/>
      <c r="O350" s="33"/>
    </row>
    <row r="351" ht="15.75" customHeight="1">
      <c r="A351" s="139"/>
      <c r="B351" s="140"/>
      <c r="C351" s="61"/>
      <c r="D351" s="133"/>
      <c r="E351" s="90"/>
      <c r="F351" s="141"/>
      <c r="G351" s="94"/>
      <c r="H351" s="96"/>
      <c r="I351" s="97"/>
      <c r="J351" s="98"/>
      <c r="K351" s="99"/>
      <c r="L351" s="98"/>
      <c r="M351" s="99"/>
      <c r="N351" s="32"/>
      <c r="O351" s="33"/>
    </row>
    <row r="352" ht="15.75" customHeight="1">
      <c r="A352" s="139"/>
      <c r="B352" s="140"/>
      <c r="C352" s="61"/>
      <c r="D352" s="133"/>
      <c r="E352" s="90"/>
      <c r="F352" s="141"/>
      <c r="G352" s="94"/>
      <c r="H352" s="96"/>
      <c r="I352" s="97"/>
      <c r="J352" s="98"/>
      <c r="K352" s="99"/>
      <c r="L352" s="98"/>
      <c r="M352" s="99"/>
      <c r="N352" s="32"/>
      <c r="O352" s="33"/>
    </row>
    <row r="353" ht="15.75" customHeight="1">
      <c r="A353" s="139"/>
      <c r="B353" s="140"/>
      <c r="C353" s="61"/>
      <c r="D353" s="133"/>
      <c r="E353" s="90"/>
      <c r="F353" s="141"/>
      <c r="G353" s="94"/>
      <c r="H353" s="96"/>
      <c r="I353" s="97"/>
      <c r="J353" s="98"/>
      <c r="K353" s="99"/>
      <c r="L353" s="98"/>
      <c r="M353" s="99"/>
      <c r="N353" s="32"/>
      <c r="O353" s="33"/>
    </row>
    <row r="354" ht="15.75" customHeight="1">
      <c r="A354" s="139"/>
      <c r="B354" s="140"/>
      <c r="C354" s="61"/>
      <c r="D354" s="133"/>
      <c r="E354" s="90"/>
      <c r="F354" s="141"/>
      <c r="G354" s="94"/>
      <c r="H354" s="96"/>
      <c r="I354" s="97"/>
      <c r="J354" s="98"/>
      <c r="K354" s="99"/>
      <c r="L354" s="98"/>
      <c r="M354" s="99"/>
      <c r="N354" s="32"/>
      <c r="O354" s="33"/>
    </row>
    <row r="355" ht="15.75" customHeight="1">
      <c r="A355" s="139"/>
      <c r="B355" s="140"/>
      <c r="C355" s="61"/>
      <c r="D355" s="133"/>
      <c r="E355" s="90"/>
      <c r="F355" s="141"/>
      <c r="G355" s="94"/>
      <c r="H355" s="96"/>
      <c r="I355" s="97"/>
      <c r="J355" s="98"/>
      <c r="K355" s="99"/>
      <c r="L355" s="98"/>
      <c r="M355" s="99"/>
      <c r="N355" s="32"/>
      <c r="O355" s="33"/>
    </row>
    <row r="356" ht="15.75" customHeight="1">
      <c r="A356" s="139"/>
      <c r="B356" s="140"/>
      <c r="C356" s="61"/>
      <c r="D356" s="133"/>
      <c r="E356" s="90"/>
      <c r="F356" s="141"/>
      <c r="G356" s="94"/>
      <c r="H356" s="96"/>
      <c r="I356" s="97"/>
      <c r="J356" s="98"/>
      <c r="K356" s="99"/>
      <c r="L356" s="98"/>
      <c r="M356" s="99"/>
      <c r="N356" s="32"/>
      <c r="O356" s="33"/>
    </row>
    <row r="357" ht="15.75" customHeight="1">
      <c r="A357" s="139"/>
      <c r="B357" s="140"/>
      <c r="C357" s="61"/>
      <c r="D357" s="133"/>
      <c r="E357" s="90"/>
      <c r="F357" s="141"/>
      <c r="G357" s="94"/>
      <c r="H357" s="96"/>
      <c r="I357" s="97"/>
      <c r="J357" s="98"/>
      <c r="K357" s="99"/>
      <c r="L357" s="98"/>
      <c r="M357" s="99"/>
      <c r="N357" s="32"/>
      <c r="O357" s="33"/>
    </row>
    <row r="358" ht="15.75" customHeight="1">
      <c r="A358" s="139"/>
      <c r="B358" s="140"/>
      <c r="C358" s="61"/>
      <c r="D358" s="133"/>
      <c r="E358" s="90"/>
      <c r="F358" s="141"/>
      <c r="G358" s="94"/>
      <c r="H358" s="96"/>
      <c r="I358" s="97"/>
      <c r="J358" s="98"/>
      <c r="K358" s="99"/>
      <c r="L358" s="98"/>
      <c r="M358" s="99"/>
      <c r="N358" s="32"/>
      <c r="O358" s="33"/>
    </row>
    <row r="359" ht="15.75" customHeight="1">
      <c r="A359" s="139"/>
      <c r="B359" s="140"/>
      <c r="C359" s="61"/>
      <c r="D359" s="133"/>
      <c r="E359" s="90"/>
      <c r="F359" s="141"/>
      <c r="G359" s="94"/>
      <c r="H359" s="96"/>
      <c r="I359" s="97"/>
      <c r="J359" s="98"/>
      <c r="K359" s="99"/>
      <c r="L359" s="98"/>
      <c r="M359" s="99"/>
      <c r="N359" s="32"/>
      <c r="O359" s="33"/>
    </row>
    <row r="360" ht="15.75" customHeight="1">
      <c r="A360" s="139"/>
      <c r="B360" s="140"/>
      <c r="C360" s="61"/>
      <c r="D360" s="133"/>
      <c r="E360" s="90"/>
      <c r="F360" s="141"/>
      <c r="G360" s="94"/>
      <c r="H360" s="96"/>
      <c r="I360" s="97"/>
      <c r="J360" s="98"/>
      <c r="K360" s="99"/>
      <c r="L360" s="98"/>
      <c r="M360" s="99"/>
      <c r="N360" s="32"/>
      <c r="O360" s="33"/>
    </row>
    <row r="361" ht="15.75" customHeight="1">
      <c r="A361" s="139"/>
      <c r="B361" s="140"/>
      <c r="C361" s="61"/>
      <c r="D361" s="133"/>
      <c r="E361" s="90"/>
      <c r="F361" s="141"/>
      <c r="G361" s="94"/>
      <c r="H361" s="96"/>
      <c r="I361" s="97"/>
      <c r="J361" s="98"/>
      <c r="K361" s="99"/>
      <c r="L361" s="98"/>
      <c r="M361" s="99"/>
      <c r="N361" s="32"/>
      <c r="O361" s="33"/>
    </row>
    <row r="362" ht="15.75" customHeight="1">
      <c r="A362" s="139"/>
      <c r="B362" s="140"/>
      <c r="C362" s="61"/>
      <c r="D362" s="133"/>
      <c r="E362" s="90"/>
      <c r="F362" s="141"/>
      <c r="G362" s="94"/>
      <c r="H362" s="96"/>
      <c r="I362" s="97"/>
      <c r="J362" s="98"/>
      <c r="K362" s="99"/>
      <c r="L362" s="98"/>
      <c r="M362" s="99"/>
      <c r="N362" s="32"/>
      <c r="O362" s="33"/>
    </row>
    <row r="363" ht="15.75" customHeight="1">
      <c r="A363" s="139"/>
      <c r="B363" s="140"/>
      <c r="C363" s="61"/>
      <c r="D363" s="133"/>
      <c r="E363" s="90"/>
      <c r="F363" s="141"/>
      <c r="G363" s="94"/>
      <c r="H363" s="96"/>
      <c r="I363" s="97"/>
      <c r="J363" s="98"/>
      <c r="K363" s="99"/>
      <c r="L363" s="98"/>
      <c r="M363" s="99"/>
      <c r="N363" s="32"/>
      <c r="O363" s="33"/>
    </row>
    <row r="364" ht="15.75" customHeight="1">
      <c r="A364" s="139"/>
      <c r="B364" s="140"/>
      <c r="C364" s="61"/>
      <c r="D364" s="133"/>
      <c r="E364" s="90"/>
      <c r="F364" s="141"/>
      <c r="G364" s="94"/>
      <c r="H364" s="96"/>
      <c r="I364" s="97"/>
      <c r="J364" s="98"/>
      <c r="K364" s="99"/>
      <c r="L364" s="98"/>
      <c r="M364" s="99"/>
      <c r="N364" s="32"/>
      <c r="O364" s="33"/>
    </row>
    <row r="365" ht="15.75" customHeight="1">
      <c r="A365" s="139"/>
      <c r="B365" s="140"/>
      <c r="C365" s="61"/>
      <c r="D365" s="133"/>
      <c r="E365" s="90"/>
      <c r="F365" s="141"/>
      <c r="G365" s="94"/>
      <c r="H365" s="96"/>
      <c r="I365" s="97"/>
      <c r="J365" s="98"/>
      <c r="K365" s="99"/>
      <c r="L365" s="98"/>
      <c r="M365" s="99"/>
      <c r="N365" s="32"/>
      <c r="O365" s="33"/>
    </row>
    <row r="366" ht="15.75" customHeight="1">
      <c r="A366" s="139"/>
      <c r="B366" s="140"/>
      <c r="C366" s="61"/>
      <c r="D366" s="133"/>
      <c r="E366" s="90"/>
      <c r="F366" s="141"/>
      <c r="G366" s="94"/>
      <c r="H366" s="96"/>
      <c r="I366" s="97"/>
      <c r="J366" s="98"/>
      <c r="K366" s="99"/>
      <c r="L366" s="98"/>
      <c r="M366" s="99"/>
      <c r="N366" s="32"/>
      <c r="O366" s="33"/>
    </row>
    <row r="367" ht="15.75" customHeight="1">
      <c r="A367" s="139"/>
      <c r="B367" s="140"/>
      <c r="C367" s="61"/>
      <c r="D367" s="133"/>
      <c r="E367" s="90"/>
      <c r="F367" s="141"/>
      <c r="G367" s="94"/>
      <c r="H367" s="96"/>
      <c r="I367" s="97"/>
      <c r="J367" s="98"/>
      <c r="K367" s="99"/>
      <c r="L367" s="98"/>
      <c r="M367" s="99"/>
      <c r="N367" s="32"/>
      <c r="O367" s="33"/>
    </row>
    <row r="368" ht="15.75" customHeight="1">
      <c r="A368" s="139"/>
      <c r="B368" s="140"/>
      <c r="C368" s="61"/>
      <c r="D368" s="133"/>
      <c r="E368" s="90"/>
      <c r="F368" s="141"/>
      <c r="G368" s="94"/>
      <c r="H368" s="96"/>
      <c r="I368" s="97"/>
      <c r="J368" s="98"/>
      <c r="K368" s="99"/>
      <c r="L368" s="98"/>
      <c r="M368" s="99"/>
      <c r="N368" s="32"/>
      <c r="O368" s="33"/>
    </row>
    <row r="369" ht="15.75" customHeight="1">
      <c r="A369" s="139"/>
      <c r="B369" s="140"/>
      <c r="C369" s="61"/>
      <c r="D369" s="133"/>
      <c r="E369" s="90"/>
      <c r="F369" s="141"/>
      <c r="G369" s="94"/>
      <c r="H369" s="96"/>
      <c r="I369" s="97"/>
      <c r="J369" s="98"/>
      <c r="K369" s="99"/>
      <c r="L369" s="98"/>
      <c r="M369" s="99"/>
      <c r="N369" s="32"/>
      <c r="O369" s="33"/>
    </row>
    <row r="370" ht="15.75" customHeight="1">
      <c r="A370" s="139"/>
      <c r="B370" s="140"/>
      <c r="C370" s="61"/>
      <c r="D370" s="133"/>
      <c r="E370" s="90"/>
      <c r="F370" s="141"/>
      <c r="G370" s="94"/>
      <c r="H370" s="96"/>
      <c r="I370" s="97"/>
      <c r="J370" s="98"/>
      <c r="K370" s="99"/>
      <c r="L370" s="98"/>
      <c r="M370" s="99"/>
      <c r="N370" s="32"/>
      <c r="O370" s="33"/>
    </row>
    <row r="371" ht="15.75" customHeight="1">
      <c r="A371" s="139"/>
      <c r="B371" s="140"/>
      <c r="C371" s="61"/>
      <c r="D371" s="133"/>
      <c r="E371" s="90"/>
      <c r="F371" s="141"/>
      <c r="G371" s="94"/>
      <c r="H371" s="96"/>
      <c r="I371" s="97"/>
      <c r="J371" s="98"/>
      <c r="K371" s="99"/>
      <c r="L371" s="98"/>
      <c r="M371" s="99"/>
      <c r="N371" s="32"/>
      <c r="O371" s="33"/>
    </row>
    <row r="372" ht="15.75" customHeight="1">
      <c r="A372" s="139"/>
      <c r="B372" s="140"/>
      <c r="C372" s="61"/>
      <c r="D372" s="133"/>
      <c r="E372" s="90"/>
      <c r="F372" s="141"/>
      <c r="G372" s="94"/>
      <c r="H372" s="96"/>
      <c r="I372" s="97"/>
      <c r="J372" s="98"/>
      <c r="K372" s="99"/>
      <c r="L372" s="98"/>
      <c r="M372" s="99"/>
      <c r="N372" s="32"/>
      <c r="O372" s="33"/>
    </row>
    <row r="373" ht="15.75" customHeight="1">
      <c r="A373" s="139"/>
      <c r="B373" s="140"/>
      <c r="C373" s="61"/>
      <c r="D373" s="133"/>
      <c r="E373" s="90"/>
      <c r="F373" s="141"/>
      <c r="G373" s="94"/>
      <c r="H373" s="96"/>
      <c r="I373" s="97"/>
      <c r="J373" s="98"/>
      <c r="K373" s="99"/>
      <c r="L373" s="98"/>
      <c r="M373" s="99"/>
      <c r="N373" s="32"/>
      <c r="O373" s="33"/>
    </row>
    <row r="374" ht="15.75" customHeight="1">
      <c r="A374" s="139"/>
      <c r="B374" s="140"/>
      <c r="C374" s="61"/>
      <c r="D374" s="133"/>
      <c r="E374" s="90"/>
      <c r="F374" s="141"/>
      <c r="G374" s="94"/>
      <c r="H374" s="96"/>
      <c r="I374" s="97"/>
      <c r="J374" s="98"/>
      <c r="K374" s="99"/>
      <c r="L374" s="98"/>
      <c r="M374" s="99"/>
      <c r="N374" s="32"/>
      <c r="O374" s="33"/>
    </row>
    <row r="375" ht="15.75" customHeight="1">
      <c r="A375" s="139"/>
      <c r="B375" s="140"/>
      <c r="C375" s="61"/>
      <c r="D375" s="133"/>
      <c r="E375" s="90"/>
      <c r="F375" s="141"/>
      <c r="G375" s="94"/>
      <c r="H375" s="96"/>
      <c r="I375" s="97"/>
      <c r="J375" s="98"/>
      <c r="K375" s="99"/>
      <c r="L375" s="98"/>
      <c r="M375" s="99"/>
      <c r="N375" s="32"/>
      <c r="O375" s="33"/>
    </row>
    <row r="376" ht="15.75" customHeight="1">
      <c r="A376" s="139"/>
      <c r="B376" s="140"/>
      <c r="C376" s="61"/>
      <c r="D376" s="133"/>
      <c r="E376" s="90"/>
      <c r="F376" s="141"/>
      <c r="G376" s="94"/>
      <c r="H376" s="96"/>
      <c r="I376" s="97"/>
      <c r="J376" s="98"/>
      <c r="K376" s="99"/>
      <c r="L376" s="98"/>
      <c r="M376" s="99"/>
      <c r="N376" s="32"/>
      <c r="O376" s="33"/>
    </row>
    <row r="377" ht="15.75" customHeight="1">
      <c r="A377" s="139"/>
      <c r="B377" s="140"/>
      <c r="C377" s="61"/>
      <c r="D377" s="133"/>
      <c r="E377" s="90"/>
      <c r="F377" s="141"/>
      <c r="G377" s="94"/>
      <c r="H377" s="96"/>
      <c r="I377" s="97"/>
      <c r="J377" s="98"/>
      <c r="K377" s="99"/>
      <c r="L377" s="98"/>
      <c r="M377" s="99"/>
      <c r="N377" s="32"/>
      <c r="O377" s="33"/>
    </row>
    <row r="378" ht="15.75" customHeight="1">
      <c r="A378" s="139"/>
      <c r="B378" s="140"/>
      <c r="C378" s="61"/>
      <c r="D378" s="133"/>
      <c r="E378" s="90"/>
      <c r="F378" s="141"/>
      <c r="G378" s="94"/>
      <c r="H378" s="96"/>
      <c r="I378" s="97"/>
      <c r="J378" s="98"/>
      <c r="K378" s="99"/>
      <c r="L378" s="98"/>
      <c r="M378" s="99"/>
      <c r="N378" s="32"/>
      <c r="O378" s="33"/>
    </row>
    <row r="379" ht="15.75" customHeight="1">
      <c r="A379" s="139"/>
      <c r="B379" s="140"/>
      <c r="C379" s="61"/>
      <c r="D379" s="133"/>
      <c r="E379" s="90"/>
      <c r="F379" s="141"/>
      <c r="G379" s="94"/>
      <c r="H379" s="96"/>
      <c r="I379" s="97"/>
      <c r="J379" s="98"/>
      <c r="K379" s="99"/>
      <c r="L379" s="98"/>
      <c r="M379" s="99"/>
      <c r="N379" s="32"/>
      <c r="O379" s="33"/>
    </row>
    <row r="380" ht="15.75" customHeight="1">
      <c r="A380" s="139"/>
      <c r="B380" s="140"/>
      <c r="C380" s="61"/>
      <c r="D380" s="133"/>
      <c r="E380" s="90"/>
      <c r="F380" s="141"/>
      <c r="G380" s="94"/>
      <c r="H380" s="96"/>
      <c r="I380" s="97"/>
      <c r="J380" s="98"/>
      <c r="K380" s="99"/>
      <c r="L380" s="98"/>
      <c r="M380" s="99"/>
      <c r="N380" s="32"/>
      <c r="O380" s="33"/>
    </row>
    <row r="381" ht="15.75" customHeight="1">
      <c r="A381" s="139"/>
      <c r="B381" s="140"/>
      <c r="C381" s="61"/>
      <c r="D381" s="133"/>
      <c r="E381" s="90"/>
      <c r="F381" s="141"/>
      <c r="G381" s="94"/>
      <c r="H381" s="96"/>
      <c r="I381" s="97"/>
      <c r="J381" s="98"/>
      <c r="K381" s="99"/>
      <c r="L381" s="98"/>
      <c r="M381" s="99"/>
      <c r="N381" s="32"/>
      <c r="O381" s="33"/>
    </row>
    <row r="382" ht="15.75" customHeight="1">
      <c r="A382" s="139"/>
      <c r="B382" s="140"/>
      <c r="C382" s="61"/>
      <c r="D382" s="133"/>
      <c r="E382" s="90"/>
      <c r="F382" s="141"/>
      <c r="G382" s="94"/>
      <c r="H382" s="96"/>
      <c r="I382" s="97"/>
      <c r="J382" s="98"/>
      <c r="K382" s="99"/>
      <c r="L382" s="98"/>
      <c r="M382" s="99"/>
      <c r="N382" s="32"/>
      <c r="O382" s="33"/>
    </row>
    <row r="383" ht="15.75" customHeight="1">
      <c r="A383" s="139"/>
      <c r="B383" s="140"/>
      <c r="C383" s="61"/>
      <c r="D383" s="133"/>
      <c r="E383" s="90"/>
      <c r="F383" s="141"/>
      <c r="G383" s="94"/>
      <c r="H383" s="96"/>
      <c r="I383" s="97"/>
      <c r="J383" s="98"/>
      <c r="K383" s="99"/>
      <c r="L383" s="98"/>
      <c r="M383" s="99"/>
      <c r="N383" s="32"/>
      <c r="O383" s="33"/>
    </row>
    <row r="384" ht="15.75" customHeight="1">
      <c r="A384" s="139"/>
      <c r="B384" s="140"/>
      <c r="C384" s="61"/>
      <c r="D384" s="133"/>
      <c r="E384" s="90"/>
      <c r="F384" s="141"/>
      <c r="G384" s="94"/>
      <c r="H384" s="96"/>
      <c r="I384" s="97"/>
      <c r="J384" s="98"/>
      <c r="K384" s="99"/>
      <c r="L384" s="98"/>
      <c r="M384" s="99"/>
      <c r="N384" s="32"/>
      <c r="O384" s="33"/>
    </row>
    <row r="385" ht="15.75" customHeight="1">
      <c r="A385" s="139"/>
      <c r="B385" s="140"/>
      <c r="C385" s="61"/>
      <c r="D385" s="133"/>
      <c r="E385" s="90"/>
      <c r="F385" s="141"/>
      <c r="G385" s="94"/>
      <c r="H385" s="96"/>
      <c r="I385" s="97"/>
      <c r="J385" s="98"/>
      <c r="K385" s="99"/>
      <c r="L385" s="98"/>
      <c r="M385" s="99"/>
      <c r="N385" s="32"/>
      <c r="O385" s="33"/>
    </row>
    <row r="386" ht="15.75" customHeight="1">
      <c r="A386" s="139"/>
      <c r="B386" s="140"/>
      <c r="C386" s="61"/>
      <c r="D386" s="133"/>
      <c r="E386" s="90"/>
      <c r="F386" s="141"/>
      <c r="G386" s="94"/>
      <c r="H386" s="96"/>
      <c r="I386" s="97"/>
      <c r="J386" s="98"/>
      <c r="K386" s="99"/>
      <c r="L386" s="98"/>
      <c r="M386" s="99"/>
      <c r="N386" s="32"/>
      <c r="O386" s="33"/>
    </row>
    <row r="387" ht="15.75" customHeight="1">
      <c r="A387" s="139"/>
      <c r="B387" s="140"/>
      <c r="C387" s="61"/>
      <c r="D387" s="133"/>
      <c r="E387" s="90"/>
      <c r="F387" s="141"/>
      <c r="G387" s="94"/>
      <c r="H387" s="96"/>
      <c r="I387" s="97"/>
      <c r="J387" s="98"/>
      <c r="K387" s="99"/>
      <c r="L387" s="98"/>
      <c r="M387" s="99"/>
      <c r="N387" s="32"/>
      <c r="O387" s="33"/>
    </row>
    <row r="388" ht="15.75" customHeight="1">
      <c r="A388" s="139"/>
      <c r="B388" s="140"/>
      <c r="C388" s="61"/>
      <c r="D388" s="133"/>
      <c r="E388" s="90"/>
      <c r="F388" s="141"/>
      <c r="G388" s="94"/>
      <c r="H388" s="96"/>
      <c r="I388" s="97"/>
      <c r="J388" s="98"/>
      <c r="K388" s="99"/>
      <c r="L388" s="98"/>
      <c r="M388" s="99"/>
      <c r="N388" s="32"/>
      <c r="O388" s="33"/>
    </row>
    <row r="389" ht="15.75" customHeight="1">
      <c r="A389" s="139"/>
      <c r="B389" s="140"/>
      <c r="C389" s="61"/>
      <c r="D389" s="133"/>
      <c r="E389" s="90"/>
      <c r="F389" s="141"/>
      <c r="G389" s="94"/>
      <c r="H389" s="96"/>
      <c r="I389" s="97"/>
      <c r="J389" s="98"/>
      <c r="K389" s="99"/>
      <c r="L389" s="98"/>
      <c r="M389" s="99"/>
      <c r="N389" s="32"/>
      <c r="O389" s="33"/>
    </row>
    <row r="390" ht="15.75" customHeight="1">
      <c r="A390" s="139"/>
      <c r="B390" s="140"/>
      <c r="C390" s="61"/>
      <c r="D390" s="133"/>
      <c r="E390" s="90"/>
      <c r="F390" s="141"/>
      <c r="G390" s="94"/>
      <c r="H390" s="96"/>
      <c r="I390" s="97"/>
      <c r="J390" s="98"/>
      <c r="K390" s="99"/>
      <c r="L390" s="98"/>
      <c r="M390" s="99"/>
      <c r="N390" s="32"/>
      <c r="O390" s="33"/>
    </row>
    <row r="391" ht="15.75" customHeight="1">
      <c r="A391" s="139"/>
      <c r="B391" s="140"/>
      <c r="C391" s="61"/>
      <c r="D391" s="133"/>
      <c r="E391" s="90"/>
      <c r="F391" s="141"/>
      <c r="G391" s="94"/>
      <c r="H391" s="96"/>
      <c r="I391" s="97"/>
      <c r="J391" s="98"/>
      <c r="K391" s="99"/>
      <c r="L391" s="98"/>
      <c r="M391" s="99"/>
      <c r="N391" s="32"/>
      <c r="O391" s="33"/>
    </row>
    <row r="392" ht="15.75" customHeight="1">
      <c r="A392" s="139"/>
      <c r="B392" s="140"/>
      <c r="C392" s="61"/>
      <c r="D392" s="133"/>
      <c r="E392" s="90"/>
      <c r="F392" s="141"/>
      <c r="G392" s="94"/>
      <c r="H392" s="96"/>
      <c r="I392" s="97"/>
      <c r="J392" s="98"/>
      <c r="K392" s="99"/>
      <c r="L392" s="98"/>
      <c r="M392" s="99"/>
      <c r="N392" s="32"/>
      <c r="O392" s="33"/>
    </row>
    <row r="393" ht="15.75" customHeight="1">
      <c r="A393" s="139"/>
      <c r="B393" s="140"/>
      <c r="C393" s="61"/>
      <c r="D393" s="133"/>
      <c r="E393" s="90"/>
      <c r="F393" s="141"/>
      <c r="G393" s="94"/>
      <c r="H393" s="96"/>
      <c r="I393" s="97"/>
      <c r="J393" s="98"/>
      <c r="K393" s="99"/>
      <c r="L393" s="98"/>
      <c r="M393" s="99"/>
      <c r="N393" s="32"/>
      <c r="O393" s="33"/>
    </row>
    <row r="394" ht="15.75" customHeight="1">
      <c r="A394" s="139"/>
      <c r="B394" s="140"/>
      <c r="C394" s="61"/>
      <c r="D394" s="133"/>
      <c r="E394" s="90"/>
      <c r="F394" s="141"/>
      <c r="G394" s="94"/>
      <c r="H394" s="96"/>
      <c r="I394" s="97"/>
      <c r="J394" s="98"/>
      <c r="K394" s="99"/>
      <c r="L394" s="98"/>
      <c r="M394" s="99"/>
      <c r="N394" s="32"/>
      <c r="O394" s="33"/>
    </row>
    <row r="395" ht="15.75" customHeight="1">
      <c r="A395" s="139"/>
      <c r="B395" s="140"/>
      <c r="C395" s="61"/>
      <c r="D395" s="133"/>
      <c r="E395" s="90"/>
      <c r="F395" s="141"/>
      <c r="G395" s="94"/>
      <c r="H395" s="96"/>
      <c r="I395" s="97"/>
      <c r="J395" s="98"/>
      <c r="K395" s="99"/>
      <c r="L395" s="98"/>
      <c r="M395" s="99"/>
      <c r="N395" s="32"/>
      <c r="O395" s="33"/>
    </row>
    <row r="396" ht="15.75" customHeight="1">
      <c r="A396" s="139"/>
      <c r="B396" s="140"/>
      <c r="C396" s="61"/>
      <c r="D396" s="133"/>
      <c r="E396" s="90"/>
      <c r="F396" s="141"/>
      <c r="G396" s="94"/>
      <c r="H396" s="96"/>
      <c r="I396" s="97"/>
      <c r="J396" s="98"/>
      <c r="K396" s="99"/>
      <c r="L396" s="98"/>
      <c r="M396" s="99"/>
      <c r="N396" s="32"/>
      <c r="O396" s="33"/>
    </row>
    <row r="397" ht="15.75" customHeight="1">
      <c r="A397" s="139"/>
      <c r="B397" s="140"/>
      <c r="C397" s="61"/>
      <c r="D397" s="133"/>
      <c r="E397" s="90"/>
      <c r="F397" s="141"/>
      <c r="G397" s="94"/>
      <c r="H397" s="96"/>
      <c r="I397" s="97"/>
      <c r="J397" s="98"/>
      <c r="K397" s="99"/>
      <c r="L397" s="98"/>
      <c r="M397" s="99"/>
      <c r="N397" s="32"/>
      <c r="O397" s="33"/>
    </row>
    <row r="398" ht="15.75" customHeight="1">
      <c r="A398" s="139"/>
      <c r="B398" s="140"/>
      <c r="C398" s="61"/>
      <c r="D398" s="133"/>
      <c r="E398" s="90"/>
      <c r="F398" s="141"/>
      <c r="G398" s="94"/>
      <c r="H398" s="96"/>
      <c r="I398" s="97"/>
      <c r="J398" s="98"/>
      <c r="K398" s="99"/>
      <c r="L398" s="98"/>
      <c r="M398" s="99"/>
      <c r="N398" s="32"/>
      <c r="O398" s="33"/>
    </row>
    <row r="399" ht="15.75" customHeight="1">
      <c r="A399" s="139"/>
      <c r="B399" s="140"/>
      <c r="C399" s="61"/>
      <c r="D399" s="133"/>
      <c r="E399" s="90"/>
      <c r="F399" s="141"/>
      <c r="G399" s="94"/>
      <c r="H399" s="96"/>
      <c r="I399" s="97"/>
      <c r="J399" s="98"/>
      <c r="K399" s="99"/>
      <c r="L399" s="98"/>
      <c r="M399" s="99"/>
      <c r="N399" s="32"/>
      <c r="O399" s="33"/>
    </row>
    <row r="400" ht="15.75" customHeight="1">
      <c r="A400" s="139"/>
      <c r="B400" s="140"/>
      <c r="C400" s="61"/>
      <c r="D400" s="133"/>
      <c r="E400" s="90"/>
      <c r="F400" s="141"/>
      <c r="G400" s="94"/>
      <c r="H400" s="96"/>
      <c r="I400" s="97"/>
      <c r="J400" s="98"/>
      <c r="K400" s="99"/>
      <c r="L400" s="98"/>
      <c r="M400" s="99"/>
      <c r="N400" s="32"/>
      <c r="O400" s="33"/>
    </row>
    <row r="401" ht="15.75" customHeight="1">
      <c r="A401" s="139"/>
      <c r="B401" s="140"/>
      <c r="C401" s="61"/>
      <c r="D401" s="133"/>
      <c r="E401" s="90"/>
      <c r="F401" s="141"/>
      <c r="G401" s="94"/>
      <c r="H401" s="96"/>
      <c r="I401" s="97"/>
      <c r="J401" s="98"/>
      <c r="K401" s="99"/>
      <c r="L401" s="98"/>
      <c r="M401" s="99"/>
      <c r="N401" s="32"/>
      <c r="O401" s="33"/>
    </row>
    <row r="402" ht="15.75" customHeight="1">
      <c r="A402" s="139"/>
      <c r="B402" s="140"/>
      <c r="C402" s="61"/>
      <c r="D402" s="133"/>
      <c r="E402" s="90"/>
      <c r="F402" s="141"/>
      <c r="G402" s="94"/>
      <c r="H402" s="96"/>
      <c r="I402" s="97"/>
      <c r="J402" s="98"/>
      <c r="K402" s="99"/>
      <c r="L402" s="98"/>
      <c r="M402" s="99"/>
      <c r="N402" s="32"/>
      <c r="O402" s="33"/>
    </row>
    <row r="403" ht="15.75" customHeight="1">
      <c r="A403" s="139"/>
      <c r="B403" s="140"/>
      <c r="C403" s="61"/>
      <c r="D403" s="133"/>
      <c r="E403" s="90"/>
      <c r="F403" s="141"/>
      <c r="G403" s="94"/>
      <c r="H403" s="96"/>
      <c r="I403" s="97"/>
      <c r="J403" s="98"/>
      <c r="K403" s="99"/>
      <c r="L403" s="98"/>
      <c r="M403" s="99"/>
      <c r="N403" s="32"/>
      <c r="O403" s="33"/>
    </row>
    <row r="404" ht="15.75" customHeight="1">
      <c r="A404" s="139"/>
      <c r="B404" s="140"/>
      <c r="C404" s="61"/>
      <c r="D404" s="133"/>
      <c r="E404" s="90"/>
      <c r="F404" s="141"/>
      <c r="G404" s="94"/>
      <c r="H404" s="96"/>
      <c r="I404" s="97"/>
      <c r="J404" s="98"/>
      <c r="K404" s="99"/>
      <c r="L404" s="98"/>
      <c r="M404" s="99"/>
      <c r="N404" s="32"/>
      <c r="O404" s="33"/>
    </row>
    <row r="405" ht="15.75" customHeight="1">
      <c r="A405" s="139"/>
      <c r="B405" s="140"/>
      <c r="C405" s="61"/>
      <c r="D405" s="133"/>
      <c r="E405" s="90"/>
      <c r="F405" s="141"/>
      <c r="G405" s="94"/>
      <c r="H405" s="96"/>
      <c r="I405" s="97"/>
      <c r="J405" s="98"/>
      <c r="K405" s="99"/>
      <c r="L405" s="98"/>
      <c r="M405" s="99"/>
      <c r="N405" s="32"/>
      <c r="O405" s="33"/>
    </row>
    <row r="406" ht="15.75" customHeight="1">
      <c r="A406" s="139"/>
      <c r="B406" s="140"/>
      <c r="C406" s="61"/>
      <c r="D406" s="133"/>
      <c r="E406" s="90"/>
      <c r="F406" s="141"/>
      <c r="G406" s="94"/>
      <c r="H406" s="96"/>
      <c r="I406" s="97"/>
      <c r="J406" s="98"/>
      <c r="K406" s="99"/>
      <c r="L406" s="98"/>
      <c r="M406" s="99"/>
      <c r="N406" s="32"/>
      <c r="O406" s="33"/>
    </row>
    <row r="407" ht="15.75" customHeight="1">
      <c r="A407" s="139"/>
      <c r="B407" s="140"/>
      <c r="C407" s="61"/>
      <c r="D407" s="133"/>
      <c r="E407" s="90"/>
      <c r="F407" s="141"/>
      <c r="G407" s="94"/>
      <c r="H407" s="96"/>
      <c r="I407" s="97"/>
      <c r="J407" s="98"/>
      <c r="K407" s="99"/>
      <c r="L407" s="98"/>
      <c r="M407" s="99"/>
      <c r="N407" s="32"/>
      <c r="O407" s="33"/>
    </row>
    <row r="408" ht="15.75" customHeight="1">
      <c r="A408" s="139"/>
      <c r="B408" s="140"/>
      <c r="C408" s="61"/>
      <c r="D408" s="133"/>
      <c r="E408" s="90"/>
      <c r="F408" s="141"/>
      <c r="G408" s="94"/>
      <c r="H408" s="96"/>
      <c r="I408" s="97"/>
      <c r="J408" s="98"/>
      <c r="K408" s="99"/>
      <c r="L408" s="98"/>
      <c r="M408" s="99"/>
      <c r="N408" s="32"/>
      <c r="O408" s="33"/>
    </row>
    <row r="409" ht="15.75" customHeight="1">
      <c r="A409" s="139"/>
      <c r="B409" s="140"/>
      <c r="C409" s="61"/>
      <c r="D409" s="133"/>
      <c r="E409" s="90"/>
      <c r="F409" s="141"/>
      <c r="G409" s="94"/>
      <c r="H409" s="96"/>
      <c r="I409" s="97"/>
      <c r="J409" s="98"/>
      <c r="K409" s="99"/>
      <c r="L409" s="98"/>
      <c r="M409" s="99"/>
      <c r="N409" s="32"/>
      <c r="O409" s="33"/>
    </row>
    <row r="410" ht="15.75" customHeight="1">
      <c r="A410" s="139"/>
      <c r="B410" s="140"/>
      <c r="C410" s="61"/>
      <c r="D410" s="133"/>
      <c r="E410" s="90"/>
      <c r="F410" s="141"/>
      <c r="G410" s="94"/>
      <c r="H410" s="96"/>
      <c r="I410" s="97"/>
      <c r="J410" s="98"/>
      <c r="K410" s="99"/>
      <c r="L410" s="98"/>
      <c r="M410" s="99"/>
      <c r="N410" s="32"/>
      <c r="O410" s="33"/>
    </row>
    <row r="411" ht="15.75" customHeight="1">
      <c r="A411" s="139"/>
      <c r="B411" s="140"/>
      <c r="C411" s="61"/>
      <c r="D411" s="133"/>
      <c r="E411" s="90"/>
      <c r="F411" s="141"/>
      <c r="G411" s="94"/>
      <c r="H411" s="96"/>
      <c r="I411" s="97"/>
      <c r="J411" s="98"/>
      <c r="K411" s="99"/>
      <c r="L411" s="98"/>
      <c r="M411" s="99"/>
      <c r="N411" s="32"/>
      <c r="O411" s="33"/>
    </row>
    <row r="412" ht="15.75" customHeight="1">
      <c r="A412" s="139"/>
      <c r="B412" s="140"/>
      <c r="C412" s="61"/>
      <c r="D412" s="133"/>
      <c r="E412" s="90"/>
      <c r="F412" s="141"/>
      <c r="G412" s="94"/>
      <c r="H412" s="96"/>
      <c r="I412" s="97"/>
      <c r="J412" s="98"/>
      <c r="K412" s="99"/>
      <c r="L412" s="98"/>
      <c r="M412" s="99"/>
      <c r="N412" s="32"/>
      <c r="O412" s="33"/>
    </row>
    <row r="413" ht="15.75" customHeight="1">
      <c r="A413" s="139"/>
      <c r="B413" s="140"/>
      <c r="C413" s="61"/>
      <c r="D413" s="133"/>
      <c r="E413" s="90"/>
      <c r="F413" s="141"/>
      <c r="G413" s="94"/>
      <c r="H413" s="96"/>
      <c r="I413" s="97"/>
      <c r="J413" s="98"/>
      <c r="K413" s="99"/>
      <c r="L413" s="98"/>
      <c r="M413" s="99"/>
      <c r="N413" s="32"/>
      <c r="O413" s="33"/>
    </row>
    <row r="414" ht="15.75" customHeight="1">
      <c r="A414" s="139"/>
      <c r="B414" s="140"/>
      <c r="C414" s="61"/>
      <c r="D414" s="133"/>
      <c r="E414" s="90"/>
      <c r="F414" s="141"/>
      <c r="G414" s="94"/>
      <c r="H414" s="96"/>
      <c r="I414" s="97"/>
      <c r="J414" s="98"/>
      <c r="K414" s="99"/>
      <c r="L414" s="98"/>
      <c r="M414" s="99"/>
      <c r="N414" s="32"/>
      <c r="O414" s="33"/>
    </row>
    <row r="415" ht="15.75" customHeight="1">
      <c r="A415" s="139"/>
      <c r="B415" s="140"/>
      <c r="C415" s="61"/>
      <c r="D415" s="133"/>
      <c r="E415" s="90"/>
      <c r="F415" s="141"/>
      <c r="G415" s="94"/>
      <c r="H415" s="96"/>
      <c r="I415" s="97"/>
      <c r="J415" s="98"/>
      <c r="K415" s="99"/>
      <c r="L415" s="98"/>
      <c r="M415" s="99"/>
      <c r="N415" s="32"/>
      <c r="O415" s="33"/>
    </row>
    <row r="416" ht="15.75" customHeight="1">
      <c r="A416" s="139"/>
      <c r="B416" s="140"/>
      <c r="C416" s="61"/>
      <c r="D416" s="133"/>
      <c r="E416" s="90"/>
      <c r="F416" s="141"/>
      <c r="G416" s="94"/>
      <c r="H416" s="96"/>
      <c r="I416" s="97"/>
      <c r="J416" s="98"/>
      <c r="K416" s="99"/>
      <c r="L416" s="98"/>
      <c r="M416" s="99"/>
      <c r="N416" s="32"/>
      <c r="O416" s="33"/>
    </row>
    <row r="417" ht="15.75" customHeight="1">
      <c r="A417" s="139"/>
      <c r="B417" s="140"/>
      <c r="C417" s="61"/>
      <c r="D417" s="133"/>
      <c r="E417" s="90"/>
      <c r="F417" s="141"/>
      <c r="G417" s="94"/>
      <c r="H417" s="96"/>
      <c r="I417" s="97"/>
      <c r="J417" s="98"/>
      <c r="K417" s="99"/>
      <c r="L417" s="98"/>
      <c r="M417" s="99"/>
      <c r="N417" s="32"/>
      <c r="O417" s="33"/>
    </row>
    <row r="418" ht="15.75" customHeight="1">
      <c r="A418" s="139"/>
      <c r="B418" s="140"/>
      <c r="C418" s="61"/>
      <c r="D418" s="133"/>
      <c r="E418" s="90"/>
      <c r="F418" s="141"/>
      <c r="G418" s="94"/>
      <c r="H418" s="96"/>
      <c r="I418" s="97"/>
      <c r="J418" s="98"/>
      <c r="K418" s="99"/>
      <c r="L418" s="98"/>
      <c r="M418" s="99"/>
      <c r="N418" s="32"/>
      <c r="O418" s="33"/>
    </row>
    <row r="419" ht="15.75" customHeight="1">
      <c r="A419" s="139"/>
      <c r="B419" s="140"/>
      <c r="C419" s="61"/>
      <c r="D419" s="133"/>
      <c r="E419" s="90"/>
      <c r="F419" s="141"/>
      <c r="G419" s="94"/>
      <c r="H419" s="96"/>
      <c r="I419" s="97"/>
      <c r="J419" s="98"/>
      <c r="K419" s="99"/>
      <c r="L419" s="98"/>
      <c r="M419" s="99"/>
      <c r="N419" s="32"/>
      <c r="O419" s="33"/>
    </row>
    <row r="420" ht="15.75" customHeight="1">
      <c r="A420" s="139"/>
      <c r="B420" s="140"/>
      <c r="C420" s="61"/>
      <c r="D420" s="133"/>
      <c r="E420" s="90"/>
      <c r="F420" s="141"/>
      <c r="G420" s="94"/>
      <c r="H420" s="96"/>
      <c r="I420" s="97"/>
      <c r="J420" s="98"/>
      <c r="K420" s="99"/>
      <c r="L420" s="98"/>
      <c r="M420" s="99"/>
      <c r="N420" s="32"/>
      <c r="O420" s="33"/>
    </row>
    <row r="421" ht="15.75" customHeight="1">
      <c r="A421" s="139"/>
      <c r="B421" s="140"/>
      <c r="C421" s="61"/>
      <c r="D421" s="133"/>
      <c r="E421" s="90"/>
      <c r="F421" s="141"/>
      <c r="G421" s="94"/>
      <c r="H421" s="96"/>
      <c r="I421" s="97"/>
      <c r="J421" s="98"/>
      <c r="K421" s="99"/>
      <c r="L421" s="98"/>
      <c r="M421" s="99"/>
      <c r="N421" s="32"/>
      <c r="O421" s="33"/>
    </row>
    <row r="422" ht="15.75" customHeight="1">
      <c r="A422" s="139"/>
      <c r="B422" s="140"/>
      <c r="C422" s="61"/>
      <c r="D422" s="133"/>
      <c r="E422" s="90"/>
      <c r="F422" s="141"/>
      <c r="G422" s="94"/>
      <c r="H422" s="96"/>
      <c r="I422" s="97"/>
      <c r="J422" s="98"/>
      <c r="K422" s="99"/>
      <c r="L422" s="98"/>
      <c r="M422" s="99"/>
      <c r="N422" s="32"/>
      <c r="O422" s="33"/>
    </row>
    <row r="423" ht="15.75" customHeight="1">
      <c r="A423" s="139"/>
      <c r="B423" s="140"/>
      <c r="C423" s="61"/>
      <c r="D423" s="133"/>
      <c r="E423" s="90"/>
      <c r="F423" s="141"/>
      <c r="G423" s="94"/>
      <c r="H423" s="96"/>
      <c r="I423" s="97"/>
      <c r="J423" s="98"/>
      <c r="K423" s="99"/>
      <c r="L423" s="98"/>
      <c r="M423" s="99"/>
      <c r="N423" s="32"/>
      <c r="O423" s="33"/>
    </row>
    <row r="424" ht="15.75" customHeight="1">
      <c r="A424" s="139"/>
      <c r="B424" s="140"/>
      <c r="C424" s="61"/>
      <c r="D424" s="133"/>
      <c r="E424" s="90"/>
      <c r="F424" s="141"/>
      <c r="G424" s="94"/>
      <c r="H424" s="96"/>
      <c r="I424" s="97"/>
      <c r="J424" s="98"/>
      <c r="K424" s="99"/>
      <c r="L424" s="98"/>
      <c r="M424" s="99"/>
      <c r="N424" s="32"/>
      <c r="O424" s="33"/>
    </row>
    <row r="425" ht="15.75" customHeight="1">
      <c r="A425" s="139"/>
      <c r="B425" s="140"/>
      <c r="C425" s="61"/>
      <c r="D425" s="133"/>
      <c r="E425" s="90"/>
      <c r="F425" s="141"/>
      <c r="G425" s="94"/>
      <c r="H425" s="96"/>
      <c r="I425" s="97"/>
      <c r="J425" s="98"/>
      <c r="K425" s="99"/>
      <c r="L425" s="98"/>
      <c r="M425" s="99"/>
      <c r="N425" s="32"/>
      <c r="O425" s="33"/>
    </row>
    <row r="426" ht="15.75" customHeight="1">
      <c r="A426" s="139"/>
      <c r="B426" s="140"/>
      <c r="C426" s="61"/>
      <c r="D426" s="133"/>
      <c r="E426" s="90"/>
      <c r="F426" s="141"/>
      <c r="G426" s="94"/>
      <c r="H426" s="96"/>
      <c r="I426" s="97"/>
      <c r="J426" s="98"/>
      <c r="K426" s="99"/>
      <c r="L426" s="98"/>
      <c r="M426" s="99"/>
      <c r="N426" s="32"/>
      <c r="O426" s="33"/>
    </row>
    <row r="427" ht="15.75" customHeight="1">
      <c r="A427" s="139"/>
      <c r="B427" s="140"/>
      <c r="C427" s="61"/>
      <c r="D427" s="133"/>
      <c r="E427" s="90"/>
      <c r="F427" s="141"/>
      <c r="G427" s="94"/>
      <c r="H427" s="96"/>
      <c r="I427" s="97"/>
      <c r="J427" s="98"/>
      <c r="K427" s="99"/>
      <c r="L427" s="98"/>
      <c r="M427" s="99"/>
      <c r="N427" s="32"/>
      <c r="O427" s="33"/>
    </row>
    <row r="428" ht="15.75" customHeight="1">
      <c r="A428" s="139"/>
      <c r="B428" s="140"/>
      <c r="C428" s="61"/>
      <c r="D428" s="133"/>
      <c r="E428" s="90"/>
      <c r="F428" s="141"/>
      <c r="G428" s="94"/>
      <c r="H428" s="96"/>
      <c r="I428" s="97"/>
      <c r="J428" s="98"/>
      <c r="K428" s="99"/>
      <c r="L428" s="98"/>
      <c r="M428" s="99"/>
      <c r="N428" s="32"/>
      <c r="O428" s="33"/>
    </row>
    <row r="429" ht="15.75" customHeight="1">
      <c r="A429" s="139"/>
      <c r="B429" s="140"/>
      <c r="C429" s="61"/>
      <c r="D429" s="133"/>
      <c r="E429" s="90"/>
      <c r="F429" s="141"/>
      <c r="G429" s="94"/>
      <c r="H429" s="96"/>
      <c r="I429" s="97"/>
      <c r="J429" s="98"/>
      <c r="K429" s="99"/>
      <c r="L429" s="98"/>
      <c r="M429" s="99"/>
      <c r="N429" s="32"/>
      <c r="O429" s="33"/>
    </row>
    <row r="430" ht="15.75" customHeight="1">
      <c r="A430" s="139"/>
      <c r="B430" s="140"/>
      <c r="C430" s="61"/>
      <c r="D430" s="133"/>
      <c r="E430" s="90"/>
      <c r="F430" s="141"/>
      <c r="G430" s="94"/>
      <c r="H430" s="96"/>
      <c r="I430" s="97"/>
      <c r="J430" s="98"/>
      <c r="K430" s="99"/>
      <c r="L430" s="98"/>
      <c r="M430" s="99"/>
      <c r="N430" s="32"/>
      <c r="O430" s="33"/>
    </row>
    <row r="431" ht="15.75" customHeight="1">
      <c r="A431" s="139"/>
      <c r="B431" s="140"/>
      <c r="C431" s="61"/>
      <c r="D431" s="133"/>
      <c r="E431" s="90"/>
      <c r="F431" s="141"/>
      <c r="G431" s="94"/>
      <c r="H431" s="96"/>
      <c r="I431" s="97"/>
      <c r="J431" s="98"/>
      <c r="K431" s="99"/>
      <c r="L431" s="98"/>
      <c r="M431" s="99"/>
      <c r="N431" s="32"/>
      <c r="O431" s="33"/>
    </row>
    <row r="432" ht="15.75" customHeight="1">
      <c r="A432" s="139"/>
      <c r="B432" s="140"/>
      <c r="C432" s="61"/>
      <c r="D432" s="133"/>
      <c r="E432" s="90"/>
      <c r="F432" s="141"/>
      <c r="G432" s="94"/>
      <c r="H432" s="96"/>
      <c r="I432" s="97"/>
      <c r="J432" s="98"/>
      <c r="K432" s="99"/>
      <c r="L432" s="98"/>
      <c r="M432" s="99"/>
      <c r="N432" s="32"/>
      <c r="O432" s="33"/>
    </row>
    <row r="433" ht="15.75" customHeight="1">
      <c r="A433" s="139"/>
      <c r="B433" s="140"/>
      <c r="C433" s="61"/>
      <c r="D433" s="133"/>
      <c r="E433" s="90"/>
      <c r="F433" s="141"/>
      <c r="G433" s="94"/>
      <c r="H433" s="96"/>
      <c r="I433" s="97"/>
      <c r="J433" s="98"/>
      <c r="K433" s="99"/>
      <c r="L433" s="98"/>
      <c r="M433" s="99"/>
      <c r="N433" s="32"/>
      <c r="O433" s="33"/>
    </row>
    <row r="434" ht="15.75" customHeight="1">
      <c r="A434" s="139"/>
      <c r="B434" s="140"/>
      <c r="C434" s="61"/>
      <c r="D434" s="133"/>
      <c r="E434" s="90"/>
      <c r="F434" s="141"/>
      <c r="G434" s="94"/>
      <c r="H434" s="96"/>
      <c r="I434" s="97"/>
      <c r="J434" s="98"/>
      <c r="K434" s="99"/>
      <c r="L434" s="98"/>
      <c r="M434" s="99"/>
      <c r="N434" s="32"/>
      <c r="O434" s="33"/>
    </row>
    <row r="435" ht="15.75" customHeight="1">
      <c r="A435" s="139"/>
      <c r="B435" s="140"/>
      <c r="C435" s="61"/>
      <c r="D435" s="133"/>
      <c r="E435" s="90"/>
      <c r="F435" s="141"/>
      <c r="G435" s="94"/>
      <c r="H435" s="96"/>
      <c r="I435" s="97"/>
      <c r="J435" s="98"/>
      <c r="K435" s="99"/>
      <c r="L435" s="98"/>
      <c r="M435" s="99"/>
      <c r="N435" s="32"/>
      <c r="O435" s="33"/>
    </row>
    <row r="436" ht="15.75" customHeight="1">
      <c r="A436" s="139"/>
      <c r="B436" s="140"/>
      <c r="C436" s="61"/>
      <c r="D436" s="133"/>
      <c r="E436" s="90"/>
      <c r="F436" s="141"/>
      <c r="G436" s="94"/>
      <c r="H436" s="96"/>
      <c r="I436" s="97"/>
      <c r="J436" s="98"/>
      <c r="K436" s="99"/>
      <c r="L436" s="98"/>
      <c r="M436" s="99"/>
      <c r="N436" s="32"/>
      <c r="O436" s="33"/>
    </row>
    <row r="437" ht="15.75" customHeight="1">
      <c r="A437" s="139"/>
      <c r="B437" s="140"/>
      <c r="C437" s="61"/>
      <c r="D437" s="133"/>
      <c r="E437" s="90"/>
      <c r="F437" s="141"/>
      <c r="G437" s="94"/>
      <c r="H437" s="96"/>
      <c r="I437" s="97"/>
      <c r="J437" s="98"/>
      <c r="K437" s="99"/>
      <c r="L437" s="98"/>
      <c r="M437" s="99"/>
      <c r="N437" s="32"/>
      <c r="O437" s="33"/>
    </row>
    <row r="438" ht="15.75" customHeight="1">
      <c r="A438" s="139"/>
      <c r="B438" s="140"/>
      <c r="C438" s="61"/>
      <c r="D438" s="133"/>
      <c r="E438" s="90"/>
      <c r="F438" s="141"/>
      <c r="G438" s="94"/>
      <c r="H438" s="96"/>
      <c r="I438" s="97"/>
      <c r="J438" s="98"/>
      <c r="K438" s="99"/>
      <c r="L438" s="98"/>
      <c r="M438" s="99"/>
      <c r="N438" s="32"/>
      <c r="O438" s="33"/>
    </row>
    <row r="439" ht="15.75" customHeight="1">
      <c r="A439" s="139"/>
      <c r="B439" s="140"/>
      <c r="C439" s="61"/>
      <c r="D439" s="133"/>
      <c r="E439" s="90"/>
      <c r="F439" s="141"/>
      <c r="G439" s="94"/>
      <c r="H439" s="96"/>
      <c r="I439" s="97"/>
      <c r="J439" s="98"/>
      <c r="K439" s="99"/>
      <c r="L439" s="98"/>
      <c r="M439" s="99"/>
      <c r="N439" s="32"/>
      <c r="O439" s="33"/>
    </row>
    <row r="440" ht="15.75" customHeight="1">
      <c r="A440" s="139"/>
      <c r="B440" s="140"/>
      <c r="C440" s="61"/>
      <c r="D440" s="133"/>
      <c r="E440" s="90"/>
      <c r="F440" s="141"/>
      <c r="G440" s="94"/>
      <c r="H440" s="96"/>
      <c r="I440" s="97"/>
      <c r="J440" s="98"/>
      <c r="K440" s="99"/>
      <c r="L440" s="98"/>
      <c r="M440" s="99"/>
      <c r="N440" s="32"/>
      <c r="O440" s="33"/>
    </row>
    <row r="441" ht="15.75" customHeight="1">
      <c r="A441" s="139"/>
      <c r="B441" s="140"/>
      <c r="C441" s="61"/>
      <c r="D441" s="133"/>
      <c r="E441" s="90"/>
      <c r="F441" s="141"/>
      <c r="G441" s="94"/>
      <c r="H441" s="96"/>
      <c r="I441" s="97"/>
      <c r="J441" s="98"/>
      <c r="K441" s="99"/>
      <c r="L441" s="98"/>
      <c r="M441" s="99"/>
      <c r="N441" s="32"/>
      <c r="O441" s="33"/>
    </row>
    <row r="442" ht="15.75" customHeight="1">
      <c r="A442" s="139"/>
      <c r="B442" s="140"/>
      <c r="C442" s="61"/>
      <c r="D442" s="133"/>
      <c r="E442" s="90"/>
      <c r="F442" s="141"/>
      <c r="G442" s="94"/>
      <c r="H442" s="96"/>
      <c r="I442" s="97"/>
      <c r="J442" s="98"/>
      <c r="K442" s="99"/>
      <c r="L442" s="98"/>
      <c r="M442" s="99"/>
      <c r="N442" s="32"/>
      <c r="O442" s="33"/>
    </row>
    <row r="443" ht="15.75" customHeight="1">
      <c r="A443" s="139"/>
      <c r="B443" s="140"/>
      <c r="C443" s="61"/>
      <c r="D443" s="133"/>
      <c r="E443" s="90"/>
      <c r="F443" s="141"/>
      <c r="G443" s="94"/>
      <c r="H443" s="96"/>
      <c r="I443" s="97"/>
      <c r="J443" s="98"/>
      <c r="K443" s="99"/>
      <c r="L443" s="98"/>
      <c r="M443" s="99"/>
      <c r="N443" s="32"/>
      <c r="O443" s="33"/>
    </row>
    <row r="444" ht="15.75" customHeight="1">
      <c r="A444" s="139"/>
      <c r="B444" s="140"/>
      <c r="C444" s="61"/>
      <c r="D444" s="133"/>
      <c r="E444" s="90"/>
      <c r="F444" s="141"/>
      <c r="G444" s="94"/>
      <c r="H444" s="96"/>
      <c r="I444" s="97"/>
      <c r="J444" s="98"/>
      <c r="K444" s="99"/>
      <c r="L444" s="98"/>
      <c r="M444" s="99"/>
      <c r="N444" s="32"/>
      <c r="O444" s="33"/>
    </row>
    <row r="445" ht="15.75" customHeight="1">
      <c r="A445" s="139"/>
      <c r="B445" s="140"/>
      <c r="C445" s="61"/>
      <c r="D445" s="133"/>
      <c r="E445" s="90"/>
      <c r="F445" s="141"/>
      <c r="G445" s="94"/>
      <c r="H445" s="96"/>
      <c r="I445" s="97"/>
      <c r="J445" s="98"/>
      <c r="K445" s="99"/>
      <c r="L445" s="98"/>
      <c r="M445" s="99"/>
      <c r="N445" s="32"/>
      <c r="O445" s="33"/>
    </row>
    <row r="446" ht="15.75" customHeight="1">
      <c r="A446" s="139"/>
      <c r="B446" s="140"/>
      <c r="C446" s="61"/>
      <c r="D446" s="133"/>
      <c r="E446" s="90"/>
      <c r="F446" s="141"/>
      <c r="G446" s="94"/>
      <c r="H446" s="96"/>
      <c r="I446" s="97"/>
      <c r="J446" s="98"/>
      <c r="K446" s="99"/>
      <c r="L446" s="98"/>
      <c r="M446" s="99"/>
      <c r="N446" s="32"/>
      <c r="O446" s="33"/>
    </row>
    <row r="447" ht="15.75" customHeight="1">
      <c r="A447" s="139"/>
      <c r="B447" s="140"/>
      <c r="C447" s="61"/>
      <c r="D447" s="133"/>
      <c r="E447" s="90"/>
      <c r="F447" s="141"/>
      <c r="G447" s="94"/>
      <c r="H447" s="96"/>
      <c r="I447" s="97"/>
      <c r="J447" s="98"/>
      <c r="K447" s="99"/>
      <c r="L447" s="98"/>
      <c r="M447" s="99"/>
      <c r="N447" s="32"/>
      <c r="O447" s="33"/>
    </row>
    <row r="448" ht="15.75" customHeight="1">
      <c r="A448" s="139"/>
      <c r="B448" s="140"/>
      <c r="C448" s="61"/>
      <c r="D448" s="133"/>
      <c r="E448" s="90"/>
      <c r="F448" s="141"/>
      <c r="G448" s="94"/>
      <c r="H448" s="96"/>
      <c r="I448" s="97"/>
      <c r="J448" s="98"/>
      <c r="K448" s="99"/>
      <c r="L448" s="98"/>
      <c r="M448" s="99"/>
      <c r="N448" s="32"/>
      <c r="O448" s="33"/>
    </row>
    <row r="449" ht="15.75" customHeight="1">
      <c r="A449" s="139"/>
      <c r="B449" s="140"/>
      <c r="C449" s="61"/>
      <c r="D449" s="133"/>
      <c r="E449" s="90"/>
      <c r="F449" s="141"/>
      <c r="G449" s="94"/>
      <c r="H449" s="96"/>
      <c r="I449" s="97"/>
      <c r="J449" s="98"/>
      <c r="K449" s="99"/>
      <c r="L449" s="98"/>
      <c r="M449" s="99"/>
      <c r="N449" s="32"/>
      <c r="O449" s="33"/>
    </row>
    <row r="450" ht="15.75" customHeight="1">
      <c r="A450" s="139"/>
      <c r="B450" s="140"/>
      <c r="C450" s="61"/>
      <c r="D450" s="133"/>
      <c r="E450" s="90"/>
      <c r="F450" s="141"/>
      <c r="G450" s="94"/>
      <c r="H450" s="96"/>
      <c r="I450" s="97"/>
      <c r="J450" s="98"/>
      <c r="K450" s="99"/>
      <c r="L450" s="98"/>
      <c r="M450" s="99"/>
      <c r="N450" s="32"/>
      <c r="O450" s="33"/>
    </row>
    <row r="451" ht="15.75" customHeight="1">
      <c r="A451" s="139"/>
      <c r="B451" s="140"/>
      <c r="C451" s="61"/>
      <c r="D451" s="133"/>
      <c r="E451" s="90"/>
      <c r="F451" s="141"/>
      <c r="G451" s="94"/>
      <c r="H451" s="96"/>
      <c r="I451" s="97"/>
      <c r="J451" s="98"/>
      <c r="K451" s="99"/>
      <c r="L451" s="98"/>
      <c r="M451" s="99"/>
      <c r="N451" s="32"/>
      <c r="O451" s="33"/>
    </row>
    <row r="452" ht="15.75" customHeight="1">
      <c r="A452" s="139"/>
      <c r="B452" s="140"/>
      <c r="C452" s="61"/>
      <c r="D452" s="133"/>
      <c r="E452" s="90"/>
      <c r="F452" s="141"/>
      <c r="G452" s="94"/>
      <c r="H452" s="96"/>
      <c r="I452" s="97"/>
      <c r="J452" s="98"/>
      <c r="K452" s="99"/>
      <c r="L452" s="98"/>
      <c r="M452" s="99"/>
      <c r="N452" s="32"/>
      <c r="O452" s="33"/>
    </row>
    <row r="453" ht="15.75" customHeight="1">
      <c r="A453" s="139"/>
      <c r="B453" s="140"/>
      <c r="C453" s="61"/>
      <c r="D453" s="133"/>
      <c r="E453" s="90"/>
      <c r="F453" s="141"/>
      <c r="G453" s="94"/>
      <c r="H453" s="96"/>
      <c r="I453" s="97"/>
      <c r="J453" s="98"/>
      <c r="K453" s="99"/>
      <c r="L453" s="98"/>
      <c r="M453" s="99"/>
      <c r="N453" s="32"/>
      <c r="O453" s="33"/>
    </row>
    <row r="454" ht="15.75" customHeight="1">
      <c r="A454" s="139"/>
      <c r="B454" s="140"/>
      <c r="C454" s="61"/>
      <c r="D454" s="133"/>
      <c r="E454" s="90"/>
      <c r="F454" s="141"/>
      <c r="G454" s="94"/>
      <c r="H454" s="96"/>
      <c r="I454" s="97"/>
      <c r="J454" s="98"/>
      <c r="K454" s="99"/>
      <c r="L454" s="98"/>
      <c r="M454" s="99"/>
      <c r="N454" s="32"/>
      <c r="O454" s="33"/>
    </row>
    <row r="455" ht="15.75" customHeight="1">
      <c r="A455" s="139"/>
      <c r="B455" s="140"/>
      <c r="C455" s="61"/>
      <c r="D455" s="133"/>
      <c r="E455" s="90"/>
      <c r="F455" s="141"/>
      <c r="G455" s="94"/>
      <c r="H455" s="96"/>
      <c r="I455" s="97"/>
      <c r="J455" s="98"/>
      <c r="K455" s="99"/>
      <c r="L455" s="98"/>
      <c r="M455" s="99"/>
      <c r="N455" s="32"/>
      <c r="O455" s="33"/>
    </row>
    <row r="456" ht="15.75" customHeight="1">
      <c r="A456" s="139"/>
      <c r="B456" s="140"/>
      <c r="C456" s="61"/>
      <c r="D456" s="133"/>
      <c r="E456" s="90"/>
      <c r="F456" s="141"/>
      <c r="G456" s="94"/>
      <c r="H456" s="96"/>
      <c r="I456" s="97"/>
      <c r="J456" s="98"/>
      <c r="K456" s="99"/>
      <c r="L456" s="98"/>
      <c r="M456" s="99"/>
      <c r="N456" s="32"/>
      <c r="O456" s="33"/>
    </row>
    <row r="457" ht="15.75" customHeight="1">
      <c r="A457" s="139"/>
      <c r="B457" s="140"/>
      <c r="C457" s="61"/>
      <c r="D457" s="133"/>
      <c r="E457" s="90"/>
      <c r="F457" s="141"/>
      <c r="G457" s="94"/>
      <c r="H457" s="96"/>
      <c r="I457" s="97"/>
      <c r="J457" s="98"/>
      <c r="K457" s="99"/>
      <c r="L457" s="98"/>
      <c r="M457" s="99"/>
      <c r="N457" s="32"/>
      <c r="O457" s="33"/>
    </row>
    <row r="458" ht="15.75" customHeight="1">
      <c r="A458" s="139"/>
      <c r="B458" s="140"/>
      <c r="C458" s="61"/>
      <c r="D458" s="133"/>
      <c r="E458" s="90"/>
      <c r="F458" s="141"/>
      <c r="G458" s="94"/>
      <c r="H458" s="96"/>
      <c r="I458" s="97"/>
      <c r="J458" s="98"/>
      <c r="K458" s="99"/>
      <c r="L458" s="98"/>
      <c r="M458" s="99"/>
      <c r="N458" s="32"/>
      <c r="O458" s="33"/>
    </row>
    <row r="459" ht="15.75" customHeight="1">
      <c r="A459" s="139"/>
      <c r="B459" s="140"/>
      <c r="C459" s="61"/>
      <c r="D459" s="133"/>
      <c r="E459" s="90"/>
      <c r="F459" s="141"/>
      <c r="G459" s="94"/>
      <c r="H459" s="96"/>
      <c r="I459" s="97"/>
      <c r="J459" s="98"/>
      <c r="K459" s="99"/>
      <c r="L459" s="98"/>
      <c r="M459" s="99"/>
      <c r="N459" s="32"/>
      <c r="O459" s="33"/>
    </row>
    <row r="460" ht="15.75" customHeight="1">
      <c r="A460" s="139"/>
      <c r="B460" s="140"/>
      <c r="C460" s="61"/>
      <c r="D460" s="133"/>
      <c r="E460" s="90"/>
      <c r="F460" s="141"/>
      <c r="G460" s="94"/>
      <c r="H460" s="96"/>
      <c r="I460" s="97"/>
      <c r="J460" s="98"/>
      <c r="K460" s="99"/>
      <c r="L460" s="98"/>
      <c r="M460" s="99"/>
      <c r="N460" s="32"/>
      <c r="O460" s="33"/>
    </row>
    <row r="461" ht="15.75" customHeight="1">
      <c r="A461" s="139"/>
      <c r="B461" s="140"/>
      <c r="C461" s="61"/>
      <c r="D461" s="133"/>
      <c r="E461" s="90"/>
      <c r="F461" s="141"/>
      <c r="G461" s="94"/>
      <c r="H461" s="96"/>
      <c r="I461" s="97"/>
      <c r="J461" s="98"/>
      <c r="K461" s="99"/>
      <c r="L461" s="98"/>
      <c r="M461" s="99"/>
      <c r="N461" s="32"/>
      <c r="O461" s="33"/>
    </row>
    <row r="462" ht="15.75" customHeight="1">
      <c r="A462" s="139"/>
      <c r="B462" s="140"/>
      <c r="C462" s="61"/>
      <c r="D462" s="133"/>
      <c r="E462" s="90"/>
      <c r="F462" s="141"/>
      <c r="G462" s="94"/>
      <c r="H462" s="96"/>
      <c r="I462" s="97"/>
      <c r="J462" s="98"/>
      <c r="K462" s="99"/>
      <c r="L462" s="98"/>
      <c r="M462" s="99"/>
      <c r="N462" s="32"/>
      <c r="O462" s="33"/>
    </row>
    <row r="463" ht="15.75" customHeight="1">
      <c r="A463" s="139"/>
      <c r="B463" s="140"/>
      <c r="C463" s="61"/>
      <c r="D463" s="133"/>
      <c r="E463" s="90"/>
      <c r="F463" s="141"/>
      <c r="G463" s="94"/>
      <c r="H463" s="96"/>
      <c r="I463" s="97"/>
      <c r="J463" s="98"/>
      <c r="K463" s="99"/>
      <c r="L463" s="98"/>
      <c r="M463" s="99"/>
      <c r="N463" s="32"/>
      <c r="O463" s="33"/>
    </row>
    <row r="464" ht="15.75" customHeight="1">
      <c r="A464" s="139"/>
      <c r="B464" s="140"/>
      <c r="C464" s="61"/>
      <c r="D464" s="133"/>
      <c r="E464" s="90"/>
      <c r="F464" s="141"/>
      <c r="G464" s="94"/>
      <c r="H464" s="96"/>
      <c r="I464" s="97"/>
      <c r="J464" s="98"/>
      <c r="K464" s="99"/>
      <c r="L464" s="98"/>
      <c r="M464" s="99"/>
      <c r="N464" s="32"/>
      <c r="O464" s="33"/>
    </row>
    <row r="465" ht="15.75" customHeight="1">
      <c r="A465" s="139"/>
      <c r="B465" s="140"/>
      <c r="C465" s="61"/>
      <c r="D465" s="133"/>
      <c r="E465" s="90"/>
      <c r="F465" s="141"/>
      <c r="G465" s="94"/>
      <c r="H465" s="96"/>
      <c r="I465" s="97"/>
      <c r="J465" s="98"/>
      <c r="K465" s="99"/>
      <c r="L465" s="98"/>
      <c r="M465" s="99"/>
      <c r="N465" s="32"/>
      <c r="O465" s="33"/>
    </row>
    <row r="466" ht="15.75" customHeight="1">
      <c r="A466" s="139"/>
      <c r="B466" s="140"/>
      <c r="C466" s="61"/>
      <c r="D466" s="133"/>
      <c r="E466" s="90"/>
      <c r="F466" s="141"/>
      <c r="G466" s="94"/>
      <c r="H466" s="96"/>
      <c r="I466" s="97"/>
      <c r="J466" s="98"/>
      <c r="K466" s="99"/>
      <c r="L466" s="98"/>
      <c r="M466" s="99"/>
      <c r="N466" s="32"/>
      <c r="O466" s="33"/>
    </row>
    <row r="467" ht="15.75" customHeight="1">
      <c r="A467" s="139"/>
      <c r="B467" s="140"/>
      <c r="C467" s="61"/>
      <c r="D467" s="133"/>
      <c r="E467" s="90"/>
      <c r="F467" s="141"/>
      <c r="G467" s="94"/>
      <c r="H467" s="96"/>
      <c r="I467" s="97"/>
      <c r="J467" s="98"/>
      <c r="K467" s="99"/>
      <c r="L467" s="98"/>
      <c r="M467" s="99"/>
      <c r="N467" s="32"/>
      <c r="O467" s="33"/>
    </row>
    <row r="468" ht="15.75" customHeight="1">
      <c r="A468" s="139"/>
      <c r="B468" s="140"/>
      <c r="C468" s="61"/>
      <c r="D468" s="133"/>
      <c r="E468" s="90"/>
      <c r="F468" s="141"/>
      <c r="G468" s="94"/>
      <c r="H468" s="96"/>
      <c r="I468" s="97"/>
      <c r="J468" s="98"/>
      <c r="K468" s="99"/>
      <c r="L468" s="98"/>
      <c r="M468" s="99"/>
      <c r="N468" s="32"/>
      <c r="O468" s="33"/>
    </row>
    <row r="469" ht="15.75" customHeight="1">
      <c r="A469" s="139"/>
      <c r="B469" s="140"/>
      <c r="C469" s="61"/>
      <c r="D469" s="133"/>
      <c r="E469" s="90"/>
      <c r="F469" s="141"/>
      <c r="G469" s="94"/>
      <c r="H469" s="96"/>
      <c r="I469" s="97"/>
      <c r="J469" s="98"/>
      <c r="K469" s="99"/>
      <c r="L469" s="98"/>
      <c r="M469" s="99"/>
      <c r="N469" s="32"/>
      <c r="O469" s="33"/>
    </row>
    <row r="470" ht="15.75" customHeight="1">
      <c r="A470" s="139"/>
      <c r="B470" s="140"/>
      <c r="C470" s="61"/>
      <c r="D470" s="133"/>
      <c r="E470" s="90"/>
      <c r="F470" s="141"/>
      <c r="G470" s="94"/>
      <c r="H470" s="96"/>
      <c r="I470" s="97"/>
      <c r="J470" s="98"/>
      <c r="K470" s="99"/>
      <c r="L470" s="98"/>
      <c r="M470" s="99"/>
      <c r="N470" s="32"/>
      <c r="O470" s="33"/>
    </row>
    <row r="471" ht="15.75" customHeight="1">
      <c r="A471" s="139"/>
      <c r="B471" s="140"/>
      <c r="C471" s="61"/>
      <c r="D471" s="133"/>
      <c r="E471" s="90"/>
      <c r="F471" s="141"/>
      <c r="G471" s="94"/>
      <c r="H471" s="96"/>
      <c r="I471" s="97"/>
      <c r="J471" s="98"/>
      <c r="K471" s="99"/>
      <c r="L471" s="98"/>
      <c r="M471" s="99"/>
      <c r="N471" s="32"/>
      <c r="O471" s="33"/>
    </row>
    <row r="472" ht="15.75" customHeight="1">
      <c r="A472" s="139"/>
      <c r="B472" s="140"/>
      <c r="C472" s="61"/>
      <c r="D472" s="133"/>
      <c r="E472" s="90"/>
      <c r="F472" s="141"/>
      <c r="G472" s="94"/>
      <c r="H472" s="96"/>
      <c r="I472" s="97"/>
      <c r="J472" s="98"/>
      <c r="K472" s="99"/>
      <c r="L472" s="98"/>
      <c r="M472" s="99"/>
      <c r="N472" s="32"/>
      <c r="O472" s="33"/>
    </row>
    <row r="473" ht="15.75" customHeight="1">
      <c r="A473" s="139"/>
      <c r="B473" s="140"/>
      <c r="C473" s="61"/>
      <c r="D473" s="133"/>
      <c r="E473" s="90"/>
      <c r="F473" s="141"/>
      <c r="G473" s="94"/>
      <c r="H473" s="96"/>
      <c r="I473" s="97"/>
      <c r="J473" s="98"/>
      <c r="K473" s="99"/>
      <c r="L473" s="98"/>
      <c r="M473" s="99"/>
      <c r="N473" s="32"/>
      <c r="O473" s="33"/>
    </row>
    <row r="474" ht="15.75" customHeight="1">
      <c r="A474" s="139"/>
      <c r="B474" s="140"/>
      <c r="C474" s="61"/>
      <c r="D474" s="133"/>
      <c r="E474" s="90"/>
      <c r="F474" s="141"/>
      <c r="G474" s="94"/>
      <c r="H474" s="96"/>
      <c r="I474" s="97"/>
      <c r="J474" s="98"/>
      <c r="K474" s="99"/>
      <c r="L474" s="98"/>
      <c r="M474" s="99"/>
      <c r="N474" s="32"/>
      <c r="O474" s="33"/>
    </row>
    <row r="475" ht="15.75" customHeight="1">
      <c r="A475" s="139"/>
      <c r="B475" s="140"/>
      <c r="C475" s="61"/>
      <c r="D475" s="133"/>
      <c r="E475" s="90"/>
      <c r="F475" s="141"/>
      <c r="G475" s="94"/>
      <c r="H475" s="96"/>
      <c r="I475" s="97"/>
      <c r="J475" s="98"/>
      <c r="K475" s="99"/>
      <c r="L475" s="98"/>
      <c r="M475" s="99"/>
      <c r="N475" s="32"/>
      <c r="O475" s="33"/>
    </row>
    <row r="476" ht="15.75" customHeight="1">
      <c r="A476" s="139"/>
      <c r="B476" s="140"/>
      <c r="C476" s="61"/>
      <c r="D476" s="133"/>
      <c r="E476" s="90"/>
      <c r="F476" s="141"/>
      <c r="G476" s="94"/>
      <c r="H476" s="96"/>
      <c r="I476" s="97"/>
      <c r="J476" s="98"/>
      <c r="K476" s="99"/>
      <c r="L476" s="98"/>
      <c r="M476" s="99"/>
      <c r="N476" s="32"/>
      <c r="O476" s="33"/>
    </row>
    <row r="477" ht="15.75" customHeight="1">
      <c r="A477" s="139"/>
      <c r="B477" s="140"/>
      <c r="C477" s="61"/>
      <c r="D477" s="133"/>
      <c r="E477" s="90"/>
      <c r="F477" s="141"/>
      <c r="G477" s="94"/>
      <c r="H477" s="96"/>
      <c r="I477" s="97"/>
      <c r="J477" s="98"/>
      <c r="K477" s="99"/>
      <c r="L477" s="98"/>
      <c r="M477" s="99"/>
      <c r="N477" s="32"/>
      <c r="O477" s="33"/>
    </row>
    <row r="478" ht="15.75" customHeight="1">
      <c r="A478" s="139"/>
      <c r="B478" s="140"/>
      <c r="C478" s="61"/>
      <c r="D478" s="133"/>
      <c r="E478" s="90"/>
      <c r="F478" s="141"/>
      <c r="G478" s="94"/>
      <c r="H478" s="96"/>
      <c r="I478" s="97"/>
      <c r="J478" s="98"/>
      <c r="K478" s="99"/>
      <c r="L478" s="98"/>
      <c r="M478" s="99"/>
      <c r="N478" s="32"/>
      <c r="O478" s="33"/>
    </row>
    <row r="479" ht="15.75" customHeight="1">
      <c r="A479" s="139"/>
      <c r="B479" s="140"/>
      <c r="C479" s="61"/>
      <c r="D479" s="133"/>
      <c r="E479" s="90"/>
      <c r="F479" s="141"/>
      <c r="G479" s="94"/>
      <c r="H479" s="96"/>
      <c r="I479" s="97"/>
      <c r="J479" s="98"/>
      <c r="K479" s="99"/>
      <c r="L479" s="98"/>
      <c r="M479" s="99"/>
      <c r="N479" s="32"/>
      <c r="O479" s="33"/>
    </row>
    <row r="480" ht="15.75" customHeight="1">
      <c r="A480" s="139"/>
      <c r="B480" s="140"/>
      <c r="C480" s="61"/>
      <c r="D480" s="133"/>
      <c r="E480" s="90"/>
      <c r="F480" s="141"/>
      <c r="G480" s="94"/>
      <c r="H480" s="96"/>
      <c r="I480" s="97"/>
      <c r="J480" s="98"/>
      <c r="K480" s="99"/>
      <c r="L480" s="98"/>
      <c r="M480" s="99"/>
      <c r="N480" s="32"/>
      <c r="O480" s="33"/>
    </row>
    <row r="481" ht="15.75" customHeight="1">
      <c r="A481" s="139"/>
      <c r="B481" s="140"/>
      <c r="C481" s="61"/>
      <c r="D481" s="133"/>
      <c r="E481" s="90"/>
      <c r="F481" s="141"/>
      <c r="G481" s="94"/>
      <c r="H481" s="96"/>
      <c r="I481" s="97"/>
      <c r="J481" s="98"/>
      <c r="K481" s="99"/>
      <c r="L481" s="98"/>
      <c r="M481" s="99"/>
      <c r="N481" s="32"/>
      <c r="O481" s="33"/>
    </row>
    <row r="482" ht="15.75" customHeight="1">
      <c r="A482" s="139"/>
      <c r="B482" s="140"/>
      <c r="C482" s="61"/>
      <c r="D482" s="133"/>
      <c r="E482" s="90"/>
      <c r="F482" s="141"/>
      <c r="G482" s="94"/>
      <c r="H482" s="96"/>
      <c r="I482" s="97"/>
      <c r="J482" s="98"/>
      <c r="K482" s="99"/>
      <c r="L482" s="98"/>
      <c r="M482" s="99"/>
      <c r="N482" s="32"/>
      <c r="O482" s="33"/>
    </row>
    <row r="483" ht="15.75" customHeight="1">
      <c r="A483" s="139"/>
      <c r="B483" s="140"/>
      <c r="C483" s="61"/>
      <c r="D483" s="133"/>
      <c r="E483" s="90"/>
      <c r="F483" s="141"/>
      <c r="G483" s="94"/>
      <c r="H483" s="96"/>
      <c r="I483" s="97"/>
      <c r="J483" s="98"/>
      <c r="K483" s="99"/>
      <c r="L483" s="98"/>
      <c r="M483" s="99"/>
      <c r="N483" s="32"/>
      <c r="O483" s="33"/>
    </row>
    <row r="484" ht="15.75" customHeight="1">
      <c r="A484" s="139"/>
      <c r="B484" s="140"/>
      <c r="C484" s="61"/>
      <c r="D484" s="133"/>
      <c r="E484" s="90"/>
      <c r="F484" s="141"/>
      <c r="G484" s="94"/>
      <c r="H484" s="96"/>
      <c r="I484" s="97"/>
      <c r="J484" s="98"/>
      <c r="K484" s="99"/>
      <c r="L484" s="98"/>
      <c r="M484" s="99"/>
      <c r="N484" s="32"/>
      <c r="O484" s="33"/>
    </row>
    <row r="485" ht="15.75" customHeight="1">
      <c r="A485" s="139"/>
      <c r="B485" s="140"/>
      <c r="C485" s="61"/>
      <c r="D485" s="133"/>
      <c r="E485" s="90"/>
      <c r="F485" s="141"/>
      <c r="G485" s="94"/>
      <c r="H485" s="96"/>
      <c r="I485" s="97"/>
      <c r="J485" s="98"/>
      <c r="K485" s="99"/>
      <c r="L485" s="98"/>
      <c r="M485" s="99"/>
      <c r="N485" s="32"/>
      <c r="O485" s="33"/>
    </row>
    <row r="486" ht="15.75" customHeight="1">
      <c r="A486" s="139"/>
      <c r="B486" s="140"/>
      <c r="C486" s="61"/>
      <c r="D486" s="133"/>
      <c r="E486" s="90"/>
      <c r="F486" s="141"/>
      <c r="G486" s="94"/>
      <c r="H486" s="96"/>
      <c r="I486" s="97"/>
      <c r="J486" s="98"/>
      <c r="K486" s="99"/>
      <c r="L486" s="98"/>
      <c r="M486" s="99"/>
      <c r="N486" s="32"/>
      <c r="O486" s="33"/>
    </row>
    <row r="487" ht="15.75" customHeight="1">
      <c r="A487" s="139"/>
      <c r="B487" s="140"/>
      <c r="C487" s="61"/>
      <c r="D487" s="133"/>
      <c r="E487" s="90"/>
      <c r="F487" s="141"/>
      <c r="G487" s="94"/>
      <c r="H487" s="96"/>
      <c r="I487" s="97"/>
      <c r="J487" s="98"/>
      <c r="K487" s="99"/>
      <c r="L487" s="98"/>
      <c r="M487" s="99"/>
      <c r="N487" s="32"/>
      <c r="O487" s="33"/>
    </row>
    <row r="488" ht="15.75" customHeight="1">
      <c r="A488" s="139"/>
      <c r="B488" s="140"/>
      <c r="C488" s="61"/>
      <c r="D488" s="133"/>
      <c r="E488" s="90"/>
      <c r="F488" s="141"/>
      <c r="G488" s="94"/>
      <c r="H488" s="96"/>
      <c r="I488" s="97"/>
      <c r="J488" s="98"/>
      <c r="K488" s="99"/>
      <c r="L488" s="98"/>
      <c r="M488" s="99"/>
      <c r="N488" s="32"/>
      <c r="O488" s="33"/>
    </row>
    <row r="489" ht="15.75" customHeight="1">
      <c r="A489" s="139"/>
      <c r="B489" s="140"/>
      <c r="C489" s="61"/>
      <c r="D489" s="133"/>
      <c r="E489" s="90"/>
      <c r="F489" s="141"/>
      <c r="G489" s="94"/>
      <c r="H489" s="96"/>
      <c r="I489" s="97"/>
      <c r="J489" s="98"/>
      <c r="K489" s="99"/>
      <c r="L489" s="98"/>
      <c r="M489" s="99"/>
      <c r="N489" s="32"/>
      <c r="O489" s="33"/>
    </row>
    <row r="490" ht="15.75" customHeight="1">
      <c r="A490" s="139"/>
      <c r="B490" s="140"/>
      <c r="C490" s="61"/>
      <c r="D490" s="133"/>
      <c r="E490" s="90"/>
      <c r="F490" s="141"/>
      <c r="G490" s="94"/>
      <c r="H490" s="96"/>
      <c r="I490" s="97"/>
      <c r="J490" s="98"/>
      <c r="K490" s="99"/>
      <c r="L490" s="98"/>
      <c r="M490" s="99"/>
      <c r="N490" s="32"/>
      <c r="O490" s="33"/>
    </row>
    <row r="491" ht="15.75" customHeight="1">
      <c r="A491" s="139"/>
      <c r="B491" s="140"/>
      <c r="C491" s="61"/>
      <c r="D491" s="133"/>
      <c r="E491" s="90"/>
      <c r="F491" s="141"/>
      <c r="G491" s="94"/>
      <c r="H491" s="96"/>
      <c r="I491" s="97"/>
      <c r="J491" s="98"/>
      <c r="K491" s="99"/>
      <c r="L491" s="98"/>
      <c r="M491" s="99"/>
      <c r="N491" s="32"/>
      <c r="O491" s="33"/>
    </row>
    <row r="492" ht="15.75" customHeight="1">
      <c r="A492" s="139"/>
      <c r="B492" s="140"/>
      <c r="C492" s="61"/>
      <c r="D492" s="133"/>
      <c r="E492" s="90"/>
      <c r="F492" s="141"/>
      <c r="G492" s="94"/>
      <c r="H492" s="96"/>
      <c r="I492" s="97"/>
      <c r="J492" s="98"/>
      <c r="K492" s="99"/>
      <c r="L492" s="98"/>
      <c r="M492" s="99"/>
      <c r="N492" s="32"/>
      <c r="O492" s="33"/>
    </row>
    <row r="493" ht="15.75" customHeight="1">
      <c r="A493" s="139"/>
      <c r="B493" s="140"/>
      <c r="C493" s="61"/>
      <c r="D493" s="133"/>
      <c r="E493" s="90"/>
      <c r="F493" s="141"/>
      <c r="G493" s="94"/>
      <c r="H493" s="96"/>
      <c r="I493" s="97"/>
      <c r="J493" s="98"/>
      <c r="K493" s="99"/>
      <c r="L493" s="98"/>
      <c r="M493" s="99"/>
      <c r="N493" s="32"/>
      <c r="O493" s="33"/>
    </row>
    <row r="494" ht="15.75" customHeight="1">
      <c r="A494" s="139"/>
      <c r="B494" s="140"/>
      <c r="C494" s="61"/>
      <c r="D494" s="133"/>
      <c r="E494" s="90"/>
      <c r="F494" s="141"/>
      <c r="G494" s="94"/>
      <c r="H494" s="96"/>
      <c r="I494" s="97"/>
      <c r="J494" s="98"/>
      <c r="K494" s="99"/>
      <c r="L494" s="98"/>
      <c r="M494" s="99"/>
      <c r="N494" s="32"/>
      <c r="O494" s="33"/>
    </row>
    <row r="495" ht="15.75" customHeight="1">
      <c r="A495" s="139"/>
      <c r="B495" s="140"/>
      <c r="C495" s="61"/>
      <c r="D495" s="133"/>
      <c r="E495" s="90"/>
      <c r="F495" s="141"/>
      <c r="G495" s="94"/>
      <c r="H495" s="96"/>
      <c r="I495" s="97"/>
      <c r="J495" s="98"/>
      <c r="K495" s="99"/>
      <c r="L495" s="98"/>
      <c r="M495" s="99"/>
      <c r="N495" s="32"/>
      <c r="O495" s="33"/>
    </row>
    <row r="496" ht="15.75" customHeight="1">
      <c r="A496" s="139"/>
      <c r="B496" s="140"/>
      <c r="C496" s="61"/>
      <c r="D496" s="133"/>
      <c r="E496" s="90"/>
      <c r="F496" s="141"/>
      <c r="G496" s="94"/>
      <c r="H496" s="96"/>
      <c r="I496" s="97"/>
      <c r="J496" s="98"/>
      <c r="K496" s="99"/>
      <c r="L496" s="98"/>
      <c r="M496" s="99"/>
      <c r="N496" s="32"/>
      <c r="O496" s="33"/>
    </row>
    <row r="497" ht="15.75" customHeight="1">
      <c r="A497" s="139"/>
      <c r="B497" s="140"/>
      <c r="C497" s="61"/>
      <c r="D497" s="133"/>
      <c r="E497" s="90"/>
      <c r="F497" s="141"/>
      <c r="G497" s="94"/>
      <c r="H497" s="96"/>
      <c r="I497" s="97"/>
      <c r="J497" s="98"/>
      <c r="K497" s="99"/>
      <c r="L497" s="98"/>
      <c r="M497" s="99"/>
      <c r="N497" s="32"/>
      <c r="O497" s="33"/>
    </row>
    <row r="498" ht="15.75" customHeight="1">
      <c r="A498" s="139"/>
      <c r="B498" s="140"/>
      <c r="C498" s="61"/>
      <c r="D498" s="133"/>
      <c r="E498" s="90"/>
      <c r="F498" s="141"/>
      <c r="G498" s="94"/>
      <c r="H498" s="96"/>
      <c r="I498" s="97"/>
      <c r="J498" s="98"/>
      <c r="K498" s="99"/>
      <c r="L498" s="98"/>
      <c r="M498" s="99"/>
      <c r="N498" s="32"/>
      <c r="O498" s="33"/>
    </row>
    <row r="499" ht="15.75" customHeight="1">
      <c r="A499" s="139"/>
      <c r="B499" s="140"/>
      <c r="C499" s="61"/>
      <c r="D499" s="133"/>
      <c r="E499" s="90"/>
      <c r="F499" s="141"/>
      <c r="G499" s="94"/>
      <c r="H499" s="96"/>
      <c r="I499" s="97"/>
      <c r="J499" s="98"/>
      <c r="K499" s="99"/>
      <c r="L499" s="98"/>
      <c r="M499" s="99"/>
      <c r="N499" s="32"/>
      <c r="O499" s="33"/>
    </row>
    <row r="500" ht="15.75" customHeight="1">
      <c r="A500" s="139"/>
      <c r="B500" s="140"/>
      <c r="C500" s="61"/>
      <c r="D500" s="133"/>
      <c r="E500" s="90"/>
      <c r="F500" s="141"/>
      <c r="G500" s="94"/>
      <c r="H500" s="96"/>
      <c r="I500" s="97"/>
      <c r="J500" s="98"/>
      <c r="K500" s="99"/>
      <c r="L500" s="98"/>
      <c r="M500" s="99"/>
      <c r="N500" s="32"/>
      <c r="O500" s="33"/>
    </row>
    <row r="501" ht="15.75" customHeight="1">
      <c r="A501" s="139"/>
      <c r="B501" s="140"/>
      <c r="C501" s="61"/>
      <c r="D501" s="133"/>
      <c r="E501" s="90"/>
      <c r="F501" s="141"/>
      <c r="G501" s="94"/>
      <c r="H501" s="96"/>
      <c r="I501" s="97"/>
      <c r="J501" s="98"/>
      <c r="K501" s="99"/>
      <c r="L501" s="98"/>
      <c r="M501" s="99"/>
      <c r="N501" s="32"/>
      <c r="O501" s="33"/>
    </row>
    <row r="502" ht="15.75" customHeight="1">
      <c r="A502" s="139"/>
      <c r="B502" s="140"/>
      <c r="C502" s="61"/>
      <c r="D502" s="133"/>
      <c r="E502" s="90"/>
      <c r="F502" s="141"/>
      <c r="G502" s="94"/>
      <c r="H502" s="96"/>
      <c r="I502" s="97"/>
      <c r="J502" s="98"/>
      <c r="K502" s="99"/>
      <c r="L502" s="98"/>
      <c r="M502" s="99"/>
      <c r="N502" s="32"/>
      <c r="O502" s="33"/>
    </row>
    <row r="503" ht="15.75" customHeight="1">
      <c r="A503" s="139"/>
      <c r="B503" s="140"/>
      <c r="C503" s="61"/>
      <c r="D503" s="133"/>
      <c r="E503" s="90"/>
      <c r="F503" s="141"/>
      <c r="G503" s="94"/>
      <c r="H503" s="96"/>
      <c r="I503" s="97"/>
      <c r="J503" s="98"/>
      <c r="K503" s="99"/>
      <c r="L503" s="98"/>
      <c r="M503" s="99"/>
      <c r="N503" s="32"/>
      <c r="O503" s="33"/>
    </row>
    <row r="504" ht="15.75" customHeight="1">
      <c r="A504" s="139"/>
      <c r="B504" s="140"/>
      <c r="C504" s="61"/>
      <c r="D504" s="133"/>
      <c r="E504" s="90"/>
      <c r="F504" s="141"/>
      <c r="G504" s="94"/>
      <c r="H504" s="96"/>
      <c r="I504" s="97"/>
      <c r="J504" s="98"/>
      <c r="K504" s="99"/>
      <c r="L504" s="98"/>
      <c r="M504" s="99"/>
      <c r="N504" s="32"/>
      <c r="O504" s="33"/>
    </row>
    <row r="505" ht="15.75" customHeight="1">
      <c r="A505" s="139"/>
      <c r="B505" s="140"/>
      <c r="C505" s="61"/>
      <c r="D505" s="133"/>
      <c r="E505" s="90"/>
      <c r="F505" s="141"/>
      <c r="G505" s="94"/>
      <c r="H505" s="96"/>
      <c r="I505" s="97"/>
      <c r="J505" s="98"/>
      <c r="K505" s="99"/>
      <c r="L505" s="98"/>
      <c r="M505" s="99"/>
      <c r="N505" s="32"/>
      <c r="O505" s="33"/>
    </row>
    <row r="506" ht="15.75" customHeight="1">
      <c r="A506" s="139"/>
      <c r="B506" s="140"/>
      <c r="C506" s="61"/>
      <c r="D506" s="133"/>
      <c r="E506" s="90"/>
      <c r="F506" s="141"/>
      <c r="G506" s="94"/>
      <c r="H506" s="96"/>
      <c r="I506" s="97"/>
      <c r="J506" s="98"/>
      <c r="K506" s="99"/>
      <c r="L506" s="98"/>
      <c r="M506" s="99"/>
      <c r="N506" s="32"/>
      <c r="O506" s="33"/>
    </row>
    <row r="507" ht="15.75" customHeight="1">
      <c r="A507" s="139"/>
      <c r="B507" s="140"/>
      <c r="C507" s="61"/>
      <c r="D507" s="133"/>
      <c r="E507" s="90"/>
      <c r="F507" s="141"/>
      <c r="G507" s="94"/>
      <c r="H507" s="96"/>
      <c r="I507" s="97"/>
      <c r="J507" s="98"/>
      <c r="K507" s="99"/>
      <c r="L507" s="98"/>
      <c r="M507" s="99"/>
      <c r="N507" s="32"/>
      <c r="O507" s="33"/>
    </row>
    <row r="508" ht="15.75" customHeight="1">
      <c r="A508" s="139"/>
      <c r="B508" s="140"/>
      <c r="C508" s="61"/>
      <c r="D508" s="133"/>
      <c r="E508" s="90"/>
      <c r="F508" s="141"/>
      <c r="G508" s="94"/>
      <c r="H508" s="96"/>
      <c r="I508" s="97"/>
      <c r="J508" s="98"/>
      <c r="K508" s="99"/>
      <c r="L508" s="98"/>
      <c r="M508" s="99"/>
      <c r="N508" s="32"/>
      <c r="O508" s="33"/>
    </row>
    <row r="509" ht="15.75" customHeight="1">
      <c r="A509" s="139"/>
      <c r="B509" s="140"/>
      <c r="C509" s="61"/>
      <c r="D509" s="133"/>
      <c r="E509" s="90"/>
      <c r="F509" s="141"/>
      <c r="G509" s="94"/>
      <c r="H509" s="96"/>
      <c r="I509" s="97"/>
      <c r="J509" s="98"/>
      <c r="K509" s="99"/>
      <c r="L509" s="98"/>
      <c r="M509" s="99"/>
      <c r="N509" s="32"/>
      <c r="O509" s="33"/>
    </row>
    <row r="510" ht="15.75" customHeight="1">
      <c r="A510" s="139"/>
      <c r="B510" s="140"/>
      <c r="C510" s="61"/>
      <c r="D510" s="133"/>
      <c r="E510" s="90"/>
      <c r="F510" s="141"/>
      <c r="G510" s="94"/>
      <c r="H510" s="96"/>
      <c r="I510" s="97"/>
      <c r="J510" s="98"/>
      <c r="K510" s="99"/>
      <c r="L510" s="98"/>
      <c r="M510" s="99"/>
      <c r="N510" s="32"/>
      <c r="O510" s="33"/>
    </row>
    <row r="511" ht="15.75" customHeight="1">
      <c r="A511" s="139"/>
      <c r="B511" s="140"/>
      <c r="C511" s="61"/>
      <c r="D511" s="133"/>
      <c r="E511" s="90"/>
      <c r="F511" s="141"/>
      <c r="G511" s="94"/>
      <c r="H511" s="96"/>
      <c r="I511" s="97"/>
      <c r="J511" s="98"/>
      <c r="K511" s="99"/>
      <c r="L511" s="98"/>
      <c r="M511" s="99"/>
      <c r="N511" s="32"/>
      <c r="O511" s="33"/>
    </row>
    <row r="512" ht="15.75" customHeight="1">
      <c r="A512" s="139"/>
      <c r="B512" s="140"/>
      <c r="C512" s="61"/>
      <c r="D512" s="133"/>
      <c r="E512" s="90"/>
      <c r="F512" s="141"/>
      <c r="G512" s="94"/>
      <c r="H512" s="96"/>
      <c r="I512" s="97"/>
      <c r="J512" s="98"/>
      <c r="K512" s="99"/>
      <c r="L512" s="98"/>
      <c r="M512" s="99"/>
      <c r="N512" s="32"/>
      <c r="O512" s="33"/>
    </row>
    <row r="513" ht="15.75" customHeight="1">
      <c r="A513" s="139"/>
      <c r="B513" s="140"/>
      <c r="C513" s="61"/>
      <c r="D513" s="133"/>
      <c r="E513" s="90"/>
      <c r="F513" s="141"/>
      <c r="G513" s="94"/>
      <c r="H513" s="96"/>
      <c r="I513" s="97"/>
      <c r="J513" s="98"/>
      <c r="K513" s="99"/>
      <c r="L513" s="98"/>
      <c r="M513" s="99"/>
      <c r="N513" s="32"/>
      <c r="O513" s="33"/>
    </row>
    <row r="514" ht="15.75" customHeight="1">
      <c r="A514" s="139"/>
      <c r="B514" s="140"/>
      <c r="C514" s="61"/>
      <c r="D514" s="133"/>
      <c r="E514" s="90"/>
      <c r="F514" s="141"/>
      <c r="G514" s="94"/>
      <c r="H514" s="96"/>
      <c r="I514" s="97"/>
      <c r="J514" s="98"/>
      <c r="K514" s="99"/>
      <c r="L514" s="98"/>
      <c r="M514" s="99"/>
      <c r="N514" s="32"/>
      <c r="O514" s="33"/>
    </row>
    <row r="515" ht="15.75" customHeight="1">
      <c r="A515" s="139"/>
      <c r="B515" s="140"/>
      <c r="C515" s="61"/>
      <c r="D515" s="133"/>
      <c r="E515" s="90"/>
      <c r="F515" s="141"/>
      <c r="G515" s="94"/>
      <c r="H515" s="96"/>
      <c r="I515" s="97"/>
      <c r="J515" s="98"/>
      <c r="K515" s="99"/>
      <c r="L515" s="98"/>
      <c r="M515" s="99"/>
      <c r="N515" s="32"/>
      <c r="O515" s="33"/>
    </row>
    <row r="516" ht="15.75" customHeight="1">
      <c r="A516" s="139"/>
      <c r="B516" s="140"/>
      <c r="C516" s="61"/>
      <c r="D516" s="133"/>
      <c r="E516" s="90"/>
      <c r="F516" s="141"/>
      <c r="G516" s="94"/>
      <c r="H516" s="96"/>
      <c r="I516" s="97"/>
      <c r="J516" s="98"/>
      <c r="K516" s="99"/>
      <c r="L516" s="98"/>
      <c r="M516" s="99"/>
      <c r="N516" s="32"/>
      <c r="O516" s="33"/>
    </row>
    <row r="517" ht="15.75" customHeight="1">
      <c r="A517" s="139"/>
      <c r="B517" s="140"/>
      <c r="C517" s="61"/>
      <c r="D517" s="133"/>
      <c r="E517" s="90"/>
      <c r="F517" s="141"/>
      <c r="G517" s="94"/>
      <c r="H517" s="96"/>
      <c r="I517" s="97"/>
      <c r="J517" s="98"/>
      <c r="K517" s="99"/>
      <c r="L517" s="98"/>
      <c r="M517" s="99"/>
      <c r="N517" s="32"/>
      <c r="O517" s="33"/>
    </row>
    <row r="518" ht="15.75" customHeight="1">
      <c r="A518" s="139"/>
      <c r="B518" s="140"/>
      <c r="C518" s="61"/>
      <c r="D518" s="133"/>
      <c r="E518" s="90"/>
      <c r="F518" s="141"/>
      <c r="G518" s="94"/>
      <c r="H518" s="96"/>
      <c r="I518" s="97"/>
      <c r="J518" s="98"/>
      <c r="K518" s="99"/>
      <c r="L518" s="98"/>
      <c r="M518" s="99"/>
      <c r="N518" s="32"/>
      <c r="O518" s="33"/>
    </row>
    <row r="519" ht="15.75" customHeight="1">
      <c r="A519" s="139"/>
      <c r="B519" s="140"/>
      <c r="C519" s="61"/>
      <c r="D519" s="133"/>
      <c r="E519" s="90"/>
      <c r="F519" s="141"/>
      <c r="G519" s="94"/>
      <c r="H519" s="96"/>
      <c r="I519" s="97"/>
      <c r="J519" s="98"/>
      <c r="K519" s="99"/>
      <c r="L519" s="98"/>
      <c r="M519" s="99"/>
      <c r="N519" s="32"/>
      <c r="O519" s="33"/>
    </row>
    <row r="520" ht="15.75" customHeight="1">
      <c r="A520" s="139"/>
      <c r="B520" s="140"/>
      <c r="C520" s="61"/>
      <c r="D520" s="133"/>
      <c r="E520" s="90"/>
      <c r="F520" s="141"/>
      <c r="G520" s="94"/>
      <c r="H520" s="96"/>
      <c r="I520" s="97"/>
      <c r="J520" s="98"/>
      <c r="K520" s="99"/>
      <c r="L520" s="98"/>
      <c r="M520" s="99"/>
      <c r="N520" s="32"/>
      <c r="O520" s="33"/>
    </row>
    <row r="521" ht="15.75" customHeight="1">
      <c r="A521" s="139"/>
      <c r="B521" s="140"/>
      <c r="C521" s="61"/>
      <c r="D521" s="133"/>
      <c r="E521" s="90"/>
      <c r="F521" s="141"/>
      <c r="G521" s="94"/>
      <c r="H521" s="96"/>
      <c r="I521" s="97"/>
      <c r="J521" s="98"/>
      <c r="K521" s="99"/>
      <c r="L521" s="98"/>
      <c r="M521" s="99"/>
      <c r="N521" s="32"/>
      <c r="O521" s="33"/>
    </row>
    <row r="522" ht="15.75" customHeight="1">
      <c r="A522" s="139"/>
      <c r="B522" s="140"/>
      <c r="C522" s="61"/>
      <c r="D522" s="133"/>
      <c r="E522" s="90"/>
      <c r="F522" s="141"/>
      <c r="G522" s="94"/>
      <c r="H522" s="96"/>
      <c r="I522" s="97"/>
      <c r="J522" s="98"/>
      <c r="K522" s="99"/>
      <c r="L522" s="98"/>
      <c r="M522" s="99"/>
      <c r="N522" s="32"/>
      <c r="O522" s="33"/>
    </row>
    <row r="523" ht="15.75" customHeight="1">
      <c r="A523" s="139"/>
      <c r="B523" s="140"/>
      <c r="C523" s="61"/>
      <c r="D523" s="133"/>
      <c r="E523" s="90"/>
      <c r="F523" s="141"/>
      <c r="G523" s="94"/>
      <c r="H523" s="96"/>
      <c r="I523" s="97"/>
      <c r="J523" s="98"/>
      <c r="K523" s="99"/>
      <c r="L523" s="98"/>
      <c r="M523" s="99"/>
      <c r="N523" s="32"/>
      <c r="O523" s="33"/>
    </row>
    <row r="524" ht="15.75" customHeight="1">
      <c r="A524" s="139"/>
      <c r="B524" s="140"/>
      <c r="C524" s="61"/>
      <c r="D524" s="133"/>
      <c r="E524" s="90"/>
      <c r="F524" s="141"/>
      <c r="G524" s="94"/>
      <c r="H524" s="96"/>
      <c r="I524" s="97"/>
      <c r="J524" s="98"/>
      <c r="K524" s="99"/>
      <c r="L524" s="98"/>
      <c r="M524" s="99"/>
      <c r="N524" s="32"/>
      <c r="O524" s="33"/>
    </row>
    <row r="525" ht="15.75" customHeight="1">
      <c r="A525" s="139"/>
      <c r="B525" s="140"/>
      <c r="C525" s="61"/>
      <c r="D525" s="133"/>
      <c r="E525" s="90"/>
      <c r="F525" s="141"/>
      <c r="G525" s="94"/>
      <c r="H525" s="96"/>
      <c r="I525" s="97"/>
      <c r="J525" s="98"/>
      <c r="K525" s="99"/>
      <c r="L525" s="98"/>
      <c r="M525" s="99"/>
      <c r="N525" s="32"/>
      <c r="O525" s="33"/>
    </row>
    <row r="526" ht="15.75" customHeight="1">
      <c r="A526" s="139"/>
      <c r="B526" s="140"/>
      <c r="C526" s="61"/>
      <c r="D526" s="133"/>
      <c r="E526" s="90"/>
      <c r="F526" s="141"/>
      <c r="G526" s="94"/>
      <c r="H526" s="96"/>
      <c r="I526" s="97"/>
      <c r="J526" s="98"/>
      <c r="K526" s="99"/>
      <c r="L526" s="98"/>
      <c r="M526" s="99"/>
      <c r="N526" s="32"/>
      <c r="O526" s="33"/>
    </row>
    <row r="527" ht="15.75" customHeight="1">
      <c r="A527" s="139"/>
      <c r="B527" s="140"/>
      <c r="C527" s="61"/>
      <c r="D527" s="133"/>
      <c r="E527" s="90"/>
      <c r="F527" s="141"/>
      <c r="G527" s="94"/>
      <c r="H527" s="96"/>
      <c r="I527" s="97"/>
      <c r="J527" s="98"/>
      <c r="K527" s="99"/>
      <c r="L527" s="98"/>
      <c r="M527" s="99"/>
      <c r="N527" s="32"/>
      <c r="O527" s="33"/>
    </row>
    <row r="528" ht="15.75" customHeight="1">
      <c r="A528" s="139"/>
      <c r="B528" s="140"/>
      <c r="C528" s="61"/>
      <c r="D528" s="133"/>
      <c r="E528" s="90"/>
      <c r="F528" s="141"/>
      <c r="G528" s="94"/>
      <c r="H528" s="96"/>
      <c r="I528" s="97"/>
      <c r="J528" s="98"/>
      <c r="K528" s="99"/>
      <c r="L528" s="98"/>
      <c r="M528" s="99"/>
      <c r="N528" s="32"/>
      <c r="O528" s="33"/>
    </row>
    <row r="529" ht="15.75" customHeight="1">
      <c r="A529" s="139"/>
      <c r="B529" s="140"/>
      <c r="C529" s="61"/>
      <c r="D529" s="133"/>
      <c r="E529" s="90"/>
      <c r="F529" s="141"/>
      <c r="G529" s="94"/>
      <c r="H529" s="96"/>
      <c r="I529" s="97"/>
      <c r="J529" s="98"/>
      <c r="K529" s="99"/>
      <c r="L529" s="98"/>
      <c r="M529" s="99"/>
      <c r="N529" s="32"/>
      <c r="O529" s="33"/>
    </row>
    <row r="530" ht="15.75" customHeight="1">
      <c r="A530" s="139"/>
      <c r="B530" s="140"/>
      <c r="C530" s="61"/>
      <c r="D530" s="133"/>
      <c r="E530" s="90"/>
      <c r="F530" s="141"/>
      <c r="G530" s="94"/>
      <c r="H530" s="96"/>
      <c r="I530" s="97"/>
      <c r="J530" s="98"/>
      <c r="K530" s="99"/>
      <c r="L530" s="98"/>
      <c r="M530" s="99"/>
      <c r="N530" s="32"/>
      <c r="O530" s="33"/>
    </row>
    <row r="531" ht="15.75" customHeight="1">
      <c r="A531" s="139"/>
      <c r="B531" s="140"/>
      <c r="C531" s="61"/>
      <c r="D531" s="133"/>
      <c r="E531" s="90"/>
      <c r="F531" s="141"/>
      <c r="G531" s="94"/>
      <c r="H531" s="96"/>
      <c r="I531" s="97"/>
      <c r="J531" s="98"/>
      <c r="K531" s="99"/>
      <c r="L531" s="98"/>
      <c r="M531" s="99"/>
      <c r="N531" s="32"/>
      <c r="O531" s="33"/>
    </row>
    <row r="532" ht="15.75" customHeight="1">
      <c r="A532" s="139"/>
      <c r="B532" s="140"/>
      <c r="C532" s="61"/>
      <c r="D532" s="133"/>
      <c r="E532" s="90"/>
      <c r="F532" s="141"/>
      <c r="G532" s="94"/>
      <c r="H532" s="96"/>
      <c r="I532" s="97"/>
      <c r="J532" s="98"/>
      <c r="K532" s="99"/>
      <c r="L532" s="98"/>
      <c r="M532" s="99"/>
      <c r="N532" s="32"/>
      <c r="O532" s="33"/>
    </row>
    <row r="533" ht="15.75" customHeight="1">
      <c r="A533" s="139"/>
      <c r="B533" s="140"/>
      <c r="C533" s="61"/>
      <c r="D533" s="133"/>
      <c r="E533" s="90"/>
      <c r="F533" s="141"/>
      <c r="G533" s="94"/>
      <c r="H533" s="96"/>
      <c r="I533" s="97"/>
      <c r="J533" s="98"/>
      <c r="K533" s="99"/>
      <c r="L533" s="98"/>
      <c r="M533" s="99"/>
      <c r="N533" s="32"/>
      <c r="O533" s="33"/>
    </row>
    <row r="534" ht="15.75" customHeight="1">
      <c r="A534" s="139"/>
      <c r="B534" s="140"/>
      <c r="C534" s="61"/>
      <c r="D534" s="133"/>
      <c r="E534" s="90"/>
      <c r="F534" s="141"/>
      <c r="G534" s="94"/>
      <c r="H534" s="96"/>
      <c r="I534" s="97"/>
      <c r="J534" s="98"/>
      <c r="K534" s="99"/>
      <c r="L534" s="98"/>
      <c r="M534" s="99"/>
      <c r="N534" s="32"/>
      <c r="O534" s="33"/>
    </row>
    <row r="535" ht="15.75" customHeight="1">
      <c r="A535" s="139"/>
      <c r="B535" s="140"/>
      <c r="C535" s="61"/>
      <c r="D535" s="133"/>
      <c r="E535" s="90"/>
      <c r="F535" s="141"/>
      <c r="G535" s="94"/>
      <c r="H535" s="96"/>
      <c r="I535" s="97"/>
      <c r="J535" s="98"/>
      <c r="K535" s="99"/>
      <c r="L535" s="98"/>
      <c r="M535" s="99"/>
      <c r="N535" s="32"/>
      <c r="O535" s="33"/>
    </row>
    <row r="536" ht="15.75" customHeight="1">
      <c r="A536" s="139"/>
      <c r="B536" s="140"/>
      <c r="C536" s="61"/>
      <c r="D536" s="133"/>
      <c r="E536" s="90"/>
      <c r="F536" s="141"/>
      <c r="G536" s="94"/>
      <c r="H536" s="96"/>
      <c r="I536" s="97"/>
      <c r="J536" s="98"/>
      <c r="K536" s="99"/>
      <c r="L536" s="98"/>
      <c r="M536" s="99"/>
      <c r="N536" s="32"/>
      <c r="O536" s="33"/>
    </row>
    <row r="537" ht="15.75" customHeight="1">
      <c r="A537" s="139"/>
      <c r="B537" s="140"/>
      <c r="C537" s="61"/>
      <c r="D537" s="133"/>
      <c r="E537" s="90"/>
      <c r="F537" s="141"/>
      <c r="G537" s="94"/>
      <c r="H537" s="96"/>
      <c r="I537" s="97"/>
      <c r="J537" s="98"/>
      <c r="K537" s="99"/>
      <c r="L537" s="98"/>
      <c r="M537" s="99"/>
      <c r="N537" s="32"/>
      <c r="O537" s="33"/>
    </row>
    <row r="538" ht="15.75" customHeight="1">
      <c r="A538" s="139"/>
      <c r="B538" s="140"/>
      <c r="C538" s="61"/>
      <c r="D538" s="133"/>
      <c r="E538" s="90"/>
      <c r="F538" s="141"/>
      <c r="G538" s="94"/>
      <c r="H538" s="96"/>
      <c r="I538" s="97"/>
      <c r="J538" s="98"/>
      <c r="K538" s="99"/>
      <c r="L538" s="98"/>
      <c r="M538" s="99"/>
      <c r="N538" s="32"/>
      <c r="O538" s="33"/>
    </row>
    <row r="539" ht="15.75" customHeight="1">
      <c r="A539" s="139"/>
      <c r="B539" s="140"/>
      <c r="C539" s="61"/>
      <c r="D539" s="133"/>
      <c r="E539" s="90"/>
      <c r="F539" s="141"/>
      <c r="G539" s="94"/>
      <c r="H539" s="96"/>
      <c r="I539" s="97"/>
      <c r="J539" s="98"/>
      <c r="K539" s="99"/>
      <c r="L539" s="98"/>
      <c r="M539" s="99"/>
      <c r="N539" s="32"/>
      <c r="O539" s="33"/>
    </row>
    <row r="540" ht="15.75" customHeight="1">
      <c r="A540" s="139"/>
      <c r="B540" s="140"/>
      <c r="C540" s="61"/>
      <c r="D540" s="133"/>
      <c r="E540" s="90"/>
      <c r="F540" s="141"/>
      <c r="G540" s="94"/>
      <c r="H540" s="96"/>
      <c r="I540" s="97"/>
      <c r="J540" s="98"/>
      <c r="K540" s="99"/>
      <c r="L540" s="98"/>
      <c r="M540" s="99"/>
      <c r="N540" s="32"/>
      <c r="O540" s="33"/>
    </row>
    <row r="541" ht="15.75" customHeight="1">
      <c r="A541" s="139"/>
      <c r="B541" s="140"/>
      <c r="C541" s="61"/>
      <c r="D541" s="133"/>
      <c r="E541" s="90"/>
      <c r="F541" s="141"/>
      <c r="G541" s="94"/>
      <c r="H541" s="96"/>
      <c r="I541" s="97"/>
      <c r="J541" s="98"/>
      <c r="K541" s="99"/>
      <c r="L541" s="98"/>
      <c r="M541" s="99"/>
      <c r="N541" s="32"/>
      <c r="O541" s="33"/>
    </row>
    <row r="542" ht="15.75" customHeight="1">
      <c r="A542" s="142"/>
      <c r="B542" s="143"/>
      <c r="C542" s="144"/>
      <c r="D542" s="145"/>
      <c r="E542" s="142"/>
      <c r="F542" s="146"/>
      <c r="G542" s="147"/>
      <c r="H542" s="148"/>
      <c r="I542" s="148"/>
      <c r="J542" s="149"/>
      <c r="K542" s="149"/>
      <c r="L542" s="149"/>
      <c r="M542" s="149"/>
      <c r="N542" s="142"/>
      <c r="O542" s="33"/>
    </row>
    <row r="543" ht="15.75" customHeight="1">
      <c r="A543" s="142"/>
      <c r="B543" s="143"/>
      <c r="C543" s="144"/>
      <c r="D543" s="145"/>
      <c r="E543" s="142"/>
      <c r="F543" s="146"/>
      <c r="G543" s="147"/>
      <c r="H543" s="148"/>
      <c r="I543" s="148"/>
      <c r="J543" s="149"/>
      <c r="K543" s="149"/>
      <c r="L543" s="149"/>
      <c r="M543" s="149"/>
      <c r="N543" s="142"/>
      <c r="O543" s="33"/>
    </row>
    <row r="544" ht="15.75" customHeight="1">
      <c r="A544" s="142"/>
      <c r="B544" s="143"/>
      <c r="C544" s="144"/>
      <c r="D544" s="145"/>
      <c r="E544" s="142"/>
      <c r="F544" s="146"/>
      <c r="G544" s="147"/>
      <c r="H544" s="148"/>
      <c r="I544" s="148"/>
      <c r="J544" s="149"/>
      <c r="K544" s="149"/>
      <c r="L544" s="149"/>
      <c r="M544" s="149"/>
      <c r="N544" s="142"/>
      <c r="O544" s="33"/>
    </row>
    <row r="545" ht="15.75" customHeight="1">
      <c r="A545" s="142"/>
      <c r="B545" s="143"/>
      <c r="C545" s="144"/>
      <c r="D545" s="145"/>
      <c r="E545" s="142"/>
      <c r="F545" s="146"/>
      <c r="G545" s="147"/>
      <c r="H545" s="148"/>
      <c r="I545" s="148"/>
      <c r="J545" s="149"/>
      <c r="K545" s="149"/>
      <c r="L545" s="149"/>
      <c r="M545" s="149"/>
      <c r="N545" s="142"/>
      <c r="O545" s="33"/>
    </row>
    <row r="546" ht="15.75" customHeight="1">
      <c r="A546" s="142"/>
      <c r="B546" s="143"/>
      <c r="C546" s="144"/>
      <c r="D546" s="145"/>
      <c r="E546" s="142"/>
      <c r="F546" s="146"/>
      <c r="G546" s="147"/>
      <c r="H546" s="148"/>
      <c r="I546" s="148"/>
      <c r="J546" s="149"/>
      <c r="K546" s="149"/>
      <c r="L546" s="149"/>
      <c r="M546" s="149"/>
      <c r="N546" s="142"/>
      <c r="O546" s="33"/>
    </row>
    <row r="547" ht="15.75" customHeight="1">
      <c r="A547" s="142"/>
      <c r="B547" s="143"/>
      <c r="C547" s="144"/>
      <c r="D547" s="145"/>
      <c r="E547" s="142"/>
      <c r="F547" s="146"/>
      <c r="G547" s="147"/>
      <c r="H547" s="148"/>
      <c r="I547" s="148"/>
      <c r="J547" s="149"/>
      <c r="K547" s="149"/>
      <c r="L547" s="149"/>
      <c r="M547" s="149"/>
      <c r="N547" s="142"/>
      <c r="O547" s="33"/>
    </row>
    <row r="548" ht="15.75" customHeight="1">
      <c r="A548" s="142"/>
      <c r="B548" s="143"/>
      <c r="C548" s="144"/>
      <c r="D548" s="145"/>
      <c r="E548" s="142"/>
      <c r="F548" s="146"/>
      <c r="G548" s="147"/>
      <c r="H548" s="148"/>
      <c r="I548" s="148"/>
      <c r="J548" s="149"/>
      <c r="K548" s="149"/>
      <c r="L548" s="149"/>
      <c r="M548" s="149"/>
      <c r="N548" s="142"/>
      <c r="O548" s="33"/>
    </row>
    <row r="549" ht="15.75" customHeight="1">
      <c r="A549" s="142"/>
      <c r="B549" s="143"/>
      <c r="C549" s="144"/>
      <c r="D549" s="145"/>
      <c r="E549" s="142"/>
      <c r="F549" s="146"/>
      <c r="G549" s="147"/>
      <c r="H549" s="148"/>
      <c r="I549" s="148"/>
      <c r="J549" s="149"/>
      <c r="K549" s="149"/>
      <c r="L549" s="149"/>
      <c r="M549" s="149"/>
      <c r="N549" s="142"/>
      <c r="O549" s="33"/>
    </row>
    <row r="550" ht="15.75" customHeight="1">
      <c r="A550" s="142"/>
      <c r="B550" s="143"/>
      <c r="C550" s="144"/>
      <c r="D550" s="145"/>
      <c r="E550" s="142"/>
      <c r="F550" s="146"/>
      <c r="G550" s="147"/>
      <c r="H550" s="148"/>
      <c r="I550" s="148"/>
      <c r="J550" s="149"/>
      <c r="K550" s="149"/>
      <c r="L550" s="149"/>
      <c r="M550" s="149"/>
      <c r="N550" s="142"/>
      <c r="O550" s="33"/>
    </row>
    <row r="551" ht="15.75" customHeight="1">
      <c r="A551" s="142"/>
      <c r="B551" s="143"/>
      <c r="C551" s="144"/>
      <c r="D551" s="145"/>
      <c r="E551" s="142"/>
      <c r="F551" s="146"/>
      <c r="G551" s="147"/>
      <c r="H551" s="148"/>
      <c r="I551" s="148"/>
      <c r="J551" s="149"/>
      <c r="K551" s="149"/>
      <c r="L551" s="149"/>
      <c r="M551" s="149"/>
      <c r="N551" s="142"/>
      <c r="O551" s="33"/>
    </row>
    <row r="552" ht="15.75" customHeight="1">
      <c r="A552" s="142"/>
      <c r="B552" s="143"/>
      <c r="C552" s="144"/>
      <c r="D552" s="145"/>
      <c r="E552" s="142"/>
      <c r="F552" s="146"/>
      <c r="G552" s="147"/>
      <c r="H552" s="148"/>
      <c r="I552" s="148"/>
      <c r="J552" s="149"/>
      <c r="K552" s="149"/>
      <c r="L552" s="149"/>
      <c r="M552" s="149"/>
      <c r="N552" s="142"/>
      <c r="O552" s="33"/>
    </row>
    <row r="553" ht="15.75" customHeight="1">
      <c r="A553" s="142"/>
      <c r="B553" s="143"/>
      <c r="C553" s="144"/>
      <c r="D553" s="145"/>
      <c r="E553" s="142"/>
      <c r="F553" s="146"/>
      <c r="G553" s="147"/>
      <c r="H553" s="148"/>
      <c r="I553" s="148"/>
      <c r="J553" s="149"/>
      <c r="K553" s="149"/>
      <c r="L553" s="149"/>
      <c r="M553" s="149"/>
      <c r="N553" s="142"/>
      <c r="O553" s="33"/>
    </row>
    <row r="554" ht="15.75" customHeight="1">
      <c r="A554" s="142"/>
      <c r="B554" s="143"/>
      <c r="C554" s="144"/>
      <c r="D554" s="145"/>
      <c r="E554" s="142"/>
      <c r="F554" s="146"/>
      <c r="G554" s="147"/>
      <c r="H554" s="148"/>
      <c r="I554" s="148"/>
      <c r="J554" s="149"/>
      <c r="K554" s="149"/>
      <c r="L554" s="149"/>
      <c r="M554" s="149"/>
      <c r="N554" s="142"/>
      <c r="O554" s="33"/>
    </row>
    <row r="555" ht="15.75" customHeight="1">
      <c r="A555" s="142"/>
      <c r="B555" s="143"/>
      <c r="C555" s="144"/>
      <c r="D555" s="145"/>
      <c r="E555" s="142"/>
      <c r="F555" s="146"/>
      <c r="G555" s="147"/>
      <c r="H555" s="148"/>
      <c r="I555" s="148"/>
      <c r="J555" s="149"/>
      <c r="K555" s="149"/>
      <c r="L555" s="149"/>
      <c r="M555" s="149"/>
      <c r="N555" s="142"/>
      <c r="O555" s="33"/>
    </row>
    <row r="556" ht="15.75" customHeight="1">
      <c r="A556" s="142"/>
      <c r="B556" s="143"/>
      <c r="C556" s="144"/>
      <c r="D556" s="145"/>
      <c r="E556" s="142"/>
      <c r="F556" s="146"/>
      <c r="G556" s="147"/>
      <c r="H556" s="148"/>
      <c r="I556" s="148"/>
      <c r="J556" s="149"/>
      <c r="K556" s="149"/>
      <c r="L556" s="149"/>
      <c r="M556" s="149"/>
      <c r="N556" s="142"/>
      <c r="O556" s="33"/>
    </row>
    <row r="557" ht="15.75" customHeight="1">
      <c r="A557" s="142"/>
      <c r="B557" s="143"/>
      <c r="C557" s="144"/>
      <c r="D557" s="145"/>
      <c r="E557" s="142"/>
      <c r="F557" s="146"/>
      <c r="G557" s="147"/>
      <c r="H557" s="148"/>
      <c r="I557" s="148"/>
      <c r="J557" s="149"/>
      <c r="K557" s="149"/>
      <c r="L557" s="149"/>
      <c r="M557" s="149"/>
      <c r="N557" s="142"/>
      <c r="O557" s="33"/>
    </row>
    <row r="558" ht="15.75" customHeight="1">
      <c r="A558" s="142"/>
      <c r="B558" s="143"/>
      <c r="C558" s="144"/>
      <c r="D558" s="145"/>
      <c r="E558" s="142"/>
      <c r="F558" s="146"/>
      <c r="G558" s="147"/>
      <c r="H558" s="148"/>
      <c r="I558" s="148"/>
      <c r="J558" s="149"/>
      <c r="K558" s="149"/>
      <c r="L558" s="149"/>
      <c r="M558" s="149"/>
      <c r="N558" s="142"/>
      <c r="O558" s="33"/>
    </row>
    <row r="559" ht="15.75" customHeight="1">
      <c r="A559" s="142"/>
      <c r="B559" s="143"/>
      <c r="C559" s="144"/>
      <c r="D559" s="145"/>
      <c r="E559" s="142"/>
      <c r="F559" s="146"/>
      <c r="G559" s="147"/>
      <c r="H559" s="148"/>
      <c r="I559" s="148"/>
      <c r="J559" s="149"/>
      <c r="K559" s="149"/>
      <c r="L559" s="149"/>
      <c r="M559" s="149"/>
      <c r="N559" s="142"/>
      <c r="O559" s="33"/>
    </row>
    <row r="560" ht="15.75" customHeight="1">
      <c r="A560" s="142"/>
      <c r="B560" s="143"/>
      <c r="C560" s="144"/>
      <c r="D560" s="145"/>
      <c r="E560" s="142"/>
      <c r="F560" s="146"/>
      <c r="G560" s="147"/>
      <c r="H560" s="148"/>
      <c r="I560" s="148"/>
      <c r="J560" s="149"/>
      <c r="K560" s="149"/>
      <c r="L560" s="149"/>
      <c r="M560" s="149"/>
      <c r="N560" s="142"/>
      <c r="O560" s="33"/>
    </row>
    <row r="561" ht="15.75" customHeight="1">
      <c r="A561" s="142"/>
      <c r="B561" s="143"/>
      <c r="C561" s="144"/>
      <c r="D561" s="145"/>
      <c r="E561" s="142"/>
      <c r="F561" s="146"/>
      <c r="G561" s="147"/>
      <c r="H561" s="148"/>
      <c r="I561" s="148"/>
      <c r="J561" s="149"/>
      <c r="K561" s="149"/>
      <c r="L561" s="149"/>
      <c r="M561" s="149"/>
      <c r="N561" s="142"/>
      <c r="O561" s="33"/>
    </row>
    <row r="562" ht="15.75" customHeight="1">
      <c r="A562" s="142"/>
      <c r="B562" s="143"/>
      <c r="C562" s="144"/>
      <c r="D562" s="145"/>
      <c r="E562" s="142"/>
      <c r="F562" s="146"/>
      <c r="G562" s="147"/>
      <c r="H562" s="148"/>
      <c r="I562" s="148"/>
      <c r="J562" s="149"/>
      <c r="K562" s="149"/>
      <c r="L562" s="149"/>
      <c r="M562" s="149"/>
      <c r="N562" s="142"/>
      <c r="O562" s="33"/>
    </row>
    <row r="563" ht="15.75" customHeight="1">
      <c r="A563" s="142"/>
      <c r="B563" s="143"/>
      <c r="C563" s="144"/>
      <c r="D563" s="145"/>
      <c r="E563" s="142"/>
      <c r="F563" s="146"/>
      <c r="G563" s="147"/>
      <c r="H563" s="148"/>
      <c r="I563" s="148"/>
      <c r="J563" s="149"/>
      <c r="K563" s="149"/>
      <c r="L563" s="149"/>
      <c r="M563" s="149"/>
      <c r="N563" s="142"/>
      <c r="O563" s="33"/>
    </row>
    <row r="564" ht="15.75" customHeight="1">
      <c r="A564" s="142"/>
      <c r="B564" s="143"/>
      <c r="C564" s="144"/>
      <c r="D564" s="145"/>
      <c r="E564" s="142"/>
      <c r="F564" s="146"/>
      <c r="G564" s="147"/>
      <c r="H564" s="148"/>
      <c r="I564" s="148"/>
      <c r="J564" s="149"/>
      <c r="K564" s="149"/>
      <c r="L564" s="149"/>
      <c r="M564" s="149"/>
      <c r="N564" s="142"/>
      <c r="O564" s="33"/>
    </row>
    <row r="565" ht="15.75" customHeight="1">
      <c r="A565" s="142"/>
      <c r="B565" s="143"/>
      <c r="C565" s="144"/>
      <c r="D565" s="145"/>
      <c r="E565" s="142"/>
      <c r="F565" s="146"/>
      <c r="G565" s="147"/>
      <c r="H565" s="148"/>
      <c r="I565" s="148"/>
      <c r="J565" s="149"/>
      <c r="K565" s="149"/>
      <c r="L565" s="149"/>
      <c r="M565" s="149"/>
      <c r="N565" s="142"/>
      <c r="O565" s="33"/>
    </row>
    <row r="566" ht="15.75" customHeight="1">
      <c r="A566" s="142"/>
      <c r="B566" s="143"/>
      <c r="C566" s="144"/>
      <c r="D566" s="145"/>
      <c r="E566" s="142"/>
      <c r="F566" s="146"/>
      <c r="G566" s="147"/>
      <c r="H566" s="148"/>
      <c r="I566" s="148"/>
      <c r="J566" s="149"/>
      <c r="K566" s="149"/>
      <c r="L566" s="149"/>
      <c r="M566" s="149"/>
      <c r="N566" s="142"/>
      <c r="O566" s="33"/>
    </row>
    <row r="567" ht="15.75" customHeight="1">
      <c r="A567" s="142"/>
      <c r="B567" s="143"/>
      <c r="C567" s="144"/>
      <c r="D567" s="145"/>
      <c r="E567" s="142"/>
      <c r="F567" s="146"/>
      <c r="G567" s="147"/>
      <c r="H567" s="148"/>
      <c r="I567" s="148"/>
      <c r="J567" s="149"/>
      <c r="K567" s="149"/>
      <c r="L567" s="149"/>
      <c r="M567" s="149"/>
      <c r="N567" s="142"/>
      <c r="O567" s="33"/>
    </row>
    <row r="568" ht="15.75" customHeight="1">
      <c r="A568" s="142"/>
      <c r="B568" s="143"/>
      <c r="C568" s="144"/>
      <c r="D568" s="145"/>
      <c r="E568" s="142"/>
      <c r="F568" s="146"/>
      <c r="G568" s="147"/>
      <c r="H568" s="148"/>
      <c r="I568" s="148"/>
      <c r="J568" s="149"/>
      <c r="K568" s="149"/>
      <c r="L568" s="149"/>
      <c r="M568" s="149"/>
      <c r="N568" s="142"/>
      <c r="O568" s="33"/>
    </row>
    <row r="569" ht="15.75" customHeight="1">
      <c r="A569" s="142"/>
      <c r="B569" s="143"/>
      <c r="C569" s="144"/>
      <c r="D569" s="145"/>
      <c r="E569" s="142"/>
      <c r="F569" s="146"/>
      <c r="G569" s="147"/>
      <c r="H569" s="148"/>
      <c r="I569" s="148"/>
      <c r="J569" s="149"/>
      <c r="K569" s="149"/>
      <c r="L569" s="149"/>
      <c r="M569" s="149"/>
      <c r="N569" s="142"/>
      <c r="O569" s="33"/>
    </row>
    <row r="570" ht="15.75" customHeight="1">
      <c r="A570" s="142"/>
      <c r="B570" s="143"/>
      <c r="C570" s="144"/>
      <c r="D570" s="145"/>
      <c r="E570" s="142"/>
      <c r="F570" s="146"/>
      <c r="G570" s="147"/>
      <c r="H570" s="148"/>
      <c r="I570" s="148"/>
      <c r="J570" s="149"/>
      <c r="K570" s="149"/>
      <c r="L570" s="149"/>
      <c r="M570" s="149"/>
      <c r="N570" s="142"/>
      <c r="O570" s="33"/>
    </row>
    <row r="571" ht="15.75" customHeight="1">
      <c r="A571" s="142"/>
      <c r="B571" s="143"/>
      <c r="C571" s="144"/>
      <c r="D571" s="145"/>
      <c r="E571" s="142"/>
      <c r="F571" s="146"/>
      <c r="G571" s="147"/>
      <c r="H571" s="148"/>
      <c r="I571" s="148"/>
      <c r="J571" s="149"/>
      <c r="K571" s="149"/>
      <c r="L571" s="149"/>
      <c r="M571" s="149"/>
      <c r="N571" s="142"/>
      <c r="O571" s="33"/>
    </row>
    <row r="572" ht="15.75" customHeight="1">
      <c r="A572" s="142"/>
      <c r="B572" s="143"/>
      <c r="C572" s="144"/>
      <c r="D572" s="145"/>
      <c r="E572" s="142"/>
      <c r="F572" s="146"/>
      <c r="G572" s="147"/>
      <c r="H572" s="148"/>
      <c r="I572" s="148"/>
      <c r="J572" s="149"/>
      <c r="K572" s="149"/>
      <c r="L572" s="149"/>
      <c r="M572" s="149"/>
      <c r="N572" s="142"/>
      <c r="O572" s="33"/>
    </row>
    <row r="573" ht="15.75" customHeight="1">
      <c r="A573" s="142"/>
      <c r="B573" s="143"/>
      <c r="C573" s="144"/>
      <c r="D573" s="145"/>
      <c r="E573" s="142"/>
      <c r="F573" s="146"/>
      <c r="G573" s="147"/>
      <c r="H573" s="148"/>
      <c r="I573" s="148"/>
      <c r="J573" s="149"/>
      <c r="K573" s="149"/>
      <c r="L573" s="149"/>
      <c r="M573" s="149"/>
      <c r="N573" s="142"/>
      <c r="O573" s="33"/>
    </row>
    <row r="574" ht="15.75" customHeight="1">
      <c r="A574" s="142"/>
      <c r="B574" s="143"/>
      <c r="C574" s="144"/>
      <c r="D574" s="145"/>
      <c r="E574" s="142"/>
      <c r="F574" s="146"/>
      <c r="G574" s="147"/>
      <c r="H574" s="148"/>
      <c r="I574" s="148"/>
      <c r="J574" s="149"/>
      <c r="K574" s="149"/>
      <c r="L574" s="149"/>
      <c r="M574" s="149"/>
      <c r="N574" s="142"/>
      <c r="O574" s="33"/>
    </row>
    <row r="575" ht="15.75" customHeight="1">
      <c r="A575" s="142"/>
      <c r="B575" s="143"/>
      <c r="C575" s="144"/>
      <c r="D575" s="145"/>
      <c r="E575" s="142"/>
      <c r="F575" s="146"/>
      <c r="G575" s="147"/>
      <c r="H575" s="148"/>
      <c r="I575" s="148"/>
      <c r="J575" s="149"/>
      <c r="K575" s="149"/>
      <c r="L575" s="149"/>
      <c r="M575" s="149"/>
      <c r="N575" s="142"/>
      <c r="O575" s="33"/>
    </row>
    <row r="576" ht="15.75" customHeight="1">
      <c r="A576" s="142"/>
      <c r="B576" s="143"/>
      <c r="C576" s="144"/>
      <c r="D576" s="145"/>
      <c r="E576" s="142"/>
      <c r="F576" s="146"/>
      <c r="G576" s="147"/>
      <c r="H576" s="148"/>
      <c r="I576" s="148"/>
      <c r="J576" s="149"/>
      <c r="K576" s="149"/>
      <c r="L576" s="149"/>
      <c r="M576" s="149"/>
      <c r="N576" s="142"/>
      <c r="O576" s="33"/>
    </row>
    <row r="577" ht="15.75" customHeight="1">
      <c r="A577" s="142"/>
      <c r="B577" s="143"/>
      <c r="C577" s="144"/>
      <c r="D577" s="145"/>
      <c r="E577" s="142"/>
      <c r="F577" s="146"/>
      <c r="G577" s="147"/>
      <c r="H577" s="148"/>
      <c r="I577" s="148"/>
      <c r="J577" s="149"/>
      <c r="K577" s="149"/>
      <c r="L577" s="149"/>
      <c r="M577" s="149"/>
      <c r="N577" s="142"/>
      <c r="O577" s="33"/>
    </row>
    <row r="578" ht="15.75" customHeight="1">
      <c r="A578" s="142"/>
      <c r="B578" s="143"/>
      <c r="C578" s="144"/>
      <c r="D578" s="145"/>
      <c r="E578" s="142"/>
      <c r="F578" s="146"/>
      <c r="G578" s="147"/>
      <c r="H578" s="148"/>
      <c r="I578" s="148"/>
      <c r="J578" s="149"/>
      <c r="K578" s="149"/>
      <c r="L578" s="149"/>
      <c r="M578" s="149"/>
      <c r="N578" s="142"/>
      <c r="O578" s="33"/>
    </row>
    <row r="579" ht="15.75" customHeight="1">
      <c r="A579" s="142"/>
      <c r="B579" s="143"/>
      <c r="C579" s="144"/>
      <c r="D579" s="145"/>
      <c r="E579" s="142"/>
      <c r="F579" s="146"/>
      <c r="G579" s="147"/>
      <c r="H579" s="148"/>
      <c r="I579" s="148"/>
      <c r="J579" s="149"/>
      <c r="K579" s="149"/>
      <c r="L579" s="149"/>
      <c r="M579" s="149"/>
      <c r="N579" s="142"/>
      <c r="O579" s="33"/>
    </row>
    <row r="580" ht="15.75" customHeight="1">
      <c r="A580" s="142"/>
      <c r="B580" s="143"/>
      <c r="C580" s="144"/>
      <c r="D580" s="145"/>
      <c r="E580" s="142"/>
      <c r="F580" s="146"/>
      <c r="G580" s="147"/>
      <c r="H580" s="148"/>
      <c r="I580" s="148"/>
      <c r="J580" s="149"/>
      <c r="K580" s="149"/>
      <c r="L580" s="149"/>
      <c r="M580" s="149"/>
      <c r="N580" s="142"/>
      <c r="O580" s="33"/>
    </row>
    <row r="581" ht="15.75" customHeight="1">
      <c r="A581" s="142"/>
      <c r="B581" s="143"/>
      <c r="C581" s="144"/>
      <c r="D581" s="145"/>
      <c r="E581" s="142"/>
      <c r="F581" s="146"/>
      <c r="G581" s="147"/>
      <c r="H581" s="148"/>
      <c r="I581" s="148"/>
      <c r="J581" s="149"/>
      <c r="K581" s="149"/>
      <c r="L581" s="149"/>
      <c r="M581" s="149"/>
      <c r="N581" s="142"/>
      <c r="O581" s="33"/>
    </row>
    <row r="582" ht="15.75" customHeight="1">
      <c r="A582" s="142"/>
      <c r="B582" s="143"/>
      <c r="C582" s="144"/>
      <c r="D582" s="145"/>
      <c r="E582" s="142"/>
      <c r="F582" s="146"/>
      <c r="G582" s="147"/>
      <c r="H582" s="148"/>
      <c r="I582" s="148"/>
      <c r="J582" s="149"/>
      <c r="K582" s="149"/>
      <c r="L582" s="149"/>
      <c r="M582" s="149"/>
      <c r="N582" s="142"/>
      <c r="O582" s="33"/>
    </row>
    <row r="583" ht="15.75" customHeight="1">
      <c r="A583" s="142"/>
      <c r="B583" s="143"/>
      <c r="C583" s="144"/>
      <c r="D583" s="145"/>
      <c r="E583" s="142"/>
      <c r="F583" s="146"/>
      <c r="G583" s="147"/>
      <c r="H583" s="148"/>
      <c r="I583" s="148"/>
      <c r="J583" s="149"/>
      <c r="K583" s="149"/>
      <c r="L583" s="149"/>
      <c r="M583" s="149"/>
      <c r="N583" s="142"/>
      <c r="O583" s="33"/>
    </row>
    <row r="584" ht="15.75" customHeight="1">
      <c r="A584" s="142"/>
      <c r="B584" s="143"/>
      <c r="C584" s="144"/>
      <c r="D584" s="145"/>
      <c r="E584" s="142"/>
      <c r="F584" s="146"/>
      <c r="G584" s="147"/>
      <c r="H584" s="148"/>
      <c r="I584" s="148"/>
      <c r="J584" s="149"/>
      <c r="K584" s="149"/>
      <c r="L584" s="149"/>
      <c r="M584" s="149"/>
      <c r="N584" s="142"/>
      <c r="O584" s="33"/>
    </row>
    <row r="585" ht="15.75" customHeight="1">
      <c r="A585" s="142"/>
      <c r="B585" s="143"/>
      <c r="C585" s="144"/>
      <c r="D585" s="145"/>
      <c r="E585" s="142"/>
      <c r="F585" s="146"/>
      <c r="G585" s="147"/>
      <c r="H585" s="148"/>
      <c r="I585" s="148"/>
      <c r="J585" s="149"/>
      <c r="K585" s="149"/>
      <c r="L585" s="149"/>
      <c r="M585" s="149"/>
      <c r="N585" s="142"/>
      <c r="O585" s="33"/>
    </row>
    <row r="586" ht="15.75" customHeight="1">
      <c r="A586" s="142"/>
      <c r="B586" s="143"/>
      <c r="C586" s="144"/>
      <c r="D586" s="145"/>
      <c r="E586" s="142"/>
      <c r="F586" s="146"/>
      <c r="G586" s="147"/>
      <c r="H586" s="148"/>
      <c r="I586" s="148"/>
      <c r="J586" s="149"/>
      <c r="K586" s="149"/>
      <c r="L586" s="149"/>
      <c r="M586" s="149"/>
      <c r="N586" s="142"/>
      <c r="O586" s="33"/>
    </row>
    <row r="587" ht="15.75" customHeight="1">
      <c r="A587" s="142"/>
      <c r="B587" s="143"/>
      <c r="C587" s="144"/>
      <c r="D587" s="145"/>
      <c r="E587" s="142"/>
      <c r="F587" s="146"/>
      <c r="G587" s="147"/>
      <c r="H587" s="148"/>
      <c r="I587" s="148"/>
      <c r="J587" s="149"/>
      <c r="K587" s="149"/>
      <c r="L587" s="149"/>
      <c r="M587" s="149"/>
      <c r="N587" s="142"/>
      <c r="O587" s="33"/>
    </row>
    <row r="588" ht="15.75" customHeight="1">
      <c r="A588" s="142"/>
      <c r="B588" s="143"/>
      <c r="C588" s="144"/>
      <c r="D588" s="145"/>
      <c r="E588" s="142"/>
      <c r="F588" s="146"/>
      <c r="G588" s="147"/>
      <c r="H588" s="148"/>
      <c r="I588" s="148"/>
      <c r="J588" s="149"/>
      <c r="K588" s="149"/>
      <c r="L588" s="149"/>
      <c r="M588" s="149"/>
      <c r="N588" s="142"/>
      <c r="O588" s="33"/>
    </row>
    <row r="589" ht="15.75" customHeight="1">
      <c r="A589" s="142"/>
      <c r="B589" s="143"/>
      <c r="C589" s="144"/>
      <c r="D589" s="145"/>
      <c r="E589" s="142"/>
      <c r="F589" s="146"/>
      <c r="G589" s="147"/>
      <c r="H589" s="148"/>
      <c r="I589" s="148"/>
      <c r="J589" s="149"/>
      <c r="K589" s="149"/>
      <c r="L589" s="149"/>
      <c r="M589" s="149"/>
      <c r="N589" s="142"/>
      <c r="O589" s="33"/>
    </row>
    <row r="590" ht="15.75" customHeight="1">
      <c r="A590" s="142"/>
      <c r="B590" s="143"/>
      <c r="C590" s="144"/>
      <c r="D590" s="145"/>
      <c r="E590" s="142"/>
      <c r="F590" s="146"/>
      <c r="G590" s="147"/>
      <c r="H590" s="148"/>
      <c r="I590" s="148"/>
      <c r="J590" s="149"/>
      <c r="K590" s="149"/>
      <c r="L590" s="149"/>
      <c r="M590" s="149"/>
      <c r="N590" s="142"/>
      <c r="O590" s="33"/>
    </row>
    <row r="591" ht="15.75" customHeight="1">
      <c r="A591" s="142"/>
      <c r="B591" s="143"/>
      <c r="C591" s="144"/>
      <c r="D591" s="145"/>
      <c r="E591" s="142"/>
      <c r="F591" s="146"/>
      <c r="G591" s="147"/>
      <c r="H591" s="148"/>
      <c r="I591" s="148"/>
      <c r="J591" s="149"/>
      <c r="K591" s="149"/>
      <c r="L591" s="149"/>
      <c r="M591" s="149"/>
      <c r="N591" s="142"/>
      <c r="O591" s="33"/>
    </row>
    <row r="592" ht="15.75" customHeight="1">
      <c r="A592" s="142"/>
      <c r="B592" s="143"/>
      <c r="C592" s="144"/>
      <c r="D592" s="145"/>
      <c r="E592" s="142"/>
      <c r="F592" s="146"/>
      <c r="G592" s="147"/>
      <c r="H592" s="148"/>
      <c r="I592" s="148"/>
      <c r="J592" s="149"/>
      <c r="K592" s="149"/>
      <c r="L592" s="149"/>
      <c r="M592" s="149"/>
      <c r="N592" s="142"/>
      <c r="O592" s="33"/>
    </row>
    <row r="593" ht="15.75" customHeight="1">
      <c r="A593" s="142"/>
      <c r="B593" s="143"/>
      <c r="C593" s="144"/>
      <c r="D593" s="145"/>
      <c r="E593" s="142"/>
      <c r="F593" s="146"/>
      <c r="G593" s="147"/>
      <c r="H593" s="148"/>
      <c r="I593" s="148"/>
      <c r="J593" s="149"/>
      <c r="K593" s="149"/>
      <c r="L593" s="149"/>
      <c r="M593" s="149"/>
      <c r="N593" s="142"/>
      <c r="O593" s="33"/>
    </row>
    <row r="594" ht="15.75" customHeight="1">
      <c r="A594" s="142"/>
      <c r="B594" s="143"/>
      <c r="C594" s="144"/>
      <c r="D594" s="145"/>
      <c r="E594" s="142"/>
      <c r="F594" s="146"/>
      <c r="G594" s="147"/>
      <c r="H594" s="148"/>
      <c r="I594" s="148"/>
      <c r="J594" s="149"/>
      <c r="K594" s="149"/>
      <c r="L594" s="149"/>
      <c r="M594" s="149"/>
      <c r="N594" s="142"/>
      <c r="O594" s="33"/>
    </row>
    <row r="595" ht="15.75" customHeight="1">
      <c r="A595" s="142"/>
      <c r="B595" s="143"/>
      <c r="C595" s="144"/>
      <c r="D595" s="145"/>
      <c r="E595" s="142"/>
      <c r="F595" s="146"/>
      <c r="G595" s="147"/>
      <c r="H595" s="148"/>
      <c r="I595" s="148"/>
      <c r="J595" s="149"/>
      <c r="K595" s="149"/>
      <c r="L595" s="149"/>
      <c r="M595" s="149"/>
      <c r="N595" s="142"/>
      <c r="O595" s="33"/>
    </row>
    <row r="596" ht="15.75" customHeight="1">
      <c r="A596" s="142"/>
      <c r="B596" s="143"/>
      <c r="C596" s="144"/>
      <c r="D596" s="145"/>
      <c r="E596" s="142"/>
      <c r="F596" s="146"/>
      <c r="G596" s="147"/>
      <c r="H596" s="148"/>
      <c r="I596" s="148"/>
      <c r="J596" s="149"/>
      <c r="K596" s="149"/>
      <c r="L596" s="149"/>
      <c r="M596" s="149"/>
      <c r="N596" s="142"/>
      <c r="O596" s="33"/>
    </row>
    <row r="597" ht="15.75" customHeight="1">
      <c r="A597" s="142"/>
      <c r="B597" s="143"/>
      <c r="C597" s="144"/>
      <c r="D597" s="145"/>
      <c r="E597" s="142"/>
      <c r="F597" s="146"/>
      <c r="G597" s="147"/>
      <c r="H597" s="148"/>
      <c r="I597" s="148"/>
      <c r="J597" s="149"/>
      <c r="K597" s="149"/>
      <c r="L597" s="149"/>
      <c r="M597" s="149"/>
      <c r="N597" s="142"/>
      <c r="O597" s="33"/>
    </row>
    <row r="598" ht="15.75" customHeight="1">
      <c r="A598" s="142"/>
      <c r="B598" s="143"/>
      <c r="C598" s="144"/>
      <c r="D598" s="145"/>
      <c r="E598" s="142"/>
      <c r="F598" s="146"/>
      <c r="G598" s="147"/>
      <c r="H598" s="148"/>
      <c r="I598" s="148"/>
      <c r="J598" s="149"/>
      <c r="K598" s="149"/>
      <c r="L598" s="149"/>
      <c r="M598" s="149"/>
      <c r="N598" s="142"/>
      <c r="O598" s="33"/>
    </row>
    <row r="599" ht="15.75" customHeight="1">
      <c r="A599" s="142"/>
      <c r="B599" s="143"/>
      <c r="C599" s="144"/>
      <c r="D599" s="145"/>
      <c r="E599" s="142"/>
      <c r="F599" s="146"/>
      <c r="G599" s="147"/>
      <c r="H599" s="148"/>
      <c r="I599" s="148"/>
      <c r="J599" s="149"/>
      <c r="K599" s="149"/>
      <c r="L599" s="149"/>
      <c r="M599" s="149"/>
      <c r="N599" s="142"/>
      <c r="O599" s="33"/>
    </row>
    <row r="600" ht="15.75" customHeight="1">
      <c r="A600" s="142"/>
      <c r="B600" s="143"/>
      <c r="C600" s="144"/>
      <c r="D600" s="145"/>
      <c r="E600" s="142"/>
      <c r="F600" s="146"/>
      <c r="G600" s="147"/>
      <c r="H600" s="148"/>
      <c r="I600" s="148"/>
      <c r="J600" s="149"/>
      <c r="K600" s="149"/>
      <c r="L600" s="149"/>
      <c r="M600" s="149"/>
      <c r="N600" s="142"/>
      <c r="O600" s="33"/>
    </row>
    <row r="601" ht="15.75" customHeight="1">
      <c r="A601" s="142"/>
      <c r="B601" s="143"/>
      <c r="C601" s="144"/>
      <c r="D601" s="145"/>
      <c r="E601" s="142"/>
      <c r="F601" s="146"/>
      <c r="G601" s="147"/>
      <c r="H601" s="148"/>
      <c r="I601" s="148"/>
      <c r="J601" s="149"/>
      <c r="K601" s="149"/>
      <c r="L601" s="149"/>
      <c r="M601" s="149"/>
      <c r="N601" s="142"/>
      <c r="O601" s="33"/>
    </row>
    <row r="602" ht="15.75" customHeight="1">
      <c r="A602" s="142"/>
      <c r="B602" s="143"/>
      <c r="C602" s="144"/>
      <c r="D602" s="145"/>
      <c r="E602" s="142"/>
      <c r="F602" s="146"/>
      <c r="G602" s="147"/>
      <c r="H602" s="148"/>
      <c r="I602" s="148"/>
      <c r="J602" s="149"/>
      <c r="K602" s="149"/>
      <c r="L602" s="149"/>
      <c r="M602" s="149"/>
      <c r="N602" s="142"/>
      <c r="O602" s="33"/>
    </row>
    <row r="603" ht="15.75" customHeight="1">
      <c r="A603" s="142"/>
      <c r="B603" s="143"/>
      <c r="C603" s="144"/>
      <c r="D603" s="145"/>
      <c r="E603" s="142"/>
      <c r="F603" s="146"/>
      <c r="G603" s="147"/>
      <c r="H603" s="148"/>
      <c r="I603" s="148"/>
      <c r="J603" s="149"/>
      <c r="K603" s="149"/>
      <c r="L603" s="149"/>
      <c r="M603" s="149"/>
      <c r="N603" s="142"/>
      <c r="O603" s="33"/>
    </row>
    <row r="604" ht="15.75" customHeight="1">
      <c r="A604" s="142"/>
      <c r="B604" s="143"/>
      <c r="C604" s="144"/>
      <c r="D604" s="145"/>
      <c r="E604" s="142"/>
      <c r="F604" s="146"/>
      <c r="G604" s="147"/>
      <c r="H604" s="148"/>
      <c r="I604" s="148"/>
      <c r="J604" s="149"/>
      <c r="K604" s="149"/>
      <c r="L604" s="149"/>
      <c r="M604" s="149"/>
      <c r="N604" s="142"/>
      <c r="O604" s="33"/>
    </row>
    <row r="605" ht="15.75" customHeight="1">
      <c r="A605" s="142"/>
      <c r="B605" s="143"/>
      <c r="C605" s="144"/>
      <c r="D605" s="145"/>
      <c r="E605" s="142"/>
      <c r="F605" s="146"/>
      <c r="G605" s="147"/>
      <c r="H605" s="148"/>
      <c r="I605" s="148"/>
      <c r="J605" s="149"/>
      <c r="K605" s="149"/>
      <c r="L605" s="149"/>
      <c r="M605" s="149"/>
      <c r="N605" s="142"/>
      <c r="O605" s="33"/>
    </row>
    <row r="606" ht="15.75" customHeight="1">
      <c r="A606" s="142"/>
      <c r="B606" s="143"/>
      <c r="C606" s="144"/>
      <c r="D606" s="145"/>
      <c r="E606" s="142"/>
      <c r="F606" s="146"/>
      <c r="G606" s="147"/>
      <c r="H606" s="148"/>
      <c r="I606" s="148"/>
      <c r="J606" s="149"/>
      <c r="K606" s="149"/>
      <c r="L606" s="149"/>
      <c r="M606" s="149"/>
      <c r="N606" s="142"/>
      <c r="O606" s="33"/>
    </row>
    <row r="607" ht="15.75" customHeight="1">
      <c r="A607" s="142"/>
      <c r="B607" s="143"/>
      <c r="C607" s="144"/>
      <c r="D607" s="145"/>
      <c r="E607" s="142"/>
      <c r="F607" s="146"/>
      <c r="G607" s="147"/>
      <c r="H607" s="148"/>
      <c r="I607" s="148"/>
      <c r="J607" s="149"/>
      <c r="K607" s="149"/>
      <c r="L607" s="149"/>
      <c r="M607" s="149"/>
      <c r="N607" s="142"/>
      <c r="O607" s="33"/>
    </row>
    <row r="608" ht="15.75" customHeight="1">
      <c r="A608" s="142"/>
      <c r="B608" s="143"/>
      <c r="C608" s="144"/>
      <c r="D608" s="145"/>
      <c r="E608" s="142"/>
      <c r="F608" s="146"/>
      <c r="G608" s="147"/>
      <c r="H608" s="148"/>
      <c r="I608" s="148"/>
      <c r="J608" s="149"/>
      <c r="K608" s="149"/>
      <c r="L608" s="149"/>
      <c r="M608" s="149"/>
      <c r="N608" s="142"/>
      <c r="O608" s="33"/>
    </row>
    <row r="609" ht="15.75" customHeight="1">
      <c r="A609" s="142"/>
      <c r="B609" s="143"/>
      <c r="C609" s="144"/>
      <c r="D609" s="145"/>
      <c r="E609" s="142"/>
      <c r="F609" s="146"/>
      <c r="G609" s="147"/>
      <c r="H609" s="148"/>
      <c r="I609" s="148"/>
      <c r="J609" s="149"/>
      <c r="K609" s="149"/>
      <c r="L609" s="149"/>
      <c r="M609" s="149"/>
      <c r="N609" s="142"/>
      <c r="O609" s="33"/>
    </row>
    <row r="610" ht="15.75" customHeight="1">
      <c r="A610" s="142"/>
      <c r="B610" s="143"/>
      <c r="C610" s="144"/>
      <c r="D610" s="145"/>
      <c r="E610" s="142"/>
      <c r="F610" s="146"/>
      <c r="G610" s="147"/>
      <c r="H610" s="148"/>
      <c r="I610" s="148"/>
      <c r="J610" s="149"/>
      <c r="K610" s="149"/>
      <c r="L610" s="149"/>
      <c r="M610" s="149"/>
      <c r="N610" s="142"/>
      <c r="O610" s="33"/>
    </row>
    <row r="611" ht="15.75" customHeight="1">
      <c r="A611" s="142"/>
      <c r="B611" s="143"/>
      <c r="C611" s="144"/>
      <c r="D611" s="145"/>
      <c r="E611" s="142"/>
      <c r="F611" s="146"/>
      <c r="G611" s="147"/>
      <c r="H611" s="148"/>
      <c r="I611" s="148"/>
      <c r="J611" s="149"/>
      <c r="K611" s="149"/>
      <c r="L611" s="149"/>
      <c r="M611" s="149"/>
      <c r="N611" s="142"/>
      <c r="O611" s="33"/>
    </row>
    <row r="612" ht="15.75" customHeight="1">
      <c r="A612" s="142"/>
      <c r="B612" s="143"/>
      <c r="C612" s="144"/>
      <c r="D612" s="145"/>
      <c r="E612" s="142"/>
      <c r="F612" s="146"/>
      <c r="G612" s="147"/>
      <c r="H612" s="148"/>
      <c r="I612" s="148"/>
      <c r="J612" s="149"/>
      <c r="K612" s="149"/>
      <c r="L612" s="149"/>
      <c r="M612" s="149"/>
      <c r="N612" s="142"/>
      <c r="O612" s="33"/>
    </row>
    <row r="613" ht="15.75" customHeight="1">
      <c r="A613" s="142"/>
      <c r="B613" s="143"/>
      <c r="C613" s="144"/>
      <c r="D613" s="145"/>
      <c r="E613" s="142"/>
      <c r="F613" s="146"/>
      <c r="G613" s="147"/>
      <c r="H613" s="148"/>
      <c r="I613" s="148"/>
      <c r="J613" s="149"/>
      <c r="K613" s="149"/>
      <c r="L613" s="149"/>
      <c r="M613" s="149"/>
      <c r="N613" s="142"/>
      <c r="O613" s="33"/>
    </row>
    <row r="614" ht="15.75" customHeight="1">
      <c r="A614" s="142"/>
      <c r="B614" s="143"/>
      <c r="C614" s="144"/>
      <c r="D614" s="145"/>
      <c r="E614" s="142"/>
      <c r="F614" s="146"/>
      <c r="G614" s="147"/>
      <c r="H614" s="148"/>
      <c r="I614" s="148"/>
      <c r="J614" s="149"/>
      <c r="K614" s="149"/>
      <c r="L614" s="149"/>
      <c r="M614" s="149"/>
      <c r="N614" s="142"/>
      <c r="O614" s="33"/>
    </row>
    <row r="615" ht="15.75" customHeight="1">
      <c r="A615" s="142"/>
      <c r="B615" s="143"/>
      <c r="C615" s="144"/>
      <c r="D615" s="145"/>
      <c r="E615" s="142"/>
      <c r="F615" s="146"/>
      <c r="G615" s="147"/>
      <c r="H615" s="148"/>
      <c r="I615" s="148"/>
      <c r="J615" s="149"/>
      <c r="K615" s="149"/>
      <c r="L615" s="149"/>
      <c r="M615" s="149"/>
      <c r="N615" s="142"/>
      <c r="O615" s="33"/>
    </row>
    <row r="616" ht="15.75" customHeight="1">
      <c r="A616" s="142"/>
      <c r="B616" s="143"/>
      <c r="C616" s="144"/>
      <c r="D616" s="145"/>
      <c r="E616" s="142"/>
      <c r="F616" s="146"/>
      <c r="G616" s="147"/>
      <c r="H616" s="148"/>
      <c r="I616" s="148"/>
      <c r="J616" s="149"/>
      <c r="K616" s="149"/>
      <c r="L616" s="149"/>
      <c r="M616" s="149"/>
      <c r="N616" s="142"/>
      <c r="O616" s="33"/>
    </row>
    <row r="617" ht="15.75" customHeight="1">
      <c r="A617" s="142"/>
      <c r="B617" s="143"/>
      <c r="C617" s="144"/>
      <c r="D617" s="145"/>
      <c r="E617" s="142"/>
      <c r="F617" s="146"/>
      <c r="G617" s="147"/>
      <c r="H617" s="148"/>
      <c r="I617" s="148"/>
      <c r="J617" s="149"/>
      <c r="K617" s="149"/>
      <c r="L617" s="149"/>
      <c r="M617" s="149"/>
      <c r="N617" s="142"/>
      <c r="O617" s="33"/>
    </row>
    <row r="618" ht="15.75" customHeight="1">
      <c r="A618" s="142"/>
      <c r="B618" s="143"/>
      <c r="C618" s="144"/>
      <c r="D618" s="145"/>
      <c r="E618" s="142"/>
      <c r="F618" s="146"/>
      <c r="G618" s="147"/>
      <c r="H618" s="148"/>
      <c r="I618" s="148"/>
      <c r="J618" s="149"/>
      <c r="K618" s="149"/>
      <c r="L618" s="149"/>
      <c r="M618" s="149"/>
      <c r="N618" s="142"/>
      <c r="O618" s="33"/>
    </row>
    <row r="619" ht="15.75" customHeight="1">
      <c r="A619" s="142"/>
      <c r="B619" s="143"/>
      <c r="C619" s="144"/>
      <c r="D619" s="145"/>
      <c r="E619" s="142"/>
      <c r="F619" s="146"/>
      <c r="G619" s="147"/>
      <c r="H619" s="148"/>
      <c r="I619" s="148"/>
      <c r="J619" s="149"/>
      <c r="K619" s="149"/>
      <c r="L619" s="149"/>
      <c r="M619" s="149"/>
      <c r="N619" s="142"/>
      <c r="O619" s="33"/>
    </row>
    <row r="620" ht="15.75" customHeight="1">
      <c r="A620" s="142"/>
      <c r="B620" s="143"/>
      <c r="C620" s="144"/>
      <c r="D620" s="145"/>
      <c r="E620" s="142"/>
      <c r="F620" s="146"/>
      <c r="G620" s="147"/>
      <c r="H620" s="148"/>
      <c r="I620" s="148"/>
      <c r="J620" s="149"/>
      <c r="K620" s="149"/>
      <c r="L620" s="149"/>
      <c r="M620" s="149"/>
      <c r="N620" s="142"/>
      <c r="O620" s="33"/>
    </row>
    <row r="621" ht="15.75" customHeight="1">
      <c r="A621" s="142"/>
      <c r="B621" s="143"/>
      <c r="C621" s="144"/>
      <c r="D621" s="145"/>
      <c r="E621" s="142"/>
      <c r="F621" s="146"/>
      <c r="G621" s="147"/>
      <c r="H621" s="148"/>
      <c r="I621" s="148"/>
      <c r="J621" s="149"/>
      <c r="K621" s="149"/>
      <c r="L621" s="149"/>
      <c r="M621" s="149"/>
      <c r="N621" s="142"/>
      <c r="O621" s="33"/>
    </row>
    <row r="622" ht="15.75" customHeight="1">
      <c r="A622" s="142"/>
      <c r="B622" s="143"/>
      <c r="C622" s="144"/>
      <c r="D622" s="145"/>
      <c r="E622" s="142"/>
      <c r="F622" s="146"/>
      <c r="G622" s="147"/>
      <c r="H622" s="148"/>
      <c r="I622" s="148"/>
      <c r="J622" s="149"/>
      <c r="K622" s="149"/>
      <c r="L622" s="149"/>
      <c r="M622" s="149"/>
      <c r="N622" s="142"/>
      <c r="O622" s="33"/>
    </row>
    <row r="623" ht="15.75" customHeight="1">
      <c r="A623" s="142"/>
      <c r="B623" s="143"/>
      <c r="C623" s="144"/>
      <c r="D623" s="145"/>
      <c r="E623" s="142"/>
      <c r="F623" s="146"/>
      <c r="G623" s="147"/>
      <c r="H623" s="148"/>
      <c r="I623" s="148"/>
      <c r="J623" s="149"/>
      <c r="K623" s="149"/>
      <c r="L623" s="149"/>
      <c r="M623" s="149"/>
      <c r="N623" s="142"/>
      <c r="O623" s="33"/>
    </row>
    <row r="624" ht="15.75" customHeight="1">
      <c r="A624" s="142"/>
      <c r="B624" s="143"/>
      <c r="C624" s="144"/>
      <c r="D624" s="145"/>
      <c r="E624" s="142"/>
      <c r="F624" s="146"/>
      <c r="G624" s="147"/>
      <c r="H624" s="148"/>
      <c r="I624" s="148"/>
      <c r="J624" s="149"/>
      <c r="K624" s="149"/>
      <c r="L624" s="149"/>
      <c r="M624" s="149"/>
      <c r="N624" s="142"/>
      <c r="O624" s="33"/>
    </row>
    <row r="625" ht="15.75" customHeight="1">
      <c r="A625" s="142"/>
      <c r="B625" s="143"/>
      <c r="C625" s="144"/>
      <c r="D625" s="145"/>
      <c r="E625" s="142"/>
      <c r="F625" s="146"/>
      <c r="G625" s="147"/>
      <c r="H625" s="148"/>
      <c r="I625" s="148"/>
      <c r="J625" s="149"/>
      <c r="K625" s="149"/>
      <c r="L625" s="149"/>
      <c r="M625" s="149"/>
      <c r="N625" s="142"/>
      <c r="O625" s="33"/>
    </row>
    <row r="626" ht="15.75" customHeight="1">
      <c r="A626" s="142"/>
      <c r="B626" s="143"/>
      <c r="C626" s="144"/>
      <c r="D626" s="145"/>
      <c r="E626" s="142"/>
      <c r="F626" s="146"/>
      <c r="G626" s="147"/>
      <c r="H626" s="148"/>
      <c r="I626" s="148"/>
      <c r="J626" s="149"/>
      <c r="K626" s="149"/>
      <c r="L626" s="149"/>
      <c r="M626" s="149"/>
      <c r="N626" s="142"/>
      <c r="O626" s="33"/>
    </row>
    <row r="627" ht="15.75" customHeight="1">
      <c r="A627" s="142"/>
      <c r="B627" s="143"/>
      <c r="C627" s="144"/>
      <c r="D627" s="145"/>
      <c r="E627" s="142"/>
      <c r="F627" s="146"/>
      <c r="G627" s="147"/>
      <c r="H627" s="148"/>
      <c r="I627" s="148"/>
      <c r="J627" s="149"/>
      <c r="K627" s="149"/>
      <c r="L627" s="149"/>
      <c r="M627" s="149"/>
      <c r="N627" s="142"/>
      <c r="O627" s="33"/>
    </row>
    <row r="628" ht="15.75" customHeight="1">
      <c r="A628" s="142"/>
      <c r="B628" s="143"/>
      <c r="C628" s="144"/>
      <c r="D628" s="145"/>
      <c r="E628" s="142"/>
      <c r="F628" s="146"/>
      <c r="G628" s="147"/>
      <c r="H628" s="148"/>
      <c r="I628" s="148"/>
      <c r="J628" s="149"/>
      <c r="K628" s="149"/>
      <c r="L628" s="149"/>
      <c r="M628" s="149"/>
      <c r="N628" s="142"/>
      <c r="O628" s="33"/>
    </row>
    <row r="629" ht="15.75" customHeight="1">
      <c r="A629" s="142"/>
      <c r="B629" s="143"/>
      <c r="C629" s="144"/>
      <c r="D629" s="145"/>
      <c r="E629" s="142"/>
      <c r="F629" s="146"/>
      <c r="G629" s="147"/>
      <c r="H629" s="148"/>
      <c r="I629" s="148"/>
      <c r="J629" s="149"/>
      <c r="K629" s="149"/>
      <c r="L629" s="149"/>
      <c r="M629" s="149"/>
      <c r="N629" s="142"/>
      <c r="O629" s="33"/>
    </row>
    <row r="630" ht="15.75" customHeight="1">
      <c r="A630" s="142"/>
      <c r="B630" s="143"/>
      <c r="C630" s="144"/>
      <c r="D630" s="145"/>
      <c r="E630" s="142"/>
      <c r="F630" s="146"/>
      <c r="G630" s="147"/>
      <c r="H630" s="148"/>
      <c r="I630" s="148"/>
      <c r="J630" s="149"/>
      <c r="K630" s="149"/>
      <c r="L630" s="149"/>
      <c r="M630" s="149"/>
      <c r="N630" s="142"/>
      <c r="O630" s="33"/>
    </row>
    <row r="631" ht="15.75" customHeight="1">
      <c r="A631" s="142"/>
      <c r="B631" s="143"/>
      <c r="C631" s="144"/>
      <c r="D631" s="145"/>
      <c r="E631" s="142"/>
      <c r="F631" s="146"/>
      <c r="G631" s="147"/>
      <c r="H631" s="148"/>
      <c r="I631" s="148"/>
      <c r="J631" s="149"/>
      <c r="K631" s="149"/>
      <c r="L631" s="149"/>
      <c r="M631" s="149"/>
      <c r="N631" s="142"/>
      <c r="O631" s="33"/>
    </row>
    <row r="632" ht="15.75" customHeight="1">
      <c r="A632" s="142"/>
      <c r="B632" s="143"/>
      <c r="C632" s="144"/>
      <c r="D632" s="145"/>
      <c r="E632" s="142"/>
      <c r="F632" s="146"/>
      <c r="G632" s="147"/>
      <c r="H632" s="148"/>
      <c r="I632" s="148"/>
      <c r="J632" s="149"/>
      <c r="K632" s="149"/>
      <c r="L632" s="149"/>
      <c r="M632" s="149"/>
      <c r="N632" s="142"/>
      <c r="O632" s="33"/>
    </row>
    <row r="633" ht="15.75" customHeight="1">
      <c r="A633" s="142"/>
      <c r="B633" s="143"/>
      <c r="C633" s="144"/>
      <c r="D633" s="145"/>
      <c r="E633" s="142"/>
      <c r="F633" s="146"/>
      <c r="G633" s="147"/>
      <c r="H633" s="148"/>
      <c r="I633" s="148"/>
      <c r="J633" s="149"/>
      <c r="K633" s="149"/>
      <c r="L633" s="149"/>
      <c r="M633" s="149"/>
      <c r="N633" s="142"/>
      <c r="O633" s="33"/>
    </row>
    <row r="634" ht="15.75" customHeight="1">
      <c r="A634" s="142"/>
      <c r="B634" s="143"/>
      <c r="C634" s="144"/>
      <c r="D634" s="145"/>
      <c r="E634" s="142"/>
      <c r="F634" s="146"/>
      <c r="G634" s="147"/>
      <c r="H634" s="148"/>
      <c r="I634" s="148"/>
      <c r="J634" s="149"/>
      <c r="K634" s="149"/>
      <c r="L634" s="149"/>
      <c r="M634" s="149"/>
      <c r="N634" s="142"/>
      <c r="O634" s="33"/>
    </row>
    <row r="635" ht="15.75" customHeight="1">
      <c r="A635" s="142"/>
      <c r="B635" s="143"/>
      <c r="C635" s="144"/>
      <c r="D635" s="145"/>
      <c r="E635" s="142"/>
      <c r="F635" s="146"/>
      <c r="G635" s="147"/>
      <c r="H635" s="148"/>
      <c r="I635" s="148"/>
      <c r="J635" s="149"/>
      <c r="K635" s="149"/>
      <c r="L635" s="149"/>
      <c r="M635" s="149"/>
      <c r="N635" s="142"/>
      <c r="O635" s="33"/>
    </row>
    <row r="636" ht="15.75" customHeight="1">
      <c r="A636" s="142"/>
      <c r="B636" s="143"/>
      <c r="C636" s="144"/>
      <c r="D636" s="145"/>
      <c r="E636" s="142"/>
      <c r="F636" s="146"/>
      <c r="G636" s="147"/>
      <c r="H636" s="148"/>
      <c r="I636" s="148"/>
      <c r="J636" s="149"/>
      <c r="K636" s="149"/>
      <c r="L636" s="149"/>
      <c r="M636" s="149"/>
      <c r="N636" s="142"/>
      <c r="O636" s="33"/>
    </row>
    <row r="637" ht="15.75" customHeight="1">
      <c r="A637" s="142"/>
      <c r="B637" s="143"/>
      <c r="C637" s="144"/>
      <c r="D637" s="145"/>
      <c r="E637" s="142"/>
      <c r="F637" s="146"/>
      <c r="G637" s="147"/>
      <c r="H637" s="148"/>
      <c r="I637" s="148"/>
      <c r="J637" s="149"/>
      <c r="K637" s="149"/>
      <c r="L637" s="149"/>
      <c r="M637" s="149"/>
      <c r="N637" s="142"/>
      <c r="O637" s="33"/>
    </row>
    <row r="638" ht="15.75" customHeight="1">
      <c r="A638" s="142"/>
      <c r="B638" s="143"/>
      <c r="C638" s="144"/>
      <c r="D638" s="145"/>
      <c r="E638" s="142"/>
      <c r="F638" s="146"/>
      <c r="G638" s="147"/>
      <c r="H638" s="148"/>
      <c r="I638" s="148"/>
      <c r="J638" s="149"/>
      <c r="K638" s="149"/>
      <c r="L638" s="149"/>
      <c r="M638" s="149"/>
      <c r="N638" s="142"/>
      <c r="O638" s="33"/>
    </row>
    <row r="639" ht="15.75" customHeight="1">
      <c r="A639" s="142"/>
      <c r="B639" s="143"/>
      <c r="C639" s="144"/>
      <c r="D639" s="145"/>
      <c r="E639" s="142"/>
      <c r="F639" s="146"/>
      <c r="G639" s="147"/>
      <c r="H639" s="148"/>
      <c r="I639" s="148"/>
      <c r="J639" s="149"/>
      <c r="K639" s="149"/>
      <c r="L639" s="149"/>
      <c r="M639" s="149"/>
      <c r="N639" s="142"/>
      <c r="O639" s="33"/>
    </row>
    <row r="640" ht="15.75" customHeight="1">
      <c r="A640" s="142"/>
      <c r="B640" s="143"/>
      <c r="C640" s="144"/>
      <c r="D640" s="145"/>
      <c r="E640" s="142"/>
      <c r="F640" s="146"/>
      <c r="G640" s="147"/>
      <c r="H640" s="148"/>
      <c r="I640" s="148"/>
      <c r="J640" s="149"/>
      <c r="K640" s="149"/>
      <c r="L640" s="149"/>
      <c r="M640" s="149"/>
      <c r="N640" s="142"/>
      <c r="O640" s="33"/>
    </row>
    <row r="641" ht="15.75" customHeight="1">
      <c r="A641" s="142"/>
      <c r="B641" s="143"/>
      <c r="C641" s="144"/>
      <c r="D641" s="145"/>
      <c r="E641" s="142"/>
      <c r="F641" s="146"/>
      <c r="G641" s="147"/>
      <c r="H641" s="148"/>
      <c r="I641" s="148"/>
      <c r="J641" s="149"/>
      <c r="K641" s="149"/>
      <c r="L641" s="149"/>
      <c r="M641" s="149"/>
      <c r="N641" s="142"/>
      <c r="O641" s="33"/>
    </row>
    <row r="642" ht="15.75" customHeight="1">
      <c r="A642" s="142"/>
      <c r="B642" s="143"/>
      <c r="C642" s="144"/>
      <c r="D642" s="145"/>
      <c r="E642" s="142"/>
      <c r="F642" s="146"/>
      <c r="G642" s="147"/>
      <c r="H642" s="148"/>
      <c r="I642" s="148"/>
      <c r="J642" s="149"/>
      <c r="K642" s="149"/>
      <c r="L642" s="149"/>
      <c r="M642" s="149"/>
      <c r="N642" s="142"/>
      <c r="O642" s="33"/>
    </row>
    <row r="643" ht="15.75" customHeight="1">
      <c r="A643" s="142"/>
      <c r="B643" s="143"/>
      <c r="C643" s="144"/>
      <c r="D643" s="145"/>
      <c r="E643" s="142"/>
      <c r="F643" s="146"/>
      <c r="G643" s="147"/>
      <c r="H643" s="148"/>
      <c r="I643" s="148"/>
      <c r="J643" s="149"/>
      <c r="K643" s="149"/>
      <c r="L643" s="149"/>
      <c r="M643" s="149"/>
      <c r="N643" s="142"/>
      <c r="O643" s="33"/>
    </row>
    <row r="644" ht="15.75" customHeight="1">
      <c r="A644" s="142"/>
      <c r="B644" s="143"/>
      <c r="C644" s="144"/>
      <c r="D644" s="145"/>
      <c r="E644" s="142"/>
      <c r="F644" s="146"/>
      <c r="G644" s="147"/>
      <c r="H644" s="148"/>
      <c r="I644" s="148"/>
      <c r="J644" s="149"/>
      <c r="K644" s="149"/>
      <c r="L644" s="149"/>
      <c r="M644" s="149"/>
      <c r="N644" s="142"/>
      <c r="O644" s="33"/>
    </row>
    <row r="645" ht="15.75" customHeight="1">
      <c r="A645" s="142"/>
      <c r="B645" s="143"/>
      <c r="C645" s="144"/>
      <c r="D645" s="145"/>
      <c r="E645" s="142"/>
      <c r="F645" s="146"/>
      <c r="G645" s="147"/>
      <c r="H645" s="148"/>
      <c r="I645" s="148"/>
      <c r="J645" s="149"/>
      <c r="K645" s="149"/>
      <c r="L645" s="149"/>
      <c r="M645" s="149"/>
      <c r="N645" s="142"/>
      <c r="O645" s="33"/>
    </row>
    <row r="646" ht="15.75" customHeight="1">
      <c r="A646" s="142"/>
      <c r="B646" s="143"/>
      <c r="C646" s="144"/>
      <c r="D646" s="145"/>
      <c r="E646" s="142"/>
      <c r="F646" s="146"/>
      <c r="G646" s="147"/>
      <c r="H646" s="148"/>
      <c r="I646" s="148"/>
      <c r="J646" s="149"/>
      <c r="K646" s="149"/>
      <c r="L646" s="149"/>
      <c r="M646" s="149"/>
      <c r="N646" s="142"/>
      <c r="O646" s="33"/>
    </row>
    <row r="647" ht="15.75" customHeight="1">
      <c r="A647" s="142"/>
      <c r="B647" s="143"/>
      <c r="C647" s="144"/>
      <c r="D647" s="145"/>
      <c r="E647" s="142"/>
      <c r="F647" s="146"/>
      <c r="G647" s="147"/>
      <c r="H647" s="148"/>
      <c r="I647" s="148"/>
      <c r="J647" s="149"/>
      <c r="K647" s="149"/>
      <c r="L647" s="149"/>
      <c r="M647" s="149"/>
      <c r="N647" s="142"/>
      <c r="O647" s="33"/>
    </row>
    <row r="648" ht="15.75" customHeight="1">
      <c r="A648" s="142"/>
      <c r="B648" s="143"/>
      <c r="C648" s="144"/>
      <c r="D648" s="145"/>
      <c r="E648" s="142"/>
      <c r="F648" s="146"/>
      <c r="G648" s="147"/>
      <c r="H648" s="148"/>
      <c r="I648" s="148"/>
      <c r="J648" s="149"/>
      <c r="K648" s="149"/>
      <c r="L648" s="149"/>
      <c r="M648" s="149"/>
      <c r="N648" s="142"/>
      <c r="O648" s="33"/>
    </row>
    <row r="649" ht="15.75" customHeight="1">
      <c r="A649" s="142"/>
      <c r="B649" s="143"/>
      <c r="C649" s="144"/>
      <c r="D649" s="145"/>
      <c r="E649" s="142"/>
      <c r="F649" s="146"/>
      <c r="G649" s="147"/>
      <c r="H649" s="148"/>
      <c r="I649" s="148"/>
      <c r="J649" s="149"/>
      <c r="K649" s="149"/>
      <c r="L649" s="149"/>
      <c r="M649" s="149"/>
      <c r="N649" s="142"/>
      <c r="O649" s="33"/>
    </row>
    <row r="650" ht="15.75" customHeight="1">
      <c r="A650" s="142"/>
      <c r="B650" s="143"/>
      <c r="C650" s="144"/>
      <c r="D650" s="145"/>
      <c r="E650" s="142"/>
      <c r="F650" s="146"/>
      <c r="G650" s="147"/>
      <c r="H650" s="148"/>
      <c r="I650" s="148"/>
      <c r="J650" s="149"/>
      <c r="K650" s="149"/>
      <c r="L650" s="149"/>
      <c r="M650" s="149"/>
      <c r="N650" s="142"/>
      <c r="O650" s="33"/>
    </row>
    <row r="651" ht="15.75" customHeight="1">
      <c r="A651" s="142"/>
      <c r="B651" s="143"/>
      <c r="C651" s="144"/>
      <c r="D651" s="145"/>
      <c r="E651" s="142"/>
      <c r="F651" s="146"/>
      <c r="G651" s="147"/>
      <c r="H651" s="148"/>
      <c r="I651" s="148"/>
      <c r="J651" s="149"/>
      <c r="K651" s="149"/>
      <c r="L651" s="149"/>
      <c r="M651" s="149"/>
      <c r="N651" s="142"/>
      <c r="O651" s="33"/>
    </row>
    <row r="652" ht="15.75" customHeight="1">
      <c r="A652" s="142"/>
      <c r="B652" s="143"/>
      <c r="C652" s="144"/>
      <c r="D652" s="145"/>
      <c r="E652" s="142"/>
      <c r="F652" s="146"/>
      <c r="G652" s="147"/>
      <c r="H652" s="148"/>
      <c r="I652" s="148"/>
      <c r="J652" s="149"/>
      <c r="K652" s="149"/>
      <c r="L652" s="149"/>
      <c r="M652" s="149"/>
      <c r="N652" s="142"/>
      <c r="O652" s="33"/>
    </row>
    <row r="653" ht="15.75" customHeight="1">
      <c r="A653" s="142"/>
      <c r="B653" s="143"/>
      <c r="C653" s="144"/>
      <c r="D653" s="145"/>
      <c r="E653" s="142"/>
      <c r="F653" s="146"/>
      <c r="G653" s="147"/>
      <c r="H653" s="148"/>
      <c r="I653" s="148"/>
      <c r="J653" s="149"/>
      <c r="K653" s="149"/>
      <c r="L653" s="149"/>
      <c r="M653" s="149"/>
      <c r="N653" s="142"/>
      <c r="O653" s="33"/>
    </row>
    <row r="654" ht="15.75" customHeight="1">
      <c r="A654" s="142"/>
      <c r="B654" s="143"/>
      <c r="C654" s="144"/>
      <c r="D654" s="145"/>
      <c r="E654" s="142"/>
      <c r="F654" s="146"/>
      <c r="G654" s="147"/>
      <c r="H654" s="148"/>
      <c r="I654" s="148"/>
      <c r="J654" s="149"/>
      <c r="K654" s="149"/>
      <c r="L654" s="149"/>
      <c r="M654" s="149"/>
      <c r="N654" s="142"/>
      <c r="O654" s="33"/>
    </row>
    <row r="655" ht="15.75" customHeight="1">
      <c r="A655" s="142"/>
      <c r="B655" s="143"/>
      <c r="C655" s="144"/>
      <c r="D655" s="145"/>
      <c r="E655" s="142"/>
      <c r="F655" s="146"/>
      <c r="G655" s="147"/>
      <c r="H655" s="148"/>
      <c r="I655" s="148"/>
      <c r="J655" s="149"/>
      <c r="K655" s="149"/>
      <c r="L655" s="149"/>
      <c r="M655" s="149"/>
      <c r="N655" s="142"/>
      <c r="O655" s="33"/>
    </row>
    <row r="656" ht="15.75" customHeight="1">
      <c r="A656" s="142"/>
      <c r="B656" s="143"/>
      <c r="C656" s="144"/>
      <c r="D656" s="145"/>
      <c r="E656" s="142"/>
      <c r="F656" s="146"/>
      <c r="G656" s="147"/>
      <c r="H656" s="148"/>
      <c r="I656" s="148"/>
      <c r="J656" s="149"/>
      <c r="K656" s="149"/>
      <c r="L656" s="149"/>
      <c r="M656" s="149"/>
      <c r="N656" s="142"/>
      <c r="O656" s="33"/>
    </row>
    <row r="657" ht="15.75" customHeight="1">
      <c r="A657" s="142"/>
      <c r="B657" s="143"/>
      <c r="C657" s="144"/>
      <c r="D657" s="145"/>
      <c r="E657" s="142"/>
      <c r="F657" s="146"/>
      <c r="G657" s="147"/>
      <c r="H657" s="148"/>
      <c r="I657" s="148"/>
      <c r="J657" s="149"/>
      <c r="K657" s="149"/>
      <c r="L657" s="149"/>
      <c r="M657" s="149"/>
      <c r="N657" s="142"/>
      <c r="O657" s="33"/>
    </row>
    <row r="658" ht="15.75" customHeight="1">
      <c r="A658" s="142"/>
      <c r="B658" s="143"/>
      <c r="C658" s="144"/>
      <c r="D658" s="145"/>
      <c r="E658" s="142"/>
      <c r="F658" s="146"/>
      <c r="G658" s="147"/>
      <c r="H658" s="148"/>
      <c r="I658" s="148"/>
      <c r="J658" s="149"/>
      <c r="K658" s="149"/>
      <c r="L658" s="149"/>
      <c r="M658" s="149"/>
      <c r="N658" s="142"/>
      <c r="O658" s="33"/>
    </row>
    <row r="659" ht="15.75" customHeight="1">
      <c r="A659" s="142"/>
      <c r="B659" s="143"/>
      <c r="C659" s="144"/>
      <c r="D659" s="145"/>
      <c r="E659" s="142"/>
      <c r="F659" s="146"/>
      <c r="G659" s="147"/>
      <c r="H659" s="148"/>
      <c r="I659" s="148"/>
      <c r="J659" s="149"/>
      <c r="K659" s="149"/>
      <c r="L659" s="149"/>
      <c r="M659" s="149"/>
      <c r="N659" s="142"/>
      <c r="O659" s="33"/>
    </row>
    <row r="660" ht="15.75" customHeight="1">
      <c r="A660" s="142"/>
      <c r="B660" s="143"/>
      <c r="C660" s="144"/>
      <c r="D660" s="145"/>
      <c r="E660" s="142"/>
      <c r="F660" s="146"/>
      <c r="G660" s="147"/>
      <c r="H660" s="148"/>
      <c r="I660" s="148"/>
      <c r="J660" s="149"/>
      <c r="K660" s="149"/>
      <c r="L660" s="149"/>
      <c r="M660" s="149"/>
      <c r="N660" s="142"/>
      <c r="O660" s="33"/>
    </row>
    <row r="661" ht="15.75" customHeight="1">
      <c r="A661" s="142"/>
      <c r="B661" s="143"/>
      <c r="C661" s="144"/>
      <c r="D661" s="145"/>
      <c r="E661" s="142"/>
      <c r="F661" s="146"/>
      <c r="G661" s="147"/>
      <c r="H661" s="148"/>
      <c r="I661" s="148"/>
      <c r="J661" s="149"/>
      <c r="K661" s="149"/>
      <c r="L661" s="149"/>
      <c r="M661" s="149"/>
      <c r="N661" s="142"/>
      <c r="O661" s="33"/>
    </row>
    <row r="662" ht="15.75" customHeight="1">
      <c r="A662" s="142"/>
      <c r="B662" s="143"/>
      <c r="C662" s="144"/>
      <c r="D662" s="145"/>
      <c r="E662" s="142"/>
      <c r="F662" s="146"/>
      <c r="G662" s="147"/>
      <c r="H662" s="148"/>
      <c r="I662" s="148"/>
      <c r="J662" s="149"/>
      <c r="K662" s="149"/>
      <c r="L662" s="149"/>
      <c r="M662" s="149"/>
      <c r="N662" s="142"/>
      <c r="O662" s="33"/>
    </row>
    <row r="663" ht="15.75" customHeight="1">
      <c r="A663" s="142"/>
      <c r="B663" s="143"/>
      <c r="C663" s="144"/>
      <c r="D663" s="145"/>
      <c r="E663" s="142"/>
      <c r="F663" s="146"/>
      <c r="G663" s="147"/>
      <c r="H663" s="148"/>
      <c r="I663" s="148"/>
      <c r="J663" s="149"/>
      <c r="K663" s="149"/>
      <c r="L663" s="149"/>
      <c r="M663" s="149"/>
      <c r="N663" s="142"/>
      <c r="O663" s="33"/>
    </row>
    <row r="664" ht="15.75" customHeight="1">
      <c r="A664" s="142"/>
      <c r="B664" s="143"/>
      <c r="C664" s="144"/>
      <c r="D664" s="145"/>
      <c r="E664" s="142"/>
      <c r="F664" s="146"/>
      <c r="G664" s="147"/>
      <c r="H664" s="148"/>
      <c r="I664" s="148"/>
      <c r="J664" s="149"/>
      <c r="K664" s="149"/>
      <c r="L664" s="149"/>
      <c r="M664" s="149"/>
      <c r="N664" s="142"/>
      <c r="O664" s="33"/>
    </row>
    <row r="665" ht="15.75" customHeight="1">
      <c r="A665" s="142"/>
      <c r="B665" s="143"/>
      <c r="C665" s="144"/>
      <c r="D665" s="145"/>
      <c r="E665" s="142"/>
      <c r="F665" s="146"/>
      <c r="G665" s="147"/>
      <c r="H665" s="148"/>
      <c r="I665" s="148"/>
      <c r="J665" s="149"/>
      <c r="K665" s="149"/>
      <c r="L665" s="149"/>
      <c r="M665" s="149"/>
      <c r="N665" s="142"/>
      <c r="O665" s="33"/>
    </row>
    <row r="666" ht="15.75" customHeight="1">
      <c r="A666" s="142"/>
      <c r="B666" s="143"/>
      <c r="C666" s="144"/>
      <c r="D666" s="145"/>
      <c r="E666" s="142"/>
      <c r="F666" s="146"/>
      <c r="G666" s="147"/>
      <c r="H666" s="148"/>
      <c r="I666" s="148"/>
      <c r="J666" s="149"/>
      <c r="K666" s="149"/>
      <c r="L666" s="149"/>
      <c r="M666" s="149"/>
      <c r="N666" s="142"/>
      <c r="O666" s="33"/>
    </row>
    <row r="667" ht="15.75" customHeight="1">
      <c r="A667" s="142"/>
      <c r="B667" s="143"/>
      <c r="C667" s="144"/>
      <c r="D667" s="145"/>
      <c r="E667" s="142"/>
      <c r="F667" s="146"/>
      <c r="G667" s="147"/>
      <c r="H667" s="148"/>
      <c r="I667" s="148"/>
      <c r="J667" s="149"/>
      <c r="K667" s="149"/>
      <c r="L667" s="149"/>
      <c r="M667" s="149"/>
      <c r="N667" s="142"/>
      <c r="O667" s="33"/>
    </row>
    <row r="668" ht="15.75" customHeight="1">
      <c r="A668" s="142"/>
      <c r="B668" s="143"/>
      <c r="C668" s="144"/>
      <c r="D668" s="145"/>
      <c r="E668" s="142"/>
      <c r="F668" s="146"/>
      <c r="G668" s="147"/>
      <c r="H668" s="148"/>
      <c r="I668" s="148"/>
      <c r="J668" s="149"/>
      <c r="K668" s="149"/>
      <c r="L668" s="149"/>
      <c r="M668" s="149"/>
      <c r="N668" s="142"/>
      <c r="O668" s="33"/>
    </row>
    <row r="669" ht="15.75" customHeight="1">
      <c r="A669" s="142"/>
      <c r="B669" s="143"/>
      <c r="C669" s="144"/>
      <c r="D669" s="145"/>
      <c r="E669" s="142"/>
      <c r="F669" s="146"/>
      <c r="G669" s="147"/>
      <c r="H669" s="148"/>
      <c r="I669" s="148"/>
      <c r="J669" s="149"/>
      <c r="K669" s="149"/>
      <c r="L669" s="149"/>
      <c r="M669" s="149"/>
      <c r="N669" s="142"/>
      <c r="O669" s="33"/>
    </row>
    <row r="670" ht="15.75" customHeight="1">
      <c r="A670" s="142"/>
      <c r="B670" s="143"/>
      <c r="C670" s="144"/>
      <c r="D670" s="145"/>
      <c r="E670" s="142"/>
      <c r="F670" s="146"/>
      <c r="G670" s="147"/>
      <c r="H670" s="148"/>
      <c r="I670" s="148"/>
      <c r="J670" s="149"/>
      <c r="K670" s="149"/>
      <c r="L670" s="149"/>
      <c r="M670" s="149"/>
      <c r="N670" s="142"/>
      <c r="O670" s="33"/>
    </row>
    <row r="671" ht="15.75" customHeight="1">
      <c r="A671" s="142"/>
      <c r="B671" s="143"/>
      <c r="C671" s="144"/>
      <c r="D671" s="145"/>
      <c r="E671" s="142"/>
      <c r="F671" s="146"/>
      <c r="G671" s="147"/>
      <c r="H671" s="148"/>
      <c r="I671" s="148"/>
      <c r="J671" s="149"/>
      <c r="K671" s="149"/>
      <c r="L671" s="149"/>
      <c r="M671" s="149"/>
      <c r="N671" s="142"/>
      <c r="O671" s="33"/>
    </row>
    <row r="672" ht="15.75" customHeight="1">
      <c r="A672" s="142"/>
      <c r="B672" s="143"/>
      <c r="C672" s="144"/>
      <c r="D672" s="145"/>
      <c r="E672" s="142"/>
      <c r="F672" s="146"/>
      <c r="G672" s="147"/>
      <c r="H672" s="148"/>
      <c r="I672" s="148"/>
      <c r="J672" s="149"/>
      <c r="K672" s="149"/>
      <c r="L672" s="149"/>
      <c r="M672" s="149"/>
      <c r="N672" s="142"/>
      <c r="O672" s="33"/>
    </row>
    <row r="673" ht="15.75" customHeight="1">
      <c r="A673" s="142"/>
      <c r="B673" s="143"/>
      <c r="C673" s="144"/>
      <c r="D673" s="145"/>
      <c r="E673" s="142"/>
      <c r="F673" s="146"/>
      <c r="G673" s="147"/>
      <c r="H673" s="148"/>
      <c r="I673" s="148"/>
      <c r="J673" s="149"/>
      <c r="K673" s="149"/>
      <c r="L673" s="149"/>
      <c r="M673" s="149"/>
      <c r="N673" s="142"/>
      <c r="O673" s="33"/>
    </row>
    <row r="674" ht="15.75" customHeight="1">
      <c r="A674" s="142"/>
      <c r="B674" s="143"/>
      <c r="C674" s="144"/>
      <c r="D674" s="145"/>
      <c r="E674" s="142"/>
      <c r="F674" s="146"/>
      <c r="G674" s="147"/>
      <c r="H674" s="148"/>
      <c r="I674" s="148"/>
      <c r="J674" s="149"/>
      <c r="K674" s="149"/>
      <c r="L674" s="149"/>
      <c r="M674" s="149"/>
      <c r="N674" s="142"/>
      <c r="O674" s="33"/>
    </row>
    <row r="675" ht="15.75" customHeight="1">
      <c r="A675" s="142"/>
      <c r="B675" s="143"/>
      <c r="C675" s="144"/>
      <c r="D675" s="145"/>
      <c r="E675" s="142"/>
      <c r="F675" s="146"/>
      <c r="G675" s="147"/>
      <c r="H675" s="148"/>
      <c r="I675" s="148"/>
      <c r="J675" s="149"/>
      <c r="K675" s="149"/>
      <c r="L675" s="149"/>
      <c r="M675" s="149"/>
      <c r="N675" s="142"/>
      <c r="O675" s="33"/>
    </row>
    <row r="676" ht="15.75" customHeight="1">
      <c r="A676" s="142"/>
      <c r="B676" s="143"/>
      <c r="C676" s="144"/>
      <c r="D676" s="145"/>
      <c r="E676" s="142"/>
      <c r="F676" s="146"/>
      <c r="G676" s="147"/>
      <c r="H676" s="148"/>
      <c r="I676" s="148"/>
      <c r="J676" s="149"/>
      <c r="K676" s="149"/>
      <c r="L676" s="149"/>
      <c r="M676" s="149"/>
      <c r="N676" s="142"/>
      <c r="O676" s="33"/>
    </row>
    <row r="677" ht="15.75" customHeight="1">
      <c r="A677" s="142"/>
      <c r="B677" s="143"/>
      <c r="C677" s="144"/>
      <c r="D677" s="145"/>
      <c r="E677" s="142"/>
      <c r="F677" s="146"/>
      <c r="G677" s="147"/>
      <c r="H677" s="148"/>
      <c r="I677" s="148"/>
      <c r="J677" s="149"/>
      <c r="K677" s="149"/>
      <c r="L677" s="149"/>
      <c r="M677" s="149"/>
      <c r="N677" s="142"/>
      <c r="O677" s="33"/>
    </row>
    <row r="678" ht="15.75" customHeight="1">
      <c r="A678" s="142"/>
      <c r="B678" s="143"/>
      <c r="C678" s="144"/>
      <c r="D678" s="145"/>
      <c r="E678" s="142"/>
      <c r="F678" s="146"/>
      <c r="G678" s="147"/>
      <c r="H678" s="148"/>
      <c r="I678" s="148"/>
      <c r="J678" s="149"/>
      <c r="K678" s="149"/>
      <c r="L678" s="149"/>
      <c r="M678" s="149"/>
      <c r="N678" s="142"/>
      <c r="O678" s="33"/>
    </row>
    <row r="679" ht="15.75" customHeight="1">
      <c r="A679" s="142"/>
      <c r="B679" s="143"/>
      <c r="C679" s="144"/>
      <c r="D679" s="145"/>
      <c r="E679" s="142"/>
      <c r="F679" s="146"/>
      <c r="G679" s="147"/>
      <c r="H679" s="148"/>
      <c r="I679" s="148"/>
      <c r="J679" s="149"/>
      <c r="K679" s="149"/>
      <c r="L679" s="149"/>
      <c r="M679" s="149"/>
      <c r="N679" s="142"/>
      <c r="O679" s="33"/>
    </row>
    <row r="680" ht="15.75" customHeight="1">
      <c r="A680" s="142"/>
      <c r="B680" s="143"/>
      <c r="C680" s="144"/>
      <c r="D680" s="145"/>
      <c r="E680" s="142"/>
      <c r="F680" s="146"/>
      <c r="G680" s="147"/>
      <c r="H680" s="148"/>
      <c r="I680" s="148"/>
      <c r="J680" s="149"/>
      <c r="K680" s="149"/>
      <c r="L680" s="149"/>
      <c r="M680" s="149"/>
      <c r="N680" s="142"/>
      <c r="O680" s="33"/>
    </row>
    <row r="681" ht="15.75" customHeight="1">
      <c r="A681" s="142"/>
      <c r="B681" s="143"/>
      <c r="C681" s="144"/>
      <c r="D681" s="145"/>
      <c r="E681" s="142"/>
      <c r="F681" s="146"/>
      <c r="G681" s="147"/>
      <c r="H681" s="148"/>
      <c r="I681" s="148"/>
      <c r="J681" s="149"/>
      <c r="K681" s="149"/>
      <c r="L681" s="149"/>
      <c r="M681" s="149"/>
      <c r="N681" s="142"/>
      <c r="O681" s="33"/>
    </row>
    <row r="682" ht="15.75" customHeight="1">
      <c r="A682" s="142"/>
      <c r="B682" s="143"/>
      <c r="C682" s="144"/>
      <c r="D682" s="145"/>
      <c r="E682" s="142"/>
      <c r="F682" s="146"/>
      <c r="G682" s="147"/>
      <c r="H682" s="148"/>
      <c r="I682" s="148"/>
      <c r="J682" s="149"/>
      <c r="K682" s="149"/>
      <c r="L682" s="149"/>
      <c r="M682" s="149"/>
      <c r="N682" s="142"/>
      <c r="O682" s="33"/>
    </row>
    <row r="683" ht="15.75" customHeight="1">
      <c r="A683" s="142"/>
      <c r="B683" s="143"/>
      <c r="C683" s="144"/>
      <c r="D683" s="145"/>
      <c r="E683" s="142"/>
      <c r="F683" s="146"/>
      <c r="G683" s="147"/>
      <c r="H683" s="148"/>
      <c r="I683" s="148"/>
      <c r="J683" s="149"/>
      <c r="K683" s="149"/>
      <c r="L683" s="149"/>
      <c r="M683" s="149"/>
      <c r="N683" s="142"/>
      <c r="O683" s="33"/>
    </row>
    <row r="684" ht="15.75" customHeight="1">
      <c r="A684" s="142"/>
      <c r="B684" s="143"/>
      <c r="C684" s="144"/>
      <c r="D684" s="145"/>
      <c r="E684" s="142"/>
      <c r="F684" s="146"/>
      <c r="G684" s="147"/>
      <c r="H684" s="148"/>
      <c r="I684" s="148"/>
      <c r="J684" s="149"/>
      <c r="K684" s="149"/>
      <c r="L684" s="149"/>
      <c r="M684" s="149"/>
      <c r="N684" s="142"/>
      <c r="O684" s="33"/>
    </row>
    <row r="685" ht="15.75" customHeight="1">
      <c r="A685" s="142"/>
      <c r="B685" s="143"/>
      <c r="C685" s="144"/>
      <c r="D685" s="145"/>
      <c r="E685" s="142"/>
      <c r="F685" s="146"/>
      <c r="G685" s="147"/>
      <c r="H685" s="148"/>
      <c r="I685" s="148"/>
      <c r="J685" s="149"/>
      <c r="K685" s="149"/>
      <c r="L685" s="149"/>
      <c r="M685" s="149"/>
      <c r="N685" s="142"/>
      <c r="O685" s="33"/>
    </row>
    <row r="686" ht="15.75" customHeight="1">
      <c r="A686" s="142"/>
      <c r="B686" s="143"/>
      <c r="C686" s="144"/>
      <c r="D686" s="145"/>
      <c r="E686" s="142"/>
      <c r="F686" s="146"/>
      <c r="G686" s="147"/>
      <c r="H686" s="148"/>
      <c r="I686" s="148"/>
      <c r="J686" s="149"/>
      <c r="K686" s="149"/>
      <c r="L686" s="149"/>
      <c r="M686" s="149"/>
      <c r="N686" s="142"/>
      <c r="O686" s="33"/>
    </row>
    <row r="687" ht="15.75" customHeight="1">
      <c r="A687" s="142"/>
      <c r="B687" s="143"/>
      <c r="C687" s="144"/>
      <c r="D687" s="145"/>
      <c r="E687" s="142"/>
      <c r="F687" s="146"/>
      <c r="G687" s="147"/>
      <c r="H687" s="148"/>
      <c r="I687" s="148"/>
      <c r="J687" s="149"/>
      <c r="K687" s="149"/>
      <c r="L687" s="149"/>
      <c r="M687" s="149"/>
      <c r="N687" s="142"/>
      <c r="O687" s="33"/>
    </row>
    <row r="688" ht="15.75" customHeight="1">
      <c r="A688" s="142"/>
      <c r="B688" s="143"/>
      <c r="C688" s="144"/>
      <c r="D688" s="145"/>
      <c r="E688" s="142"/>
      <c r="F688" s="146"/>
      <c r="G688" s="147"/>
      <c r="H688" s="148"/>
      <c r="I688" s="148"/>
      <c r="J688" s="149"/>
      <c r="K688" s="149"/>
      <c r="L688" s="149"/>
      <c r="M688" s="149"/>
      <c r="N688" s="142"/>
      <c r="O688" s="33"/>
    </row>
    <row r="689" ht="15.75" customHeight="1">
      <c r="A689" s="142"/>
      <c r="B689" s="143"/>
      <c r="C689" s="144"/>
      <c r="D689" s="145"/>
      <c r="E689" s="142"/>
      <c r="F689" s="146"/>
      <c r="G689" s="147"/>
      <c r="H689" s="148"/>
      <c r="I689" s="148"/>
      <c r="J689" s="149"/>
      <c r="K689" s="149"/>
      <c r="L689" s="149"/>
      <c r="M689" s="149"/>
      <c r="N689" s="142"/>
      <c r="O689" s="33"/>
    </row>
    <row r="690" ht="15.75" customHeight="1">
      <c r="A690" s="142"/>
      <c r="B690" s="143"/>
      <c r="C690" s="144"/>
      <c r="D690" s="145"/>
      <c r="E690" s="142"/>
      <c r="F690" s="146"/>
      <c r="G690" s="147"/>
      <c r="H690" s="148"/>
      <c r="I690" s="148"/>
      <c r="J690" s="149"/>
      <c r="K690" s="149"/>
      <c r="L690" s="149"/>
      <c r="M690" s="149"/>
      <c r="N690" s="142"/>
      <c r="O690" s="33"/>
    </row>
    <row r="691" ht="15.75" customHeight="1">
      <c r="A691" s="142"/>
      <c r="B691" s="143"/>
      <c r="C691" s="144"/>
      <c r="D691" s="145"/>
      <c r="E691" s="142"/>
      <c r="F691" s="146"/>
      <c r="G691" s="147"/>
      <c r="H691" s="148"/>
      <c r="I691" s="148"/>
      <c r="J691" s="149"/>
      <c r="K691" s="149"/>
      <c r="L691" s="149"/>
      <c r="M691" s="149"/>
      <c r="N691" s="142"/>
      <c r="O691" s="33"/>
    </row>
    <row r="692" ht="15.75" customHeight="1">
      <c r="A692" s="142"/>
      <c r="B692" s="143"/>
      <c r="C692" s="144"/>
      <c r="D692" s="145"/>
      <c r="E692" s="142"/>
      <c r="F692" s="146"/>
      <c r="G692" s="147"/>
      <c r="H692" s="148"/>
      <c r="I692" s="148"/>
      <c r="J692" s="149"/>
      <c r="K692" s="149"/>
      <c r="L692" s="149"/>
      <c r="M692" s="149"/>
      <c r="N692" s="142"/>
      <c r="O692" s="33"/>
    </row>
    <row r="693" ht="15.75" customHeight="1">
      <c r="A693" s="142"/>
      <c r="B693" s="143"/>
      <c r="C693" s="144"/>
      <c r="D693" s="145"/>
      <c r="E693" s="142"/>
      <c r="F693" s="146"/>
      <c r="G693" s="147"/>
      <c r="H693" s="148"/>
      <c r="I693" s="148"/>
      <c r="J693" s="149"/>
      <c r="K693" s="149"/>
      <c r="L693" s="149"/>
      <c r="M693" s="149"/>
      <c r="N693" s="142"/>
      <c r="O693" s="33"/>
    </row>
    <row r="694" ht="15.75" customHeight="1">
      <c r="A694" s="142"/>
      <c r="B694" s="143"/>
      <c r="C694" s="144"/>
      <c r="D694" s="145"/>
      <c r="E694" s="142"/>
      <c r="F694" s="146"/>
      <c r="G694" s="147"/>
      <c r="H694" s="148"/>
      <c r="I694" s="148"/>
      <c r="J694" s="149"/>
      <c r="K694" s="149"/>
      <c r="L694" s="149"/>
      <c r="M694" s="149"/>
      <c r="N694" s="142"/>
      <c r="O694" s="33"/>
    </row>
    <row r="695" ht="15.75" customHeight="1">
      <c r="A695" s="142"/>
      <c r="B695" s="143"/>
      <c r="C695" s="144"/>
      <c r="D695" s="145"/>
      <c r="E695" s="142"/>
      <c r="F695" s="146"/>
      <c r="G695" s="147"/>
      <c r="H695" s="148"/>
      <c r="I695" s="148"/>
      <c r="J695" s="149"/>
      <c r="K695" s="149"/>
      <c r="L695" s="149"/>
      <c r="M695" s="149"/>
      <c r="N695" s="142"/>
      <c r="O695" s="33"/>
    </row>
    <row r="696" ht="15.75" customHeight="1">
      <c r="A696" s="142"/>
      <c r="B696" s="143"/>
      <c r="C696" s="144"/>
      <c r="D696" s="145"/>
      <c r="E696" s="142"/>
      <c r="F696" s="146"/>
      <c r="G696" s="147"/>
      <c r="H696" s="148"/>
      <c r="I696" s="148"/>
      <c r="J696" s="149"/>
      <c r="K696" s="149"/>
      <c r="L696" s="149"/>
      <c r="M696" s="149"/>
      <c r="N696" s="142"/>
      <c r="O696" s="33"/>
    </row>
    <row r="697" ht="15.75" customHeight="1">
      <c r="A697" s="142"/>
      <c r="B697" s="143"/>
      <c r="C697" s="144"/>
      <c r="D697" s="145"/>
      <c r="E697" s="142"/>
      <c r="F697" s="146"/>
      <c r="G697" s="147"/>
      <c r="H697" s="148"/>
      <c r="I697" s="148"/>
      <c r="J697" s="149"/>
      <c r="K697" s="149"/>
      <c r="L697" s="149"/>
      <c r="M697" s="149"/>
      <c r="N697" s="142"/>
      <c r="O697" s="33"/>
    </row>
    <row r="698" ht="15.75" customHeight="1">
      <c r="A698" s="142"/>
      <c r="B698" s="143"/>
      <c r="C698" s="144"/>
      <c r="D698" s="145"/>
      <c r="E698" s="142"/>
      <c r="F698" s="146"/>
      <c r="G698" s="147"/>
      <c r="H698" s="148"/>
      <c r="I698" s="148"/>
      <c r="J698" s="149"/>
      <c r="K698" s="149"/>
      <c r="L698" s="149"/>
      <c r="M698" s="149"/>
      <c r="N698" s="142"/>
      <c r="O698" s="33"/>
    </row>
    <row r="699" ht="15.75" customHeight="1">
      <c r="A699" s="142"/>
      <c r="B699" s="143"/>
      <c r="C699" s="144"/>
      <c r="D699" s="145"/>
      <c r="E699" s="142"/>
      <c r="F699" s="146"/>
      <c r="G699" s="147"/>
      <c r="H699" s="148"/>
      <c r="I699" s="148"/>
      <c r="J699" s="149"/>
      <c r="K699" s="149"/>
      <c r="L699" s="149"/>
      <c r="M699" s="149"/>
      <c r="N699" s="142"/>
      <c r="O699" s="33"/>
    </row>
    <row r="700" ht="15.75" customHeight="1">
      <c r="A700" s="142"/>
      <c r="B700" s="143"/>
      <c r="C700" s="144"/>
      <c r="D700" s="145"/>
      <c r="E700" s="142"/>
      <c r="F700" s="146"/>
      <c r="G700" s="147"/>
      <c r="H700" s="148"/>
      <c r="I700" s="148"/>
      <c r="J700" s="149"/>
      <c r="K700" s="149"/>
      <c r="L700" s="149"/>
      <c r="M700" s="149"/>
      <c r="N700" s="142"/>
      <c r="O700" s="33"/>
    </row>
    <row r="701" ht="15.75" customHeight="1">
      <c r="A701" s="142"/>
      <c r="B701" s="143"/>
      <c r="C701" s="144"/>
      <c r="D701" s="145"/>
      <c r="E701" s="142"/>
      <c r="F701" s="146"/>
      <c r="G701" s="147"/>
      <c r="H701" s="148"/>
      <c r="I701" s="148"/>
      <c r="J701" s="149"/>
      <c r="K701" s="149"/>
      <c r="L701" s="149"/>
      <c r="M701" s="149"/>
      <c r="N701" s="142"/>
      <c r="O701" s="33"/>
    </row>
    <row r="702" ht="15.75" customHeight="1">
      <c r="A702" s="142"/>
      <c r="B702" s="143"/>
      <c r="C702" s="144"/>
      <c r="D702" s="145"/>
      <c r="E702" s="142"/>
      <c r="F702" s="146"/>
      <c r="G702" s="147"/>
      <c r="H702" s="148"/>
      <c r="I702" s="148"/>
      <c r="J702" s="149"/>
      <c r="K702" s="149"/>
      <c r="L702" s="149"/>
      <c r="M702" s="149"/>
      <c r="N702" s="142"/>
      <c r="O702" s="33"/>
    </row>
    <row r="703" ht="15.75" customHeight="1">
      <c r="A703" s="142"/>
      <c r="B703" s="143"/>
      <c r="C703" s="144"/>
      <c r="D703" s="145"/>
      <c r="E703" s="142"/>
      <c r="F703" s="146"/>
      <c r="G703" s="147"/>
      <c r="H703" s="148"/>
      <c r="I703" s="148"/>
      <c r="J703" s="149"/>
      <c r="K703" s="149"/>
      <c r="L703" s="149"/>
      <c r="M703" s="149"/>
      <c r="N703" s="142"/>
      <c r="O703" s="33"/>
    </row>
    <row r="704" ht="15.75" customHeight="1">
      <c r="A704" s="142"/>
      <c r="B704" s="143"/>
      <c r="C704" s="144"/>
      <c r="D704" s="145"/>
      <c r="E704" s="142"/>
      <c r="F704" s="146"/>
      <c r="G704" s="147"/>
      <c r="H704" s="148"/>
      <c r="I704" s="148"/>
      <c r="J704" s="149"/>
      <c r="K704" s="149"/>
      <c r="L704" s="149"/>
      <c r="M704" s="149"/>
      <c r="N704" s="142"/>
      <c r="O704" s="33"/>
    </row>
    <row r="705" ht="15.75" customHeight="1">
      <c r="A705" s="142"/>
      <c r="B705" s="143"/>
      <c r="C705" s="144"/>
      <c r="D705" s="145"/>
      <c r="E705" s="142"/>
      <c r="F705" s="146"/>
      <c r="G705" s="147"/>
      <c r="H705" s="148"/>
      <c r="I705" s="148"/>
      <c r="J705" s="149"/>
      <c r="K705" s="149"/>
      <c r="L705" s="149"/>
      <c r="M705" s="149"/>
      <c r="N705" s="142"/>
      <c r="O705" s="33"/>
    </row>
    <row r="706" ht="15.75" customHeight="1">
      <c r="A706" s="142"/>
      <c r="B706" s="143"/>
      <c r="C706" s="144"/>
      <c r="D706" s="145"/>
      <c r="E706" s="142"/>
      <c r="F706" s="146"/>
      <c r="G706" s="147"/>
      <c r="H706" s="148"/>
      <c r="I706" s="148"/>
      <c r="J706" s="149"/>
      <c r="K706" s="149"/>
      <c r="L706" s="149"/>
      <c r="M706" s="149"/>
      <c r="N706" s="142"/>
      <c r="O706" s="33"/>
    </row>
    <row r="707" ht="15.75" customHeight="1">
      <c r="A707" s="142"/>
      <c r="B707" s="143"/>
      <c r="C707" s="144"/>
      <c r="D707" s="145"/>
      <c r="E707" s="142"/>
      <c r="F707" s="146"/>
      <c r="G707" s="147"/>
      <c r="H707" s="148"/>
      <c r="I707" s="148"/>
      <c r="J707" s="149"/>
      <c r="K707" s="149"/>
      <c r="L707" s="149"/>
      <c r="M707" s="149"/>
      <c r="N707" s="142"/>
      <c r="O707" s="33"/>
    </row>
    <row r="708" ht="15.75" customHeight="1">
      <c r="A708" s="142"/>
      <c r="B708" s="143"/>
      <c r="C708" s="144"/>
      <c r="D708" s="145"/>
      <c r="E708" s="142"/>
      <c r="F708" s="146"/>
      <c r="G708" s="147"/>
      <c r="H708" s="148"/>
      <c r="I708" s="148"/>
      <c r="J708" s="149"/>
      <c r="K708" s="149"/>
      <c r="L708" s="149"/>
      <c r="M708" s="149"/>
      <c r="N708" s="142"/>
      <c r="O708" s="33"/>
    </row>
    <row r="709" ht="15.75" customHeight="1">
      <c r="A709" s="142"/>
      <c r="B709" s="143"/>
      <c r="C709" s="144"/>
      <c r="D709" s="145"/>
      <c r="E709" s="142"/>
      <c r="F709" s="146"/>
      <c r="G709" s="147"/>
      <c r="H709" s="148"/>
      <c r="I709" s="148"/>
      <c r="J709" s="149"/>
      <c r="K709" s="149"/>
      <c r="L709" s="149"/>
      <c r="M709" s="149"/>
      <c r="N709" s="142"/>
      <c r="O709" s="33"/>
    </row>
    <row r="710" ht="15.75" customHeight="1">
      <c r="A710" s="142"/>
      <c r="B710" s="143"/>
      <c r="C710" s="144"/>
      <c r="D710" s="145"/>
      <c r="E710" s="142"/>
      <c r="F710" s="146"/>
      <c r="G710" s="147"/>
      <c r="H710" s="148"/>
      <c r="I710" s="148"/>
      <c r="J710" s="149"/>
      <c r="K710" s="149"/>
      <c r="L710" s="149"/>
      <c r="M710" s="149"/>
      <c r="N710" s="142"/>
      <c r="O710" s="33"/>
    </row>
    <row r="711" ht="15.75" customHeight="1">
      <c r="A711" s="142"/>
      <c r="B711" s="143"/>
      <c r="C711" s="144"/>
      <c r="D711" s="145"/>
      <c r="E711" s="142"/>
      <c r="F711" s="146"/>
      <c r="G711" s="147"/>
      <c r="H711" s="148"/>
      <c r="I711" s="148"/>
      <c r="J711" s="149"/>
      <c r="K711" s="149"/>
      <c r="L711" s="149"/>
      <c r="M711" s="149"/>
      <c r="N711" s="142"/>
      <c r="O711" s="33"/>
    </row>
    <row r="712" ht="15.75" customHeight="1">
      <c r="A712" s="142"/>
      <c r="B712" s="143"/>
      <c r="C712" s="144"/>
      <c r="D712" s="145"/>
      <c r="E712" s="142"/>
      <c r="F712" s="146"/>
      <c r="G712" s="147"/>
      <c r="H712" s="148"/>
      <c r="I712" s="148"/>
      <c r="J712" s="149"/>
      <c r="K712" s="149"/>
      <c r="L712" s="149"/>
      <c r="M712" s="149"/>
      <c r="N712" s="142"/>
      <c r="O712" s="33"/>
    </row>
    <row r="713" ht="15.75" customHeight="1">
      <c r="A713" s="142"/>
      <c r="B713" s="143"/>
      <c r="C713" s="144"/>
      <c r="D713" s="145"/>
      <c r="E713" s="142"/>
      <c r="F713" s="146"/>
      <c r="G713" s="147"/>
      <c r="H713" s="148"/>
      <c r="I713" s="148"/>
      <c r="J713" s="149"/>
      <c r="K713" s="149"/>
      <c r="L713" s="149"/>
      <c r="M713" s="149"/>
      <c r="N713" s="142"/>
      <c r="O713" s="33"/>
    </row>
    <row r="714" ht="15.75" customHeight="1">
      <c r="A714" s="142"/>
      <c r="B714" s="143"/>
      <c r="C714" s="144"/>
      <c r="D714" s="145"/>
      <c r="E714" s="142"/>
      <c r="F714" s="146"/>
      <c r="G714" s="147"/>
      <c r="H714" s="148"/>
      <c r="I714" s="148"/>
      <c r="J714" s="149"/>
      <c r="K714" s="149"/>
      <c r="L714" s="149"/>
      <c r="M714" s="149"/>
      <c r="N714" s="142"/>
      <c r="O714" s="33"/>
    </row>
    <row r="715" ht="15.75" customHeight="1">
      <c r="A715" s="142"/>
      <c r="B715" s="143"/>
      <c r="C715" s="144"/>
      <c r="D715" s="145"/>
      <c r="E715" s="142"/>
      <c r="F715" s="146"/>
      <c r="G715" s="147"/>
      <c r="H715" s="148"/>
      <c r="I715" s="148"/>
      <c r="J715" s="149"/>
      <c r="K715" s="149"/>
      <c r="L715" s="149"/>
      <c r="M715" s="149"/>
      <c r="N715" s="142"/>
      <c r="O715" s="33"/>
    </row>
    <row r="716" ht="15.75" customHeight="1">
      <c r="A716" s="142"/>
      <c r="B716" s="143"/>
      <c r="C716" s="144"/>
      <c r="D716" s="145"/>
      <c r="E716" s="142"/>
      <c r="F716" s="146"/>
      <c r="G716" s="147"/>
      <c r="H716" s="148"/>
      <c r="I716" s="148"/>
      <c r="J716" s="149"/>
      <c r="K716" s="149"/>
      <c r="L716" s="149"/>
      <c r="M716" s="149"/>
      <c r="N716" s="142"/>
      <c r="O716" s="33"/>
    </row>
    <row r="717" ht="15.75" customHeight="1">
      <c r="A717" s="142"/>
      <c r="B717" s="143"/>
      <c r="C717" s="144"/>
      <c r="D717" s="145"/>
      <c r="E717" s="142"/>
      <c r="F717" s="146"/>
      <c r="G717" s="147"/>
      <c r="H717" s="148"/>
      <c r="I717" s="148"/>
      <c r="J717" s="149"/>
      <c r="K717" s="149"/>
      <c r="L717" s="149"/>
      <c r="M717" s="149"/>
      <c r="N717" s="142"/>
      <c r="O717" s="33"/>
    </row>
    <row r="718" ht="15.75" customHeight="1">
      <c r="A718" s="142"/>
      <c r="B718" s="143"/>
      <c r="C718" s="144"/>
      <c r="D718" s="145"/>
      <c r="E718" s="142"/>
      <c r="F718" s="146"/>
      <c r="G718" s="147"/>
      <c r="H718" s="148"/>
      <c r="I718" s="148"/>
      <c r="J718" s="149"/>
      <c r="K718" s="149"/>
      <c r="L718" s="149"/>
      <c r="M718" s="149"/>
      <c r="N718" s="142"/>
      <c r="O718" s="33"/>
    </row>
    <row r="719" ht="15.75" customHeight="1">
      <c r="A719" s="142"/>
      <c r="B719" s="143"/>
      <c r="C719" s="144"/>
      <c r="D719" s="145"/>
      <c r="E719" s="142"/>
      <c r="F719" s="146"/>
      <c r="G719" s="147"/>
      <c r="H719" s="148"/>
      <c r="I719" s="148"/>
      <c r="J719" s="149"/>
      <c r="K719" s="149"/>
      <c r="L719" s="149"/>
      <c r="M719" s="149"/>
      <c r="N719" s="142"/>
      <c r="O719" s="33"/>
    </row>
    <row r="720" ht="15.75" customHeight="1">
      <c r="A720" s="142"/>
      <c r="B720" s="143"/>
      <c r="C720" s="144"/>
      <c r="D720" s="145"/>
      <c r="E720" s="142"/>
      <c r="F720" s="146"/>
      <c r="G720" s="147"/>
      <c r="H720" s="148"/>
      <c r="I720" s="148"/>
      <c r="J720" s="149"/>
      <c r="K720" s="149"/>
      <c r="L720" s="149"/>
      <c r="M720" s="149"/>
      <c r="N720" s="142"/>
      <c r="O720" s="33"/>
    </row>
    <row r="721" ht="15.75" customHeight="1">
      <c r="A721" s="142"/>
      <c r="B721" s="143"/>
      <c r="C721" s="144"/>
      <c r="D721" s="145"/>
      <c r="E721" s="142"/>
      <c r="F721" s="146"/>
      <c r="G721" s="147"/>
      <c r="H721" s="148"/>
      <c r="I721" s="148"/>
      <c r="J721" s="149"/>
      <c r="K721" s="149"/>
      <c r="L721" s="149"/>
      <c r="M721" s="149"/>
      <c r="N721" s="142"/>
      <c r="O721" s="33"/>
    </row>
    <row r="722" ht="15.75" customHeight="1">
      <c r="A722" s="142"/>
      <c r="B722" s="143"/>
      <c r="C722" s="144"/>
      <c r="D722" s="145"/>
      <c r="E722" s="142"/>
      <c r="F722" s="146"/>
      <c r="G722" s="147"/>
      <c r="H722" s="148"/>
      <c r="I722" s="148"/>
      <c r="J722" s="149"/>
      <c r="K722" s="149"/>
      <c r="L722" s="149"/>
      <c r="M722" s="149"/>
      <c r="N722" s="142"/>
      <c r="O722" s="33"/>
    </row>
    <row r="723" ht="15.75" customHeight="1">
      <c r="A723" s="142"/>
      <c r="B723" s="143"/>
      <c r="C723" s="144"/>
      <c r="D723" s="145"/>
      <c r="E723" s="142"/>
      <c r="F723" s="146"/>
      <c r="G723" s="147"/>
      <c r="H723" s="148"/>
      <c r="I723" s="148"/>
      <c r="J723" s="149"/>
      <c r="K723" s="149"/>
      <c r="L723" s="149"/>
      <c r="M723" s="149"/>
      <c r="N723" s="142"/>
      <c r="O723" s="33"/>
    </row>
    <row r="724" ht="15.75" customHeight="1">
      <c r="A724" s="142"/>
      <c r="B724" s="143"/>
      <c r="C724" s="144"/>
      <c r="D724" s="145"/>
      <c r="E724" s="142"/>
      <c r="F724" s="146"/>
      <c r="G724" s="147"/>
      <c r="H724" s="148"/>
      <c r="I724" s="148"/>
      <c r="J724" s="149"/>
      <c r="K724" s="149"/>
      <c r="L724" s="149"/>
      <c r="M724" s="149"/>
      <c r="N724" s="142"/>
      <c r="O724" s="33"/>
    </row>
    <row r="725" ht="15.75" customHeight="1">
      <c r="A725" s="142"/>
      <c r="B725" s="143"/>
      <c r="C725" s="144"/>
      <c r="D725" s="145"/>
      <c r="E725" s="142"/>
      <c r="F725" s="146"/>
      <c r="G725" s="147"/>
      <c r="H725" s="148"/>
      <c r="I725" s="148"/>
      <c r="J725" s="149"/>
      <c r="K725" s="149"/>
      <c r="L725" s="149"/>
      <c r="M725" s="149"/>
      <c r="N725" s="142"/>
      <c r="O725" s="33"/>
    </row>
    <row r="726" ht="15.75" customHeight="1">
      <c r="A726" s="142"/>
      <c r="B726" s="143"/>
      <c r="C726" s="144"/>
      <c r="D726" s="145"/>
      <c r="E726" s="142"/>
      <c r="F726" s="146"/>
      <c r="G726" s="147"/>
      <c r="H726" s="148"/>
      <c r="I726" s="148"/>
      <c r="J726" s="149"/>
      <c r="K726" s="149"/>
      <c r="L726" s="149"/>
      <c r="M726" s="149"/>
      <c r="N726" s="142"/>
      <c r="O726" s="33"/>
    </row>
    <row r="727" ht="15.75" customHeight="1">
      <c r="A727" s="142"/>
      <c r="B727" s="143"/>
      <c r="C727" s="144"/>
      <c r="D727" s="145"/>
      <c r="E727" s="142"/>
      <c r="F727" s="146"/>
      <c r="G727" s="147"/>
      <c r="H727" s="148"/>
      <c r="I727" s="148"/>
      <c r="J727" s="149"/>
      <c r="K727" s="149"/>
      <c r="L727" s="149"/>
      <c r="M727" s="149"/>
      <c r="N727" s="142"/>
      <c r="O727" s="33"/>
    </row>
    <row r="728" ht="15.75" customHeight="1">
      <c r="A728" s="142"/>
      <c r="B728" s="143"/>
      <c r="C728" s="144"/>
      <c r="D728" s="145"/>
      <c r="E728" s="142"/>
      <c r="F728" s="146"/>
      <c r="G728" s="147"/>
      <c r="H728" s="148"/>
      <c r="I728" s="148"/>
      <c r="J728" s="149"/>
      <c r="K728" s="149"/>
      <c r="L728" s="149"/>
      <c r="M728" s="149"/>
      <c r="N728" s="142"/>
      <c r="O728" s="33"/>
    </row>
    <row r="729" ht="15.75" customHeight="1">
      <c r="A729" s="142"/>
      <c r="B729" s="143"/>
      <c r="C729" s="144"/>
      <c r="D729" s="145"/>
      <c r="E729" s="142"/>
      <c r="F729" s="146"/>
      <c r="G729" s="147"/>
      <c r="H729" s="148"/>
      <c r="I729" s="148"/>
      <c r="J729" s="149"/>
      <c r="K729" s="149"/>
      <c r="L729" s="149"/>
      <c r="M729" s="149"/>
      <c r="N729" s="142"/>
      <c r="O729" s="33"/>
    </row>
    <row r="730" ht="15.75" customHeight="1">
      <c r="A730" s="142"/>
      <c r="B730" s="143"/>
      <c r="C730" s="144"/>
      <c r="D730" s="145"/>
      <c r="E730" s="142"/>
      <c r="F730" s="146"/>
      <c r="G730" s="147"/>
      <c r="H730" s="148"/>
      <c r="I730" s="148"/>
      <c r="J730" s="149"/>
      <c r="K730" s="149"/>
      <c r="L730" s="149"/>
      <c r="M730" s="149"/>
      <c r="N730" s="142"/>
      <c r="O730" s="33"/>
    </row>
    <row r="731" ht="15.75" customHeight="1">
      <c r="A731" s="142"/>
      <c r="B731" s="143"/>
      <c r="C731" s="144"/>
      <c r="D731" s="145"/>
      <c r="E731" s="142"/>
      <c r="F731" s="146"/>
      <c r="G731" s="147"/>
      <c r="H731" s="148"/>
      <c r="I731" s="148"/>
      <c r="J731" s="149"/>
      <c r="K731" s="149"/>
      <c r="L731" s="149"/>
      <c r="M731" s="149"/>
      <c r="N731" s="142"/>
      <c r="O731" s="33"/>
    </row>
    <row r="732" ht="15.75" customHeight="1">
      <c r="A732" s="142"/>
      <c r="B732" s="143"/>
      <c r="C732" s="144"/>
      <c r="D732" s="145"/>
      <c r="E732" s="142"/>
      <c r="F732" s="146"/>
      <c r="G732" s="147"/>
      <c r="H732" s="148"/>
      <c r="I732" s="148"/>
      <c r="J732" s="149"/>
      <c r="K732" s="149"/>
      <c r="L732" s="149"/>
      <c r="M732" s="149"/>
      <c r="N732" s="142"/>
      <c r="O732" s="33"/>
    </row>
    <row r="733" ht="15.75" customHeight="1">
      <c r="A733" s="142"/>
      <c r="B733" s="143"/>
      <c r="C733" s="144"/>
      <c r="D733" s="145"/>
      <c r="E733" s="142"/>
      <c r="F733" s="146"/>
      <c r="G733" s="147"/>
      <c r="H733" s="148"/>
      <c r="I733" s="148"/>
      <c r="J733" s="149"/>
      <c r="K733" s="149"/>
      <c r="L733" s="149"/>
      <c r="M733" s="149"/>
      <c r="N733" s="142"/>
      <c r="O733" s="33"/>
    </row>
    <row r="734" ht="15.75" customHeight="1">
      <c r="A734" s="142"/>
      <c r="B734" s="143"/>
      <c r="C734" s="144"/>
      <c r="D734" s="145"/>
      <c r="E734" s="142"/>
      <c r="F734" s="146"/>
      <c r="G734" s="147"/>
      <c r="H734" s="148"/>
      <c r="I734" s="148"/>
      <c r="J734" s="149"/>
      <c r="K734" s="149"/>
      <c r="L734" s="149"/>
      <c r="M734" s="149"/>
      <c r="N734" s="142"/>
      <c r="O734" s="33"/>
    </row>
    <row r="735" ht="15.75" customHeight="1">
      <c r="A735" s="142"/>
      <c r="B735" s="143"/>
      <c r="C735" s="144"/>
      <c r="D735" s="145"/>
      <c r="E735" s="142"/>
      <c r="F735" s="146"/>
      <c r="G735" s="147"/>
      <c r="H735" s="148"/>
      <c r="I735" s="148"/>
      <c r="J735" s="149"/>
      <c r="K735" s="149"/>
      <c r="L735" s="149"/>
      <c r="M735" s="149"/>
      <c r="N735" s="142"/>
      <c r="O735" s="33"/>
    </row>
    <row r="736" ht="15.75" customHeight="1">
      <c r="A736" s="142"/>
      <c r="B736" s="143"/>
      <c r="C736" s="144"/>
      <c r="D736" s="145"/>
      <c r="E736" s="142"/>
      <c r="F736" s="146"/>
      <c r="G736" s="147"/>
      <c r="H736" s="148"/>
      <c r="I736" s="148"/>
      <c r="J736" s="149"/>
      <c r="K736" s="149"/>
      <c r="L736" s="149"/>
      <c r="M736" s="149"/>
      <c r="N736" s="142"/>
      <c r="O736" s="33"/>
    </row>
    <row r="737" ht="15.75" customHeight="1">
      <c r="A737" s="142"/>
      <c r="B737" s="143"/>
      <c r="C737" s="144"/>
      <c r="D737" s="145"/>
      <c r="E737" s="142"/>
      <c r="F737" s="146"/>
      <c r="G737" s="147"/>
      <c r="H737" s="148"/>
      <c r="I737" s="148"/>
      <c r="J737" s="149"/>
      <c r="K737" s="149"/>
      <c r="L737" s="149"/>
      <c r="M737" s="149"/>
      <c r="N737" s="142"/>
      <c r="O737" s="33"/>
    </row>
    <row r="738" ht="15.75" customHeight="1">
      <c r="A738" s="142"/>
      <c r="B738" s="143"/>
      <c r="C738" s="144"/>
      <c r="D738" s="145"/>
      <c r="E738" s="142"/>
      <c r="F738" s="146"/>
      <c r="G738" s="147"/>
      <c r="H738" s="148"/>
      <c r="I738" s="148"/>
      <c r="J738" s="149"/>
      <c r="K738" s="149"/>
      <c r="L738" s="149"/>
      <c r="M738" s="149"/>
      <c r="N738" s="142"/>
      <c r="O738" s="33"/>
    </row>
    <row r="739" ht="15.75" customHeight="1">
      <c r="A739" s="142"/>
      <c r="B739" s="143"/>
      <c r="C739" s="144"/>
      <c r="D739" s="145"/>
      <c r="E739" s="142"/>
      <c r="F739" s="146"/>
      <c r="G739" s="147"/>
      <c r="H739" s="148"/>
      <c r="I739" s="148"/>
      <c r="J739" s="149"/>
      <c r="K739" s="149"/>
      <c r="L739" s="149"/>
      <c r="M739" s="149"/>
      <c r="N739" s="142"/>
      <c r="O739" s="33"/>
    </row>
    <row r="740" ht="15.75" customHeight="1">
      <c r="A740" s="142"/>
      <c r="B740" s="143"/>
      <c r="C740" s="144"/>
      <c r="D740" s="145"/>
      <c r="E740" s="142"/>
      <c r="F740" s="146"/>
      <c r="G740" s="147"/>
      <c r="H740" s="148"/>
      <c r="I740" s="148"/>
      <c r="J740" s="149"/>
      <c r="K740" s="149"/>
      <c r="L740" s="149"/>
      <c r="M740" s="149"/>
      <c r="N740" s="142"/>
      <c r="O740" s="33"/>
    </row>
    <row r="741" ht="15.75" customHeight="1">
      <c r="A741" s="142"/>
      <c r="B741" s="143"/>
      <c r="C741" s="144"/>
      <c r="D741" s="145"/>
      <c r="E741" s="142"/>
      <c r="F741" s="146"/>
      <c r="G741" s="147"/>
      <c r="H741" s="148"/>
      <c r="I741" s="148"/>
      <c r="J741" s="149"/>
      <c r="K741" s="149"/>
      <c r="L741" s="149"/>
      <c r="M741" s="149"/>
      <c r="N741" s="142"/>
      <c r="O741" s="33"/>
    </row>
    <row r="742" ht="15.75" customHeight="1">
      <c r="A742" s="142"/>
      <c r="B742" s="143"/>
      <c r="C742" s="144"/>
      <c r="D742" s="145"/>
      <c r="E742" s="142"/>
      <c r="F742" s="146"/>
      <c r="G742" s="147"/>
      <c r="H742" s="148"/>
      <c r="I742" s="148"/>
      <c r="J742" s="149"/>
      <c r="K742" s="149"/>
      <c r="L742" s="149"/>
      <c r="M742" s="149"/>
      <c r="N742" s="142"/>
      <c r="O742" s="33"/>
    </row>
    <row r="743" ht="15.75" customHeight="1">
      <c r="A743" s="142"/>
      <c r="B743" s="143"/>
      <c r="C743" s="144"/>
      <c r="D743" s="145"/>
      <c r="E743" s="142"/>
      <c r="F743" s="146"/>
      <c r="G743" s="147"/>
      <c r="H743" s="148"/>
      <c r="I743" s="148"/>
      <c r="J743" s="149"/>
      <c r="K743" s="149"/>
      <c r="L743" s="149"/>
      <c r="M743" s="149"/>
      <c r="N743" s="142"/>
      <c r="O743" s="33"/>
    </row>
    <row r="744" ht="15.75" customHeight="1">
      <c r="A744" s="142"/>
      <c r="B744" s="143"/>
      <c r="C744" s="144"/>
      <c r="D744" s="145"/>
      <c r="E744" s="142"/>
      <c r="F744" s="146"/>
      <c r="G744" s="147"/>
      <c r="H744" s="148"/>
      <c r="I744" s="148"/>
      <c r="J744" s="149"/>
      <c r="K744" s="149"/>
      <c r="L744" s="149"/>
      <c r="M744" s="149"/>
      <c r="N744" s="142"/>
      <c r="O744" s="33"/>
    </row>
    <row r="745" ht="15.75" customHeight="1">
      <c r="A745" s="142"/>
      <c r="B745" s="143"/>
      <c r="C745" s="144"/>
      <c r="D745" s="145"/>
      <c r="E745" s="142"/>
      <c r="F745" s="146"/>
      <c r="G745" s="147"/>
      <c r="H745" s="148"/>
      <c r="I745" s="148"/>
      <c r="J745" s="149"/>
      <c r="K745" s="149"/>
      <c r="L745" s="149"/>
      <c r="M745" s="149"/>
      <c r="N745" s="142"/>
      <c r="O745" s="33"/>
    </row>
    <row r="746" ht="15.75" customHeight="1">
      <c r="A746" s="142"/>
      <c r="B746" s="143"/>
      <c r="C746" s="144"/>
      <c r="D746" s="145"/>
      <c r="E746" s="142"/>
      <c r="F746" s="146"/>
      <c r="G746" s="147"/>
      <c r="H746" s="148"/>
      <c r="I746" s="148"/>
      <c r="J746" s="149"/>
      <c r="K746" s="149"/>
      <c r="L746" s="149"/>
      <c r="M746" s="149"/>
      <c r="N746" s="142"/>
      <c r="O746" s="33"/>
    </row>
    <row r="747" ht="15.75" customHeight="1">
      <c r="A747" s="142"/>
      <c r="B747" s="143"/>
      <c r="C747" s="144"/>
      <c r="D747" s="145"/>
      <c r="E747" s="142"/>
      <c r="F747" s="146"/>
      <c r="G747" s="147"/>
      <c r="H747" s="148"/>
      <c r="I747" s="148"/>
      <c r="J747" s="149"/>
      <c r="K747" s="149"/>
      <c r="L747" s="149"/>
      <c r="M747" s="149"/>
      <c r="N747" s="142"/>
      <c r="O747" s="33"/>
    </row>
    <row r="748" ht="15.75" customHeight="1">
      <c r="A748" s="142"/>
      <c r="B748" s="143"/>
      <c r="C748" s="144"/>
      <c r="D748" s="145"/>
      <c r="E748" s="142"/>
      <c r="F748" s="146"/>
      <c r="G748" s="147"/>
      <c r="H748" s="148"/>
      <c r="I748" s="148"/>
      <c r="J748" s="149"/>
      <c r="K748" s="149"/>
      <c r="L748" s="149"/>
      <c r="M748" s="149"/>
      <c r="N748" s="142"/>
      <c r="O748" s="33"/>
    </row>
    <row r="749" ht="15.75" customHeight="1">
      <c r="A749" s="142"/>
      <c r="B749" s="143"/>
      <c r="C749" s="144"/>
      <c r="D749" s="145"/>
      <c r="E749" s="142"/>
      <c r="F749" s="146"/>
      <c r="G749" s="147"/>
      <c r="H749" s="148"/>
      <c r="I749" s="148"/>
      <c r="J749" s="149"/>
      <c r="K749" s="149"/>
      <c r="L749" s="149"/>
      <c r="M749" s="149"/>
      <c r="N749" s="142"/>
      <c r="O749" s="33"/>
    </row>
    <row r="750" ht="15.75" customHeight="1">
      <c r="A750" s="142"/>
      <c r="B750" s="143"/>
      <c r="C750" s="144"/>
      <c r="D750" s="145"/>
      <c r="E750" s="142"/>
      <c r="F750" s="146"/>
      <c r="G750" s="147"/>
      <c r="H750" s="148"/>
      <c r="I750" s="148"/>
      <c r="J750" s="149"/>
      <c r="K750" s="149"/>
      <c r="L750" s="149"/>
      <c r="M750" s="149"/>
      <c r="N750" s="142"/>
      <c r="O750" s="33"/>
    </row>
    <row r="751" ht="15.75" customHeight="1">
      <c r="A751" s="142"/>
      <c r="B751" s="143"/>
      <c r="C751" s="144"/>
      <c r="D751" s="145"/>
      <c r="E751" s="142"/>
      <c r="F751" s="146"/>
      <c r="G751" s="147"/>
      <c r="H751" s="148"/>
      <c r="I751" s="148"/>
      <c r="J751" s="149"/>
      <c r="K751" s="149"/>
      <c r="L751" s="149"/>
      <c r="M751" s="149"/>
      <c r="N751" s="142"/>
      <c r="O751" s="33"/>
    </row>
    <row r="752" ht="15.75" customHeight="1">
      <c r="A752" s="142"/>
      <c r="B752" s="143"/>
      <c r="C752" s="144"/>
      <c r="D752" s="145"/>
      <c r="E752" s="142"/>
      <c r="F752" s="146"/>
      <c r="G752" s="147"/>
      <c r="H752" s="148"/>
      <c r="I752" s="148"/>
      <c r="J752" s="149"/>
      <c r="K752" s="149"/>
      <c r="L752" s="149"/>
      <c r="M752" s="149"/>
      <c r="N752" s="142"/>
      <c r="O752" s="33"/>
    </row>
    <row r="753" ht="15.75" customHeight="1">
      <c r="A753" s="142"/>
      <c r="B753" s="143"/>
      <c r="C753" s="144"/>
      <c r="D753" s="145"/>
      <c r="E753" s="142"/>
      <c r="F753" s="146"/>
      <c r="G753" s="147"/>
      <c r="H753" s="148"/>
      <c r="I753" s="148"/>
      <c r="J753" s="149"/>
      <c r="K753" s="149"/>
      <c r="L753" s="149"/>
      <c r="M753" s="149"/>
      <c r="N753" s="142"/>
      <c r="O753" s="33"/>
    </row>
    <row r="754" ht="15.75" customHeight="1">
      <c r="A754" s="142"/>
      <c r="B754" s="143"/>
      <c r="C754" s="144"/>
      <c r="D754" s="145"/>
      <c r="E754" s="142"/>
      <c r="F754" s="146"/>
      <c r="G754" s="147"/>
      <c r="H754" s="148"/>
      <c r="I754" s="148"/>
      <c r="J754" s="149"/>
      <c r="K754" s="149"/>
      <c r="L754" s="149"/>
      <c r="M754" s="149"/>
      <c r="N754" s="142"/>
      <c r="O754" s="33"/>
    </row>
    <row r="755" ht="15.75" customHeight="1">
      <c r="A755" s="142"/>
      <c r="B755" s="143"/>
      <c r="C755" s="144"/>
      <c r="D755" s="145"/>
      <c r="E755" s="142"/>
      <c r="F755" s="146"/>
      <c r="G755" s="147"/>
      <c r="H755" s="148"/>
      <c r="I755" s="148"/>
      <c r="J755" s="149"/>
      <c r="K755" s="149"/>
      <c r="L755" s="149"/>
      <c r="M755" s="149"/>
      <c r="N755" s="142"/>
      <c r="O755" s="33"/>
    </row>
    <row r="756" ht="15.75" customHeight="1">
      <c r="A756" s="142"/>
      <c r="B756" s="143"/>
      <c r="C756" s="144"/>
      <c r="D756" s="145"/>
      <c r="E756" s="142"/>
      <c r="F756" s="146"/>
      <c r="G756" s="147"/>
      <c r="H756" s="148"/>
      <c r="I756" s="148"/>
      <c r="J756" s="149"/>
      <c r="K756" s="149"/>
      <c r="L756" s="149"/>
      <c r="M756" s="149"/>
      <c r="N756" s="142"/>
      <c r="O756" s="33"/>
    </row>
    <row r="757" ht="15.75" customHeight="1">
      <c r="A757" s="142"/>
      <c r="B757" s="143"/>
      <c r="C757" s="144"/>
      <c r="D757" s="145"/>
      <c r="E757" s="142"/>
      <c r="F757" s="146"/>
      <c r="G757" s="147"/>
      <c r="H757" s="148"/>
      <c r="I757" s="148"/>
      <c r="J757" s="149"/>
      <c r="K757" s="149"/>
      <c r="L757" s="149"/>
      <c r="M757" s="149"/>
      <c r="N757" s="142"/>
      <c r="O757" s="33"/>
    </row>
    <row r="758" ht="15.75" customHeight="1">
      <c r="A758" s="142"/>
      <c r="B758" s="143"/>
      <c r="C758" s="144"/>
      <c r="D758" s="145"/>
      <c r="E758" s="142"/>
      <c r="F758" s="146"/>
      <c r="G758" s="147"/>
      <c r="H758" s="148"/>
      <c r="I758" s="148"/>
      <c r="J758" s="149"/>
      <c r="K758" s="149"/>
      <c r="L758" s="149"/>
      <c r="M758" s="149"/>
      <c r="N758" s="142"/>
      <c r="O758" s="33"/>
    </row>
    <row r="759" ht="15.75" customHeight="1">
      <c r="A759" s="142"/>
      <c r="B759" s="143"/>
      <c r="C759" s="144"/>
      <c r="D759" s="145"/>
      <c r="E759" s="142"/>
      <c r="F759" s="146"/>
      <c r="G759" s="147"/>
      <c r="H759" s="148"/>
      <c r="I759" s="148"/>
      <c r="J759" s="149"/>
      <c r="K759" s="149"/>
      <c r="L759" s="149"/>
      <c r="M759" s="149"/>
      <c r="N759" s="142"/>
      <c r="O759" s="33"/>
    </row>
    <row r="760" ht="15.75" customHeight="1">
      <c r="A760" s="142"/>
      <c r="B760" s="143"/>
      <c r="C760" s="144"/>
      <c r="D760" s="145"/>
      <c r="E760" s="142"/>
      <c r="F760" s="146"/>
      <c r="G760" s="147"/>
      <c r="H760" s="148"/>
      <c r="I760" s="148"/>
      <c r="J760" s="149"/>
      <c r="K760" s="149"/>
      <c r="L760" s="149"/>
      <c r="M760" s="149"/>
      <c r="N760" s="142"/>
      <c r="O760" s="33"/>
    </row>
    <row r="761" ht="15.75" customHeight="1">
      <c r="A761" s="142"/>
      <c r="B761" s="143"/>
      <c r="C761" s="144"/>
      <c r="D761" s="145"/>
      <c r="E761" s="142"/>
      <c r="F761" s="146"/>
      <c r="G761" s="147"/>
      <c r="H761" s="148"/>
      <c r="I761" s="148"/>
      <c r="J761" s="149"/>
      <c r="K761" s="149"/>
      <c r="L761" s="149"/>
      <c r="M761" s="149"/>
      <c r="N761" s="142"/>
      <c r="O761" s="33"/>
    </row>
    <row r="762" ht="15.75" customHeight="1">
      <c r="A762" s="142"/>
      <c r="B762" s="143"/>
      <c r="C762" s="144"/>
      <c r="D762" s="145"/>
      <c r="E762" s="142"/>
      <c r="F762" s="146"/>
      <c r="G762" s="147"/>
      <c r="H762" s="148"/>
      <c r="I762" s="148"/>
      <c r="J762" s="149"/>
      <c r="K762" s="149"/>
      <c r="L762" s="149"/>
      <c r="M762" s="149"/>
      <c r="N762" s="142"/>
      <c r="O762" s="33"/>
    </row>
    <row r="763" ht="15.75" customHeight="1">
      <c r="A763" s="142"/>
      <c r="B763" s="143"/>
      <c r="C763" s="144"/>
      <c r="D763" s="145"/>
      <c r="E763" s="142"/>
      <c r="F763" s="146"/>
      <c r="G763" s="147"/>
      <c r="H763" s="148"/>
      <c r="I763" s="148"/>
      <c r="J763" s="149"/>
      <c r="K763" s="149"/>
      <c r="L763" s="149"/>
      <c r="M763" s="149"/>
      <c r="N763" s="142"/>
      <c r="O763" s="33"/>
    </row>
    <row r="764" ht="15.75" customHeight="1">
      <c r="A764" s="142"/>
      <c r="B764" s="143"/>
      <c r="C764" s="144"/>
      <c r="D764" s="145"/>
      <c r="E764" s="142"/>
      <c r="F764" s="146"/>
      <c r="G764" s="147"/>
      <c r="H764" s="148"/>
      <c r="I764" s="148"/>
      <c r="J764" s="149"/>
      <c r="K764" s="149"/>
      <c r="L764" s="149"/>
      <c r="M764" s="149"/>
      <c r="N764" s="142"/>
      <c r="O764" s="33"/>
    </row>
    <row r="765" ht="15.75" customHeight="1">
      <c r="A765" s="142"/>
      <c r="B765" s="143"/>
      <c r="C765" s="144"/>
      <c r="D765" s="145"/>
      <c r="E765" s="142"/>
      <c r="F765" s="146"/>
      <c r="G765" s="147"/>
      <c r="H765" s="148"/>
      <c r="I765" s="148"/>
      <c r="J765" s="149"/>
      <c r="K765" s="149"/>
      <c r="L765" s="149"/>
      <c r="M765" s="149"/>
      <c r="N765" s="142"/>
      <c r="O765" s="33"/>
    </row>
    <row r="766" ht="15.75" customHeight="1">
      <c r="A766" s="142"/>
      <c r="B766" s="143"/>
      <c r="C766" s="144"/>
      <c r="D766" s="145"/>
      <c r="E766" s="142"/>
      <c r="F766" s="146"/>
      <c r="G766" s="147"/>
      <c r="H766" s="148"/>
      <c r="I766" s="148"/>
      <c r="J766" s="149"/>
      <c r="K766" s="149"/>
      <c r="L766" s="149"/>
      <c r="M766" s="149"/>
      <c r="N766" s="142"/>
      <c r="O766" s="33"/>
    </row>
    <row r="767" ht="15.75" customHeight="1">
      <c r="A767" s="142"/>
      <c r="B767" s="143"/>
      <c r="C767" s="144"/>
      <c r="D767" s="145"/>
      <c r="E767" s="142"/>
      <c r="F767" s="146"/>
      <c r="G767" s="147"/>
      <c r="H767" s="148"/>
      <c r="I767" s="148"/>
      <c r="J767" s="149"/>
      <c r="K767" s="149"/>
      <c r="L767" s="149"/>
      <c r="M767" s="149"/>
      <c r="N767" s="142"/>
      <c r="O767" s="33"/>
    </row>
    <row r="768" ht="15.75" customHeight="1">
      <c r="A768" s="142"/>
      <c r="B768" s="143"/>
      <c r="C768" s="144"/>
      <c r="D768" s="145"/>
      <c r="E768" s="142"/>
      <c r="F768" s="146"/>
      <c r="G768" s="147"/>
      <c r="H768" s="148"/>
      <c r="I768" s="148"/>
      <c r="J768" s="149"/>
      <c r="K768" s="149"/>
      <c r="L768" s="149"/>
      <c r="M768" s="149"/>
      <c r="N768" s="142"/>
      <c r="O768" s="33"/>
    </row>
    <row r="769" ht="15.75" customHeight="1">
      <c r="A769" s="142"/>
      <c r="B769" s="143"/>
      <c r="C769" s="144"/>
      <c r="D769" s="145"/>
      <c r="E769" s="142"/>
      <c r="F769" s="146"/>
      <c r="G769" s="147"/>
      <c r="H769" s="148"/>
      <c r="I769" s="148"/>
      <c r="J769" s="149"/>
      <c r="K769" s="149"/>
      <c r="L769" s="149"/>
      <c r="M769" s="149"/>
      <c r="N769" s="142"/>
      <c r="O769" s="33"/>
    </row>
    <row r="770" ht="15.75" customHeight="1">
      <c r="A770" s="142"/>
      <c r="B770" s="143"/>
      <c r="C770" s="144"/>
      <c r="D770" s="145"/>
      <c r="E770" s="142"/>
      <c r="F770" s="146"/>
      <c r="G770" s="147"/>
      <c r="H770" s="148"/>
      <c r="I770" s="148"/>
      <c r="J770" s="149"/>
      <c r="K770" s="149"/>
      <c r="L770" s="149"/>
      <c r="M770" s="149"/>
      <c r="N770" s="142"/>
      <c r="O770" s="33"/>
    </row>
    <row r="771" ht="15.75" customHeight="1">
      <c r="A771" s="142"/>
      <c r="B771" s="143"/>
      <c r="C771" s="144"/>
      <c r="D771" s="145"/>
      <c r="E771" s="142"/>
      <c r="F771" s="146"/>
      <c r="G771" s="147"/>
      <c r="H771" s="148"/>
      <c r="I771" s="148"/>
      <c r="J771" s="149"/>
      <c r="K771" s="149"/>
      <c r="L771" s="149"/>
      <c r="M771" s="149"/>
      <c r="N771" s="142"/>
      <c r="O771" s="33"/>
    </row>
    <row r="772" ht="15.75" customHeight="1">
      <c r="A772" s="142"/>
      <c r="B772" s="143"/>
      <c r="C772" s="144"/>
      <c r="D772" s="145"/>
      <c r="E772" s="142"/>
      <c r="F772" s="146"/>
      <c r="G772" s="147"/>
      <c r="H772" s="148"/>
      <c r="I772" s="148"/>
      <c r="J772" s="149"/>
      <c r="K772" s="149"/>
      <c r="L772" s="149"/>
      <c r="M772" s="149"/>
      <c r="N772" s="142"/>
      <c r="O772" s="33"/>
    </row>
    <row r="773" ht="15.75" customHeight="1">
      <c r="A773" s="142"/>
      <c r="B773" s="143"/>
      <c r="C773" s="144"/>
      <c r="D773" s="145"/>
      <c r="E773" s="142"/>
      <c r="F773" s="146"/>
      <c r="G773" s="147"/>
      <c r="H773" s="148"/>
      <c r="I773" s="148"/>
      <c r="J773" s="149"/>
      <c r="K773" s="149"/>
      <c r="L773" s="149"/>
      <c r="M773" s="149"/>
      <c r="N773" s="142"/>
      <c r="O773" s="33"/>
    </row>
    <row r="774" ht="15.75" customHeight="1">
      <c r="A774" s="142"/>
      <c r="B774" s="143"/>
      <c r="C774" s="144"/>
      <c r="D774" s="145"/>
      <c r="E774" s="142"/>
      <c r="F774" s="146"/>
      <c r="G774" s="147"/>
      <c r="H774" s="148"/>
      <c r="I774" s="148"/>
      <c r="J774" s="149"/>
      <c r="K774" s="149"/>
      <c r="L774" s="149"/>
      <c r="M774" s="149"/>
      <c r="N774" s="142"/>
      <c r="O774" s="33"/>
    </row>
    <row r="775" ht="15.75" customHeight="1">
      <c r="A775" s="142"/>
      <c r="B775" s="143"/>
      <c r="C775" s="144"/>
      <c r="D775" s="145"/>
      <c r="E775" s="142"/>
      <c r="F775" s="146"/>
      <c r="G775" s="147"/>
      <c r="H775" s="148"/>
      <c r="I775" s="148"/>
      <c r="J775" s="149"/>
      <c r="K775" s="149"/>
      <c r="L775" s="149"/>
      <c r="M775" s="149"/>
      <c r="N775" s="142"/>
      <c r="O775" s="33"/>
    </row>
    <row r="776" ht="15.75" customHeight="1">
      <c r="A776" s="142"/>
      <c r="B776" s="143"/>
      <c r="C776" s="144"/>
      <c r="D776" s="145"/>
      <c r="E776" s="142"/>
      <c r="F776" s="146"/>
      <c r="G776" s="147"/>
      <c r="H776" s="148"/>
      <c r="I776" s="148"/>
      <c r="J776" s="149"/>
      <c r="K776" s="149"/>
      <c r="L776" s="149"/>
      <c r="M776" s="149"/>
      <c r="N776" s="142"/>
      <c r="O776" s="33"/>
    </row>
    <row r="777" ht="15.75" customHeight="1">
      <c r="A777" s="142"/>
      <c r="B777" s="143"/>
      <c r="C777" s="144"/>
      <c r="D777" s="145"/>
      <c r="E777" s="142"/>
      <c r="F777" s="146"/>
      <c r="G777" s="147"/>
      <c r="H777" s="148"/>
      <c r="I777" s="148"/>
      <c r="J777" s="149"/>
      <c r="K777" s="149"/>
      <c r="L777" s="149"/>
      <c r="M777" s="149"/>
      <c r="N777" s="142"/>
      <c r="O777" s="33"/>
    </row>
    <row r="778" ht="15.75" customHeight="1">
      <c r="A778" s="142"/>
      <c r="B778" s="143"/>
      <c r="C778" s="144"/>
      <c r="D778" s="145"/>
      <c r="E778" s="142"/>
      <c r="F778" s="146"/>
      <c r="G778" s="147"/>
      <c r="H778" s="148"/>
      <c r="I778" s="148"/>
      <c r="J778" s="149"/>
      <c r="K778" s="149"/>
      <c r="L778" s="149"/>
      <c r="M778" s="149"/>
      <c r="N778" s="142"/>
      <c r="O778" s="33"/>
    </row>
    <row r="779" ht="15.75" customHeight="1">
      <c r="A779" s="142"/>
      <c r="B779" s="143"/>
      <c r="C779" s="144"/>
      <c r="D779" s="145"/>
      <c r="E779" s="142"/>
      <c r="F779" s="146"/>
      <c r="G779" s="147"/>
      <c r="H779" s="148"/>
      <c r="I779" s="148"/>
      <c r="J779" s="149"/>
      <c r="K779" s="149"/>
      <c r="L779" s="149"/>
      <c r="M779" s="149"/>
      <c r="N779" s="142"/>
      <c r="O779" s="33"/>
    </row>
    <row r="780" ht="15.75" customHeight="1">
      <c r="A780" s="142"/>
      <c r="B780" s="143"/>
      <c r="C780" s="144"/>
      <c r="D780" s="145"/>
      <c r="E780" s="142"/>
      <c r="F780" s="146"/>
      <c r="G780" s="147"/>
      <c r="H780" s="148"/>
      <c r="I780" s="148"/>
      <c r="J780" s="149"/>
      <c r="K780" s="149"/>
      <c r="L780" s="149"/>
      <c r="M780" s="149"/>
      <c r="N780" s="142"/>
      <c r="O780" s="33"/>
    </row>
    <row r="781" ht="15.75" customHeight="1">
      <c r="A781" s="142"/>
      <c r="B781" s="143"/>
      <c r="C781" s="144"/>
      <c r="D781" s="145"/>
      <c r="E781" s="142"/>
      <c r="F781" s="146"/>
      <c r="G781" s="147"/>
      <c r="H781" s="148"/>
      <c r="I781" s="148"/>
      <c r="J781" s="149"/>
      <c r="K781" s="149"/>
      <c r="L781" s="149"/>
      <c r="M781" s="149"/>
      <c r="N781" s="142"/>
      <c r="O781" s="33"/>
    </row>
    <row r="782" ht="15.75" customHeight="1">
      <c r="A782" s="142"/>
      <c r="B782" s="143"/>
      <c r="C782" s="144"/>
      <c r="D782" s="145"/>
      <c r="E782" s="142"/>
      <c r="F782" s="146"/>
      <c r="G782" s="147"/>
      <c r="H782" s="148"/>
      <c r="I782" s="148"/>
      <c r="J782" s="149"/>
      <c r="K782" s="149"/>
      <c r="L782" s="149"/>
      <c r="M782" s="149"/>
      <c r="N782" s="142"/>
      <c r="O782" s="33"/>
    </row>
    <row r="783" ht="15.75" customHeight="1">
      <c r="A783" s="142"/>
      <c r="B783" s="143"/>
      <c r="C783" s="144"/>
      <c r="D783" s="145"/>
      <c r="E783" s="142"/>
      <c r="F783" s="146"/>
      <c r="G783" s="147"/>
      <c r="H783" s="148"/>
      <c r="I783" s="148"/>
      <c r="J783" s="149"/>
      <c r="K783" s="149"/>
      <c r="L783" s="149"/>
      <c r="M783" s="149"/>
      <c r="N783" s="142"/>
      <c r="O783" s="33"/>
    </row>
    <row r="784" ht="15.75" customHeight="1">
      <c r="A784" s="142"/>
      <c r="B784" s="143"/>
      <c r="C784" s="144"/>
      <c r="D784" s="145"/>
      <c r="E784" s="142"/>
      <c r="F784" s="146"/>
      <c r="G784" s="147"/>
      <c r="H784" s="148"/>
      <c r="I784" s="148"/>
      <c r="J784" s="149"/>
      <c r="K784" s="149"/>
      <c r="L784" s="149"/>
      <c r="M784" s="149"/>
      <c r="N784" s="142"/>
      <c r="O784" s="33"/>
    </row>
    <row r="785" ht="15.75" customHeight="1">
      <c r="A785" s="142"/>
      <c r="B785" s="143"/>
      <c r="C785" s="144"/>
      <c r="D785" s="145"/>
      <c r="E785" s="142"/>
      <c r="F785" s="146"/>
      <c r="G785" s="147"/>
      <c r="H785" s="148"/>
      <c r="I785" s="148"/>
      <c r="J785" s="149"/>
      <c r="K785" s="149"/>
      <c r="L785" s="149"/>
      <c r="M785" s="149"/>
      <c r="N785" s="142"/>
      <c r="O785" s="33"/>
    </row>
    <row r="786" ht="15.75" customHeight="1">
      <c r="A786" s="142"/>
      <c r="B786" s="143"/>
      <c r="C786" s="144"/>
      <c r="D786" s="145"/>
      <c r="E786" s="142"/>
      <c r="F786" s="146"/>
      <c r="G786" s="147"/>
      <c r="H786" s="148"/>
      <c r="I786" s="148"/>
      <c r="J786" s="149"/>
      <c r="K786" s="149"/>
      <c r="L786" s="149"/>
      <c r="M786" s="149"/>
      <c r="N786" s="142"/>
      <c r="O786" s="33"/>
    </row>
    <row r="787" ht="15.75" customHeight="1">
      <c r="A787" s="142"/>
      <c r="B787" s="143"/>
      <c r="C787" s="144"/>
      <c r="D787" s="145"/>
      <c r="E787" s="142"/>
      <c r="F787" s="146"/>
      <c r="G787" s="147"/>
      <c r="H787" s="148"/>
      <c r="I787" s="148"/>
      <c r="J787" s="149"/>
      <c r="K787" s="149"/>
      <c r="L787" s="149"/>
      <c r="M787" s="149"/>
      <c r="N787" s="142"/>
      <c r="O787" s="33"/>
    </row>
    <row r="788" ht="15.75" customHeight="1">
      <c r="A788" s="142"/>
      <c r="B788" s="143"/>
      <c r="C788" s="144"/>
      <c r="D788" s="145"/>
      <c r="E788" s="142"/>
      <c r="F788" s="146"/>
      <c r="G788" s="147"/>
      <c r="H788" s="148"/>
      <c r="I788" s="148"/>
      <c r="J788" s="149"/>
      <c r="K788" s="149"/>
      <c r="L788" s="149"/>
      <c r="M788" s="149"/>
      <c r="N788" s="142"/>
      <c r="O788" s="33"/>
    </row>
    <row r="789" ht="15.75" customHeight="1">
      <c r="A789" s="142"/>
      <c r="B789" s="143"/>
      <c r="C789" s="144"/>
      <c r="D789" s="145"/>
      <c r="E789" s="142"/>
      <c r="F789" s="146"/>
      <c r="G789" s="147"/>
      <c r="H789" s="148"/>
      <c r="I789" s="148"/>
      <c r="J789" s="149"/>
      <c r="K789" s="149"/>
      <c r="L789" s="149"/>
      <c r="M789" s="149"/>
      <c r="N789" s="142"/>
      <c r="O789" s="33"/>
    </row>
    <row r="790" ht="15.75" customHeight="1">
      <c r="A790" s="142"/>
      <c r="B790" s="143"/>
      <c r="C790" s="144"/>
      <c r="D790" s="145"/>
      <c r="E790" s="142"/>
      <c r="F790" s="146"/>
      <c r="G790" s="147"/>
      <c r="H790" s="148"/>
      <c r="I790" s="148"/>
      <c r="J790" s="149"/>
      <c r="K790" s="149"/>
      <c r="L790" s="149"/>
      <c r="M790" s="149"/>
      <c r="N790" s="142"/>
      <c r="O790" s="33"/>
    </row>
    <row r="791" ht="15.75" customHeight="1">
      <c r="A791" s="142"/>
      <c r="B791" s="143"/>
      <c r="C791" s="144"/>
      <c r="D791" s="145"/>
      <c r="E791" s="142"/>
      <c r="F791" s="146"/>
      <c r="G791" s="147"/>
      <c r="H791" s="148"/>
      <c r="I791" s="148"/>
      <c r="J791" s="149"/>
      <c r="K791" s="149"/>
      <c r="L791" s="149"/>
      <c r="M791" s="149"/>
      <c r="N791" s="142"/>
      <c r="O791" s="33"/>
    </row>
    <row r="792" ht="15.75" customHeight="1">
      <c r="A792" s="142"/>
      <c r="B792" s="143"/>
      <c r="C792" s="144"/>
      <c r="D792" s="145"/>
      <c r="E792" s="142"/>
      <c r="F792" s="146"/>
      <c r="G792" s="147"/>
      <c r="H792" s="148"/>
      <c r="I792" s="148"/>
      <c r="J792" s="149"/>
      <c r="K792" s="149"/>
      <c r="L792" s="149"/>
      <c r="M792" s="149"/>
      <c r="N792" s="142"/>
      <c r="O792" s="33"/>
    </row>
    <row r="793" ht="15.75" customHeight="1">
      <c r="A793" s="142"/>
      <c r="B793" s="143"/>
      <c r="C793" s="144"/>
      <c r="D793" s="145"/>
      <c r="E793" s="142"/>
      <c r="F793" s="146"/>
      <c r="G793" s="147"/>
      <c r="H793" s="148"/>
      <c r="I793" s="148"/>
      <c r="J793" s="149"/>
      <c r="K793" s="149"/>
      <c r="L793" s="149"/>
      <c r="M793" s="149"/>
      <c r="N793" s="142"/>
      <c r="O793" s="33"/>
    </row>
    <row r="794" ht="15.75" customHeight="1">
      <c r="A794" s="142"/>
      <c r="B794" s="143"/>
      <c r="C794" s="144"/>
      <c r="D794" s="145"/>
      <c r="E794" s="142"/>
      <c r="F794" s="146"/>
      <c r="G794" s="147"/>
      <c r="H794" s="148"/>
      <c r="I794" s="148"/>
      <c r="J794" s="149"/>
      <c r="K794" s="149"/>
      <c r="L794" s="149"/>
      <c r="M794" s="149"/>
      <c r="N794" s="142"/>
      <c r="O794" s="33"/>
    </row>
    <row r="795" ht="15.75" customHeight="1">
      <c r="A795" s="142"/>
      <c r="B795" s="143"/>
      <c r="C795" s="144"/>
      <c r="D795" s="145"/>
      <c r="E795" s="142"/>
      <c r="F795" s="146"/>
      <c r="G795" s="147"/>
      <c r="H795" s="148"/>
      <c r="I795" s="148"/>
      <c r="J795" s="149"/>
      <c r="K795" s="149"/>
      <c r="L795" s="149"/>
      <c r="M795" s="149"/>
      <c r="N795" s="142"/>
      <c r="O795" s="33"/>
    </row>
    <row r="796" ht="15.75" customHeight="1">
      <c r="A796" s="142"/>
      <c r="B796" s="143"/>
      <c r="C796" s="144"/>
      <c r="D796" s="145"/>
      <c r="E796" s="142"/>
      <c r="F796" s="146"/>
      <c r="G796" s="147"/>
      <c r="H796" s="148"/>
      <c r="I796" s="148"/>
      <c r="J796" s="149"/>
      <c r="K796" s="149"/>
      <c r="L796" s="149"/>
      <c r="M796" s="149"/>
      <c r="N796" s="142"/>
      <c r="O796" s="33"/>
    </row>
    <row r="797" ht="15.75" customHeight="1">
      <c r="A797" s="142"/>
      <c r="B797" s="143"/>
      <c r="C797" s="144"/>
      <c r="D797" s="145"/>
      <c r="E797" s="142"/>
      <c r="F797" s="146"/>
      <c r="G797" s="147"/>
      <c r="H797" s="148"/>
      <c r="I797" s="148"/>
      <c r="J797" s="149"/>
      <c r="K797" s="149"/>
      <c r="L797" s="149"/>
      <c r="M797" s="149"/>
      <c r="N797" s="142"/>
      <c r="O797" s="33"/>
    </row>
    <row r="798" ht="15.75" customHeight="1">
      <c r="A798" s="142"/>
      <c r="B798" s="143"/>
      <c r="C798" s="144"/>
      <c r="D798" s="145"/>
      <c r="E798" s="142"/>
      <c r="F798" s="146"/>
      <c r="G798" s="147"/>
      <c r="H798" s="148"/>
      <c r="I798" s="148"/>
      <c r="J798" s="149"/>
      <c r="K798" s="149"/>
      <c r="L798" s="149"/>
      <c r="M798" s="149"/>
      <c r="N798" s="142"/>
      <c r="O798" s="33"/>
    </row>
    <row r="799" ht="15.75" customHeight="1">
      <c r="A799" s="142"/>
      <c r="B799" s="143"/>
      <c r="C799" s="144"/>
      <c r="D799" s="145"/>
      <c r="E799" s="142"/>
      <c r="F799" s="146"/>
      <c r="G799" s="147"/>
      <c r="H799" s="148"/>
      <c r="I799" s="148"/>
      <c r="J799" s="149"/>
      <c r="K799" s="149"/>
      <c r="L799" s="149"/>
      <c r="M799" s="149"/>
      <c r="N799" s="142"/>
      <c r="O799" s="33"/>
    </row>
    <row r="800" ht="15.75" customHeight="1">
      <c r="A800" s="142"/>
      <c r="B800" s="143"/>
      <c r="C800" s="144"/>
      <c r="D800" s="145"/>
      <c r="E800" s="142"/>
      <c r="F800" s="146"/>
      <c r="G800" s="147"/>
      <c r="H800" s="148"/>
      <c r="I800" s="148"/>
      <c r="J800" s="149"/>
      <c r="K800" s="149"/>
      <c r="L800" s="149"/>
      <c r="M800" s="149"/>
      <c r="N800" s="142"/>
      <c r="O800" s="33"/>
    </row>
    <row r="801" ht="15.75" customHeight="1">
      <c r="A801" s="142"/>
      <c r="B801" s="143"/>
      <c r="C801" s="144"/>
      <c r="D801" s="145"/>
      <c r="E801" s="142"/>
      <c r="F801" s="146"/>
      <c r="G801" s="147"/>
      <c r="H801" s="148"/>
      <c r="I801" s="148"/>
      <c r="J801" s="149"/>
      <c r="K801" s="149"/>
      <c r="L801" s="149"/>
      <c r="M801" s="149"/>
      <c r="N801" s="142"/>
      <c r="O801" s="33"/>
    </row>
    <row r="802" ht="15.75" customHeight="1">
      <c r="A802" s="142"/>
      <c r="B802" s="143"/>
      <c r="C802" s="144"/>
      <c r="D802" s="145"/>
      <c r="E802" s="142"/>
      <c r="F802" s="146"/>
      <c r="G802" s="147"/>
      <c r="H802" s="148"/>
      <c r="I802" s="148"/>
      <c r="J802" s="149"/>
      <c r="K802" s="149"/>
      <c r="L802" s="149"/>
      <c r="M802" s="149"/>
      <c r="N802" s="142"/>
      <c r="O802" s="33"/>
    </row>
    <row r="803" ht="15.75" customHeight="1">
      <c r="A803" s="142"/>
      <c r="B803" s="143"/>
      <c r="C803" s="144"/>
      <c r="D803" s="145"/>
      <c r="E803" s="142"/>
      <c r="F803" s="146"/>
      <c r="G803" s="147"/>
      <c r="H803" s="148"/>
      <c r="I803" s="148"/>
      <c r="J803" s="149"/>
      <c r="K803" s="149"/>
      <c r="L803" s="149"/>
      <c r="M803" s="149"/>
      <c r="N803" s="142"/>
      <c r="O803" s="33"/>
    </row>
    <row r="804" ht="15.75" customHeight="1">
      <c r="A804" s="142"/>
      <c r="B804" s="143"/>
      <c r="C804" s="144"/>
      <c r="D804" s="145"/>
      <c r="E804" s="142"/>
      <c r="F804" s="146"/>
      <c r="G804" s="147"/>
      <c r="H804" s="148"/>
      <c r="I804" s="148"/>
      <c r="J804" s="149"/>
      <c r="K804" s="149"/>
      <c r="L804" s="149"/>
      <c r="M804" s="149"/>
      <c r="N804" s="142"/>
      <c r="O804" s="33"/>
    </row>
    <row r="805" ht="15.75" customHeight="1">
      <c r="A805" s="142"/>
      <c r="B805" s="143"/>
      <c r="C805" s="144"/>
      <c r="D805" s="145"/>
      <c r="E805" s="142"/>
      <c r="F805" s="146"/>
      <c r="G805" s="147"/>
      <c r="H805" s="148"/>
      <c r="I805" s="148"/>
      <c r="J805" s="149"/>
      <c r="K805" s="149"/>
      <c r="L805" s="149"/>
      <c r="M805" s="149"/>
      <c r="N805" s="142"/>
      <c r="O805" s="33"/>
    </row>
    <row r="806" ht="15.75" customHeight="1">
      <c r="A806" s="142"/>
      <c r="B806" s="143"/>
      <c r="C806" s="144"/>
      <c r="D806" s="145"/>
      <c r="E806" s="142"/>
      <c r="F806" s="146"/>
      <c r="G806" s="147"/>
      <c r="H806" s="148"/>
      <c r="I806" s="148"/>
      <c r="J806" s="149"/>
      <c r="K806" s="149"/>
      <c r="L806" s="149"/>
      <c r="M806" s="149"/>
      <c r="N806" s="142"/>
      <c r="O806" s="33"/>
    </row>
    <row r="807" ht="15.75" customHeight="1">
      <c r="A807" s="142"/>
      <c r="B807" s="143"/>
      <c r="C807" s="144"/>
      <c r="D807" s="145"/>
      <c r="E807" s="142"/>
      <c r="F807" s="146"/>
      <c r="G807" s="147"/>
      <c r="H807" s="148"/>
      <c r="I807" s="148"/>
      <c r="J807" s="149"/>
      <c r="K807" s="149"/>
      <c r="L807" s="149"/>
      <c r="M807" s="149"/>
      <c r="N807" s="142"/>
      <c r="O807" s="33"/>
    </row>
    <row r="808" ht="15.75" customHeight="1">
      <c r="A808" s="142"/>
      <c r="B808" s="143"/>
      <c r="C808" s="144"/>
      <c r="D808" s="145"/>
      <c r="E808" s="142"/>
      <c r="F808" s="146"/>
      <c r="G808" s="147"/>
      <c r="H808" s="148"/>
      <c r="I808" s="148"/>
      <c r="J808" s="149"/>
      <c r="K808" s="149"/>
      <c r="L808" s="149"/>
      <c r="M808" s="149"/>
      <c r="N808" s="142"/>
      <c r="O808" s="33"/>
    </row>
    <row r="809" ht="15.75" customHeight="1">
      <c r="A809" s="142"/>
      <c r="B809" s="143"/>
      <c r="C809" s="144"/>
      <c r="D809" s="145"/>
      <c r="E809" s="142"/>
      <c r="F809" s="146"/>
      <c r="G809" s="147"/>
      <c r="H809" s="148"/>
      <c r="I809" s="148"/>
      <c r="J809" s="149"/>
      <c r="K809" s="149"/>
      <c r="L809" s="149"/>
      <c r="M809" s="149"/>
      <c r="N809" s="142"/>
      <c r="O809" s="33"/>
    </row>
    <row r="810" ht="15.75" customHeight="1">
      <c r="A810" s="142"/>
      <c r="B810" s="143"/>
      <c r="C810" s="144"/>
      <c r="D810" s="145"/>
      <c r="E810" s="142"/>
      <c r="F810" s="146"/>
      <c r="G810" s="147"/>
      <c r="H810" s="148"/>
      <c r="I810" s="148"/>
      <c r="J810" s="149"/>
      <c r="K810" s="149"/>
      <c r="L810" s="149"/>
      <c r="M810" s="149"/>
      <c r="N810" s="142"/>
      <c r="O810" s="33"/>
    </row>
    <row r="811" ht="15.75" customHeight="1">
      <c r="A811" s="142"/>
      <c r="B811" s="143"/>
      <c r="C811" s="144"/>
      <c r="D811" s="145"/>
      <c r="E811" s="142"/>
      <c r="F811" s="146"/>
      <c r="G811" s="147"/>
      <c r="H811" s="148"/>
      <c r="I811" s="148"/>
      <c r="J811" s="149"/>
      <c r="K811" s="149"/>
      <c r="L811" s="149"/>
      <c r="M811" s="149"/>
      <c r="N811" s="142"/>
      <c r="O811" s="33"/>
    </row>
    <row r="812" ht="15.75" customHeight="1">
      <c r="A812" s="142"/>
      <c r="B812" s="143"/>
      <c r="C812" s="144"/>
      <c r="D812" s="145"/>
      <c r="E812" s="142"/>
      <c r="F812" s="146"/>
      <c r="G812" s="147"/>
      <c r="H812" s="148"/>
      <c r="I812" s="148"/>
      <c r="J812" s="149"/>
      <c r="K812" s="149"/>
      <c r="L812" s="149"/>
      <c r="M812" s="149"/>
      <c r="N812" s="142"/>
      <c r="O812" s="33"/>
    </row>
    <row r="813" ht="15.75" customHeight="1">
      <c r="A813" s="142"/>
      <c r="B813" s="143"/>
      <c r="C813" s="144"/>
      <c r="D813" s="145"/>
      <c r="E813" s="142"/>
      <c r="F813" s="146"/>
      <c r="G813" s="147"/>
      <c r="H813" s="148"/>
      <c r="I813" s="148"/>
      <c r="J813" s="149"/>
      <c r="K813" s="149"/>
      <c r="L813" s="149"/>
      <c r="M813" s="149"/>
      <c r="N813" s="142"/>
      <c r="O813" s="33"/>
    </row>
    <row r="814" ht="15.75" customHeight="1">
      <c r="A814" s="142"/>
      <c r="B814" s="143"/>
      <c r="C814" s="144"/>
      <c r="D814" s="145"/>
      <c r="E814" s="142"/>
      <c r="F814" s="146"/>
      <c r="G814" s="147"/>
      <c r="H814" s="148"/>
      <c r="I814" s="148"/>
      <c r="J814" s="149"/>
      <c r="K814" s="149"/>
      <c r="L814" s="149"/>
      <c r="M814" s="149"/>
      <c r="N814" s="142"/>
      <c r="O814" s="33"/>
    </row>
    <row r="815" ht="15.75" customHeight="1">
      <c r="A815" s="142"/>
      <c r="B815" s="143"/>
      <c r="C815" s="144"/>
      <c r="D815" s="145"/>
      <c r="E815" s="142"/>
      <c r="F815" s="146"/>
      <c r="G815" s="147"/>
      <c r="H815" s="148"/>
      <c r="I815" s="148"/>
      <c r="J815" s="149"/>
      <c r="K815" s="149"/>
      <c r="L815" s="149"/>
      <c r="M815" s="149"/>
      <c r="N815" s="142"/>
      <c r="O815" s="33"/>
    </row>
    <row r="816" ht="15.75" customHeight="1">
      <c r="A816" s="142"/>
      <c r="B816" s="143"/>
      <c r="C816" s="144"/>
      <c r="D816" s="145"/>
      <c r="E816" s="142"/>
      <c r="F816" s="146"/>
      <c r="G816" s="147"/>
      <c r="H816" s="148"/>
      <c r="I816" s="148"/>
      <c r="J816" s="149"/>
      <c r="K816" s="149"/>
      <c r="L816" s="149"/>
      <c r="M816" s="149"/>
      <c r="N816" s="142"/>
      <c r="O816" s="33"/>
    </row>
    <row r="817" ht="15.75" customHeight="1">
      <c r="A817" s="142"/>
      <c r="B817" s="143"/>
      <c r="C817" s="144"/>
      <c r="D817" s="145"/>
      <c r="E817" s="142"/>
      <c r="F817" s="146"/>
      <c r="G817" s="147"/>
      <c r="H817" s="148"/>
      <c r="I817" s="148"/>
      <c r="J817" s="149"/>
      <c r="K817" s="149"/>
      <c r="L817" s="149"/>
      <c r="M817" s="149"/>
      <c r="N817" s="142"/>
      <c r="O817" s="33"/>
    </row>
    <row r="818" ht="15.75" customHeight="1">
      <c r="A818" s="142"/>
      <c r="B818" s="143"/>
      <c r="C818" s="144"/>
      <c r="D818" s="145"/>
      <c r="E818" s="142"/>
      <c r="F818" s="146"/>
      <c r="G818" s="147"/>
      <c r="H818" s="148"/>
      <c r="I818" s="148"/>
      <c r="J818" s="149"/>
      <c r="K818" s="149"/>
      <c r="L818" s="149"/>
      <c r="M818" s="149"/>
      <c r="N818" s="142"/>
      <c r="O818" s="33"/>
    </row>
    <row r="819" ht="15.75" customHeight="1">
      <c r="A819" s="142"/>
      <c r="B819" s="143"/>
      <c r="C819" s="144"/>
      <c r="D819" s="145"/>
      <c r="E819" s="142"/>
      <c r="F819" s="146"/>
      <c r="G819" s="147"/>
      <c r="H819" s="148"/>
      <c r="I819" s="148"/>
      <c r="J819" s="149"/>
      <c r="K819" s="149"/>
      <c r="L819" s="149"/>
      <c r="M819" s="149"/>
      <c r="N819" s="142"/>
      <c r="O819" s="33"/>
    </row>
    <row r="820" ht="15.75" customHeight="1">
      <c r="A820" s="142"/>
      <c r="B820" s="143"/>
      <c r="C820" s="144"/>
      <c r="D820" s="145"/>
      <c r="E820" s="142"/>
      <c r="F820" s="146"/>
      <c r="G820" s="147"/>
      <c r="H820" s="148"/>
      <c r="I820" s="148"/>
      <c r="J820" s="149"/>
      <c r="K820" s="149"/>
      <c r="L820" s="149"/>
      <c r="M820" s="149"/>
      <c r="N820" s="142"/>
      <c r="O820" s="33"/>
    </row>
    <row r="821" ht="15.75" customHeight="1">
      <c r="A821" s="142"/>
      <c r="B821" s="143"/>
      <c r="C821" s="144"/>
      <c r="D821" s="145"/>
      <c r="E821" s="142"/>
      <c r="F821" s="146"/>
      <c r="G821" s="147"/>
      <c r="H821" s="148"/>
      <c r="I821" s="148"/>
      <c r="J821" s="149"/>
      <c r="K821" s="149"/>
      <c r="L821" s="149"/>
      <c r="M821" s="149"/>
      <c r="N821" s="142"/>
      <c r="O821" s="33"/>
    </row>
    <row r="822" ht="15.75" customHeight="1">
      <c r="A822" s="142"/>
      <c r="B822" s="143"/>
      <c r="C822" s="144"/>
      <c r="D822" s="145"/>
      <c r="E822" s="142"/>
      <c r="F822" s="146"/>
      <c r="G822" s="147"/>
      <c r="H822" s="148"/>
      <c r="I822" s="148"/>
      <c r="J822" s="149"/>
      <c r="K822" s="149"/>
      <c r="L822" s="149"/>
      <c r="M822" s="149"/>
      <c r="N822" s="142"/>
      <c r="O822" s="33"/>
    </row>
    <row r="823" ht="15.75" customHeight="1">
      <c r="A823" s="142"/>
      <c r="B823" s="143"/>
      <c r="C823" s="144"/>
      <c r="D823" s="145"/>
      <c r="E823" s="142"/>
      <c r="F823" s="146"/>
      <c r="G823" s="147"/>
      <c r="H823" s="148"/>
      <c r="I823" s="148"/>
      <c r="J823" s="149"/>
      <c r="K823" s="149"/>
      <c r="L823" s="149"/>
      <c r="M823" s="149"/>
      <c r="N823" s="142"/>
      <c r="O823" s="33"/>
    </row>
    <row r="824" ht="15.75" customHeight="1">
      <c r="A824" s="142"/>
      <c r="B824" s="143"/>
      <c r="C824" s="144"/>
      <c r="D824" s="145"/>
      <c r="E824" s="142"/>
      <c r="F824" s="146"/>
      <c r="G824" s="147"/>
      <c r="H824" s="148"/>
      <c r="I824" s="148"/>
      <c r="J824" s="149"/>
      <c r="K824" s="149"/>
      <c r="L824" s="149"/>
      <c r="M824" s="149"/>
      <c r="N824" s="142"/>
      <c r="O824" s="33"/>
    </row>
    <row r="825" ht="15.75" customHeight="1">
      <c r="A825" s="142"/>
      <c r="B825" s="143"/>
      <c r="C825" s="144"/>
      <c r="D825" s="145"/>
      <c r="E825" s="142"/>
      <c r="F825" s="146"/>
      <c r="G825" s="147"/>
      <c r="H825" s="148"/>
      <c r="I825" s="148"/>
      <c r="J825" s="149"/>
      <c r="K825" s="149"/>
      <c r="L825" s="149"/>
      <c r="M825" s="149"/>
      <c r="N825" s="142"/>
      <c r="O825" s="33"/>
    </row>
    <row r="826" ht="15.75" customHeight="1">
      <c r="A826" s="142"/>
      <c r="B826" s="143"/>
      <c r="C826" s="144"/>
      <c r="D826" s="145"/>
      <c r="E826" s="142"/>
      <c r="F826" s="146"/>
      <c r="G826" s="147"/>
      <c r="H826" s="148"/>
      <c r="I826" s="148"/>
      <c r="J826" s="149"/>
      <c r="K826" s="149"/>
      <c r="L826" s="149"/>
      <c r="M826" s="149"/>
      <c r="N826" s="142"/>
      <c r="O826" s="33"/>
    </row>
    <row r="827" ht="15.75" customHeight="1">
      <c r="A827" s="142"/>
      <c r="B827" s="143"/>
      <c r="C827" s="144"/>
      <c r="D827" s="145"/>
      <c r="E827" s="142"/>
      <c r="F827" s="146"/>
      <c r="G827" s="147"/>
      <c r="H827" s="148"/>
      <c r="I827" s="148"/>
      <c r="J827" s="149"/>
      <c r="K827" s="149"/>
      <c r="L827" s="149"/>
      <c r="M827" s="149"/>
      <c r="N827" s="142"/>
      <c r="O827" s="33"/>
    </row>
    <row r="828" ht="15.75" customHeight="1">
      <c r="A828" s="142"/>
      <c r="B828" s="143"/>
      <c r="C828" s="144"/>
      <c r="D828" s="145"/>
      <c r="E828" s="142"/>
      <c r="F828" s="146"/>
      <c r="G828" s="147"/>
      <c r="H828" s="148"/>
      <c r="I828" s="148"/>
      <c r="J828" s="149"/>
      <c r="K828" s="149"/>
      <c r="L828" s="149"/>
      <c r="M828" s="149"/>
      <c r="N828" s="142"/>
      <c r="O828" s="33"/>
    </row>
    <row r="829" ht="15.75" customHeight="1">
      <c r="A829" s="142"/>
      <c r="B829" s="143"/>
      <c r="C829" s="144"/>
      <c r="D829" s="145"/>
      <c r="E829" s="142"/>
      <c r="F829" s="146"/>
      <c r="G829" s="147"/>
      <c r="H829" s="148"/>
      <c r="I829" s="148"/>
      <c r="J829" s="149"/>
      <c r="K829" s="149"/>
      <c r="L829" s="149"/>
      <c r="M829" s="149"/>
      <c r="N829" s="142"/>
      <c r="O829" s="33"/>
    </row>
    <row r="830" ht="15.75" customHeight="1">
      <c r="A830" s="142"/>
      <c r="B830" s="143"/>
      <c r="C830" s="144"/>
      <c r="D830" s="145"/>
      <c r="E830" s="142"/>
      <c r="F830" s="146"/>
      <c r="G830" s="147"/>
      <c r="H830" s="148"/>
      <c r="I830" s="148"/>
      <c r="J830" s="149"/>
      <c r="K830" s="149"/>
      <c r="L830" s="149"/>
      <c r="M830" s="149"/>
      <c r="N830" s="142"/>
      <c r="O830" s="33"/>
    </row>
    <row r="831" ht="15.75" customHeight="1">
      <c r="A831" s="142"/>
      <c r="B831" s="143"/>
      <c r="C831" s="144"/>
      <c r="D831" s="145"/>
      <c r="E831" s="142"/>
      <c r="F831" s="146"/>
      <c r="G831" s="147"/>
      <c r="H831" s="148"/>
      <c r="I831" s="148"/>
      <c r="J831" s="149"/>
      <c r="K831" s="149"/>
      <c r="L831" s="149"/>
      <c r="M831" s="149"/>
      <c r="N831" s="142"/>
      <c r="O831" s="33"/>
    </row>
    <row r="832" ht="15.75" customHeight="1">
      <c r="A832" s="142"/>
      <c r="B832" s="143"/>
      <c r="C832" s="144"/>
      <c r="D832" s="145"/>
      <c r="E832" s="142"/>
      <c r="F832" s="146"/>
      <c r="G832" s="147"/>
      <c r="H832" s="148"/>
      <c r="I832" s="148"/>
      <c r="J832" s="149"/>
      <c r="K832" s="149"/>
      <c r="L832" s="149"/>
      <c r="M832" s="149"/>
      <c r="N832" s="142"/>
      <c r="O832" s="33"/>
    </row>
    <row r="833" ht="15.75" customHeight="1">
      <c r="A833" s="142"/>
      <c r="B833" s="143"/>
      <c r="C833" s="144"/>
      <c r="D833" s="145"/>
      <c r="E833" s="142"/>
      <c r="F833" s="146"/>
      <c r="G833" s="147"/>
      <c r="H833" s="148"/>
      <c r="I833" s="148"/>
      <c r="J833" s="149"/>
      <c r="K833" s="149"/>
      <c r="L833" s="149"/>
      <c r="M833" s="149"/>
      <c r="N833" s="142"/>
      <c r="O833" s="33"/>
    </row>
    <row r="834" ht="15.75" customHeight="1">
      <c r="A834" s="142"/>
      <c r="B834" s="143"/>
      <c r="C834" s="144"/>
      <c r="D834" s="145"/>
      <c r="E834" s="142"/>
      <c r="F834" s="146"/>
      <c r="G834" s="147"/>
      <c r="H834" s="148"/>
      <c r="I834" s="148"/>
      <c r="J834" s="149"/>
      <c r="K834" s="149"/>
      <c r="L834" s="149"/>
      <c r="M834" s="149"/>
      <c r="N834" s="142"/>
      <c r="O834" s="33"/>
    </row>
    <row r="835" ht="15.75" customHeight="1">
      <c r="A835" s="142"/>
      <c r="B835" s="143"/>
      <c r="C835" s="144"/>
      <c r="D835" s="145"/>
      <c r="E835" s="142"/>
      <c r="F835" s="146"/>
      <c r="G835" s="147"/>
      <c r="H835" s="148"/>
      <c r="I835" s="148"/>
      <c r="J835" s="149"/>
      <c r="K835" s="149"/>
      <c r="L835" s="149"/>
      <c r="M835" s="149"/>
      <c r="N835" s="142"/>
      <c r="O835" s="33"/>
    </row>
    <row r="836" ht="15.75" customHeight="1">
      <c r="A836" s="142"/>
      <c r="B836" s="143"/>
      <c r="C836" s="144"/>
      <c r="D836" s="145"/>
      <c r="E836" s="142"/>
      <c r="F836" s="146"/>
      <c r="G836" s="147"/>
      <c r="H836" s="148"/>
      <c r="I836" s="148"/>
      <c r="J836" s="149"/>
      <c r="K836" s="149"/>
      <c r="L836" s="149"/>
      <c r="M836" s="149"/>
      <c r="N836" s="142"/>
      <c r="O836" s="33"/>
    </row>
    <row r="837" ht="15.75" customHeight="1">
      <c r="A837" s="142"/>
      <c r="B837" s="143"/>
      <c r="C837" s="144"/>
      <c r="D837" s="145"/>
      <c r="E837" s="142"/>
      <c r="F837" s="146"/>
      <c r="G837" s="147"/>
      <c r="H837" s="148"/>
      <c r="I837" s="148"/>
      <c r="J837" s="149"/>
      <c r="K837" s="149"/>
      <c r="L837" s="149"/>
      <c r="M837" s="149"/>
      <c r="N837" s="142"/>
      <c r="O837" s="33"/>
    </row>
    <row r="838" ht="15.75" customHeight="1">
      <c r="A838" s="142"/>
      <c r="B838" s="143"/>
      <c r="C838" s="144"/>
      <c r="D838" s="145"/>
      <c r="E838" s="142"/>
      <c r="F838" s="146"/>
      <c r="G838" s="147"/>
      <c r="H838" s="148"/>
      <c r="I838" s="148"/>
      <c r="J838" s="149"/>
      <c r="K838" s="149"/>
      <c r="L838" s="149"/>
      <c r="M838" s="149"/>
      <c r="N838" s="142"/>
      <c r="O838" s="33"/>
    </row>
    <row r="839" ht="15.75" customHeight="1">
      <c r="A839" s="142"/>
      <c r="B839" s="143"/>
      <c r="C839" s="144"/>
      <c r="D839" s="145"/>
      <c r="E839" s="142"/>
      <c r="F839" s="146"/>
      <c r="G839" s="147"/>
      <c r="H839" s="148"/>
      <c r="I839" s="148"/>
      <c r="J839" s="149"/>
      <c r="K839" s="149"/>
      <c r="L839" s="149"/>
      <c r="M839" s="149"/>
      <c r="N839" s="142"/>
      <c r="O839" s="33"/>
    </row>
    <row r="840" ht="15.75" customHeight="1">
      <c r="A840" s="142"/>
      <c r="B840" s="143"/>
      <c r="C840" s="144"/>
      <c r="D840" s="145"/>
      <c r="E840" s="142"/>
      <c r="F840" s="146"/>
      <c r="G840" s="147"/>
      <c r="H840" s="148"/>
      <c r="I840" s="148"/>
      <c r="J840" s="149"/>
      <c r="K840" s="149"/>
      <c r="L840" s="149"/>
      <c r="M840" s="149"/>
      <c r="N840" s="142"/>
      <c r="O840" s="33"/>
    </row>
    <row r="841" ht="15.75" customHeight="1">
      <c r="A841" s="142"/>
      <c r="B841" s="143"/>
      <c r="C841" s="144"/>
      <c r="D841" s="145"/>
      <c r="E841" s="142"/>
      <c r="F841" s="146"/>
      <c r="G841" s="147"/>
      <c r="H841" s="148"/>
      <c r="I841" s="148"/>
      <c r="J841" s="149"/>
      <c r="K841" s="149"/>
      <c r="L841" s="149"/>
      <c r="M841" s="149"/>
      <c r="N841" s="142"/>
      <c r="O841" s="33"/>
    </row>
    <row r="842" ht="15.75" customHeight="1">
      <c r="A842" s="142"/>
      <c r="B842" s="143"/>
      <c r="C842" s="144"/>
      <c r="D842" s="145"/>
      <c r="E842" s="142"/>
      <c r="F842" s="146"/>
      <c r="G842" s="147"/>
      <c r="H842" s="148"/>
      <c r="I842" s="148"/>
      <c r="J842" s="149"/>
      <c r="K842" s="149"/>
      <c r="L842" s="149"/>
      <c r="M842" s="149"/>
      <c r="N842" s="142"/>
      <c r="O842" s="33"/>
    </row>
    <row r="843" ht="15.75" customHeight="1">
      <c r="A843" s="142"/>
      <c r="B843" s="143"/>
      <c r="C843" s="144"/>
      <c r="D843" s="145"/>
      <c r="E843" s="142"/>
      <c r="F843" s="146"/>
      <c r="G843" s="147"/>
      <c r="H843" s="148"/>
      <c r="I843" s="148"/>
      <c r="J843" s="149"/>
      <c r="K843" s="149"/>
      <c r="L843" s="149"/>
      <c r="M843" s="149"/>
      <c r="N843" s="142"/>
      <c r="O843" s="33"/>
    </row>
    <row r="844" ht="15.75" customHeight="1">
      <c r="A844" s="142"/>
      <c r="B844" s="143"/>
      <c r="C844" s="144"/>
      <c r="D844" s="145"/>
      <c r="E844" s="142"/>
      <c r="F844" s="146"/>
      <c r="G844" s="147"/>
      <c r="H844" s="148"/>
      <c r="I844" s="148"/>
      <c r="J844" s="149"/>
      <c r="K844" s="149"/>
      <c r="L844" s="149"/>
      <c r="M844" s="149"/>
      <c r="N844" s="142"/>
      <c r="O844" s="33"/>
    </row>
    <row r="845" ht="15.75" customHeight="1">
      <c r="A845" s="142"/>
      <c r="B845" s="143"/>
      <c r="C845" s="144"/>
      <c r="D845" s="145"/>
      <c r="E845" s="142"/>
      <c r="F845" s="146"/>
      <c r="G845" s="147"/>
      <c r="H845" s="148"/>
      <c r="I845" s="148"/>
      <c r="J845" s="149"/>
      <c r="K845" s="149"/>
      <c r="L845" s="149"/>
      <c r="M845" s="149"/>
      <c r="N845" s="142"/>
      <c r="O845" s="33"/>
    </row>
    <row r="846" ht="15.75" customHeight="1">
      <c r="A846" s="142"/>
      <c r="B846" s="143"/>
      <c r="C846" s="144"/>
      <c r="D846" s="145"/>
      <c r="E846" s="142"/>
      <c r="F846" s="146"/>
      <c r="G846" s="147"/>
      <c r="H846" s="148"/>
      <c r="I846" s="148"/>
      <c r="J846" s="149"/>
      <c r="K846" s="149"/>
      <c r="L846" s="149"/>
      <c r="M846" s="149"/>
      <c r="N846" s="142"/>
      <c r="O846" s="33"/>
    </row>
    <row r="847" ht="15.75" customHeight="1">
      <c r="A847" s="142"/>
      <c r="B847" s="143"/>
      <c r="C847" s="144"/>
      <c r="D847" s="145"/>
      <c r="E847" s="142"/>
      <c r="F847" s="146"/>
      <c r="G847" s="147"/>
      <c r="H847" s="148"/>
      <c r="I847" s="148"/>
      <c r="J847" s="149"/>
      <c r="K847" s="149"/>
      <c r="L847" s="149"/>
      <c r="M847" s="149"/>
      <c r="N847" s="142"/>
      <c r="O847" s="33"/>
    </row>
    <row r="848" ht="15.75" customHeight="1">
      <c r="A848" s="142"/>
      <c r="B848" s="143"/>
      <c r="C848" s="144"/>
      <c r="D848" s="145"/>
      <c r="E848" s="142"/>
      <c r="F848" s="146"/>
      <c r="G848" s="147"/>
      <c r="H848" s="148"/>
      <c r="I848" s="148"/>
      <c r="J848" s="149"/>
      <c r="K848" s="149"/>
      <c r="L848" s="149"/>
      <c r="M848" s="149"/>
      <c r="N848" s="142"/>
      <c r="O848" s="33"/>
    </row>
    <row r="849" ht="15.75" customHeight="1">
      <c r="A849" s="142"/>
      <c r="B849" s="143"/>
      <c r="C849" s="144"/>
      <c r="D849" s="145"/>
      <c r="E849" s="142"/>
      <c r="F849" s="146"/>
      <c r="G849" s="147"/>
      <c r="H849" s="148"/>
      <c r="I849" s="148"/>
      <c r="J849" s="149"/>
      <c r="K849" s="149"/>
      <c r="L849" s="149"/>
      <c r="M849" s="149"/>
      <c r="N849" s="142"/>
      <c r="O849" s="33"/>
    </row>
    <row r="850" ht="15.75" customHeight="1">
      <c r="A850" s="142"/>
      <c r="B850" s="143"/>
      <c r="C850" s="144"/>
      <c r="D850" s="145"/>
      <c r="E850" s="142"/>
      <c r="F850" s="146"/>
      <c r="G850" s="147"/>
      <c r="H850" s="148"/>
      <c r="I850" s="148"/>
      <c r="J850" s="149"/>
      <c r="K850" s="149"/>
      <c r="L850" s="149"/>
      <c r="M850" s="149"/>
      <c r="N850" s="142"/>
      <c r="O850" s="33"/>
    </row>
    <row r="851" ht="15.75" customHeight="1">
      <c r="A851" s="142"/>
      <c r="B851" s="143"/>
      <c r="C851" s="144"/>
      <c r="D851" s="145"/>
      <c r="E851" s="142"/>
      <c r="F851" s="146"/>
      <c r="G851" s="147"/>
      <c r="H851" s="148"/>
      <c r="I851" s="148"/>
      <c r="J851" s="149"/>
      <c r="K851" s="149"/>
      <c r="L851" s="149"/>
      <c r="M851" s="149"/>
      <c r="N851" s="142"/>
      <c r="O851" s="33"/>
    </row>
    <row r="852" ht="15.75" customHeight="1">
      <c r="A852" s="142"/>
      <c r="B852" s="143"/>
      <c r="C852" s="144"/>
      <c r="D852" s="145"/>
      <c r="E852" s="142"/>
      <c r="F852" s="146"/>
      <c r="G852" s="147"/>
      <c r="H852" s="148"/>
      <c r="I852" s="148"/>
      <c r="J852" s="149"/>
      <c r="K852" s="149"/>
      <c r="L852" s="149"/>
      <c r="M852" s="149"/>
      <c r="N852" s="142"/>
      <c r="O852" s="33"/>
    </row>
    <row r="853" ht="15.75" customHeight="1">
      <c r="A853" s="142"/>
      <c r="B853" s="143"/>
      <c r="C853" s="144"/>
      <c r="D853" s="145"/>
      <c r="E853" s="142"/>
      <c r="F853" s="146"/>
      <c r="G853" s="147"/>
      <c r="H853" s="148"/>
      <c r="I853" s="148"/>
      <c r="J853" s="149"/>
      <c r="K853" s="149"/>
      <c r="L853" s="149"/>
      <c r="M853" s="149"/>
      <c r="N853" s="142"/>
      <c r="O853" s="33"/>
    </row>
    <row r="854" ht="15.75" customHeight="1">
      <c r="A854" s="142"/>
      <c r="B854" s="143"/>
      <c r="C854" s="144"/>
      <c r="D854" s="145"/>
      <c r="E854" s="142"/>
      <c r="F854" s="146"/>
      <c r="G854" s="147"/>
      <c r="H854" s="148"/>
      <c r="I854" s="148"/>
      <c r="J854" s="149"/>
      <c r="K854" s="149"/>
      <c r="L854" s="149"/>
      <c r="M854" s="149"/>
      <c r="N854" s="142"/>
      <c r="O854" s="33"/>
    </row>
    <row r="855" ht="15.75" customHeight="1">
      <c r="A855" s="142"/>
      <c r="B855" s="143"/>
      <c r="C855" s="144"/>
      <c r="D855" s="145"/>
      <c r="E855" s="142"/>
      <c r="F855" s="146"/>
      <c r="G855" s="147"/>
      <c r="H855" s="148"/>
      <c r="I855" s="148"/>
      <c r="J855" s="149"/>
      <c r="K855" s="149"/>
      <c r="L855" s="149"/>
      <c r="M855" s="149"/>
      <c r="N855" s="142"/>
      <c r="O855" s="33"/>
    </row>
    <row r="856" ht="15.75" customHeight="1">
      <c r="A856" s="142"/>
      <c r="B856" s="143"/>
      <c r="C856" s="144"/>
      <c r="D856" s="145"/>
      <c r="E856" s="142"/>
      <c r="F856" s="146"/>
      <c r="G856" s="147"/>
      <c r="H856" s="148"/>
      <c r="I856" s="148"/>
      <c r="J856" s="149"/>
      <c r="K856" s="149"/>
      <c r="L856" s="149"/>
      <c r="M856" s="149"/>
      <c r="N856" s="142"/>
      <c r="O856" s="33"/>
    </row>
    <row r="857" ht="15.75" customHeight="1">
      <c r="A857" s="142"/>
      <c r="B857" s="143"/>
      <c r="C857" s="144"/>
      <c r="D857" s="145"/>
      <c r="E857" s="142"/>
      <c r="F857" s="146"/>
      <c r="G857" s="147"/>
      <c r="H857" s="148"/>
      <c r="I857" s="148"/>
      <c r="J857" s="149"/>
      <c r="K857" s="149"/>
      <c r="L857" s="149"/>
      <c r="M857" s="149"/>
      <c r="N857" s="142"/>
      <c r="O857" s="33"/>
    </row>
    <row r="858" ht="15.75" customHeight="1">
      <c r="A858" s="142"/>
      <c r="B858" s="143"/>
      <c r="C858" s="144"/>
      <c r="D858" s="145"/>
      <c r="E858" s="142"/>
      <c r="F858" s="146"/>
      <c r="G858" s="147"/>
      <c r="H858" s="148"/>
      <c r="I858" s="148"/>
      <c r="J858" s="149"/>
      <c r="K858" s="149"/>
      <c r="L858" s="149"/>
      <c r="M858" s="149"/>
      <c r="N858" s="142"/>
      <c r="O858" s="33"/>
    </row>
    <row r="859" ht="15.75" customHeight="1">
      <c r="A859" s="142"/>
      <c r="B859" s="143"/>
      <c r="C859" s="144"/>
      <c r="D859" s="145"/>
      <c r="E859" s="142"/>
      <c r="F859" s="146"/>
      <c r="G859" s="147"/>
      <c r="H859" s="148"/>
      <c r="I859" s="148"/>
      <c r="J859" s="149"/>
      <c r="K859" s="149"/>
      <c r="L859" s="149"/>
      <c r="M859" s="149"/>
      <c r="N859" s="142"/>
      <c r="O859" s="33"/>
    </row>
    <row r="860" ht="15.75" customHeight="1">
      <c r="A860" s="142"/>
      <c r="B860" s="143"/>
      <c r="C860" s="144"/>
      <c r="D860" s="145"/>
      <c r="E860" s="142"/>
      <c r="F860" s="146"/>
      <c r="G860" s="147"/>
      <c r="H860" s="148"/>
      <c r="I860" s="148"/>
      <c r="J860" s="149"/>
      <c r="K860" s="149"/>
      <c r="L860" s="149"/>
      <c r="M860" s="149"/>
      <c r="N860" s="142"/>
      <c r="O860" s="33"/>
    </row>
    <row r="861" ht="15.75" customHeight="1">
      <c r="A861" s="142"/>
      <c r="B861" s="143"/>
      <c r="C861" s="144"/>
      <c r="D861" s="145"/>
      <c r="E861" s="142"/>
      <c r="F861" s="146"/>
      <c r="G861" s="147"/>
      <c r="H861" s="148"/>
      <c r="I861" s="148"/>
      <c r="J861" s="149"/>
      <c r="K861" s="149"/>
      <c r="L861" s="149"/>
      <c r="M861" s="149"/>
      <c r="N861" s="142"/>
      <c r="O861" s="33"/>
    </row>
    <row r="862" ht="15.75" customHeight="1">
      <c r="A862" s="142"/>
      <c r="B862" s="143"/>
      <c r="C862" s="144"/>
      <c r="D862" s="145"/>
      <c r="E862" s="142"/>
      <c r="F862" s="146"/>
      <c r="G862" s="147"/>
      <c r="H862" s="148"/>
      <c r="I862" s="148"/>
      <c r="J862" s="149"/>
      <c r="K862" s="149"/>
      <c r="L862" s="149"/>
      <c r="M862" s="149"/>
      <c r="N862" s="142"/>
      <c r="O862" s="33"/>
    </row>
    <row r="863" ht="15.75" customHeight="1">
      <c r="A863" s="142"/>
      <c r="B863" s="143"/>
      <c r="C863" s="144"/>
      <c r="D863" s="145"/>
      <c r="E863" s="142"/>
      <c r="F863" s="146"/>
      <c r="G863" s="147"/>
      <c r="H863" s="148"/>
      <c r="I863" s="148"/>
      <c r="J863" s="149"/>
      <c r="K863" s="149"/>
      <c r="L863" s="149"/>
      <c r="M863" s="149"/>
      <c r="N863" s="142"/>
      <c r="O863" s="33"/>
    </row>
    <row r="864" ht="15.75" customHeight="1">
      <c r="A864" s="142"/>
      <c r="B864" s="143"/>
      <c r="C864" s="144"/>
      <c r="D864" s="145"/>
      <c r="E864" s="142"/>
      <c r="F864" s="146"/>
      <c r="G864" s="147"/>
      <c r="H864" s="148"/>
      <c r="I864" s="148"/>
      <c r="J864" s="149"/>
      <c r="K864" s="149"/>
      <c r="L864" s="149"/>
      <c r="M864" s="149"/>
      <c r="N864" s="142"/>
      <c r="O864" s="33"/>
    </row>
    <row r="865" ht="15.75" customHeight="1">
      <c r="A865" s="142"/>
      <c r="B865" s="143"/>
      <c r="C865" s="144"/>
      <c r="D865" s="145"/>
      <c r="E865" s="142"/>
      <c r="F865" s="146"/>
      <c r="G865" s="147"/>
      <c r="H865" s="148"/>
      <c r="I865" s="148"/>
      <c r="J865" s="149"/>
      <c r="K865" s="149"/>
      <c r="L865" s="149"/>
      <c r="M865" s="149"/>
      <c r="N865" s="142"/>
      <c r="O865" s="33"/>
    </row>
    <row r="866" ht="15.75" customHeight="1">
      <c r="A866" s="142"/>
      <c r="B866" s="143"/>
      <c r="C866" s="144"/>
      <c r="D866" s="145"/>
      <c r="E866" s="142"/>
      <c r="F866" s="146"/>
      <c r="G866" s="147"/>
      <c r="H866" s="148"/>
      <c r="I866" s="148"/>
      <c r="J866" s="149"/>
      <c r="K866" s="149"/>
      <c r="L866" s="149"/>
      <c r="M866" s="149"/>
      <c r="N866" s="142"/>
      <c r="O866" s="33"/>
    </row>
    <row r="867" ht="15.75" customHeight="1">
      <c r="A867" s="142"/>
      <c r="B867" s="143"/>
      <c r="C867" s="144"/>
      <c r="D867" s="145"/>
      <c r="E867" s="142"/>
      <c r="F867" s="146"/>
      <c r="G867" s="147"/>
      <c r="H867" s="148"/>
      <c r="I867" s="148"/>
      <c r="J867" s="149"/>
      <c r="K867" s="149"/>
      <c r="L867" s="149"/>
      <c r="M867" s="149"/>
      <c r="N867" s="142"/>
      <c r="O867" s="33"/>
    </row>
    <row r="868" ht="15.75" customHeight="1">
      <c r="A868" s="142"/>
      <c r="B868" s="143"/>
      <c r="C868" s="144"/>
      <c r="D868" s="145"/>
      <c r="E868" s="142"/>
      <c r="F868" s="146"/>
      <c r="G868" s="147"/>
      <c r="H868" s="148"/>
      <c r="I868" s="148"/>
      <c r="J868" s="149"/>
      <c r="K868" s="149"/>
      <c r="L868" s="149"/>
      <c r="M868" s="149"/>
      <c r="N868" s="142"/>
      <c r="O868" s="33"/>
    </row>
    <row r="869" ht="15.75" customHeight="1">
      <c r="A869" s="142"/>
      <c r="B869" s="143"/>
      <c r="C869" s="144"/>
      <c r="D869" s="145"/>
      <c r="E869" s="142"/>
      <c r="F869" s="146"/>
      <c r="G869" s="147"/>
      <c r="H869" s="148"/>
      <c r="I869" s="148"/>
      <c r="J869" s="149"/>
      <c r="K869" s="149"/>
      <c r="L869" s="149"/>
      <c r="M869" s="149"/>
      <c r="N869" s="142"/>
      <c r="O869" s="33"/>
    </row>
    <row r="870" ht="15.75" customHeight="1">
      <c r="A870" s="142"/>
      <c r="B870" s="143"/>
      <c r="C870" s="144"/>
      <c r="D870" s="145"/>
      <c r="E870" s="142"/>
      <c r="F870" s="146"/>
      <c r="G870" s="147"/>
      <c r="H870" s="148"/>
      <c r="I870" s="148"/>
      <c r="J870" s="149"/>
      <c r="K870" s="149"/>
      <c r="L870" s="149"/>
      <c r="M870" s="149"/>
      <c r="N870" s="142"/>
      <c r="O870" s="33"/>
    </row>
    <row r="871" ht="15.75" customHeight="1">
      <c r="A871" s="142"/>
      <c r="B871" s="143"/>
      <c r="C871" s="144"/>
      <c r="D871" s="145"/>
      <c r="E871" s="142"/>
      <c r="F871" s="146"/>
      <c r="G871" s="147"/>
      <c r="H871" s="148"/>
      <c r="I871" s="148"/>
      <c r="J871" s="149"/>
      <c r="K871" s="149"/>
      <c r="L871" s="149"/>
      <c r="M871" s="149"/>
      <c r="N871" s="142"/>
      <c r="O871" s="33"/>
    </row>
    <row r="872" ht="15.75" customHeight="1">
      <c r="A872" s="142"/>
      <c r="B872" s="143"/>
      <c r="C872" s="144"/>
      <c r="D872" s="145"/>
      <c r="E872" s="142"/>
      <c r="F872" s="146"/>
      <c r="G872" s="147"/>
      <c r="H872" s="148"/>
      <c r="I872" s="148"/>
      <c r="J872" s="149"/>
      <c r="K872" s="149"/>
      <c r="L872" s="149"/>
      <c r="M872" s="149"/>
      <c r="N872" s="142"/>
      <c r="O872" s="33"/>
    </row>
    <row r="873" ht="15.75" customHeight="1">
      <c r="A873" s="142"/>
      <c r="B873" s="143"/>
      <c r="C873" s="144"/>
      <c r="D873" s="145"/>
      <c r="E873" s="142"/>
      <c r="F873" s="146"/>
      <c r="G873" s="147"/>
      <c r="H873" s="148"/>
      <c r="I873" s="148"/>
      <c r="J873" s="149"/>
      <c r="K873" s="149"/>
      <c r="L873" s="149"/>
      <c r="M873" s="149"/>
      <c r="N873" s="142"/>
      <c r="O873" s="33"/>
    </row>
    <row r="874" ht="15.75" customHeight="1">
      <c r="A874" s="142"/>
      <c r="B874" s="143"/>
      <c r="C874" s="144"/>
      <c r="D874" s="145"/>
      <c r="E874" s="142"/>
      <c r="F874" s="146"/>
      <c r="G874" s="147"/>
      <c r="H874" s="148"/>
      <c r="I874" s="148"/>
      <c r="J874" s="149"/>
      <c r="K874" s="149"/>
      <c r="L874" s="149"/>
      <c r="M874" s="149"/>
      <c r="N874" s="142"/>
      <c r="O874" s="33"/>
    </row>
    <row r="875" ht="15.75" customHeight="1">
      <c r="A875" s="142"/>
      <c r="B875" s="143"/>
      <c r="C875" s="144"/>
      <c r="D875" s="145"/>
      <c r="E875" s="142"/>
      <c r="F875" s="146"/>
      <c r="G875" s="147"/>
      <c r="H875" s="148"/>
      <c r="I875" s="148"/>
      <c r="J875" s="149"/>
      <c r="K875" s="149"/>
      <c r="L875" s="149"/>
      <c r="M875" s="149"/>
      <c r="N875" s="142"/>
      <c r="O875" s="33"/>
    </row>
    <row r="876" ht="15.75" customHeight="1">
      <c r="A876" s="142"/>
      <c r="B876" s="143"/>
      <c r="C876" s="144"/>
      <c r="D876" s="145"/>
      <c r="E876" s="142"/>
      <c r="F876" s="146"/>
      <c r="G876" s="147"/>
      <c r="H876" s="148"/>
      <c r="I876" s="148"/>
      <c r="J876" s="149"/>
      <c r="K876" s="149"/>
      <c r="L876" s="149"/>
      <c r="M876" s="149"/>
      <c r="N876" s="142"/>
      <c r="O876" s="33"/>
    </row>
    <row r="877" ht="15.75" customHeight="1">
      <c r="A877" s="142"/>
      <c r="B877" s="143"/>
      <c r="C877" s="144"/>
      <c r="D877" s="145"/>
      <c r="E877" s="142"/>
      <c r="F877" s="146"/>
      <c r="G877" s="147"/>
      <c r="H877" s="148"/>
      <c r="I877" s="148"/>
      <c r="J877" s="149"/>
      <c r="K877" s="149"/>
      <c r="L877" s="149"/>
      <c r="M877" s="149"/>
      <c r="N877" s="142"/>
      <c r="O877" s="33"/>
    </row>
    <row r="878" ht="15.75" customHeight="1">
      <c r="A878" s="142"/>
      <c r="B878" s="143"/>
      <c r="C878" s="144"/>
      <c r="D878" s="145"/>
      <c r="E878" s="142"/>
      <c r="F878" s="146"/>
      <c r="G878" s="147"/>
      <c r="H878" s="148"/>
      <c r="I878" s="148"/>
      <c r="J878" s="149"/>
      <c r="K878" s="149"/>
      <c r="L878" s="149"/>
      <c r="M878" s="149"/>
      <c r="N878" s="142"/>
      <c r="O878" s="33"/>
    </row>
    <row r="879" ht="15.75" customHeight="1">
      <c r="A879" s="142"/>
      <c r="B879" s="143"/>
      <c r="C879" s="144"/>
      <c r="D879" s="145"/>
      <c r="E879" s="142"/>
      <c r="F879" s="146"/>
      <c r="G879" s="147"/>
      <c r="H879" s="148"/>
      <c r="I879" s="148"/>
      <c r="J879" s="149"/>
      <c r="K879" s="149"/>
      <c r="L879" s="149"/>
      <c r="M879" s="149"/>
      <c r="N879" s="142"/>
      <c r="O879" s="33"/>
    </row>
    <row r="880" ht="15.75" customHeight="1">
      <c r="A880" s="142"/>
      <c r="B880" s="143"/>
      <c r="C880" s="144"/>
      <c r="D880" s="145"/>
      <c r="E880" s="142"/>
      <c r="F880" s="146"/>
      <c r="G880" s="147"/>
      <c r="H880" s="148"/>
      <c r="I880" s="148"/>
      <c r="J880" s="149"/>
      <c r="K880" s="149"/>
      <c r="L880" s="149"/>
      <c r="M880" s="149"/>
      <c r="N880" s="142"/>
      <c r="O880" s="33"/>
    </row>
    <row r="881" ht="15.75" customHeight="1">
      <c r="A881" s="142"/>
      <c r="B881" s="143"/>
      <c r="C881" s="144"/>
      <c r="D881" s="145"/>
      <c r="E881" s="142"/>
      <c r="F881" s="146"/>
      <c r="G881" s="147"/>
      <c r="H881" s="148"/>
      <c r="I881" s="148"/>
      <c r="J881" s="149"/>
      <c r="K881" s="149"/>
      <c r="L881" s="149"/>
      <c r="M881" s="149"/>
      <c r="N881" s="142"/>
      <c r="O881" s="33"/>
    </row>
    <row r="882" ht="15.75" customHeight="1">
      <c r="A882" s="142"/>
      <c r="B882" s="143"/>
      <c r="C882" s="144"/>
      <c r="D882" s="145"/>
      <c r="E882" s="142"/>
      <c r="F882" s="146"/>
      <c r="G882" s="147"/>
      <c r="H882" s="148"/>
      <c r="I882" s="148"/>
      <c r="J882" s="149"/>
      <c r="K882" s="149"/>
      <c r="L882" s="149"/>
      <c r="M882" s="149"/>
      <c r="N882" s="142"/>
      <c r="O882" s="33"/>
    </row>
    <row r="883" ht="15.75" customHeight="1">
      <c r="A883" s="142"/>
      <c r="B883" s="143"/>
      <c r="C883" s="144"/>
      <c r="D883" s="145"/>
      <c r="E883" s="142"/>
      <c r="F883" s="146"/>
      <c r="G883" s="147"/>
      <c r="H883" s="148"/>
      <c r="I883" s="148"/>
      <c r="J883" s="149"/>
      <c r="K883" s="149"/>
      <c r="L883" s="149"/>
      <c r="M883" s="149"/>
      <c r="N883" s="142"/>
      <c r="O883" s="33"/>
    </row>
    <row r="884" ht="15.75" customHeight="1">
      <c r="A884" s="142"/>
      <c r="B884" s="143"/>
      <c r="C884" s="144"/>
      <c r="D884" s="145"/>
      <c r="E884" s="142"/>
      <c r="F884" s="146"/>
      <c r="G884" s="147"/>
      <c r="H884" s="148"/>
      <c r="I884" s="148"/>
      <c r="J884" s="149"/>
      <c r="K884" s="149"/>
      <c r="L884" s="149"/>
      <c r="M884" s="149"/>
      <c r="N884" s="142"/>
      <c r="O884" s="33"/>
    </row>
    <row r="885" ht="15.75" customHeight="1">
      <c r="A885" s="142"/>
      <c r="B885" s="143"/>
      <c r="C885" s="144"/>
      <c r="D885" s="145"/>
      <c r="E885" s="142"/>
      <c r="F885" s="146"/>
      <c r="G885" s="147"/>
      <c r="H885" s="148"/>
      <c r="I885" s="148"/>
      <c r="J885" s="149"/>
      <c r="K885" s="149"/>
      <c r="L885" s="149"/>
      <c r="M885" s="149"/>
      <c r="N885" s="142"/>
      <c r="O885" s="33"/>
    </row>
    <row r="886" ht="15.75" customHeight="1">
      <c r="A886" s="142"/>
      <c r="B886" s="143"/>
      <c r="C886" s="144"/>
      <c r="D886" s="145"/>
      <c r="E886" s="142"/>
      <c r="F886" s="146"/>
      <c r="G886" s="147"/>
      <c r="H886" s="148"/>
      <c r="I886" s="148"/>
      <c r="J886" s="149"/>
      <c r="K886" s="149"/>
      <c r="L886" s="149"/>
      <c r="M886" s="149"/>
      <c r="N886" s="142"/>
      <c r="O886" s="33"/>
    </row>
    <row r="887" ht="15.75" customHeight="1">
      <c r="A887" s="142"/>
      <c r="B887" s="143"/>
      <c r="C887" s="144"/>
      <c r="D887" s="145"/>
      <c r="E887" s="142"/>
      <c r="F887" s="146"/>
      <c r="G887" s="147"/>
      <c r="H887" s="148"/>
      <c r="I887" s="148"/>
      <c r="J887" s="149"/>
      <c r="K887" s="149"/>
      <c r="L887" s="149"/>
      <c r="M887" s="149"/>
      <c r="N887" s="142"/>
      <c r="O887" s="33"/>
    </row>
    <row r="888" ht="15.75" customHeight="1">
      <c r="A888" s="142"/>
      <c r="B888" s="143"/>
      <c r="C888" s="144"/>
      <c r="D888" s="145"/>
      <c r="E888" s="142"/>
      <c r="F888" s="146"/>
      <c r="G888" s="147"/>
      <c r="H888" s="148"/>
      <c r="I888" s="148"/>
      <c r="J888" s="149"/>
      <c r="K888" s="149"/>
      <c r="L888" s="149"/>
      <c r="M888" s="149"/>
      <c r="N888" s="142"/>
      <c r="O888" s="33"/>
    </row>
    <row r="889" ht="15.75" customHeight="1">
      <c r="A889" s="142"/>
      <c r="B889" s="143"/>
      <c r="C889" s="144"/>
      <c r="D889" s="145"/>
      <c r="E889" s="142"/>
      <c r="F889" s="146"/>
      <c r="G889" s="147"/>
      <c r="H889" s="148"/>
      <c r="I889" s="148"/>
      <c r="J889" s="149"/>
      <c r="K889" s="149"/>
      <c r="L889" s="149"/>
      <c r="M889" s="149"/>
      <c r="N889" s="142"/>
      <c r="O889" s="33"/>
    </row>
    <row r="890" ht="15.75" customHeight="1">
      <c r="A890" s="142"/>
      <c r="B890" s="143"/>
      <c r="C890" s="144"/>
      <c r="D890" s="145"/>
      <c r="E890" s="142"/>
      <c r="F890" s="146"/>
      <c r="G890" s="147"/>
      <c r="H890" s="148"/>
      <c r="I890" s="148"/>
      <c r="J890" s="149"/>
      <c r="K890" s="149"/>
      <c r="L890" s="149"/>
      <c r="M890" s="149"/>
      <c r="N890" s="142"/>
      <c r="O890" s="33"/>
    </row>
    <row r="891" ht="15.75" customHeight="1">
      <c r="A891" s="142"/>
      <c r="B891" s="143"/>
      <c r="C891" s="144"/>
      <c r="D891" s="145"/>
      <c r="E891" s="142"/>
      <c r="F891" s="146"/>
      <c r="G891" s="147"/>
      <c r="H891" s="148"/>
      <c r="I891" s="148"/>
      <c r="J891" s="149"/>
      <c r="K891" s="149"/>
      <c r="L891" s="149"/>
      <c r="M891" s="149"/>
      <c r="N891" s="142"/>
      <c r="O891" s="33"/>
    </row>
    <row r="892" ht="15.75" customHeight="1">
      <c r="A892" s="142"/>
      <c r="B892" s="143"/>
      <c r="C892" s="144"/>
      <c r="D892" s="145"/>
      <c r="E892" s="142"/>
      <c r="F892" s="146"/>
      <c r="G892" s="147"/>
      <c r="H892" s="148"/>
      <c r="I892" s="148"/>
      <c r="J892" s="149"/>
      <c r="K892" s="149"/>
      <c r="L892" s="149"/>
      <c r="M892" s="149"/>
      <c r="N892" s="142"/>
      <c r="O892" s="33"/>
    </row>
    <row r="893" ht="15.75" customHeight="1">
      <c r="A893" s="142"/>
      <c r="B893" s="143"/>
      <c r="C893" s="144"/>
      <c r="D893" s="145"/>
      <c r="E893" s="142"/>
      <c r="F893" s="146"/>
      <c r="G893" s="147"/>
      <c r="H893" s="148"/>
      <c r="I893" s="148"/>
      <c r="J893" s="149"/>
      <c r="K893" s="149"/>
      <c r="L893" s="149"/>
      <c r="M893" s="149"/>
      <c r="N893" s="142"/>
      <c r="O893" s="33"/>
    </row>
    <row r="894" ht="15.75" customHeight="1">
      <c r="A894" s="142"/>
      <c r="B894" s="143"/>
      <c r="C894" s="144"/>
      <c r="D894" s="145"/>
      <c r="E894" s="142"/>
      <c r="F894" s="146"/>
      <c r="G894" s="147"/>
      <c r="H894" s="148"/>
      <c r="I894" s="148"/>
      <c r="J894" s="149"/>
      <c r="K894" s="149"/>
      <c r="L894" s="149"/>
      <c r="M894" s="149"/>
      <c r="N894" s="142"/>
      <c r="O894" s="33"/>
    </row>
    <row r="895" ht="15.75" customHeight="1">
      <c r="A895" s="142"/>
      <c r="B895" s="143"/>
      <c r="C895" s="144"/>
      <c r="D895" s="145"/>
      <c r="E895" s="142"/>
      <c r="F895" s="146"/>
      <c r="G895" s="147"/>
      <c r="H895" s="148"/>
      <c r="I895" s="148"/>
      <c r="J895" s="149"/>
      <c r="K895" s="149"/>
      <c r="L895" s="149"/>
      <c r="M895" s="149"/>
      <c r="N895" s="142"/>
      <c r="O895" s="33"/>
    </row>
    <row r="896" ht="15.75" customHeight="1">
      <c r="A896" s="142"/>
      <c r="B896" s="143"/>
      <c r="C896" s="144"/>
      <c r="D896" s="145"/>
      <c r="E896" s="142"/>
      <c r="F896" s="146"/>
      <c r="G896" s="147"/>
      <c r="H896" s="148"/>
      <c r="I896" s="148"/>
      <c r="J896" s="149"/>
      <c r="K896" s="149"/>
      <c r="L896" s="149"/>
      <c r="M896" s="149"/>
      <c r="N896" s="142"/>
      <c r="O896" s="33"/>
    </row>
    <row r="897" ht="15.75" customHeight="1">
      <c r="A897" s="142"/>
      <c r="B897" s="143"/>
      <c r="C897" s="144"/>
      <c r="D897" s="145"/>
      <c r="E897" s="142"/>
      <c r="F897" s="146"/>
      <c r="G897" s="147"/>
      <c r="H897" s="148"/>
      <c r="I897" s="148"/>
      <c r="J897" s="149"/>
      <c r="K897" s="149"/>
      <c r="L897" s="149"/>
      <c r="M897" s="149"/>
      <c r="N897" s="142"/>
      <c r="O897" s="33"/>
    </row>
    <row r="898" ht="15.75" customHeight="1">
      <c r="A898" s="142"/>
      <c r="B898" s="143"/>
      <c r="C898" s="144"/>
      <c r="D898" s="145"/>
      <c r="E898" s="142"/>
      <c r="F898" s="146"/>
      <c r="G898" s="147"/>
      <c r="H898" s="148"/>
      <c r="I898" s="148"/>
      <c r="J898" s="149"/>
      <c r="K898" s="149"/>
      <c r="L898" s="149"/>
      <c r="M898" s="149"/>
      <c r="N898" s="142"/>
      <c r="O898" s="33"/>
    </row>
    <row r="899" ht="15.75" customHeight="1">
      <c r="A899" s="142"/>
      <c r="B899" s="143"/>
      <c r="C899" s="144"/>
      <c r="D899" s="145"/>
      <c r="E899" s="142"/>
      <c r="F899" s="146"/>
      <c r="G899" s="147"/>
      <c r="H899" s="148"/>
      <c r="I899" s="148"/>
      <c r="J899" s="149"/>
      <c r="K899" s="149"/>
      <c r="L899" s="149"/>
      <c r="M899" s="149"/>
      <c r="N899" s="142"/>
      <c r="O899" s="33"/>
    </row>
    <row r="900" ht="15.75" customHeight="1">
      <c r="A900" s="142"/>
      <c r="B900" s="143"/>
      <c r="C900" s="144"/>
      <c r="D900" s="145"/>
      <c r="E900" s="142"/>
      <c r="F900" s="146"/>
      <c r="G900" s="147"/>
      <c r="H900" s="148"/>
      <c r="I900" s="148"/>
      <c r="J900" s="149"/>
      <c r="K900" s="149"/>
      <c r="L900" s="149"/>
      <c r="M900" s="149"/>
      <c r="N900" s="142"/>
      <c r="O900" s="33"/>
    </row>
    <row r="901" ht="15.75" customHeight="1">
      <c r="A901" s="142"/>
      <c r="B901" s="143"/>
      <c r="C901" s="144"/>
      <c r="D901" s="145"/>
      <c r="E901" s="142"/>
      <c r="F901" s="146"/>
      <c r="G901" s="147"/>
      <c r="H901" s="148"/>
      <c r="I901" s="148"/>
      <c r="J901" s="149"/>
      <c r="K901" s="149"/>
      <c r="L901" s="149"/>
      <c r="M901" s="149"/>
      <c r="N901" s="142"/>
      <c r="O901" s="33"/>
    </row>
    <row r="902" ht="15.75" customHeight="1">
      <c r="A902" s="142"/>
      <c r="B902" s="143"/>
      <c r="C902" s="144"/>
      <c r="D902" s="145"/>
      <c r="E902" s="142"/>
      <c r="F902" s="146"/>
      <c r="G902" s="147"/>
      <c r="H902" s="148"/>
      <c r="I902" s="148"/>
      <c r="J902" s="149"/>
      <c r="K902" s="149"/>
      <c r="L902" s="149"/>
      <c r="M902" s="149"/>
      <c r="N902" s="142"/>
      <c r="O902" s="33"/>
    </row>
    <row r="903" ht="15.75" customHeight="1">
      <c r="A903" s="142"/>
      <c r="B903" s="143"/>
      <c r="C903" s="144"/>
      <c r="D903" s="145"/>
      <c r="E903" s="142"/>
      <c r="F903" s="146"/>
      <c r="G903" s="147"/>
      <c r="H903" s="148"/>
      <c r="I903" s="148"/>
      <c r="J903" s="149"/>
      <c r="K903" s="149"/>
      <c r="L903" s="149"/>
      <c r="M903" s="149"/>
      <c r="N903" s="142"/>
      <c r="O903" s="33"/>
    </row>
    <row r="904" ht="15.75" customHeight="1">
      <c r="A904" s="142"/>
      <c r="B904" s="143"/>
      <c r="C904" s="144"/>
      <c r="D904" s="145"/>
      <c r="E904" s="142"/>
      <c r="F904" s="146"/>
      <c r="G904" s="147"/>
      <c r="H904" s="148"/>
      <c r="I904" s="148"/>
      <c r="J904" s="149"/>
      <c r="K904" s="149"/>
      <c r="L904" s="149"/>
      <c r="M904" s="149"/>
      <c r="N904" s="142"/>
      <c r="O904" s="33"/>
    </row>
    <row r="905" ht="15.75" customHeight="1">
      <c r="A905" s="142"/>
      <c r="B905" s="143"/>
      <c r="C905" s="144"/>
      <c r="D905" s="145"/>
      <c r="E905" s="142"/>
      <c r="F905" s="146"/>
      <c r="G905" s="147"/>
      <c r="H905" s="148"/>
      <c r="I905" s="148"/>
      <c r="J905" s="149"/>
      <c r="K905" s="149"/>
      <c r="L905" s="149"/>
      <c r="M905" s="149"/>
      <c r="N905" s="142"/>
      <c r="O905" s="33"/>
    </row>
    <row r="906" ht="15.75" customHeight="1">
      <c r="A906" s="142"/>
      <c r="B906" s="143"/>
      <c r="C906" s="144"/>
      <c r="D906" s="145"/>
      <c r="E906" s="142"/>
      <c r="F906" s="146"/>
      <c r="G906" s="147"/>
      <c r="H906" s="148"/>
      <c r="I906" s="148"/>
      <c r="J906" s="149"/>
      <c r="K906" s="149"/>
      <c r="L906" s="149"/>
      <c r="M906" s="149"/>
      <c r="N906" s="142"/>
      <c r="O906" s="33"/>
    </row>
    <row r="907" ht="15.75" customHeight="1">
      <c r="A907" s="142"/>
      <c r="B907" s="143"/>
      <c r="C907" s="144"/>
      <c r="D907" s="145"/>
      <c r="E907" s="142"/>
      <c r="F907" s="146"/>
      <c r="G907" s="147"/>
      <c r="H907" s="148"/>
      <c r="I907" s="148"/>
      <c r="J907" s="149"/>
      <c r="K907" s="149"/>
      <c r="L907" s="149"/>
      <c r="M907" s="149"/>
      <c r="N907" s="142"/>
      <c r="O907" s="33"/>
    </row>
    <row r="908" ht="15.75" customHeight="1">
      <c r="A908" s="142"/>
      <c r="B908" s="143"/>
      <c r="C908" s="144"/>
      <c r="D908" s="145"/>
      <c r="E908" s="142"/>
      <c r="F908" s="146"/>
      <c r="G908" s="147"/>
      <c r="H908" s="148"/>
      <c r="I908" s="148"/>
      <c r="J908" s="149"/>
      <c r="K908" s="149"/>
      <c r="L908" s="149"/>
      <c r="M908" s="149"/>
      <c r="N908" s="142"/>
      <c r="O908" s="33"/>
    </row>
    <row r="909" ht="15.75" customHeight="1">
      <c r="A909" s="142"/>
      <c r="B909" s="143"/>
      <c r="C909" s="144"/>
      <c r="D909" s="145"/>
      <c r="E909" s="142"/>
      <c r="F909" s="146"/>
      <c r="G909" s="147"/>
      <c r="H909" s="148"/>
      <c r="I909" s="148"/>
      <c r="J909" s="149"/>
      <c r="K909" s="149"/>
      <c r="L909" s="149"/>
      <c r="M909" s="149"/>
      <c r="N909" s="142"/>
      <c r="O909" s="33"/>
    </row>
    <row r="910" ht="15.75" customHeight="1">
      <c r="A910" s="142"/>
      <c r="B910" s="143"/>
      <c r="C910" s="144"/>
      <c r="D910" s="145"/>
      <c r="E910" s="142"/>
      <c r="F910" s="146"/>
      <c r="G910" s="147"/>
      <c r="H910" s="148"/>
      <c r="I910" s="148"/>
      <c r="J910" s="149"/>
      <c r="K910" s="149"/>
      <c r="L910" s="149"/>
      <c r="M910" s="149"/>
      <c r="N910" s="142"/>
      <c r="O910" s="33"/>
    </row>
    <row r="911" ht="15.75" customHeight="1">
      <c r="A911" s="142"/>
      <c r="B911" s="143"/>
      <c r="C911" s="144"/>
      <c r="D911" s="145"/>
      <c r="E911" s="142"/>
      <c r="F911" s="146"/>
      <c r="G911" s="147"/>
      <c r="H911" s="148"/>
      <c r="I911" s="148"/>
      <c r="J911" s="149"/>
      <c r="K911" s="149"/>
      <c r="L911" s="149"/>
      <c r="M911" s="149"/>
      <c r="N911" s="142"/>
      <c r="O911" s="33"/>
    </row>
    <row r="912" ht="15.75" customHeight="1">
      <c r="A912" s="142"/>
      <c r="B912" s="143"/>
      <c r="C912" s="144"/>
      <c r="D912" s="145"/>
      <c r="E912" s="142"/>
      <c r="F912" s="146"/>
      <c r="G912" s="147"/>
      <c r="H912" s="148"/>
      <c r="I912" s="148"/>
      <c r="J912" s="149"/>
      <c r="K912" s="149"/>
      <c r="L912" s="149"/>
      <c r="M912" s="149"/>
      <c r="N912" s="142"/>
      <c r="O912" s="33"/>
    </row>
    <row r="913" ht="15.75" customHeight="1">
      <c r="A913" s="142"/>
      <c r="B913" s="143"/>
      <c r="C913" s="144"/>
      <c r="D913" s="145"/>
      <c r="E913" s="142"/>
      <c r="F913" s="146"/>
      <c r="G913" s="147"/>
      <c r="H913" s="148"/>
      <c r="I913" s="148"/>
      <c r="J913" s="149"/>
      <c r="K913" s="149"/>
      <c r="L913" s="149"/>
      <c r="M913" s="149"/>
      <c r="N913" s="142"/>
      <c r="O913" s="33"/>
    </row>
    <row r="914" ht="15.75" customHeight="1">
      <c r="A914" s="142"/>
      <c r="B914" s="143"/>
      <c r="C914" s="144"/>
      <c r="D914" s="145"/>
      <c r="E914" s="142"/>
      <c r="F914" s="146"/>
      <c r="G914" s="147"/>
      <c r="H914" s="148"/>
      <c r="I914" s="148"/>
      <c r="J914" s="149"/>
      <c r="K914" s="149"/>
      <c r="L914" s="149"/>
      <c r="M914" s="149"/>
      <c r="N914" s="142"/>
      <c r="O914" s="33"/>
    </row>
    <row r="915" ht="15.75" customHeight="1">
      <c r="A915" s="142"/>
      <c r="B915" s="143"/>
      <c r="C915" s="144"/>
      <c r="D915" s="145"/>
      <c r="E915" s="142"/>
      <c r="F915" s="146"/>
      <c r="G915" s="147"/>
      <c r="H915" s="148"/>
      <c r="I915" s="148"/>
      <c r="J915" s="149"/>
      <c r="K915" s="149"/>
      <c r="L915" s="149"/>
      <c r="M915" s="149"/>
      <c r="N915" s="142"/>
      <c r="O915" s="33"/>
    </row>
    <row r="916" ht="15.75" customHeight="1">
      <c r="A916" s="142"/>
      <c r="B916" s="143"/>
      <c r="C916" s="144"/>
      <c r="D916" s="145"/>
      <c r="E916" s="142"/>
      <c r="F916" s="146"/>
      <c r="G916" s="147"/>
      <c r="H916" s="148"/>
      <c r="I916" s="148"/>
      <c r="J916" s="149"/>
      <c r="K916" s="149"/>
      <c r="L916" s="149"/>
      <c r="M916" s="149"/>
      <c r="N916" s="142"/>
      <c r="O916" s="33"/>
    </row>
    <row r="917" ht="15.75" customHeight="1">
      <c r="A917" s="142"/>
      <c r="B917" s="143"/>
      <c r="C917" s="144"/>
      <c r="D917" s="145"/>
      <c r="E917" s="142"/>
      <c r="F917" s="146"/>
      <c r="G917" s="147"/>
      <c r="H917" s="148"/>
      <c r="I917" s="148"/>
      <c r="J917" s="149"/>
      <c r="K917" s="149"/>
      <c r="L917" s="149"/>
      <c r="M917" s="149"/>
      <c r="N917" s="142"/>
      <c r="O917" s="33"/>
    </row>
    <row r="918" ht="15.75" customHeight="1">
      <c r="A918" s="142"/>
      <c r="B918" s="143"/>
      <c r="C918" s="144"/>
      <c r="D918" s="145"/>
      <c r="E918" s="142"/>
      <c r="F918" s="146"/>
      <c r="G918" s="147"/>
      <c r="H918" s="148"/>
      <c r="I918" s="148"/>
      <c r="J918" s="149"/>
      <c r="K918" s="149"/>
      <c r="L918" s="149"/>
      <c r="M918" s="149"/>
      <c r="N918" s="142"/>
      <c r="O918" s="33"/>
    </row>
    <row r="919" ht="15.75" customHeight="1">
      <c r="A919" s="142"/>
      <c r="B919" s="143"/>
      <c r="C919" s="144"/>
      <c r="D919" s="145"/>
      <c r="E919" s="142"/>
      <c r="F919" s="146"/>
      <c r="G919" s="147"/>
      <c r="H919" s="148"/>
      <c r="I919" s="148"/>
      <c r="J919" s="149"/>
      <c r="K919" s="149"/>
      <c r="L919" s="149"/>
      <c r="M919" s="149"/>
      <c r="N919" s="142"/>
      <c r="O919" s="33"/>
    </row>
    <row r="920" ht="15.75" customHeight="1">
      <c r="A920" s="142"/>
      <c r="B920" s="143"/>
      <c r="C920" s="144"/>
      <c r="D920" s="145"/>
      <c r="E920" s="142"/>
      <c r="F920" s="146"/>
      <c r="G920" s="147"/>
      <c r="H920" s="148"/>
      <c r="I920" s="148"/>
      <c r="J920" s="149"/>
      <c r="K920" s="149"/>
      <c r="L920" s="149"/>
      <c r="M920" s="149"/>
      <c r="N920" s="142"/>
      <c r="O920" s="33"/>
    </row>
    <row r="921" ht="15.75" customHeight="1">
      <c r="A921" s="142"/>
      <c r="B921" s="143"/>
      <c r="C921" s="144"/>
      <c r="D921" s="145"/>
      <c r="E921" s="142"/>
      <c r="F921" s="146"/>
      <c r="G921" s="147"/>
      <c r="H921" s="148"/>
      <c r="I921" s="148"/>
      <c r="J921" s="149"/>
      <c r="K921" s="149"/>
      <c r="L921" s="149"/>
      <c r="M921" s="149"/>
      <c r="N921" s="142"/>
      <c r="O921" s="33"/>
    </row>
    <row r="922" ht="15.75" customHeight="1">
      <c r="A922" s="142"/>
      <c r="B922" s="143"/>
      <c r="C922" s="144"/>
      <c r="D922" s="145"/>
      <c r="E922" s="142"/>
      <c r="F922" s="146"/>
      <c r="G922" s="147"/>
      <c r="H922" s="148"/>
      <c r="I922" s="148"/>
      <c r="J922" s="149"/>
      <c r="K922" s="149"/>
      <c r="L922" s="149"/>
      <c r="M922" s="149"/>
      <c r="N922" s="142"/>
      <c r="O922" s="33"/>
    </row>
    <row r="923" ht="15.75" customHeight="1">
      <c r="A923" s="142"/>
      <c r="B923" s="143"/>
      <c r="C923" s="144"/>
      <c r="D923" s="145"/>
      <c r="E923" s="142"/>
      <c r="F923" s="146"/>
      <c r="G923" s="147"/>
      <c r="H923" s="148"/>
      <c r="I923" s="148"/>
      <c r="J923" s="149"/>
      <c r="K923" s="149"/>
      <c r="L923" s="149"/>
      <c r="M923" s="149"/>
      <c r="N923" s="142"/>
      <c r="O923" s="33"/>
    </row>
    <row r="924" ht="15.75" customHeight="1">
      <c r="A924" s="142"/>
      <c r="B924" s="143"/>
      <c r="C924" s="144"/>
      <c r="D924" s="145"/>
      <c r="E924" s="142"/>
      <c r="F924" s="146"/>
      <c r="G924" s="147"/>
      <c r="H924" s="148"/>
      <c r="I924" s="148"/>
      <c r="J924" s="149"/>
      <c r="K924" s="149"/>
      <c r="L924" s="149"/>
      <c r="M924" s="149"/>
      <c r="N924" s="142"/>
      <c r="O924" s="33"/>
    </row>
    <row r="925" ht="15.75" customHeight="1">
      <c r="A925" s="142"/>
      <c r="B925" s="143"/>
      <c r="C925" s="144"/>
      <c r="D925" s="145"/>
      <c r="E925" s="142"/>
      <c r="F925" s="146"/>
      <c r="G925" s="147"/>
      <c r="H925" s="148"/>
      <c r="I925" s="148"/>
      <c r="J925" s="149"/>
      <c r="K925" s="149"/>
      <c r="L925" s="149"/>
      <c r="M925" s="149"/>
      <c r="N925" s="142"/>
      <c r="O925" s="33"/>
    </row>
    <row r="926" ht="15.75" customHeight="1">
      <c r="A926" s="142"/>
      <c r="B926" s="143"/>
      <c r="C926" s="144"/>
      <c r="D926" s="145"/>
      <c r="E926" s="142"/>
      <c r="F926" s="146"/>
      <c r="G926" s="147"/>
      <c r="H926" s="148"/>
      <c r="I926" s="148"/>
      <c r="J926" s="149"/>
      <c r="K926" s="149"/>
      <c r="L926" s="149"/>
      <c r="M926" s="149"/>
      <c r="N926" s="142"/>
      <c r="O926" s="33"/>
    </row>
    <row r="927" ht="15.75" customHeight="1">
      <c r="A927" s="142"/>
      <c r="B927" s="143"/>
      <c r="C927" s="144"/>
      <c r="D927" s="145"/>
      <c r="E927" s="142"/>
      <c r="F927" s="146"/>
      <c r="G927" s="147"/>
      <c r="H927" s="148"/>
      <c r="I927" s="148"/>
      <c r="J927" s="149"/>
      <c r="K927" s="149"/>
      <c r="L927" s="149"/>
      <c r="M927" s="149"/>
      <c r="N927" s="142"/>
      <c r="O927" s="33"/>
    </row>
    <row r="928" ht="15.75" customHeight="1">
      <c r="A928" s="142"/>
      <c r="B928" s="143"/>
      <c r="C928" s="144"/>
      <c r="D928" s="145"/>
      <c r="E928" s="142"/>
      <c r="F928" s="146"/>
      <c r="G928" s="147"/>
      <c r="H928" s="148"/>
      <c r="I928" s="148"/>
      <c r="J928" s="149"/>
      <c r="K928" s="149"/>
      <c r="L928" s="149"/>
      <c r="M928" s="149"/>
      <c r="N928" s="142"/>
      <c r="O928" s="33"/>
    </row>
    <row r="929" ht="15.75" customHeight="1">
      <c r="A929" s="142"/>
      <c r="B929" s="143"/>
      <c r="C929" s="144"/>
      <c r="D929" s="145"/>
      <c r="E929" s="142"/>
      <c r="F929" s="146"/>
      <c r="G929" s="147"/>
      <c r="H929" s="148"/>
      <c r="I929" s="148"/>
      <c r="J929" s="149"/>
      <c r="K929" s="149"/>
      <c r="L929" s="149"/>
      <c r="M929" s="149"/>
      <c r="N929" s="142"/>
      <c r="O929" s="33"/>
    </row>
    <row r="930" ht="15.75" customHeight="1">
      <c r="A930" s="142"/>
      <c r="B930" s="143"/>
      <c r="C930" s="144"/>
      <c r="D930" s="145"/>
      <c r="E930" s="142"/>
      <c r="F930" s="146"/>
      <c r="G930" s="147"/>
      <c r="H930" s="148"/>
      <c r="I930" s="148"/>
      <c r="J930" s="149"/>
      <c r="K930" s="149"/>
      <c r="L930" s="149"/>
      <c r="M930" s="149"/>
      <c r="N930" s="142"/>
      <c r="O930" s="33"/>
    </row>
    <row r="931" ht="15.75" customHeight="1">
      <c r="A931" s="142"/>
      <c r="B931" s="143"/>
      <c r="C931" s="144"/>
      <c r="D931" s="145"/>
      <c r="E931" s="142"/>
      <c r="F931" s="146"/>
      <c r="G931" s="147"/>
      <c r="H931" s="148"/>
      <c r="I931" s="148"/>
      <c r="J931" s="149"/>
      <c r="K931" s="149"/>
      <c r="L931" s="149"/>
      <c r="M931" s="149"/>
      <c r="N931" s="142"/>
      <c r="O931" s="33"/>
    </row>
    <row r="932" ht="15.75" customHeight="1">
      <c r="A932" s="142"/>
      <c r="B932" s="143"/>
      <c r="C932" s="144"/>
      <c r="D932" s="145"/>
      <c r="E932" s="142"/>
      <c r="F932" s="146"/>
      <c r="G932" s="147"/>
      <c r="H932" s="148"/>
      <c r="I932" s="148"/>
      <c r="J932" s="149"/>
      <c r="K932" s="149"/>
      <c r="L932" s="149"/>
      <c r="M932" s="149"/>
      <c r="N932" s="142"/>
      <c r="O932" s="33"/>
    </row>
    <row r="933" ht="15.75" customHeight="1">
      <c r="A933" s="142"/>
      <c r="B933" s="143"/>
      <c r="C933" s="144"/>
      <c r="D933" s="145"/>
      <c r="E933" s="142"/>
      <c r="F933" s="146"/>
      <c r="G933" s="147"/>
      <c r="H933" s="148"/>
      <c r="I933" s="148"/>
      <c r="J933" s="149"/>
      <c r="K933" s="149"/>
      <c r="L933" s="149"/>
      <c r="M933" s="149"/>
      <c r="N933" s="142"/>
      <c r="O933" s="33"/>
    </row>
    <row r="934" ht="15.75" customHeight="1">
      <c r="A934" s="142"/>
      <c r="B934" s="143"/>
      <c r="C934" s="144"/>
      <c r="D934" s="145"/>
      <c r="E934" s="142"/>
      <c r="F934" s="146"/>
      <c r="G934" s="147"/>
      <c r="H934" s="148"/>
      <c r="I934" s="148"/>
      <c r="J934" s="149"/>
      <c r="K934" s="149"/>
      <c r="L934" s="149"/>
      <c r="M934" s="149"/>
      <c r="N934" s="142"/>
      <c r="O934" s="33"/>
    </row>
    <row r="935" ht="15.75" customHeight="1">
      <c r="A935" s="142"/>
      <c r="B935" s="143"/>
      <c r="C935" s="144"/>
      <c r="D935" s="145"/>
      <c r="E935" s="142"/>
      <c r="F935" s="146"/>
      <c r="G935" s="147"/>
      <c r="H935" s="148"/>
      <c r="I935" s="148"/>
      <c r="J935" s="149"/>
      <c r="K935" s="149"/>
      <c r="L935" s="149"/>
      <c r="M935" s="149"/>
      <c r="N935" s="142"/>
      <c r="O935" s="33"/>
    </row>
    <row r="936" ht="15.75" customHeight="1">
      <c r="A936" s="142"/>
      <c r="B936" s="143"/>
      <c r="C936" s="144"/>
      <c r="D936" s="145"/>
      <c r="E936" s="142"/>
      <c r="F936" s="146"/>
      <c r="G936" s="147"/>
      <c r="H936" s="148"/>
      <c r="I936" s="148"/>
      <c r="J936" s="149"/>
      <c r="K936" s="149"/>
      <c r="L936" s="149"/>
      <c r="M936" s="149"/>
      <c r="N936" s="142"/>
      <c r="O936" s="33"/>
    </row>
    <row r="937" ht="15.75" customHeight="1">
      <c r="A937" s="142"/>
      <c r="B937" s="143"/>
      <c r="C937" s="144"/>
      <c r="D937" s="145"/>
      <c r="E937" s="142"/>
      <c r="F937" s="146"/>
      <c r="G937" s="147"/>
      <c r="H937" s="148"/>
      <c r="I937" s="148"/>
      <c r="J937" s="149"/>
      <c r="K937" s="149"/>
      <c r="L937" s="149"/>
      <c r="M937" s="149"/>
      <c r="N937" s="142"/>
      <c r="O937" s="33"/>
    </row>
    <row r="938" ht="15.75" customHeight="1">
      <c r="A938" s="142"/>
      <c r="B938" s="143"/>
      <c r="C938" s="144"/>
      <c r="D938" s="145"/>
      <c r="E938" s="142"/>
      <c r="F938" s="146"/>
      <c r="G938" s="147"/>
      <c r="H938" s="148"/>
      <c r="I938" s="148"/>
      <c r="J938" s="149"/>
      <c r="K938" s="149"/>
      <c r="L938" s="149"/>
      <c r="M938" s="149"/>
      <c r="N938" s="142"/>
      <c r="O938" s="33"/>
    </row>
    <row r="939" ht="15.75" customHeight="1">
      <c r="A939" s="142"/>
      <c r="B939" s="143"/>
      <c r="C939" s="144"/>
      <c r="D939" s="145"/>
      <c r="E939" s="142"/>
      <c r="F939" s="146"/>
      <c r="G939" s="147"/>
      <c r="H939" s="148"/>
      <c r="I939" s="148"/>
      <c r="J939" s="149"/>
      <c r="K939" s="149"/>
      <c r="L939" s="149"/>
      <c r="M939" s="149"/>
      <c r="N939" s="142"/>
      <c r="O939" s="33"/>
    </row>
    <row r="940" ht="15.75" customHeight="1">
      <c r="A940" s="142"/>
      <c r="B940" s="143"/>
      <c r="C940" s="144"/>
      <c r="D940" s="145"/>
      <c r="E940" s="142"/>
      <c r="F940" s="146"/>
      <c r="G940" s="147"/>
      <c r="H940" s="148"/>
      <c r="I940" s="148"/>
      <c r="J940" s="149"/>
      <c r="K940" s="149"/>
      <c r="L940" s="149"/>
      <c r="M940" s="149"/>
      <c r="N940" s="142"/>
      <c r="O940" s="33"/>
    </row>
    <row r="941" ht="15.75" customHeight="1">
      <c r="A941" s="142"/>
      <c r="B941" s="143"/>
      <c r="C941" s="144"/>
      <c r="D941" s="145"/>
      <c r="E941" s="142"/>
      <c r="F941" s="146"/>
      <c r="G941" s="147"/>
      <c r="H941" s="148"/>
      <c r="I941" s="148"/>
      <c r="J941" s="149"/>
      <c r="K941" s="149"/>
      <c r="L941" s="149"/>
      <c r="M941" s="149"/>
      <c r="N941" s="142"/>
      <c r="O941" s="33"/>
    </row>
    <row r="942" ht="15.75" customHeight="1">
      <c r="A942" s="142"/>
      <c r="B942" s="143"/>
      <c r="C942" s="144"/>
      <c r="D942" s="145"/>
      <c r="E942" s="142"/>
      <c r="F942" s="146"/>
      <c r="G942" s="147"/>
      <c r="H942" s="148"/>
      <c r="I942" s="148"/>
      <c r="J942" s="149"/>
      <c r="K942" s="149"/>
      <c r="L942" s="149"/>
      <c r="M942" s="149"/>
      <c r="N942" s="142"/>
      <c r="O942" s="33"/>
    </row>
    <row r="943" ht="15.75" customHeight="1">
      <c r="A943" s="142"/>
      <c r="B943" s="143"/>
      <c r="C943" s="144"/>
      <c r="D943" s="145"/>
      <c r="E943" s="142"/>
      <c r="F943" s="146"/>
      <c r="G943" s="147"/>
      <c r="H943" s="148"/>
      <c r="I943" s="148"/>
      <c r="J943" s="149"/>
      <c r="K943" s="149"/>
      <c r="L943" s="149"/>
      <c r="M943" s="149"/>
      <c r="N943" s="142"/>
      <c r="O943" s="33"/>
    </row>
    <row r="944" ht="15.75" customHeight="1">
      <c r="A944" s="142"/>
      <c r="B944" s="143"/>
      <c r="C944" s="144"/>
      <c r="D944" s="145"/>
      <c r="E944" s="142"/>
      <c r="F944" s="146"/>
      <c r="G944" s="147"/>
      <c r="H944" s="148"/>
      <c r="I944" s="148"/>
      <c r="J944" s="149"/>
      <c r="K944" s="149"/>
      <c r="L944" s="149"/>
      <c r="M944" s="149"/>
      <c r="N944" s="142"/>
      <c r="O944" s="33"/>
    </row>
    <row r="945" ht="15.75" customHeight="1">
      <c r="A945" s="142"/>
      <c r="B945" s="143"/>
      <c r="C945" s="144"/>
      <c r="D945" s="145"/>
      <c r="E945" s="142"/>
      <c r="F945" s="146"/>
      <c r="G945" s="147"/>
      <c r="H945" s="148"/>
      <c r="I945" s="148"/>
      <c r="J945" s="149"/>
      <c r="K945" s="149"/>
      <c r="L945" s="149"/>
      <c r="M945" s="149"/>
      <c r="N945" s="142"/>
      <c r="O945" s="33"/>
    </row>
    <row r="946" ht="15.75" customHeight="1">
      <c r="A946" s="142"/>
      <c r="B946" s="143"/>
      <c r="C946" s="144"/>
      <c r="D946" s="145"/>
      <c r="E946" s="142"/>
      <c r="F946" s="146"/>
      <c r="G946" s="147"/>
      <c r="H946" s="148"/>
      <c r="I946" s="148"/>
      <c r="J946" s="149"/>
      <c r="K946" s="149"/>
      <c r="L946" s="149"/>
      <c r="M946" s="149"/>
      <c r="N946" s="142"/>
      <c r="O946" s="33"/>
    </row>
    <row r="947" ht="15.75" customHeight="1">
      <c r="A947" s="142"/>
      <c r="B947" s="143"/>
      <c r="C947" s="144"/>
      <c r="D947" s="145"/>
      <c r="E947" s="142"/>
      <c r="F947" s="146"/>
      <c r="G947" s="147"/>
      <c r="H947" s="148"/>
      <c r="I947" s="148"/>
      <c r="J947" s="149"/>
      <c r="K947" s="149"/>
      <c r="L947" s="149"/>
      <c r="M947" s="149"/>
      <c r="N947" s="142"/>
      <c r="O947" s="33"/>
    </row>
    <row r="948" ht="15.75" customHeight="1">
      <c r="A948" s="142"/>
      <c r="B948" s="143"/>
      <c r="C948" s="144"/>
      <c r="D948" s="145"/>
      <c r="E948" s="142"/>
      <c r="F948" s="146"/>
      <c r="G948" s="147"/>
      <c r="H948" s="148"/>
      <c r="I948" s="148"/>
      <c r="J948" s="149"/>
      <c r="K948" s="149"/>
      <c r="L948" s="149"/>
      <c r="M948" s="149"/>
      <c r="N948" s="142"/>
      <c r="O948" s="33"/>
    </row>
    <row r="949" ht="15.75" customHeight="1">
      <c r="A949" s="142"/>
      <c r="B949" s="143"/>
      <c r="C949" s="144"/>
      <c r="D949" s="145"/>
      <c r="E949" s="142"/>
      <c r="F949" s="146"/>
      <c r="G949" s="147"/>
      <c r="H949" s="148"/>
      <c r="I949" s="148"/>
      <c r="J949" s="149"/>
      <c r="K949" s="149"/>
      <c r="L949" s="149"/>
      <c r="M949" s="149"/>
      <c r="N949" s="142"/>
      <c r="O949" s="33"/>
    </row>
    <row r="950" ht="15.75" customHeight="1">
      <c r="A950" s="142"/>
      <c r="B950" s="143"/>
      <c r="C950" s="144"/>
      <c r="D950" s="145"/>
      <c r="E950" s="142"/>
      <c r="F950" s="146"/>
      <c r="G950" s="147"/>
      <c r="H950" s="148"/>
      <c r="I950" s="148"/>
      <c r="J950" s="149"/>
      <c r="K950" s="149"/>
      <c r="L950" s="149"/>
      <c r="M950" s="149"/>
      <c r="N950" s="142"/>
      <c r="O950" s="33"/>
    </row>
    <row r="951" ht="15.75" customHeight="1">
      <c r="A951" s="142"/>
      <c r="B951" s="143"/>
      <c r="C951" s="144"/>
      <c r="D951" s="145"/>
      <c r="E951" s="142"/>
      <c r="F951" s="146"/>
      <c r="G951" s="147"/>
      <c r="H951" s="148"/>
      <c r="I951" s="148"/>
      <c r="J951" s="149"/>
      <c r="K951" s="149"/>
      <c r="L951" s="149"/>
      <c r="M951" s="149"/>
      <c r="N951" s="142"/>
      <c r="O951" s="33"/>
    </row>
    <row r="952" ht="15.75" customHeight="1">
      <c r="A952" s="142"/>
      <c r="B952" s="143"/>
      <c r="C952" s="144"/>
      <c r="D952" s="145"/>
      <c r="E952" s="142"/>
      <c r="F952" s="146"/>
      <c r="G952" s="147"/>
      <c r="H952" s="148"/>
      <c r="I952" s="148"/>
      <c r="J952" s="149"/>
      <c r="K952" s="149"/>
      <c r="L952" s="149"/>
      <c r="M952" s="149"/>
      <c r="N952" s="142"/>
      <c r="O952" s="33"/>
    </row>
    <row r="953" ht="15.75" customHeight="1">
      <c r="A953" s="142"/>
      <c r="B953" s="143"/>
      <c r="C953" s="144"/>
      <c r="D953" s="145"/>
      <c r="E953" s="142"/>
      <c r="F953" s="146"/>
      <c r="G953" s="147"/>
      <c r="H953" s="148"/>
      <c r="I953" s="148"/>
      <c r="J953" s="149"/>
      <c r="K953" s="149"/>
      <c r="L953" s="149"/>
      <c r="M953" s="149"/>
      <c r="N953" s="142"/>
      <c r="O953" s="33"/>
    </row>
    <row r="954" ht="15.75" customHeight="1">
      <c r="A954" s="142"/>
      <c r="B954" s="143"/>
      <c r="C954" s="144"/>
      <c r="D954" s="145"/>
      <c r="E954" s="142"/>
      <c r="F954" s="146"/>
      <c r="G954" s="147"/>
      <c r="H954" s="148"/>
      <c r="I954" s="148"/>
      <c r="J954" s="149"/>
      <c r="K954" s="149"/>
      <c r="L954" s="149"/>
      <c r="M954" s="149"/>
      <c r="N954" s="142"/>
      <c r="O954" s="33"/>
    </row>
    <row r="955" ht="15.75" customHeight="1">
      <c r="A955" s="142"/>
      <c r="B955" s="143"/>
      <c r="C955" s="144"/>
      <c r="D955" s="145"/>
      <c r="E955" s="142"/>
      <c r="F955" s="146"/>
      <c r="G955" s="147"/>
      <c r="H955" s="148"/>
      <c r="I955" s="148"/>
      <c r="J955" s="149"/>
      <c r="K955" s="149"/>
      <c r="L955" s="149"/>
      <c r="M955" s="149"/>
      <c r="N955" s="142"/>
      <c r="O955" s="33"/>
    </row>
    <row r="956" ht="15.75" customHeight="1">
      <c r="A956" s="142"/>
      <c r="B956" s="143"/>
      <c r="C956" s="144"/>
      <c r="D956" s="145"/>
      <c r="E956" s="142"/>
      <c r="F956" s="146"/>
      <c r="G956" s="147"/>
      <c r="H956" s="148"/>
      <c r="I956" s="148"/>
      <c r="J956" s="149"/>
      <c r="K956" s="149"/>
      <c r="L956" s="149"/>
      <c r="M956" s="149"/>
      <c r="N956" s="142"/>
      <c r="O956" s="33"/>
    </row>
    <row r="957" ht="15.75" customHeight="1">
      <c r="A957" s="142"/>
      <c r="B957" s="143"/>
      <c r="C957" s="144"/>
      <c r="D957" s="145"/>
      <c r="E957" s="142"/>
      <c r="F957" s="146"/>
      <c r="G957" s="147"/>
      <c r="H957" s="148"/>
      <c r="I957" s="148"/>
      <c r="J957" s="149"/>
      <c r="K957" s="149"/>
      <c r="L957" s="149"/>
      <c r="M957" s="149"/>
      <c r="N957" s="142"/>
      <c r="O957" s="33"/>
    </row>
    <row r="958" ht="15.75" customHeight="1">
      <c r="A958" s="142"/>
      <c r="B958" s="143"/>
      <c r="C958" s="144"/>
      <c r="D958" s="145"/>
      <c r="E958" s="142"/>
      <c r="F958" s="146"/>
      <c r="G958" s="147"/>
      <c r="H958" s="148"/>
      <c r="I958" s="148"/>
      <c r="J958" s="149"/>
      <c r="K958" s="149"/>
      <c r="L958" s="149"/>
      <c r="M958" s="149"/>
      <c r="N958" s="142"/>
      <c r="O958" s="33"/>
    </row>
    <row r="959" ht="15.75" customHeight="1">
      <c r="A959" s="142"/>
      <c r="B959" s="143"/>
      <c r="C959" s="144"/>
      <c r="D959" s="145"/>
      <c r="E959" s="142"/>
      <c r="F959" s="146"/>
      <c r="G959" s="147"/>
      <c r="H959" s="148"/>
      <c r="I959" s="148"/>
      <c r="J959" s="149"/>
      <c r="K959" s="149"/>
      <c r="L959" s="149"/>
      <c r="M959" s="149"/>
      <c r="N959" s="142"/>
      <c r="O959" s="33"/>
    </row>
    <row r="960" ht="15.75" customHeight="1">
      <c r="A960" s="142"/>
      <c r="B960" s="143"/>
      <c r="C960" s="144"/>
      <c r="D960" s="145"/>
      <c r="E960" s="142"/>
      <c r="F960" s="146"/>
      <c r="G960" s="147"/>
      <c r="H960" s="148"/>
      <c r="I960" s="148"/>
      <c r="J960" s="149"/>
      <c r="K960" s="149"/>
      <c r="L960" s="149"/>
      <c r="M960" s="149"/>
      <c r="N960" s="142"/>
      <c r="O960" s="33"/>
    </row>
    <row r="961" ht="15.75" customHeight="1">
      <c r="A961" s="142"/>
      <c r="B961" s="143"/>
      <c r="C961" s="144"/>
      <c r="D961" s="145"/>
      <c r="E961" s="142"/>
      <c r="F961" s="146"/>
      <c r="G961" s="147"/>
      <c r="H961" s="148"/>
      <c r="I961" s="148"/>
      <c r="J961" s="149"/>
      <c r="K961" s="149"/>
      <c r="L961" s="149"/>
      <c r="M961" s="149"/>
      <c r="N961" s="142"/>
      <c r="O961" s="33"/>
    </row>
    <row r="962" ht="15.75" customHeight="1">
      <c r="A962" s="142"/>
      <c r="B962" s="143"/>
      <c r="C962" s="144"/>
      <c r="D962" s="145"/>
      <c r="E962" s="142"/>
      <c r="F962" s="146"/>
      <c r="G962" s="147"/>
      <c r="H962" s="148"/>
      <c r="I962" s="148"/>
      <c r="J962" s="149"/>
      <c r="K962" s="149"/>
      <c r="L962" s="149"/>
      <c r="M962" s="149"/>
      <c r="N962" s="142"/>
      <c r="O962" s="33"/>
    </row>
    <row r="963" ht="15.75" customHeight="1">
      <c r="A963" s="142"/>
      <c r="B963" s="143"/>
      <c r="C963" s="144"/>
      <c r="D963" s="145"/>
      <c r="E963" s="142"/>
      <c r="F963" s="146"/>
      <c r="G963" s="147"/>
      <c r="H963" s="148"/>
      <c r="I963" s="148"/>
      <c r="J963" s="149"/>
      <c r="K963" s="149"/>
      <c r="L963" s="149"/>
      <c r="M963" s="149"/>
      <c r="N963" s="142"/>
      <c r="O963" s="33"/>
    </row>
    <row r="964" ht="15.75" customHeight="1">
      <c r="A964" s="142"/>
      <c r="B964" s="143"/>
      <c r="C964" s="144"/>
      <c r="D964" s="145"/>
      <c r="E964" s="142"/>
      <c r="F964" s="146"/>
      <c r="G964" s="147"/>
      <c r="H964" s="148"/>
      <c r="I964" s="148"/>
      <c r="J964" s="149"/>
      <c r="K964" s="149"/>
      <c r="L964" s="149"/>
      <c r="M964" s="149"/>
      <c r="N964" s="142"/>
      <c r="O964" s="33"/>
    </row>
    <row r="965" ht="15.75" customHeight="1">
      <c r="A965" s="142"/>
      <c r="B965" s="143"/>
      <c r="C965" s="144"/>
      <c r="D965" s="145"/>
      <c r="E965" s="142"/>
      <c r="F965" s="146"/>
      <c r="G965" s="147"/>
      <c r="H965" s="148"/>
      <c r="I965" s="148"/>
      <c r="J965" s="149"/>
      <c r="K965" s="149"/>
      <c r="L965" s="149"/>
      <c r="M965" s="149"/>
      <c r="N965" s="142"/>
      <c r="O965" s="33"/>
    </row>
    <row r="966" ht="15.75" customHeight="1">
      <c r="A966" s="142"/>
      <c r="B966" s="143"/>
      <c r="C966" s="144"/>
      <c r="D966" s="145"/>
      <c r="E966" s="142"/>
      <c r="F966" s="146"/>
      <c r="G966" s="147"/>
      <c r="H966" s="148"/>
      <c r="I966" s="148"/>
      <c r="J966" s="149"/>
      <c r="K966" s="149"/>
      <c r="L966" s="149"/>
      <c r="M966" s="149"/>
      <c r="N966" s="142"/>
      <c r="O966" s="33"/>
    </row>
    <row r="967" ht="15.75" customHeight="1">
      <c r="A967" s="142"/>
      <c r="B967" s="143"/>
      <c r="C967" s="144"/>
      <c r="D967" s="145"/>
      <c r="E967" s="142"/>
      <c r="F967" s="146"/>
      <c r="G967" s="147"/>
      <c r="H967" s="148"/>
      <c r="I967" s="148"/>
      <c r="J967" s="149"/>
      <c r="K967" s="149"/>
      <c r="L967" s="149"/>
      <c r="M967" s="149"/>
      <c r="N967" s="142"/>
      <c r="O967" s="33"/>
    </row>
    <row r="968" ht="15.75" customHeight="1">
      <c r="A968" s="142"/>
      <c r="B968" s="143"/>
      <c r="C968" s="144"/>
      <c r="D968" s="145"/>
      <c r="E968" s="142"/>
      <c r="F968" s="146"/>
      <c r="G968" s="147"/>
      <c r="H968" s="148"/>
      <c r="I968" s="148"/>
      <c r="J968" s="149"/>
      <c r="K968" s="149"/>
      <c r="L968" s="149"/>
      <c r="M968" s="149"/>
      <c r="N968" s="142"/>
      <c r="O968" s="33"/>
    </row>
    <row r="969" ht="15.75" customHeight="1">
      <c r="A969" s="142"/>
      <c r="B969" s="143"/>
      <c r="C969" s="144"/>
      <c r="D969" s="145"/>
      <c r="E969" s="142"/>
      <c r="F969" s="146"/>
      <c r="G969" s="147"/>
      <c r="H969" s="148"/>
      <c r="I969" s="148"/>
      <c r="J969" s="149"/>
      <c r="K969" s="149"/>
      <c r="L969" s="149"/>
      <c r="M969" s="149"/>
      <c r="N969" s="142"/>
      <c r="O969" s="33"/>
    </row>
    <row r="970" ht="15.75" customHeight="1">
      <c r="A970" s="142"/>
      <c r="B970" s="143"/>
      <c r="C970" s="144"/>
      <c r="D970" s="145"/>
      <c r="E970" s="142"/>
      <c r="F970" s="146"/>
      <c r="G970" s="147"/>
      <c r="H970" s="148"/>
      <c r="I970" s="148"/>
      <c r="J970" s="149"/>
      <c r="K970" s="149"/>
      <c r="L970" s="149"/>
      <c r="M970" s="149"/>
      <c r="N970" s="142"/>
      <c r="O970" s="33"/>
    </row>
    <row r="971" ht="15.75" customHeight="1">
      <c r="A971" s="142"/>
      <c r="B971" s="143"/>
      <c r="C971" s="144"/>
      <c r="D971" s="145"/>
      <c r="E971" s="142"/>
      <c r="F971" s="146"/>
      <c r="G971" s="147"/>
      <c r="H971" s="148"/>
      <c r="I971" s="148"/>
      <c r="J971" s="149"/>
      <c r="K971" s="149"/>
      <c r="L971" s="149"/>
      <c r="M971" s="149"/>
      <c r="N971" s="142"/>
      <c r="O971" s="33"/>
    </row>
    <row r="972" ht="15.75" customHeight="1">
      <c r="A972" s="142"/>
      <c r="B972" s="143"/>
      <c r="C972" s="144"/>
      <c r="D972" s="145"/>
      <c r="E972" s="142"/>
      <c r="F972" s="146"/>
      <c r="G972" s="147"/>
      <c r="H972" s="148"/>
      <c r="I972" s="148"/>
      <c r="J972" s="149"/>
      <c r="K972" s="149"/>
      <c r="L972" s="149"/>
      <c r="M972" s="149"/>
      <c r="N972" s="142"/>
      <c r="O972" s="33"/>
    </row>
    <row r="973" ht="15.75" customHeight="1">
      <c r="A973" s="142"/>
      <c r="B973" s="143"/>
      <c r="C973" s="144"/>
      <c r="D973" s="145"/>
      <c r="E973" s="142"/>
      <c r="F973" s="146"/>
      <c r="G973" s="147"/>
      <c r="H973" s="148"/>
      <c r="I973" s="148"/>
      <c r="J973" s="149"/>
      <c r="K973" s="149"/>
      <c r="L973" s="149"/>
      <c r="M973" s="149"/>
      <c r="N973" s="142"/>
      <c r="O973" s="33"/>
    </row>
    <row r="974" ht="15.75" customHeight="1">
      <c r="A974" s="142"/>
      <c r="B974" s="143"/>
      <c r="C974" s="144"/>
      <c r="D974" s="145"/>
      <c r="E974" s="142"/>
      <c r="F974" s="146"/>
      <c r="G974" s="147"/>
      <c r="H974" s="148"/>
      <c r="I974" s="148"/>
      <c r="J974" s="149"/>
      <c r="K974" s="149"/>
      <c r="L974" s="149"/>
      <c r="M974" s="149"/>
      <c r="N974" s="142"/>
      <c r="O974" s="33"/>
    </row>
    <row r="975" ht="15.75" customHeight="1">
      <c r="A975" s="142"/>
      <c r="B975" s="143"/>
      <c r="C975" s="144"/>
      <c r="D975" s="145"/>
      <c r="E975" s="142"/>
      <c r="F975" s="146"/>
      <c r="G975" s="147"/>
      <c r="H975" s="148"/>
      <c r="I975" s="148"/>
      <c r="J975" s="149"/>
      <c r="K975" s="149"/>
      <c r="L975" s="149"/>
      <c r="M975" s="149"/>
      <c r="N975" s="142"/>
      <c r="O975" s="33"/>
    </row>
    <row r="976" ht="15.75" customHeight="1">
      <c r="A976" s="142"/>
      <c r="B976" s="143"/>
      <c r="C976" s="144"/>
      <c r="D976" s="145"/>
      <c r="E976" s="142"/>
      <c r="F976" s="146"/>
      <c r="G976" s="147"/>
      <c r="H976" s="148"/>
      <c r="I976" s="148"/>
      <c r="J976" s="149"/>
      <c r="K976" s="149"/>
      <c r="L976" s="149"/>
      <c r="M976" s="149"/>
      <c r="N976" s="142"/>
      <c r="O976" s="33"/>
    </row>
    <row r="977" ht="15.75" customHeight="1">
      <c r="A977" s="142"/>
      <c r="B977" s="143"/>
      <c r="C977" s="144"/>
      <c r="D977" s="145"/>
      <c r="E977" s="142"/>
      <c r="F977" s="146"/>
      <c r="G977" s="147"/>
      <c r="H977" s="148"/>
      <c r="I977" s="148"/>
      <c r="J977" s="149"/>
      <c r="K977" s="149"/>
      <c r="L977" s="149"/>
      <c r="M977" s="149"/>
      <c r="N977" s="142"/>
      <c r="O977" s="33"/>
    </row>
    <row r="978" ht="15.75" customHeight="1">
      <c r="A978" s="142"/>
      <c r="B978" s="143"/>
      <c r="C978" s="144"/>
      <c r="D978" s="145"/>
      <c r="E978" s="142"/>
      <c r="F978" s="146"/>
      <c r="G978" s="147"/>
      <c r="H978" s="148"/>
      <c r="I978" s="148"/>
      <c r="J978" s="149"/>
      <c r="K978" s="149"/>
      <c r="L978" s="149"/>
      <c r="M978" s="149"/>
      <c r="N978" s="142"/>
      <c r="O978" s="33"/>
    </row>
    <row r="979" ht="15.75" customHeight="1">
      <c r="A979" s="142"/>
      <c r="B979" s="143"/>
      <c r="C979" s="144"/>
      <c r="D979" s="145"/>
      <c r="E979" s="142"/>
      <c r="F979" s="146"/>
      <c r="G979" s="147"/>
      <c r="H979" s="148"/>
      <c r="I979" s="148"/>
      <c r="J979" s="149"/>
      <c r="K979" s="149"/>
      <c r="L979" s="149"/>
      <c r="M979" s="149"/>
      <c r="N979" s="142"/>
      <c r="O979" s="33"/>
    </row>
  </sheetData>
  <mergeCells count="11">
    <mergeCell ref="H1:I1"/>
    <mergeCell ref="J1:K1"/>
    <mergeCell ref="L1:M1"/>
    <mergeCell ref="N1:N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43"/>
    <col customWidth="1" min="2" max="2" width="15.14"/>
    <col customWidth="1" min="3" max="3" width="16.29"/>
    <col customWidth="1" min="4" max="4" width="46.0"/>
    <col customWidth="1" min="5" max="5" width="21.86"/>
    <col customWidth="1" min="6" max="6" width="16.71"/>
    <col customWidth="1" min="7" max="7" width="17.43"/>
    <col customWidth="1" min="8" max="13" width="13.0"/>
    <col customWidth="1" min="14" max="14" width="29.14"/>
    <col customWidth="1" min="15" max="15" width="13.57"/>
    <col customWidth="1" min="16" max="16" width="15.14"/>
    <col customWidth="1" min="17" max="17" width="43.0"/>
    <col customWidth="1" min="18" max="26" width="9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7" t="s">
        <v>8</v>
      </c>
      <c r="K1" s="6"/>
      <c r="L1" s="8" t="s">
        <v>9</v>
      </c>
      <c r="M1" s="6"/>
      <c r="N1" s="9" t="s">
        <v>10</v>
      </c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31.5" customHeight="1">
      <c r="A2" s="12"/>
      <c r="B2" s="13"/>
      <c r="C2" s="13"/>
      <c r="D2" s="13"/>
      <c r="E2" s="13"/>
      <c r="F2" s="13"/>
      <c r="G2" s="13"/>
      <c r="H2" s="14" t="s">
        <v>181</v>
      </c>
      <c r="I2" s="15" t="s">
        <v>182</v>
      </c>
      <c r="J2" s="16" t="s">
        <v>183</v>
      </c>
      <c r="K2" s="17" t="s">
        <v>184</v>
      </c>
      <c r="L2" s="18" t="s">
        <v>185</v>
      </c>
      <c r="M2" s="19" t="s">
        <v>186</v>
      </c>
      <c r="N2" s="20"/>
      <c r="O2" s="10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35"/>
      <c r="B3" s="22"/>
      <c r="C3" s="23"/>
      <c r="D3" s="37" t="s">
        <v>187</v>
      </c>
      <c r="E3" s="25"/>
      <c r="F3" s="26">
        <v>790.0</v>
      </c>
      <c r="G3" s="150">
        <v>45134.0</v>
      </c>
      <c r="H3" s="28">
        <f t="shared" ref="H3:H6" si="1">F3*0.5+F3</f>
        <v>1185</v>
      </c>
      <c r="I3" s="29">
        <f t="shared" ref="I3:I6" si="2">F3*0.3+F3</f>
        <v>1027</v>
      </c>
      <c r="J3" s="30">
        <f t="shared" ref="J3:J6" si="3">F3*0.3+F3</f>
        <v>1027</v>
      </c>
      <c r="K3" s="31">
        <f t="shared" ref="K3:K6" si="4">F3*0.2+F3</f>
        <v>948</v>
      </c>
      <c r="L3" s="30">
        <f t="shared" ref="L3:L6" si="5">F3*0.15+F3</f>
        <v>908.5</v>
      </c>
      <c r="M3" s="31">
        <f t="shared" ref="M3:M6" si="6">F3*0.1+F3</f>
        <v>869</v>
      </c>
      <c r="N3" s="32"/>
      <c r="O3" s="33"/>
    </row>
    <row r="4">
      <c r="A4" s="21"/>
      <c r="B4" s="22"/>
      <c r="C4" s="23"/>
      <c r="D4" s="37" t="s">
        <v>188</v>
      </c>
      <c r="E4" s="25"/>
      <c r="F4" s="151">
        <v>95.0</v>
      </c>
      <c r="G4" s="150">
        <v>45134.0</v>
      </c>
      <c r="H4" s="28">
        <f t="shared" si="1"/>
        <v>142.5</v>
      </c>
      <c r="I4" s="29">
        <f t="shared" si="2"/>
        <v>123.5</v>
      </c>
      <c r="J4" s="30">
        <f t="shared" si="3"/>
        <v>123.5</v>
      </c>
      <c r="K4" s="31">
        <f t="shared" si="4"/>
        <v>114</v>
      </c>
      <c r="L4" s="30">
        <f t="shared" si="5"/>
        <v>109.25</v>
      </c>
      <c r="M4" s="31">
        <f t="shared" si="6"/>
        <v>104.5</v>
      </c>
      <c r="N4" s="32"/>
      <c r="O4" s="33"/>
    </row>
    <row r="5">
      <c r="A5" s="35"/>
      <c r="B5" s="22"/>
      <c r="C5" s="23"/>
      <c r="D5" s="37" t="s">
        <v>189</v>
      </c>
      <c r="E5" s="25"/>
      <c r="F5" s="26">
        <v>40.0</v>
      </c>
      <c r="G5" s="150">
        <v>45134.0</v>
      </c>
      <c r="H5" s="28">
        <f t="shared" si="1"/>
        <v>60</v>
      </c>
      <c r="I5" s="29">
        <f t="shared" si="2"/>
        <v>52</v>
      </c>
      <c r="J5" s="30">
        <f t="shared" si="3"/>
        <v>52</v>
      </c>
      <c r="K5" s="31">
        <f t="shared" si="4"/>
        <v>48</v>
      </c>
      <c r="L5" s="30">
        <f t="shared" si="5"/>
        <v>46</v>
      </c>
      <c r="M5" s="31">
        <f t="shared" si="6"/>
        <v>44</v>
      </c>
      <c r="N5" s="32"/>
      <c r="O5" s="33"/>
    </row>
    <row r="6">
      <c r="A6" s="21"/>
      <c r="B6" s="22"/>
      <c r="C6" s="23"/>
      <c r="D6" s="37" t="s">
        <v>190</v>
      </c>
      <c r="E6" s="25"/>
      <c r="F6" s="26">
        <v>20.0</v>
      </c>
      <c r="G6" s="150">
        <v>45134.0</v>
      </c>
      <c r="H6" s="28">
        <f t="shared" si="1"/>
        <v>30</v>
      </c>
      <c r="I6" s="29">
        <f t="shared" si="2"/>
        <v>26</v>
      </c>
      <c r="J6" s="30">
        <f t="shared" si="3"/>
        <v>26</v>
      </c>
      <c r="K6" s="31">
        <f t="shared" si="4"/>
        <v>24</v>
      </c>
      <c r="L6" s="30">
        <f t="shared" si="5"/>
        <v>23</v>
      </c>
      <c r="M6" s="31">
        <f t="shared" si="6"/>
        <v>22</v>
      </c>
      <c r="N6" s="32"/>
      <c r="O6" s="33"/>
    </row>
    <row r="7">
      <c r="A7" s="35"/>
      <c r="B7" s="22"/>
      <c r="C7" s="23"/>
      <c r="D7" s="37" t="s">
        <v>191</v>
      </c>
      <c r="E7" s="25"/>
      <c r="F7" s="26">
        <v>20.0</v>
      </c>
      <c r="G7" s="150">
        <v>45134.0</v>
      </c>
      <c r="H7" s="28"/>
      <c r="I7" s="29"/>
      <c r="J7" s="30"/>
      <c r="K7" s="31"/>
      <c r="L7" s="30"/>
      <c r="M7" s="31"/>
      <c r="N7" s="32"/>
      <c r="O7" s="33"/>
    </row>
    <row r="8">
      <c r="A8" s="35"/>
      <c r="B8" s="22"/>
      <c r="C8" s="23"/>
      <c r="D8" s="37" t="s">
        <v>192</v>
      </c>
      <c r="E8" s="25"/>
      <c r="F8" s="26">
        <v>15.0</v>
      </c>
      <c r="G8" s="150">
        <v>45134.0</v>
      </c>
      <c r="H8" s="28">
        <f t="shared" ref="H8:H65" si="7">F8*0.5+F8</f>
        <v>22.5</v>
      </c>
      <c r="I8" s="29">
        <f t="shared" ref="I8:I65" si="8">F8*0.3+F8</f>
        <v>19.5</v>
      </c>
      <c r="J8" s="30">
        <f t="shared" ref="J8:J65" si="9">F8*0.3+F8</f>
        <v>19.5</v>
      </c>
      <c r="K8" s="31">
        <f t="shared" ref="K8:K65" si="10">F8*0.2+F8</f>
        <v>18</v>
      </c>
      <c r="L8" s="30">
        <f t="shared" ref="L8:L65" si="11">F8*0.15+F8</f>
        <v>17.25</v>
      </c>
      <c r="M8" s="31">
        <f t="shared" ref="M8:M65" si="12">F8*0.1+F8</f>
        <v>16.5</v>
      </c>
      <c r="N8" s="32"/>
      <c r="O8" s="33"/>
    </row>
    <row r="9">
      <c r="A9" s="21"/>
      <c r="B9" s="22"/>
      <c r="C9" s="23"/>
      <c r="D9" s="37" t="s">
        <v>193</v>
      </c>
      <c r="E9" s="25"/>
      <c r="F9" s="26">
        <v>13.0</v>
      </c>
      <c r="G9" s="150">
        <v>45134.0</v>
      </c>
      <c r="H9" s="28">
        <f t="shared" si="7"/>
        <v>19.5</v>
      </c>
      <c r="I9" s="29">
        <f t="shared" si="8"/>
        <v>16.9</v>
      </c>
      <c r="J9" s="30">
        <f t="shared" si="9"/>
        <v>16.9</v>
      </c>
      <c r="K9" s="31">
        <f t="shared" si="10"/>
        <v>15.6</v>
      </c>
      <c r="L9" s="30">
        <f t="shared" si="11"/>
        <v>14.95</v>
      </c>
      <c r="M9" s="31">
        <f t="shared" si="12"/>
        <v>14.3</v>
      </c>
      <c r="N9" s="32"/>
      <c r="O9" s="33"/>
    </row>
    <row r="10">
      <c r="A10" s="35"/>
      <c r="B10" s="22"/>
      <c r="C10" s="23"/>
      <c r="D10" s="37" t="s">
        <v>193</v>
      </c>
      <c r="E10" s="25"/>
      <c r="F10" s="26">
        <v>13.0</v>
      </c>
      <c r="G10" s="150">
        <v>45134.0</v>
      </c>
      <c r="H10" s="28">
        <f t="shared" si="7"/>
        <v>19.5</v>
      </c>
      <c r="I10" s="29">
        <f t="shared" si="8"/>
        <v>16.9</v>
      </c>
      <c r="J10" s="30">
        <f t="shared" si="9"/>
        <v>16.9</v>
      </c>
      <c r="K10" s="31">
        <f t="shared" si="10"/>
        <v>15.6</v>
      </c>
      <c r="L10" s="30">
        <f t="shared" si="11"/>
        <v>14.95</v>
      </c>
      <c r="M10" s="31">
        <f t="shared" si="12"/>
        <v>14.3</v>
      </c>
      <c r="N10" s="32"/>
      <c r="O10" s="33"/>
    </row>
    <row r="11">
      <c r="A11" s="21"/>
      <c r="B11" s="22"/>
      <c r="C11" s="23"/>
      <c r="D11" s="37" t="s">
        <v>194</v>
      </c>
      <c r="E11" s="42"/>
      <c r="F11" s="55">
        <v>25.0</v>
      </c>
      <c r="G11" s="150">
        <v>45134.0</v>
      </c>
      <c r="H11" s="28">
        <f t="shared" si="7"/>
        <v>37.5</v>
      </c>
      <c r="I11" s="29">
        <f t="shared" si="8"/>
        <v>32.5</v>
      </c>
      <c r="J11" s="30">
        <f t="shared" si="9"/>
        <v>32.5</v>
      </c>
      <c r="K11" s="31">
        <f t="shared" si="10"/>
        <v>30</v>
      </c>
      <c r="L11" s="30">
        <f t="shared" si="11"/>
        <v>28.75</v>
      </c>
      <c r="M11" s="31">
        <f t="shared" si="12"/>
        <v>27.5</v>
      </c>
      <c r="N11" s="32"/>
      <c r="O11" s="33"/>
    </row>
    <row r="12">
      <c r="A12" s="35"/>
      <c r="B12" s="44"/>
      <c r="C12" s="23"/>
      <c r="D12" s="152" t="s">
        <v>195</v>
      </c>
      <c r="E12" s="42"/>
      <c r="F12" s="55">
        <v>6.0</v>
      </c>
      <c r="G12" s="150">
        <v>45134.0</v>
      </c>
      <c r="H12" s="28">
        <f t="shared" si="7"/>
        <v>9</v>
      </c>
      <c r="I12" s="29">
        <f t="shared" si="8"/>
        <v>7.8</v>
      </c>
      <c r="J12" s="30">
        <f t="shared" si="9"/>
        <v>7.8</v>
      </c>
      <c r="K12" s="31">
        <f t="shared" si="10"/>
        <v>7.2</v>
      </c>
      <c r="L12" s="30">
        <f t="shared" si="11"/>
        <v>6.9</v>
      </c>
      <c r="M12" s="31">
        <f t="shared" si="12"/>
        <v>6.6</v>
      </c>
      <c r="N12" s="32"/>
      <c r="O12" s="33"/>
    </row>
    <row r="13">
      <c r="A13" s="21"/>
      <c r="B13" s="22"/>
      <c r="C13" s="23"/>
      <c r="D13" s="49" t="s">
        <v>196</v>
      </c>
      <c r="E13" s="47"/>
      <c r="F13" s="153">
        <v>15.0</v>
      </c>
      <c r="G13" s="150">
        <v>45134.0</v>
      </c>
      <c r="H13" s="28">
        <f t="shared" si="7"/>
        <v>22.5</v>
      </c>
      <c r="I13" s="29">
        <f t="shared" si="8"/>
        <v>19.5</v>
      </c>
      <c r="J13" s="30">
        <f t="shared" si="9"/>
        <v>19.5</v>
      </c>
      <c r="K13" s="31">
        <f t="shared" si="10"/>
        <v>18</v>
      </c>
      <c r="L13" s="30">
        <f t="shared" si="11"/>
        <v>17.25</v>
      </c>
      <c r="M13" s="31">
        <f t="shared" si="12"/>
        <v>16.5</v>
      </c>
      <c r="N13" s="32"/>
      <c r="O13" s="33"/>
    </row>
    <row r="14">
      <c r="A14" s="35"/>
      <c r="B14" s="22"/>
      <c r="C14" s="23"/>
      <c r="D14" s="49" t="s">
        <v>197</v>
      </c>
      <c r="E14" s="47"/>
      <c r="F14" s="153">
        <v>1090.0</v>
      </c>
      <c r="G14" s="150">
        <v>45134.0</v>
      </c>
      <c r="H14" s="28">
        <f t="shared" si="7"/>
        <v>1635</v>
      </c>
      <c r="I14" s="29">
        <f t="shared" si="8"/>
        <v>1417</v>
      </c>
      <c r="J14" s="30">
        <f t="shared" si="9"/>
        <v>1417</v>
      </c>
      <c r="K14" s="31">
        <f t="shared" si="10"/>
        <v>1308</v>
      </c>
      <c r="L14" s="30">
        <f t="shared" si="11"/>
        <v>1253.5</v>
      </c>
      <c r="M14" s="31">
        <f t="shared" si="12"/>
        <v>1199</v>
      </c>
      <c r="N14" s="32"/>
      <c r="O14" s="33"/>
    </row>
    <row r="15">
      <c r="A15" s="21"/>
      <c r="B15" s="22"/>
      <c r="C15" s="23"/>
      <c r="D15" s="49" t="s">
        <v>198</v>
      </c>
      <c r="E15" s="47"/>
      <c r="F15" s="153">
        <v>12.0</v>
      </c>
      <c r="G15" s="150">
        <v>45134.0</v>
      </c>
      <c r="H15" s="28">
        <f t="shared" si="7"/>
        <v>18</v>
      </c>
      <c r="I15" s="29">
        <f t="shared" si="8"/>
        <v>15.6</v>
      </c>
      <c r="J15" s="30">
        <f t="shared" si="9"/>
        <v>15.6</v>
      </c>
      <c r="K15" s="31">
        <f t="shared" si="10"/>
        <v>14.4</v>
      </c>
      <c r="L15" s="30">
        <f t="shared" si="11"/>
        <v>13.8</v>
      </c>
      <c r="M15" s="31">
        <f t="shared" si="12"/>
        <v>13.2</v>
      </c>
      <c r="N15" s="32"/>
      <c r="O15" s="33"/>
    </row>
    <row r="16">
      <c r="A16" s="35"/>
      <c r="B16" s="22"/>
      <c r="C16" s="23"/>
      <c r="D16" s="49" t="s">
        <v>199</v>
      </c>
      <c r="E16" s="25"/>
      <c r="F16" s="26">
        <v>1260.0</v>
      </c>
      <c r="G16" s="150">
        <v>45134.0</v>
      </c>
      <c r="H16" s="28">
        <f t="shared" si="7"/>
        <v>1890</v>
      </c>
      <c r="I16" s="29">
        <f t="shared" si="8"/>
        <v>1638</v>
      </c>
      <c r="J16" s="30">
        <f t="shared" si="9"/>
        <v>1638</v>
      </c>
      <c r="K16" s="31">
        <f t="shared" si="10"/>
        <v>1512</v>
      </c>
      <c r="L16" s="30">
        <f t="shared" si="11"/>
        <v>1449</v>
      </c>
      <c r="M16" s="31">
        <f t="shared" si="12"/>
        <v>1386</v>
      </c>
      <c r="N16" s="32"/>
      <c r="O16" s="33"/>
    </row>
    <row r="17">
      <c r="A17" s="21"/>
      <c r="B17" s="22"/>
      <c r="C17" s="23"/>
      <c r="D17" s="49" t="s">
        <v>200</v>
      </c>
      <c r="E17" s="25"/>
      <c r="F17" s="26">
        <v>1695.0</v>
      </c>
      <c r="G17" s="150">
        <v>45134.0</v>
      </c>
      <c r="H17" s="28">
        <f t="shared" si="7"/>
        <v>2542.5</v>
      </c>
      <c r="I17" s="29">
        <f t="shared" si="8"/>
        <v>2203.5</v>
      </c>
      <c r="J17" s="30">
        <f t="shared" si="9"/>
        <v>2203.5</v>
      </c>
      <c r="K17" s="31">
        <f t="shared" si="10"/>
        <v>2034</v>
      </c>
      <c r="L17" s="30">
        <f t="shared" si="11"/>
        <v>1949.25</v>
      </c>
      <c r="M17" s="31">
        <f t="shared" si="12"/>
        <v>1864.5</v>
      </c>
      <c r="N17" s="32"/>
      <c r="O17" s="33"/>
    </row>
    <row r="18">
      <c r="A18" s="35"/>
      <c r="B18" s="22"/>
      <c r="C18" s="23"/>
      <c r="D18" s="49" t="s">
        <v>201</v>
      </c>
      <c r="E18" s="25"/>
      <c r="F18" s="26">
        <v>665.0</v>
      </c>
      <c r="G18" s="150">
        <v>45134.0</v>
      </c>
      <c r="H18" s="28">
        <f t="shared" si="7"/>
        <v>997.5</v>
      </c>
      <c r="I18" s="29">
        <f t="shared" si="8"/>
        <v>864.5</v>
      </c>
      <c r="J18" s="30">
        <f t="shared" si="9"/>
        <v>864.5</v>
      </c>
      <c r="K18" s="31">
        <f t="shared" si="10"/>
        <v>798</v>
      </c>
      <c r="L18" s="30">
        <f t="shared" si="11"/>
        <v>764.75</v>
      </c>
      <c r="M18" s="31">
        <f t="shared" si="12"/>
        <v>731.5</v>
      </c>
      <c r="N18" s="32"/>
      <c r="O18" s="33"/>
    </row>
    <row r="19">
      <c r="A19" s="21"/>
      <c r="B19" s="22"/>
      <c r="C19" s="23"/>
      <c r="D19" s="49" t="s">
        <v>201</v>
      </c>
      <c r="E19" s="25"/>
      <c r="F19" s="26">
        <v>665.0</v>
      </c>
      <c r="G19" s="150">
        <v>45134.0</v>
      </c>
      <c r="H19" s="28">
        <f t="shared" si="7"/>
        <v>997.5</v>
      </c>
      <c r="I19" s="29">
        <f t="shared" si="8"/>
        <v>864.5</v>
      </c>
      <c r="J19" s="30">
        <f t="shared" si="9"/>
        <v>864.5</v>
      </c>
      <c r="K19" s="31">
        <f t="shared" si="10"/>
        <v>798</v>
      </c>
      <c r="L19" s="30">
        <f t="shared" si="11"/>
        <v>764.75</v>
      </c>
      <c r="M19" s="31">
        <f t="shared" si="12"/>
        <v>731.5</v>
      </c>
      <c r="N19" s="32"/>
      <c r="O19" s="33"/>
    </row>
    <row r="20">
      <c r="A20" s="35"/>
      <c r="B20" s="22"/>
      <c r="C20" s="23"/>
      <c r="D20" s="49" t="s">
        <v>202</v>
      </c>
      <c r="E20" s="25"/>
      <c r="F20" s="26">
        <v>20.0</v>
      </c>
      <c r="G20" s="150">
        <v>45134.0</v>
      </c>
      <c r="H20" s="28">
        <f t="shared" si="7"/>
        <v>30</v>
      </c>
      <c r="I20" s="29">
        <f t="shared" si="8"/>
        <v>26</v>
      </c>
      <c r="J20" s="30">
        <f t="shared" si="9"/>
        <v>26</v>
      </c>
      <c r="K20" s="31">
        <f t="shared" si="10"/>
        <v>24</v>
      </c>
      <c r="L20" s="30">
        <f t="shared" si="11"/>
        <v>23</v>
      </c>
      <c r="M20" s="31">
        <f t="shared" si="12"/>
        <v>22</v>
      </c>
      <c r="N20" s="32"/>
      <c r="O20" s="33"/>
    </row>
    <row r="21">
      <c r="A21" s="21"/>
      <c r="B21" s="22"/>
      <c r="C21" s="23"/>
      <c r="D21" s="49" t="s">
        <v>203</v>
      </c>
      <c r="E21" s="25"/>
      <c r="F21" s="26">
        <v>10.0</v>
      </c>
      <c r="G21" s="150">
        <v>45134.0</v>
      </c>
      <c r="H21" s="28">
        <f t="shared" si="7"/>
        <v>15</v>
      </c>
      <c r="I21" s="29">
        <f t="shared" si="8"/>
        <v>13</v>
      </c>
      <c r="J21" s="30">
        <f t="shared" si="9"/>
        <v>13</v>
      </c>
      <c r="K21" s="31">
        <f t="shared" si="10"/>
        <v>12</v>
      </c>
      <c r="L21" s="30">
        <f t="shared" si="11"/>
        <v>11.5</v>
      </c>
      <c r="M21" s="31">
        <f t="shared" si="12"/>
        <v>11</v>
      </c>
      <c r="N21" s="32"/>
      <c r="O21" s="33"/>
    </row>
    <row r="22" ht="15.75" customHeight="1">
      <c r="A22" s="35"/>
      <c r="B22" s="22"/>
      <c r="C22" s="23"/>
      <c r="D22" s="49" t="s">
        <v>204</v>
      </c>
      <c r="E22" s="25"/>
      <c r="F22" s="26">
        <v>9200.0</v>
      </c>
      <c r="G22" s="150">
        <v>45134.0</v>
      </c>
      <c r="H22" s="28">
        <f t="shared" si="7"/>
        <v>13800</v>
      </c>
      <c r="I22" s="29">
        <f t="shared" si="8"/>
        <v>11960</v>
      </c>
      <c r="J22" s="30">
        <f t="shared" si="9"/>
        <v>11960</v>
      </c>
      <c r="K22" s="31">
        <f t="shared" si="10"/>
        <v>11040</v>
      </c>
      <c r="L22" s="30">
        <f t="shared" si="11"/>
        <v>10580</v>
      </c>
      <c r="M22" s="31">
        <f t="shared" si="12"/>
        <v>10120</v>
      </c>
      <c r="N22" s="32"/>
      <c r="O22" s="33"/>
    </row>
    <row r="23" ht="15.75" customHeight="1">
      <c r="A23" s="21"/>
      <c r="B23" s="22"/>
      <c r="C23" s="23"/>
      <c r="D23" s="37" t="s">
        <v>205</v>
      </c>
      <c r="E23" s="25"/>
      <c r="F23" s="26">
        <v>5300.0</v>
      </c>
      <c r="G23" s="150">
        <v>45134.0</v>
      </c>
      <c r="H23" s="28">
        <f t="shared" si="7"/>
        <v>7950</v>
      </c>
      <c r="I23" s="29">
        <f t="shared" si="8"/>
        <v>6890</v>
      </c>
      <c r="J23" s="30">
        <f t="shared" si="9"/>
        <v>6890</v>
      </c>
      <c r="K23" s="31">
        <f t="shared" si="10"/>
        <v>6360</v>
      </c>
      <c r="L23" s="30">
        <f t="shared" si="11"/>
        <v>6095</v>
      </c>
      <c r="M23" s="31">
        <f t="shared" si="12"/>
        <v>5830</v>
      </c>
      <c r="N23" s="32"/>
      <c r="O23" s="33"/>
    </row>
    <row r="24" ht="15.75" customHeight="1">
      <c r="A24" s="35"/>
      <c r="B24" s="22"/>
      <c r="C24" s="23"/>
      <c r="D24" s="37" t="s">
        <v>206</v>
      </c>
      <c r="E24" s="25"/>
      <c r="F24" s="26">
        <v>4700.0</v>
      </c>
      <c r="G24" s="150">
        <v>45134.0</v>
      </c>
      <c r="H24" s="28">
        <f t="shared" si="7"/>
        <v>7050</v>
      </c>
      <c r="I24" s="29">
        <f t="shared" si="8"/>
        <v>6110</v>
      </c>
      <c r="J24" s="30">
        <f t="shared" si="9"/>
        <v>6110</v>
      </c>
      <c r="K24" s="31">
        <f t="shared" si="10"/>
        <v>5640</v>
      </c>
      <c r="L24" s="30">
        <f t="shared" si="11"/>
        <v>5405</v>
      </c>
      <c r="M24" s="31">
        <f t="shared" si="12"/>
        <v>5170</v>
      </c>
      <c r="N24" s="32"/>
      <c r="O24" s="33"/>
    </row>
    <row r="25" ht="15.75" customHeight="1">
      <c r="A25" s="21"/>
      <c r="B25" s="22"/>
      <c r="C25" s="23"/>
      <c r="D25" s="37" t="s">
        <v>207</v>
      </c>
      <c r="E25" s="25"/>
      <c r="F25" s="26">
        <v>3700.0</v>
      </c>
      <c r="G25" s="150">
        <v>45134.0</v>
      </c>
      <c r="H25" s="28">
        <f t="shared" si="7"/>
        <v>5550</v>
      </c>
      <c r="I25" s="29">
        <f t="shared" si="8"/>
        <v>4810</v>
      </c>
      <c r="J25" s="30">
        <f t="shared" si="9"/>
        <v>4810</v>
      </c>
      <c r="K25" s="31">
        <f t="shared" si="10"/>
        <v>4440</v>
      </c>
      <c r="L25" s="30">
        <f t="shared" si="11"/>
        <v>4255</v>
      </c>
      <c r="M25" s="31">
        <f t="shared" si="12"/>
        <v>4070</v>
      </c>
      <c r="N25" s="32"/>
      <c r="O25" s="33"/>
    </row>
    <row r="26" ht="15.75" customHeight="1">
      <c r="A26" s="35"/>
      <c r="B26" s="22"/>
      <c r="C26" s="23"/>
      <c r="D26" s="49" t="s">
        <v>208</v>
      </c>
      <c r="E26" s="25"/>
      <c r="F26" s="26">
        <v>2900.0</v>
      </c>
      <c r="G26" s="150">
        <v>45134.0</v>
      </c>
      <c r="H26" s="28">
        <f t="shared" si="7"/>
        <v>4350</v>
      </c>
      <c r="I26" s="29">
        <f t="shared" si="8"/>
        <v>3770</v>
      </c>
      <c r="J26" s="30">
        <f t="shared" si="9"/>
        <v>3770</v>
      </c>
      <c r="K26" s="31">
        <f t="shared" si="10"/>
        <v>3480</v>
      </c>
      <c r="L26" s="30">
        <f t="shared" si="11"/>
        <v>3335</v>
      </c>
      <c r="M26" s="31">
        <f t="shared" si="12"/>
        <v>3190</v>
      </c>
      <c r="N26" s="32"/>
      <c r="O26" s="33"/>
    </row>
    <row r="27" ht="15.75" customHeight="1">
      <c r="A27" s="21"/>
      <c r="B27" s="22"/>
      <c r="C27" s="23"/>
      <c r="D27" s="49" t="s">
        <v>209</v>
      </c>
      <c r="E27" s="25"/>
      <c r="F27" s="26">
        <v>95.0</v>
      </c>
      <c r="G27" s="150">
        <v>45134.0</v>
      </c>
      <c r="H27" s="28">
        <f t="shared" si="7"/>
        <v>142.5</v>
      </c>
      <c r="I27" s="29">
        <f t="shared" si="8"/>
        <v>123.5</v>
      </c>
      <c r="J27" s="30">
        <f t="shared" si="9"/>
        <v>123.5</v>
      </c>
      <c r="K27" s="31">
        <f t="shared" si="10"/>
        <v>114</v>
      </c>
      <c r="L27" s="30">
        <f t="shared" si="11"/>
        <v>109.25</v>
      </c>
      <c r="M27" s="31">
        <f t="shared" si="12"/>
        <v>104.5</v>
      </c>
      <c r="N27" s="32"/>
      <c r="O27" s="33"/>
    </row>
    <row r="28" ht="15.75" customHeight="1">
      <c r="A28" s="35"/>
      <c r="B28" s="22"/>
      <c r="C28" s="23"/>
      <c r="D28" s="154" t="s">
        <v>210</v>
      </c>
      <c r="E28" s="25"/>
      <c r="F28" s="26">
        <v>98.0</v>
      </c>
      <c r="G28" s="150">
        <v>45134.0</v>
      </c>
      <c r="H28" s="28">
        <f t="shared" si="7"/>
        <v>147</v>
      </c>
      <c r="I28" s="29">
        <f t="shared" si="8"/>
        <v>127.4</v>
      </c>
      <c r="J28" s="30">
        <f t="shared" si="9"/>
        <v>127.4</v>
      </c>
      <c r="K28" s="31">
        <f t="shared" si="10"/>
        <v>117.6</v>
      </c>
      <c r="L28" s="30">
        <f t="shared" si="11"/>
        <v>112.7</v>
      </c>
      <c r="M28" s="31">
        <f t="shared" si="12"/>
        <v>107.8</v>
      </c>
      <c r="N28" s="32"/>
      <c r="O28" s="33"/>
    </row>
    <row r="29" ht="15.75" customHeight="1">
      <c r="A29" s="21"/>
      <c r="B29" s="22"/>
      <c r="C29" s="23"/>
      <c r="D29" s="37" t="s">
        <v>211</v>
      </c>
      <c r="E29" s="25"/>
      <c r="F29" s="26">
        <v>175.0</v>
      </c>
      <c r="G29" s="150">
        <v>45134.0</v>
      </c>
      <c r="H29" s="28">
        <f t="shared" si="7"/>
        <v>262.5</v>
      </c>
      <c r="I29" s="29">
        <f t="shared" si="8"/>
        <v>227.5</v>
      </c>
      <c r="J29" s="30">
        <f t="shared" si="9"/>
        <v>227.5</v>
      </c>
      <c r="K29" s="31">
        <f t="shared" si="10"/>
        <v>210</v>
      </c>
      <c r="L29" s="30">
        <f t="shared" si="11"/>
        <v>201.25</v>
      </c>
      <c r="M29" s="31">
        <f t="shared" si="12"/>
        <v>192.5</v>
      </c>
      <c r="N29" s="32"/>
      <c r="O29" s="33"/>
    </row>
    <row r="30" ht="15.75" customHeight="1">
      <c r="A30" s="35"/>
      <c r="B30" s="22"/>
      <c r="C30" s="23"/>
      <c r="D30" s="37" t="s">
        <v>212</v>
      </c>
      <c r="E30" s="25"/>
      <c r="F30" s="26">
        <v>145.0</v>
      </c>
      <c r="G30" s="150">
        <v>45134.0</v>
      </c>
      <c r="H30" s="28">
        <f t="shared" si="7"/>
        <v>217.5</v>
      </c>
      <c r="I30" s="29">
        <f t="shared" si="8"/>
        <v>188.5</v>
      </c>
      <c r="J30" s="30">
        <f t="shared" si="9"/>
        <v>188.5</v>
      </c>
      <c r="K30" s="31">
        <f t="shared" si="10"/>
        <v>174</v>
      </c>
      <c r="L30" s="30">
        <f t="shared" si="11"/>
        <v>166.75</v>
      </c>
      <c r="M30" s="31">
        <f t="shared" si="12"/>
        <v>159.5</v>
      </c>
      <c r="N30" s="32"/>
      <c r="O30" s="33"/>
    </row>
    <row r="31" ht="15.75" customHeight="1">
      <c r="A31" s="21"/>
      <c r="B31" s="22"/>
      <c r="C31" s="23"/>
      <c r="D31" s="49" t="s">
        <v>213</v>
      </c>
      <c r="E31" s="47"/>
      <c r="F31" s="153">
        <v>160.0</v>
      </c>
      <c r="G31" s="150">
        <v>45134.0</v>
      </c>
      <c r="H31" s="28">
        <f t="shared" si="7"/>
        <v>240</v>
      </c>
      <c r="I31" s="29">
        <f t="shared" si="8"/>
        <v>208</v>
      </c>
      <c r="J31" s="30">
        <f t="shared" si="9"/>
        <v>208</v>
      </c>
      <c r="K31" s="31">
        <f t="shared" si="10"/>
        <v>192</v>
      </c>
      <c r="L31" s="30">
        <f t="shared" si="11"/>
        <v>184</v>
      </c>
      <c r="M31" s="31">
        <f t="shared" si="12"/>
        <v>176</v>
      </c>
      <c r="N31" s="32"/>
      <c r="O31" s="33"/>
    </row>
    <row r="32" ht="15.75" customHeight="1">
      <c r="A32" s="35"/>
      <c r="B32" s="44"/>
      <c r="C32" s="23"/>
      <c r="D32" s="37" t="s">
        <v>214</v>
      </c>
      <c r="E32" s="47"/>
      <c r="F32" s="153">
        <v>110.0</v>
      </c>
      <c r="G32" s="150">
        <v>45134.0</v>
      </c>
      <c r="H32" s="28">
        <f t="shared" si="7"/>
        <v>165</v>
      </c>
      <c r="I32" s="29">
        <f t="shared" si="8"/>
        <v>143</v>
      </c>
      <c r="J32" s="30">
        <f t="shared" si="9"/>
        <v>143</v>
      </c>
      <c r="K32" s="31">
        <f t="shared" si="10"/>
        <v>132</v>
      </c>
      <c r="L32" s="30">
        <f t="shared" si="11"/>
        <v>126.5</v>
      </c>
      <c r="M32" s="31">
        <f t="shared" si="12"/>
        <v>121</v>
      </c>
      <c r="N32" s="32"/>
      <c r="O32" s="33"/>
    </row>
    <row r="33" ht="15.75" customHeight="1">
      <c r="A33" s="21"/>
      <c r="B33" s="22"/>
      <c r="C33" s="23"/>
      <c r="D33" s="37" t="s">
        <v>215</v>
      </c>
      <c r="E33" s="42"/>
      <c r="F33" s="26">
        <v>90.0</v>
      </c>
      <c r="G33" s="150">
        <v>45134.0</v>
      </c>
      <c r="H33" s="28">
        <f t="shared" si="7"/>
        <v>135</v>
      </c>
      <c r="I33" s="29">
        <f t="shared" si="8"/>
        <v>117</v>
      </c>
      <c r="J33" s="30">
        <f t="shared" si="9"/>
        <v>117</v>
      </c>
      <c r="K33" s="31">
        <f t="shared" si="10"/>
        <v>108</v>
      </c>
      <c r="L33" s="30">
        <f t="shared" si="11"/>
        <v>103.5</v>
      </c>
      <c r="M33" s="31">
        <f t="shared" si="12"/>
        <v>99</v>
      </c>
      <c r="N33" s="32"/>
      <c r="O33" s="33"/>
    </row>
    <row r="34" ht="15.75" customHeight="1">
      <c r="A34" s="35"/>
      <c r="B34" s="22"/>
      <c r="C34" s="23"/>
      <c r="D34" s="49" t="s">
        <v>216</v>
      </c>
      <c r="E34" s="42"/>
      <c r="F34" s="26">
        <v>80.0</v>
      </c>
      <c r="G34" s="150">
        <v>45134.0</v>
      </c>
      <c r="H34" s="28">
        <f t="shared" si="7"/>
        <v>120</v>
      </c>
      <c r="I34" s="29">
        <f t="shared" si="8"/>
        <v>104</v>
      </c>
      <c r="J34" s="30">
        <f t="shared" si="9"/>
        <v>104</v>
      </c>
      <c r="K34" s="31">
        <f t="shared" si="10"/>
        <v>96</v>
      </c>
      <c r="L34" s="30">
        <f t="shared" si="11"/>
        <v>92</v>
      </c>
      <c r="M34" s="31">
        <f t="shared" si="12"/>
        <v>88</v>
      </c>
      <c r="N34" s="32"/>
      <c r="O34" s="33"/>
    </row>
    <row r="35" ht="15.75" customHeight="1">
      <c r="A35" s="21"/>
      <c r="B35" s="22"/>
      <c r="C35" s="23"/>
      <c r="D35" s="37" t="s">
        <v>217</v>
      </c>
      <c r="E35" s="42"/>
      <c r="F35" s="26">
        <v>95.0</v>
      </c>
      <c r="G35" s="150">
        <v>45134.0</v>
      </c>
      <c r="H35" s="28">
        <f t="shared" si="7"/>
        <v>142.5</v>
      </c>
      <c r="I35" s="29">
        <f t="shared" si="8"/>
        <v>123.5</v>
      </c>
      <c r="J35" s="30">
        <f t="shared" si="9"/>
        <v>123.5</v>
      </c>
      <c r="K35" s="31">
        <f t="shared" si="10"/>
        <v>114</v>
      </c>
      <c r="L35" s="30">
        <f t="shared" si="11"/>
        <v>109.25</v>
      </c>
      <c r="M35" s="31">
        <f t="shared" si="12"/>
        <v>104.5</v>
      </c>
      <c r="N35" s="32"/>
      <c r="O35" s="33"/>
    </row>
    <row r="36" ht="15.75" customHeight="1">
      <c r="A36" s="21"/>
      <c r="B36" s="22"/>
      <c r="C36" s="23"/>
      <c r="D36" s="49" t="s">
        <v>218</v>
      </c>
      <c r="E36" s="47"/>
      <c r="F36" s="153">
        <v>172.0</v>
      </c>
      <c r="G36" s="150">
        <v>45134.0</v>
      </c>
      <c r="H36" s="28">
        <f t="shared" si="7"/>
        <v>258</v>
      </c>
      <c r="I36" s="29">
        <f t="shared" si="8"/>
        <v>223.6</v>
      </c>
      <c r="J36" s="30">
        <f t="shared" si="9"/>
        <v>223.6</v>
      </c>
      <c r="K36" s="31">
        <f t="shared" si="10"/>
        <v>206.4</v>
      </c>
      <c r="L36" s="30">
        <f t="shared" si="11"/>
        <v>197.8</v>
      </c>
      <c r="M36" s="31">
        <f t="shared" si="12"/>
        <v>189.2</v>
      </c>
      <c r="N36" s="32"/>
      <c r="O36" s="33"/>
    </row>
    <row r="37" ht="15.75" customHeight="1">
      <c r="A37" s="21"/>
      <c r="B37" s="22"/>
      <c r="C37" s="23"/>
      <c r="D37" s="37" t="s">
        <v>219</v>
      </c>
      <c r="E37" s="42"/>
      <c r="F37" s="26">
        <v>225.0</v>
      </c>
      <c r="G37" s="150">
        <v>45134.0</v>
      </c>
      <c r="H37" s="28">
        <f t="shared" si="7"/>
        <v>337.5</v>
      </c>
      <c r="I37" s="29">
        <f t="shared" si="8"/>
        <v>292.5</v>
      </c>
      <c r="J37" s="30">
        <f t="shared" si="9"/>
        <v>292.5</v>
      </c>
      <c r="K37" s="31">
        <f t="shared" si="10"/>
        <v>270</v>
      </c>
      <c r="L37" s="30">
        <f t="shared" si="11"/>
        <v>258.75</v>
      </c>
      <c r="M37" s="31">
        <f t="shared" si="12"/>
        <v>247.5</v>
      </c>
      <c r="N37" s="32"/>
      <c r="O37" s="33"/>
    </row>
    <row r="38" ht="15.75" customHeight="1">
      <c r="A38" s="21"/>
      <c r="B38" s="22"/>
      <c r="C38" s="23"/>
      <c r="D38" s="37" t="s">
        <v>220</v>
      </c>
      <c r="E38" s="42"/>
      <c r="F38" s="26">
        <v>330.0</v>
      </c>
      <c r="G38" s="150">
        <v>45134.0</v>
      </c>
      <c r="H38" s="28">
        <f t="shared" si="7"/>
        <v>495</v>
      </c>
      <c r="I38" s="29">
        <f t="shared" si="8"/>
        <v>429</v>
      </c>
      <c r="J38" s="30">
        <f t="shared" si="9"/>
        <v>429</v>
      </c>
      <c r="K38" s="31">
        <f t="shared" si="10"/>
        <v>396</v>
      </c>
      <c r="L38" s="30">
        <f t="shared" si="11"/>
        <v>379.5</v>
      </c>
      <c r="M38" s="31">
        <f t="shared" si="12"/>
        <v>363</v>
      </c>
      <c r="N38" s="32"/>
      <c r="O38" s="33"/>
    </row>
    <row r="39" ht="15.75" customHeight="1">
      <c r="A39" s="21"/>
      <c r="B39" s="22"/>
      <c r="C39" s="51"/>
      <c r="D39" s="37" t="s">
        <v>221</v>
      </c>
      <c r="E39" s="42"/>
      <c r="F39" s="155">
        <v>315.0</v>
      </c>
      <c r="G39" s="150">
        <v>45134.0</v>
      </c>
      <c r="H39" s="28">
        <f t="shared" si="7"/>
        <v>472.5</v>
      </c>
      <c r="I39" s="29">
        <f t="shared" si="8"/>
        <v>409.5</v>
      </c>
      <c r="J39" s="30">
        <f t="shared" si="9"/>
        <v>409.5</v>
      </c>
      <c r="K39" s="31">
        <f t="shared" si="10"/>
        <v>378</v>
      </c>
      <c r="L39" s="30">
        <f t="shared" si="11"/>
        <v>362.25</v>
      </c>
      <c r="M39" s="31">
        <f t="shared" si="12"/>
        <v>346.5</v>
      </c>
      <c r="N39" s="32"/>
      <c r="O39" s="33"/>
    </row>
    <row r="40" ht="15.75" customHeight="1">
      <c r="A40" s="21"/>
      <c r="B40" s="22"/>
      <c r="C40" s="23"/>
      <c r="D40" s="37" t="s">
        <v>222</v>
      </c>
      <c r="E40" s="42"/>
      <c r="F40" s="26">
        <v>275.0</v>
      </c>
      <c r="G40" s="150">
        <v>45134.0</v>
      </c>
      <c r="H40" s="28">
        <f t="shared" si="7"/>
        <v>412.5</v>
      </c>
      <c r="I40" s="29">
        <f t="shared" si="8"/>
        <v>357.5</v>
      </c>
      <c r="J40" s="30">
        <f t="shared" si="9"/>
        <v>357.5</v>
      </c>
      <c r="K40" s="31">
        <f t="shared" si="10"/>
        <v>330</v>
      </c>
      <c r="L40" s="30">
        <f t="shared" si="11"/>
        <v>316.25</v>
      </c>
      <c r="M40" s="31">
        <f t="shared" si="12"/>
        <v>302.5</v>
      </c>
      <c r="N40" s="32"/>
      <c r="O40" s="33"/>
    </row>
    <row r="41" ht="15.75" customHeight="1">
      <c r="A41" s="21"/>
      <c r="B41" s="22"/>
      <c r="C41" s="23"/>
      <c r="D41" s="37" t="s">
        <v>223</v>
      </c>
      <c r="E41" s="42"/>
      <c r="F41" s="26">
        <v>310.0</v>
      </c>
      <c r="G41" s="150">
        <v>45134.0</v>
      </c>
      <c r="H41" s="28">
        <f t="shared" si="7"/>
        <v>465</v>
      </c>
      <c r="I41" s="29">
        <f t="shared" si="8"/>
        <v>403</v>
      </c>
      <c r="J41" s="30">
        <f t="shared" si="9"/>
        <v>403</v>
      </c>
      <c r="K41" s="31">
        <f t="shared" si="10"/>
        <v>372</v>
      </c>
      <c r="L41" s="30">
        <f t="shared" si="11"/>
        <v>356.5</v>
      </c>
      <c r="M41" s="31">
        <f t="shared" si="12"/>
        <v>341</v>
      </c>
      <c r="N41" s="32"/>
      <c r="O41" s="33"/>
    </row>
    <row r="42" ht="15.75" customHeight="1">
      <c r="A42" s="21"/>
      <c r="B42" s="22"/>
      <c r="C42" s="53"/>
      <c r="D42" s="37" t="s">
        <v>224</v>
      </c>
      <c r="E42" s="42"/>
      <c r="F42" s="26">
        <v>55.0</v>
      </c>
      <c r="G42" s="150">
        <v>45134.0</v>
      </c>
      <c r="H42" s="28">
        <f t="shared" si="7"/>
        <v>82.5</v>
      </c>
      <c r="I42" s="29">
        <f t="shared" si="8"/>
        <v>71.5</v>
      </c>
      <c r="J42" s="30">
        <f t="shared" si="9"/>
        <v>71.5</v>
      </c>
      <c r="K42" s="31">
        <f t="shared" si="10"/>
        <v>66</v>
      </c>
      <c r="L42" s="30">
        <f t="shared" si="11"/>
        <v>63.25</v>
      </c>
      <c r="M42" s="31">
        <f t="shared" si="12"/>
        <v>60.5</v>
      </c>
      <c r="N42" s="32"/>
      <c r="O42" s="33"/>
    </row>
    <row r="43" ht="15.75" customHeight="1">
      <c r="A43" s="21"/>
      <c r="B43" s="22"/>
      <c r="C43" s="53"/>
      <c r="D43" s="37" t="s">
        <v>225</v>
      </c>
      <c r="E43" s="42"/>
      <c r="F43" s="26">
        <v>138.0</v>
      </c>
      <c r="G43" s="150">
        <v>45134.0</v>
      </c>
      <c r="H43" s="28">
        <f t="shared" si="7"/>
        <v>207</v>
      </c>
      <c r="I43" s="29">
        <f t="shared" si="8"/>
        <v>179.4</v>
      </c>
      <c r="J43" s="30">
        <f t="shared" si="9"/>
        <v>179.4</v>
      </c>
      <c r="K43" s="31">
        <f t="shared" si="10"/>
        <v>165.6</v>
      </c>
      <c r="L43" s="30">
        <f t="shared" si="11"/>
        <v>158.7</v>
      </c>
      <c r="M43" s="31">
        <f t="shared" si="12"/>
        <v>151.8</v>
      </c>
      <c r="N43" s="32"/>
      <c r="O43" s="33"/>
    </row>
    <row r="44" ht="15.75" customHeight="1">
      <c r="A44" s="21"/>
      <c r="B44" s="22"/>
      <c r="C44" s="53"/>
      <c r="D44" s="37" t="s">
        <v>226</v>
      </c>
      <c r="E44" s="42"/>
      <c r="F44" s="26">
        <v>1286.0</v>
      </c>
      <c r="G44" s="150">
        <v>45134.0</v>
      </c>
      <c r="H44" s="28">
        <f t="shared" si="7"/>
        <v>1929</v>
      </c>
      <c r="I44" s="29">
        <f t="shared" si="8"/>
        <v>1671.8</v>
      </c>
      <c r="J44" s="30">
        <f t="shared" si="9"/>
        <v>1671.8</v>
      </c>
      <c r="K44" s="31">
        <f t="shared" si="10"/>
        <v>1543.2</v>
      </c>
      <c r="L44" s="30">
        <f t="shared" si="11"/>
        <v>1478.9</v>
      </c>
      <c r="M44" s="31">
        <f t="shared" si="12"/>
        <v>1414.6</v>
      </c>
      <c r="N44" s="32"/>
      <c r="O44" s="33"/>
    </row>
    <row r="45" ht="15.75" customHeight="1">
      <c r="A45" s="21"/>
      <c r="B45" s="22"/>
      <c r="C45" s="53"/>
      <c r="D45" s="37" t="s">
        <v>227</v>
      </c>
      <c r="E45" s="42"/>
      <c r="F45" s="26">
        <v>200.0</v>
      </c>
      <c r="G45" s="150">
        <v>45134.0</v>
      </c>
      <c r="H45" s="28">
        <f t="shared" si="7"/>
        <v>300</v>
      </c>
      <c r="I45" s="29">
        <f t="shared" si="8"/>
        <v>260</v>
      </c>
      <c r="J45" s="30">
        <f t="shared" si="9"/>
        <v>260</v>
      </c>
      <c r="K45" s="31">
        <f t="shared" si="10"/>
        <v>240</v>
      </c>
      <c r="L45" s="30">
        <f t="shared" si="11"/>
        <v>230</v>
      </c>
      <c r="M45" s="31">
        <f t="shared" si="12"/>
        <v>220</v>
      </c>
      <c r="N45" s="32"/>
      <c r="O45" s="33"/>
    </row>
    <row r="46" ht="15.75" customHeight="1">
      <c r="A46" s="21"/>
      <c r="B46" s="22"/>
      <c r="C46" s="23"/>
      <c r="D46" s="37" t="s">
        <v>228</v>
      </c>
      <c r="E46" s="42"/>
      <c r="F46" s="26">
        <v>295.0</v>
      </c>
      <c r="G46" s="150">
        <v>45134.0</v>
      </c>
      <c r="H46" s="28">
        <f t="shared" si="7"/>
        <v>442.5</v>
      </c>
      <c r="I46" s="29">
        <f t="shared" si="8"/>
        <v>383.5</v>
      </c>
      <c r="J46" s="30">
        <f t="shared" si="9"/>
        <v>383.5</v>
      </c>
      <c r="K46" s="31">
        <f t="shared" si="10"/>
        <v>354</v>
      </c>
      <c r="L46" s="30">
        <f t="shared" si="11"/>
        <v>339.25</v>
      </c>
      <c r="M46" s="31">
        <f t="shared" si="12"/>
        <v>324.5</v>
      </c>
      <c r="N46" s="32"/>
      <c r="O46" s="33"/>
    </row>
    <row r="47" ht="15.75" customHeight="1">
      <c r="A47" s="21"/>
      <c r="B47" s="22"/>
      <c r="C47" s="23"/>
      <c r="D47" s="37" t="s">
        <v>229</v>
      </c>
      <c r="E47" s="42"/>
      <c r="F47" s="26">
        <v>1040.0</v>
      </c>
      <c r="G47" s="150">
        <v>45134.0</v>
      </c>
      <c r="H47" s="28">
        <f t="shared" si="7"/>
        <v>1560</v>
      </c>
      <c r="I47" s="29">
        <f t="shared" si="8"/>
        <v>1352</v>
      </c>
      <c r="J47" s="30">
        <f t="shared" si="9"/>
        <v>1352</v>
      </c>
      <c r="K47" s="31">
        <f t="shared" si="10"/>
        <v>1248</v>
      </c>
      <c r="L47" s="30">
        <f t="shared" si="11"/>
        <v>1196</v>
      </c>
      <c r="M47" s="31">
        <f t="shared" si="12"/>
        <v>1144</v>
      </c>
      <c r="N47" s="32"/>
      <c r="O47" s="33"/>
    </row>
    <row r="48" ht="15.75" customHeight="1">
      <c r="A48" s="21"/>
      <c r="B48" s="22"/>
      <c r="C48" s="23"/>
      <c r="D48" s="37" t="s">
        <v>230</v>
      </c>
      <c r="E48" s="42"/>
      <c r="F48" s="26">
        <v>590.0</v>
      </c>
      <c r="G48" s="150">
        <v>45134.0</v>
      </c>
      <c r="H48" s="28">
        <f t="shared" si="7"/>
        <v>885</v>
      </c>
      <c r="I48" s="29">
        <f t="shared" si="8"/>
        <v>767</v>
      </c>
      <c r="J48" s="30">
        <f t="shared" si="9"/>
        <v>767</v>
      </c>
      <c r="K48" s="31">
        <f t="shared" si="10"/>
        <v>708</v>
      </c>
      <c r="L48" s="30">
        <f t="shared" si="11"/>
        <v>678.5</v>
      </c>
      <c r="M48" s="31">
        <f t="shared" si="12"/>
        <v>649</v>
      </c>
      <c r="N48" s="32"/>
      <c r="O48" s="33"/>
    </row>
    <row r="49" ht="15.75" customHeight="1">
      <c r="A49" s="21"/>
      <c r="B49" s="44"/>
      <c r="C49" s="23"/>
      <c r="D49" s="37" t="s">
        <v>231</v>
      </c>
      <c r="E49" s="42"/>
      <c r="F49" s="26">
        <v>278.0</v>
      </c>
      <c r="G49" s="150">
        <v>45134.0</v>
      </c>
      <c r="H49" s="28">
        <f t="shared" si="7"/>
        <v>417</v>
      </c>
      <c r="I49" s="29">
        <f t="shared" si="8"/>
        <v>361.4</v>
      </c>
      <c r="J49" s="30">
        <f t="shared" si="9"/>
        <v>361.4</v>
      </c>
      <c r="K49" s="31">
        <f t="shared" si="10"/>
        <v>333.6</v>
      </c>
      <c r="L49" s="30">
        <f t="shared" si="11"/>
        <v>319.7</v>
      </c>
      <c r="M49" s="31">
        <f t="shared" si="12"/>
        <v>305.8</v>
      </c>
      <c r="N49" s="32"/>
      <c r="O49" s="33"/>
    </row>
    <row r="50" ht="15.75" customHeight="1">
      <c r="A50" s="21"/>
      <c r="B50" s="44"/>
      <c r="C50" s="23"/>
      <c r="D50" s="37" t="s">
        <v>232</v>
      </c>
      <c r="E50" s="42"/>
      <c r="F50" s="26">
        <v>210.0</v>
      </c>
      <c r="G50" s="150">
        <v>45134.0</v>
      </c>
      <c r="H50" s="28">
        <f t="shared" si="7"/>
        <v>315</v>
      </c>
      <c r="I50" s="29">
        <f t="shared" si="8"/>
        <v>273</v>
      </c>
      <c r="J50" s="30">
        <f t="shared" si="9"/>
        <v>273</v>
      </c>
      <c r="K50" s="31">
        <f t="shared" si="10"/>
        <v>252</v>
      </c>
      <c r="L50" s="30">
        <f t="shared" si="11"/>
        <v>241.5</v>
      </c>
      <c r="M50" s="31">
        <f t="shared" si="12"/>
        <v>231</v>
      </c>
      <c r="N50" s="32"/>
      <c r="O50" s="33"/>
    </row>
    <row r="51" ht="15.75" customHeight="1">
      <c r="A51" s="21"/>
      <c r="B51" s="44"/>
      <c r="C51" s="23"/>
      <c r="D51" s="24"/>
      <c r="E51" s="42"/>
      <c r="F51" s="39"/>
      <c r="G51" s="36"/>
      <c r="H51" s="28">
        <f t="shared" si="7"/>
        <v>0</v>
      </c>
      <c r="I51" s="29">
        <f t="shared" si="8"/>
        <v>0</v>
      </c>
      <c r="J51" s="30">
        <f t="shared" si="9"/>
        <v>0</v>
      </c>
      <c r="K51" s="31">
        <f t="shared" si="10"/>
        <v>0</v>
      </c>
      <c r="L51" s="30">
        <f t="shared" si="11"/>
        <v>0</v>
      </c>
      <c r="M51" s="31">
        <f t="shared" si="12"/>
        <v>0</v>
      </c>
      <c r="N51" s="32"/>
      <c r="O51" s="33"/>
    </row>
    <row r="52" ht="15.75" customHeight="1">
      <c r="A52" s="21"/>
      <c r="B52" s="44"/>
      <c r="C52" s="23"/>
      <c r="D52" s="46"/>
      <c r="E52" s="47"/>
      <c r="F52" s="48"/>
      <c r="G52" s="36"/>
      <c r="H52" s="28">
        <f t="shared" si="7"/>
        <v>0</v>
      </c>
      <c r="I52" s="29">
        <f t="shared" si="8"/>
        <v>0</v>
      </c>
      <c r="J52" s="30">
        <f t="shared" si="9"/>
        <v>0</v>
      </c>
      <c r="K52" s="31">
        <f t="shared" si="10"/>
        <v>0</v>
      </c>
      <c r="L52" s="30">
        <f t="shared" si="11"/>
        <v>0</v>
      </c>
      <c r="M52" s="31">
        <f t="shared" si="12"/>
        <v>0</v>
      </c>
      <c r="N52" s="32"/>
      <c r="O52" s="33"/>
    </row>
    <row r="53" ht="15.75" customHeight="1">
      <c r="A53" s="21"/>
      <c r="B53" s="44"/>
      <c r="C53" s="23"/>
      <c r="D53" s="46"/>
      <c r="E53" s="47"/>
      <c r="F53" s="48"/>
      <c r="G53" s="36"/>
      <c r="H53" s="28">
        <f t="shared" si="7"/>
        <v>0</v>
      </c>
      <c r="I53" s="29">
        <f t="shared" si="8"/>
        <v>0</v>
      </c>
      <c r="J53" s="30">
        <f t="shared" si="9"/>
        <v>0</v>
      </c>
      <c r="K53" s="31">
        <f t="shared" si="10"/>
        <v>0</v>
      </c>
      <c r="L53" s="30">
        <f t="shared" si="11"/>
        <v>0</v>
      </c>
      <c r="M53" s="31">
        <f t="shared" si="12"/>
        <v>0</v>
      </c>
      <c r="N53" s="32"/>
      <c r="O53" s="33"/>
    </row>
    <row r="54" ht="15.75" customHeight="1">
      <c r="A54" s="21"/>
      <c r="B54" s="44"/>
      <c r="C54" s="23"/>
      <c r="D54" s="24"/>
      <c r="E54" s="42"/>
      <c r="F54" s="39"/>
      <c r="G54" s="34"/>
      <c r="H54" s="28">
        <f t="shared" si="7"/>
        <v>0</v>
      </c>
      <c r="I54" s="29">
        <f t="shared" si="8"/>
        <v>0</v>
      </c>
      <c r="J54" s="30">
        <f t="shared" si="9"/>
        <v>0</v>
      </c>
      <c r="K54" s="31">
        <f t="shared" si="10"/>
        <v>0</v>
      </c>
      <c r="L54" s="30">
        <f t="shared" si="11"/>
        <v>0</v>
      </c>
      <c r="M54" s="31">
        <f t="shared" si="12"/>
        <v>0</v>
      </c>
      <c r="N54" s="32"/>
      <c r="O54" s="33"/>
    </row>
    <row r="55" ht="15.75" customHeight="1">
      <c r="A55" s="21"/>
      <c r="B55" s="44"/>
      <c r="C55" s="23"/>
      <c r="D55" s="24"/>
      <c r="E55" s="42"/>
      <c r="F55" s="39"/>
      <c r="G55" s="36"/>
      <c r="H55" s="28">
        <f t="shared" si="7"/>
        <v>0</v>
      </c>
      <c r="I55" s="29">
        <f t="shared" si="8"/>
        <v>0</v>
      </c>
      <c r="J55" s="30">
        <f t="shared" si="9"/>
        <v>0</v>
      </c>
      <c r="K55" s="31">
        <f t="shared" si="10"/>
        <v>0</v>
      </c>
      <c r="L55" s="30">
        <f t="shared" si="11"/>
        <v>0</v>
      </c>
      <c r="M55" s="31">
        <f t="shared" si="12"/>
        <v>0</v>
      </c>
      <c r="N55" s="32"/>
      <c r="O55" s="33"/>
    </row>
    <row r="56" ht="15.75" customHeight="1">
      <c r="A56" s="21"/>
      <c r="B56" s="44"/>
      <c r="C56" s="23"/>
      <c r="D56" s="24"/>
      <c r="E56" s="42"/>
      <c r="F56" s="39"/>
      <c r="G56" s="36"/>
      <c r="H56" s="28">
        <f t="shared" si="7"/>
        <v>0</v>
      </c>
      <c r="I56" s="29">
        <f t="shared" si="8"/>
        <v>0</v>
      </c>
      <c r="J56" s="30">
        <f t="shared" si="9"/>
        <v>0</v>
      </c>
      <c r="K56" s="31">
        <f t="shared" si="10"/>
        <v>0</v>
      </c>
      <c r="L56" s="30">
        <f t="shared" si="11"/>
        <v>0</v>
      </c>
      <c r="M56" s="31">
        <f t="shared" si="12"/>
        <v>0</v>
      </c>
      <c r="N56" s="32"/>
      <c r="O56" s="33"/>
    </row>
    <row r="57" ht="15.75" customHeight="1">
      <c r="A57" s="21"/>
      <c r="B57" s="44"/>
      <c r="C57" s="23"/>
      <c r="D57" s="24"/>
      <c r="E57" s="42"/>
      <c r="F57" s="39"/>
      <c r="G57" s="36"/>
      <c r="H57" s="28">
        <f t="shared" si="7"/>
        <v>0</v>
      </c>
      <c r="I57" s="29">
        <f t="shared" si="8"/>
        <v>0</v>
      </c>
      <c r="J57" s="30">
        <f t="shared" si="9"/>
        <v>0</v>
      </c>
      <c r="K57" s="31">
        <f t="shared" si="10"/>
        <v>0</v>
      </c>
      <c r="L57" s="30">
        <f t="shared" si="11"/>
        <v>0</v>
      </c>
      <c r="M57" s="31">
        <f t="shared" si="12"/>
        <v>0</v>
      </c>
      <c r="N57" s="32"/>
      <c r="O57" s="33"/>
    </row>
    <row r="58" ht="15.75" customHeight="1">
      <c r="A58" s="21"/>
      <c r="B58" s="44"/>
      <c r="C58" s="23"/>
      <c r="D58" s="37"/>
      <c r="E58" s="42"/>
      <c r="F58" s="55"/>
      <c r="G58" s="34"/>
      <c r="H58" s="28">
        <f t="shared" si="7"/>
        <v>0</v>
      </c>
      <c r="I58" s="29">
        <f t="shared" si="8"/>
        <v>0</v>
      </c>
      <c r="J58" s="30">
        <f t="shared" si="9"/>
        <v>0</v>
      </c>
      <c r="K58" s="31">
        <f t="shared" si="10"/>
        <v>0</v>
      </c>
      <c r="L58" s="30">
        <f t="shared" si="11"/>
        <v>0</v>
      </c>
      <c r="M58" s="31">
        <f t="shared" si="12"/>
        <v>0</v>
      </c>
      <c r="N58" s="32"/>
      <c r="O58" s="33"/>
    </row>
    <row r="59" ht="15.75" customHeight="1">
      <c r="A59" s="21"/>
      <c r="B59" s="44"/>
      <c r="C59" s="23"/>
      <c r="D59" s="24"/>
      <c r="E59" s="42"/>
      <c r="F59" s="43"/>
      <c r="G59" s="36"/>
      <c r="H59" s="28">
        <f t="shared" si="7"/>
        <v>0</v>
      </c>
      <c r="I59" s="29">
        <f t="shared" si="8"/>
        <v>0</v>
      </c>
      <c r="J59" s="30">
        <f t="shared" si="9"/>
        <v>0</v>
      </c>
      <c r="K59" s="31">
        <f t="shared" si="10"/>
        <v>0</v>
      </c>
      <c r="L59" s="30">
        <f t="shared" si="11"/>
        <v>0</v>
      </c>
      <c r="M59" s="31">
        <f t="shared" si="12"/>
        <v>0</v>
      </c>
      <c r="N59" s="32"/>
      <c r="O59" s="33"/>
    </row>
    <row r="60" ht="15.75" customHeight="1">
      <c r="A60" s="21"/>
      <c r="B60" s="44"/>
      <c r="C60" s="23"/>
      <c r="D60" s="45"/>
      <c r="E60" s="42"/>
      <c r="F60" s="43"/>
      <c r="G60" s="36"/>
      <c r="H60" s="28">
        <f t="shared" si="7"/>
        <v>0</v>
      </c>
      <c r="I60" s="29">
        <f t="shared" si="8"/>
        <v>0</v>
      </c>
      <c r="J60" s="30">
        <f t="shared" si="9"/>
        <v>0</v>
      </c>
      <c r="K60" s="31">
        <f t="shared" si="10"/>
        <v>0</v>
      </c>
      <c r="L60" s="30">
        <f t="shared" si="11"/>
        <v>0</v>
      </c>
      <c r="M60" s="31">
        <f t="shared" si="12"/>
        <v>0</v>
      </c>
      <c r="N60" s="32"/>
      <c r="O60" s="33"/>
    </row>
    <row r="61" ht="15.75" customHeight="1">
      <c r="A61" s="21"/>
      <c r="B61" s="44"/>
      <c r="C61" s="23"/>
      <c r="D61" s="45"/>
      <c r="E61" s="42"/>
      <c r="F61" s="56"/>
      <c r="G61" s="34"/>
      <c r="H61" s="28">
        <f t="shared" si="7"/>
        <v>0</v>
      </c>
      <c r="I61" s="29">
        <f t="shared" si="8"/>
        <v>0</v>
      </c>
      <c r="J61" s="30">
        <f t="shared" si="9"/>
        <v>0</v>
      </c>
      <c r="K61" s="31">
        <f t="shared" si="10"/>
        <v>0</v>
      </c>
      <c r="L61" s="30">
        <f t="shared" si="11"/>
        <v>0</v>
      </c>
      <c r="M61" s="31">
        <f t="shared" si="12"/>
        <v>0</v>
      </c>
      <c r="N61" s="32"/>
      <c r="O61" s="33"/>
    </row>
    <row r="62" ht="15.75" customHeight="1">
      <c r="A62" s="21"/>
      <c r="B62" s="44"/>
      <c r="C62" s="23"/>
      <c r="D62" s="45"/>
      <c r="E62" s="42"/>
      <c r="F62" s="57"/>
      <c r="G62" s="36"/>
      <c r="H62" s="28">
        <f t="shared" si="7"/>
        <v>0</v>
      </c>
      <c r="I62" s="29">
        <f t="shared" si="8"/>
        <v>0</v>
      </c>
      <c r="J62" s="30">
        <f t="shared" si="9"/>
        <v>0</v>
      </c>
      <c r="K62" s="31">
        <f t="shared" si="10"/>
        <v>0</v>
      </c>
      <c r="L62" s="30">
        <f t="shared" si="11"/>
        <v>0</v>
      </c>
      <c r="M62" s="31">
        <f t="shared" si="12"/>
        <v>0</v>
      </c>
      <c r="N62" s="32"/>
      <c r="O62" s="33"/>
    </row>
    <row r="63" ht="15.75" customHeight="1">
      <c r="A63" s="21"/>
      <c r="B63" s="44"/>
      <c r="C63" s="23"/>
      <c r="D63" s="23"/>
      <c r="E63" s="42"/>
      <c r="F63" s="58"/>
      <c r="G63" s="36"/>
      <c r="H63" s="28">
        <f t="shared" si="7"/>
        <v>0</v>
      </c>
      <c r="I63" s="29">
        <f t="shared" si="8"/>
        <v>0</v>
      </c>
      <c r="J63" s="30">
        <f t="shared" si="9"/>
        <v>0</v>
      </c>
      <c r="K63" s="31">
        <f t="shared" si="10"/>
        <v>0</v>
      </c>
      <c r="L63" s="30">
        <f t="shared" si="11"/>
        <v>0</v>
      </c>
      <c r="M63" s="31">
        <f t="shared" si="12"/>
        <v>0</v>
      </c>
      <c r="N63" s="32"/>
      <c r="O63" s="33"/>
    </row>
    <row r="64" ht="15.75" customHeight="1">
      <c r="A64" s="21"/>
      <c r="B64" s="44"/>
      <c r="C64" s="23"/>
      <c r="D64" s="23"/>
      <c r="E64" s="42"/>
      <c r="F64" s="58"/>
      <c r="G64" s="36"/>
      <c r="H64" s="28">
        <f t="shared" si="7"/>
        <v>0</v>
      </c>
      <c r="I64" s="29">
        <f t="shared" si="8"/>
        <v>0</v>
      </c>
      <c r="J64" s="30">
        <f t="shared" si="9"/>
        <v>0</v>
      </c>
      <c r="K64" s="31">
        <f t="shared" si="10"/>
        <v>0</v>
      </c>
      <c r="L64" s="30">
        <f t="shared" si="11"/>
        <v>0</v>
      </c>
      <c r="M64" s="31">
        <f t="shared" si="12"/>
        <v>0</v>
      </c>
      <c r="N64" s="32"/>
      <c r="O64" s="33"/>
    </row>
    <row r="65" ht="15.75" customHeight="1">
      <c r="A65" s="21"/>
      <c r="B65" s="44"/>
      <c r="C65" s="23"/>
      <c r="D65" s="24"/>
      <c r="E65" s="42"/>
      <c r="F65" s="26"/>
      <c r="G65" s="34"/>
      <c r="H65" s="28">
        <f t="shared" si="7"/>
        <v>0</v>
      </c>
      <c r="I65" s="29">
        <f t="shared" si="8"/>
        <v>0</v>
      </c>
      <c r="J65" s="30">
        <f t="shared" si="9"/>
        <v>0</v>
      </c>
      <c r="K65" s="31">
        <f t="shared" si="10"/>
        <v>0</v>
      </c>
      <c r="L65" s="30">
        <f t="shared" si="11"/>
        <v>0</v>
      </c>
      <c r="M65" s="31">
        <f t="shared" si="12"/>
        <v>0</v>
      </c>
      <c r="N65" s="32"/>
      <c r="O65" s="33"/>
    </row>
    <row r="66" ht="15.75" customHeight="1">
      <c r="A66" s="21"/>
      <c r="B66" s="44"/>
      <c r="C66" s="23"/>
      <c r="D66" s="37"/>
      <c r="E66" s="42"/>
      <c r="F66" s="26"/>
      <c r="G66" s="34"/>
      <c r="H66" s="28"/>
      <c r="I66" s="29"/>
      <c r="J66" s="30"/>
      <c r="K66" s="31"/>
      <c r="L66" s="30"/>
      <c r="M66" s="31"/>
      <c r="N66" s="32"/>
      <c r="O66" s="33"/>
    </row>
    <row r="67" ht="15.75" customHeight="1">
      <c r="A67" s="21"/>
      <c r="B67" s="44"/>
      <c r="C67" s="23"/>
      <c r="D67" s="24"/>
      <c r="E67" s="42"/>
      <c r="F67" s="39"/>
      <c r="G67" s="36"/>
      <c r="H67" s="28">
        <f t="shared" ref="H67:H77" si="13">F67*0.5+F67</f>
        <v>0</v>
      </c>
      <c r="I67" s="29">
        <f t="shared" ref="I67:I77" si="14">F67*0.3+F67</f>
        <v>0</v>
      </c>
      <c r="J67" s="30">
        <f t="shared" ref="J67:J77" si="15">F67*0.3+F67</f>
        <v>0</v>
      </c>
      <c r="K67" s="31">
        <f t="shared" ref="K67:K77" si="16">F67*0.2+F67</f>
        <v>0</v>
      </c>
      <c r="L67" s="30">
        <f t="shared" ref="L67:L77" si="17">F67*0.15+F67</f>
        <v>0</v>
      </c>
      <c r="M67" s="31">
        <f t="shared" ref="M67:M77" si="18">F67*0.1+F67</f>
        <v>0</v>
      </c>
      <c r="N67" s="32"/>
      <c r="O67" s="33"/>
    </row>
    <row r="68" ht="15.75" customHeight="1">
      <c r="A68" s="21"/>
      <c r="B68" s="44"/>
      <c r="C68" s="23"/>
      <c r="D68" s="24"/>
      <c r="E68" s="42"/>
      <c r="F68" s="39"/>
      <c r="G68" s="36"/>
      <c r="H68" s="28">
        <f t="shared" si="13"/>
        <v>0</v>
      </c>
      <c r="I68" s="29">
        <f t="shared" si="14"/>
        <v>0</v>
      </c>
      <c r="J68" s="30">
        <f t="shared" si="15"/>
        <v>0</v>
      </c>
      <c r="K68" s="31">
        <f t="shared" si="16"/>
        <v>0</v>
      </c>
      <c r="L68" s="30">
        <f t="shared" si="17"/>
        <v>0</v>
      </c>
      <c r="M68" s="31">
        <f t="shared" si="18"/>
        <v>0</v>
      </c>
      <c r="N68" s="32"/>
      <c r="O68" s="33"/>
    </row>
    <row r="69" ht="15.75" customHeight="1">
      <c r="A69" s="21"/>
      <c r="B69" s="44"/>
      <c r="C69" s="23"/>
      <c r="D69" s="46"/>
      <c r="E69" s="47"/>
      <c r="F69" s="39"/>
      <c r="G69" s="36"/>
      <c r="H69" s="28">
        <f t="shared" si="13"/>
        <v>0</v>
      </c>
      <c r="I69" s="29">
        <f t="shared" si="14"/>
        <v>0</v>
      </c>
      <c r="J69" s="30">
        <f t="shared" si="15"/>
        <v>0</v>
      </c>
      <c r="K69" s="31">
        <f t="shared" si="16"/>
        <v>0</v>
      </c>
      <c r="L69" s="30">
        <f t="shared" si="17"/>
        <v>0</v>
      </c>
      <c r="M69" s="31">
        <f t="shared" si="18"/>
        <v>0</v>
      </c>
      <c r="N69" s="32"/>
      <c r="O69" s="33"/>
    </row>
    <row r="70" ht="15.75" customHeight="1">
      <c r="A70" s="21"/>
      <c r="B70" s="44"/>
      <c r="C70" s="53"/>
      <c r="D70" s="53"/>
      <c r="E70" s="42"/>
      <c r="F70" s="58"/>
      <c r="G70" s="36"/>
      <c r="H70" s="28">
        <f t="shared" si="13"/>
        <v>0</v>
      </c>
      <c r="I70" s="29">
        <f t="shared" si="14"/>
        <v>0</v>
      </c>
      <c r="J70" s="30">
        <f t="shared" si="15"/>
        <v>0</v>
      </c>
      <c r="K70" s="31">
        <f t="shared" si="16"/>
        <v>0</v>
      </c>
      <c r="L70" s="30">
        <f t="shared" si="17"/>
        <v>0</v>
      </c>
      <c r="M70" s="31">
        <f t="shared" si="18"/>
        <v>0</v>
      </c>
      <c r="N70" s="32"/>
      <c r="O70" s="33"/>
    </row>
    <row r="71" ht="15.75" customHeight="1">
      <c r="A71" s="21"/>
      <c r="B71" s="44"/>
      <c r="C71" s="53"/>
      <c r="D71" s="53"/>
      <c r="E71" s="42"/>
      <c r="F71" s="58"/>
      <c r="G71" s="36"/>
      <c r="H71" s="28">
        <f t="shared" si="13"/>
        <v>0</v>
      </c>
      <c r="I71" s="29">
        <f t="shared" si="14"/>
        <v>0</v>
      </c>
      <c r="J71" s="30">
        <f t="shared" si="15"/>
        <v>0</v>
      </c>
      <c r="K71" s="31">
        <f t="shared" si="16"/>
        <v>0</v>
      </c>
      <c r="L71" s="30">
        <f t="shared" si="17"/>
        <v>0</v>
      </c>
      <c r="M71" s="31">
        <f t="shared" si="18"/>
        <v>0</v>
      </c>
      <c r="N71" s="32"/>
      <c r="O71" s="33"/>
    </row>
    <row r="72" ht="15.75" customHeight="1">
      <c r="A72" s="21"/>
      <c r="B72" s="44"/>
      <c r="C72" s="53"/>
      <c r="D72" s="53"/>
      <c r="E72" s="42"/>
      <c r="F72" s="59"/>
      <c r="G72" s="34"/>
      <c r="H72" s="28">
        <f t="shared" si="13"/>
        <v>0</v>
      </c>
      <c r="I72" s="29">
        <f t="shared" si="14"/>
        <v>0</v>
      </c>
      <c r="J72" s="30">
        <f t="shared" si="15"/>
        <v>0</v>
      </c>
      <c r="K72" s="31">
        <f t="shared" si="16"/>
        <v>0</v>
      </c>
      <c r="L72" s="30">
        <f t="shared" si="17"/>
        <v>0</v>
      </c>
      <c r="M72" s="31">
        <f t="shared" si="18"/>
        <v>0</v>
      </c>
      <c r="N72" s="32"/>
      <c r="O72" s="33"/>
    </row>
    <row r="73" ht="15.75" customHeight="1">
      <c r="A73" s="21"/>
      <c r="B73" s="44"/>
      <c r="C73" s="53"/>
      <c r="D73" s="53"/>
      <c r="E73" s="42"/>
      <c r="F73" s="58"/>
      <c r="G73" s="36"/>
      <c r="H73" s="28">
        <f t="shared" si="13"/>
        <v>0</v>
      </c>
      <c r="I73" s="29">
        <f t="shared" si="14"/>
        <v>0</v>
      </c>
      <c r="J73" s="30">
        <f t="shared" si="15"/>
        <v>0</v>
      </c>
      <c r="K73" s="31">
        <f t="shared" si="16"/>
        <v>0</v>
      </c>
      <c r="L73" s="30">
        <f t="shared" si="17"/>
        <v>0</v>
      </c>
      <c r="M73" s="31">
        <f t="shared" si="18"/>
        <v>0</v>
      </c>
      <c r="N73" s="32"/>
      <c r="O73" s="33"/>
    </row>
    <row r="74" ht="17.25" customHeight="1">
      <c r="A74" s="21"/>
      <c r="B74" s="60"/>
      <c r="C74" s="61"/>
      <c r="D74" s="62"/>
      <c r="E74" s="42"/>
      <c r="F74" s="59"/>
      <c r="G74" s="156"/>
      <c r="H74" s="28">
        <f t="shared" si="13"/>
        <v>0</v>
      </c>
      <c r="I74" s="29">
        <f t="shared" si="14"/>
        <v>0</v>
      </c>
      <c r="J74" s="30">
        <f t="shared" si="15"/>
        <v>0</v>
      </c>
      <c r="K74" s="31">
        <f t="shared" si="16"/>
        <v>0</v>
      </c>
      <c r="L74" s="30">
        <f t="shared" si="17"/>
        <v>0</v>
      </c>
      <c r="M74" s="31">
        <f t="shared" si="18"/>
        <v>0</v>
      </c>
      <c r="N74" s="32"/>
      <c r="O74" s="33"/>
    </row>
    <row r="75" ht="15.75" customHeight="1">
      <c r="A75" s="21"/>
      <c r="B75" s="60"/>
      <c r="C75" s="61"/>
      <c r="D75" s="62"/>
      <c r="E75" s="42"/>
      <c r="F75" s="59"/>
      <c r="G75" s="156"/>
      <c r="H75" s="28">
        <f t="shared" si="13"/>
        <v>0</v>
      </c>
      <c r="I75" s="29">
        <f t="shared" si="14"/>
        <v>0</v>
      </c>
      <c r="J75" s="30">
        <f t="shared" si="15"/>
        <v>0</v>
      </c>
      <c r="K75" s="31">
        <f t="shared" si="16"/>
        <v>0</v>
      </c>
      <c r="L75" s="30">
        <f t="shared" si="17"/>
        <v>0</v>
      </c>
      <c r="M75" s="31">
        <f t="shared" si="18"/>
        <v>0</v>
      </c>
      <c r="N75" s="32"/>
      <c r="O75" s="33"/>
    </row>
    <row r="76" ht="15.75" customHeight="1">
      <c r="A76" s="21"/>
      <c r="B76" s="44"/>
      <c r="C76" s="61"/>
      <c r="D76" s="62"/>
      <c r="E76" s="42"/>
      <c r="F76" s="59"/>
      <c r="G76" s="34"/>
      <c r="H76" s="28">
        <f t="shared" si="13"/>
        <v>0</v>
      </c>
      <c r="I76" s="29">
        <f t="shared" si="14"/>
        <v>0</v>
      </c>
      <c r="J76" s="30">
        <f t="shared" si="15"/>
        <v>0</v>
      </c>
      <c r="K76" s="31">
        <f t="shared" si="16"/>
        <v>0</v>
      </c>
      <c r="L76" s="30">
        <f t="shared" si="17"/>
        <v>0</v>
      </c>
      <c r="M76" s="31">
        <f t="shared" si="18"/>
        <v>0</v>
      </c>
      <c r="N76" s="32"/>
      <c r="O76" s="33"/>
    </row>
    <row r="77" ht="15.75" customHeight="1">
      <c r="A77" s="21"/>
      <c r="B77" s="44"/>
      <c r="C77" s="61"/>
      <c r="D77" s="63"/>
      <c r="E77" s="42"/>
      <c r="F77" s="59"/>
      <c r="G77" s="34"/>
      <c r="H77" s="28">
        <f t="shared" si="13"/>
        <v>0</v>
      </c>
      <c r="I77" s="29">
        <f t="shared" si="14"/>
        <v>0</v>
      </c>
      <c r="J77" s="30">
        <f t="shared" si="15"/>
        <v>0</v>
      </c>
      <c r="K77" s="31">
        <f t="shared" si="16"/>
        <v>0</v>
      </c>
      <c r="L77" s="30">
        <f t="shared" si="17"/>
        <v>0</v>
      </c>
      <c r="M77" s="31">
        <f t="shared" si="18"/>
        <v>0</v>
      </c>
      <c r="N77" s="32"/>
      <c r="O77" s="33"/>
    </row>
    <row r="78" ht="15.75" customHeight="1">
      <c r="A78" s="21"/>
      <c r="B78" s="44"/>
      <c r="C78" s="61"/>
      <c r="D78" s="64"/>
      <c r="E78" s="42"/>
      <c r="F78" s="59"/>
      <c r="G78" s="34"/>
      <c r="H78" s="28"/>
      <c r="I78" s="29"/>
      <c r="J78" s="30"/>
      <c r="K78" s="31"/>
      <c r="L78" s="30"/>
      <c r="M78" s="31"/>
      <c r="N78" s="32"/>
      <c r="O78" s="33"/>
    </row>
    <row r="79" ht="15.75" customHeight="1">
      <c r="A79" s="21"/>
      <c r="B79" s="44"/>
      <c r="C79" s="61"/>
      <c r="D79" s="63"/>
      <c r="E79" s="65"/>
      <c r="F79" s="66"/>
      <c r="G79" s="34"/>
      <c r="H79" s="28">
        <f t="shared" ref="H79:H162" si="19">F79*0.5+F79</f>
        <v>0</v>
      </c>
      <c r="I79" s="29">
        <f t="shared" ref="I79:I162" si="20">F79*0.3+F79</f>
        <v>0</v>
      </c>
      <c r="J79" s="30">
        <f t="shared" ref="J79:J162" si="21">F79*0.3+F79</f>
        <v>0</v>
      </c>
      <c r="K79" s="31">
        <f t="shared" ref="K79:K162" si="22">F79*0.2+F79</f>
        <v>0</v>
      </c>
      <c r="L79" s="30">
        <f t="shared" ref="L79:L162" si="23">F79*0.15+F79</f>
        <v>0</v>
      </c>
      <c r="M79" s="31">
        <f t="shared" ref="M79:M162" si="24">F79*0.1+F79</f>
        <v>0</v>
      </c>
      <c r="N79" s="32"/>
      <c r="O79" s="33"/>
    </row>
    <row r="80" ht="15.75" customHeight="1">
      <c r="A80" s="21"/>
      <c r="B80" s="44"/>
      <c r="C80" s="61"/>
      <c r="D80" s="63"/>
      <c r="E80" s="42"/>
      <c r="F80" s="59"/>
      <c r="G80" s="34"/>
      <c r="H80" s="28">
        <f t="shared" si="19"/>
        <v>0</v>
      </c>
      <c r="I80" s="29">
        <f t="shared" si="20"/>
        <v>0</v>
      </c>
      <c r="J80" s="30">
        <f t="shared" si="21"/>
        <v>0</v>
      </c>
      <c r="K80" s="31">
        <f t="shared" si="22"/>
        <v>0</v>
      </c>
      <c r="L80" s="30">
        <f t="shared" si="23"/>
        <v>0</v>
      </c>
      <c r="M80" s="31">
        <f t="shared" si="24"/>
        <v>0</v>
      </c>
      <c r="N80" s="32"/>
      <c r="O80" s="33"/>
    </row>
    <row r="81" ht="15.75" customHeight="1">
      <c r="A81" s="21"/>
      <c r="B81" s="67"/>
      <c r="C81" s="61"/>
      <c r="D81" s="63"/>
      <c r="E81" s="68"/>
      <c r="F81" s="69"/>
      <c r="G81" s="34"/>
      <c r="H81" s="28">
        <f t="shared" si="19"/>
        <v>0</v>
      </c>
      <c r="I81" s="29">
        <f t="shared" si="20"/>
        <v>0</v>
      </c>
      <c r="J81" s="30">
        <f t="shared" si="21"/>
        <v>0</v>
      </c>
      <c r="K81" s="31">
        <f t="shared" si="22"/>
        <v>0</v>
      </c>
      <c r="L81" s="30">
        <f t="shared" si="23"/>
        <v>0</v>
      </c>
      <c r="M81" s="31">
        <f t="shared" si="24"/>
        <v>0</v>
      </c>
      <c r="N81" s="32"/>
      <c r="O81" s="33"/>
    </row>
    <row r="82" ht="15.75" customHeight="1">
      <c r="A82" s="21"/>
      <c r="B82" s="70"/>
      <c r="C82" s="61"/>
      <c r="D82" s="63"/>
      <c r="E82" s="71"/>
      <c r="F82" s="72"/>
      <c r="G82" s="34"/>
      <c r="H82" s="28">
        <f t="shared" si="19"/>
        <v>0</v>
      </c>
      <c r="I82" s="29">
        <f t="shared" si="20"/>
        <v>0</v>
      </c>
      <c r="J82" s="30">
        <f t="shared" si="21"/>
        <v>0</v>
      </c>
      <c r="K82" s="31">
        <f t="shared" si="22"/>
        <v>0</v>
      </c>
      <c r="L82" s="30">
        <f t="shared" si="23"/>
        <v>0</v>
      </c>
      <c r="M82" s="31">
        <f t="shared" si="24"/>
        <v>0</v>
      </c>
      <c r="N82" s="32"/>
      <c r="O82" s="33"/>
    </row>
    <row r="83" ht="14.25" customHeight="1">
      <c r="A83" s="21"/>
      <c r="B83" s="70"/>
      <c r="C83" s="61"/>
      <c r="D83" s="63"/>
      <c r="E83" s="71"/>
      <c r="F83" s="72"/>
      <c r="G83" s="34"/>
      <c r="H83" s="28">
        <f t="shared" si="19"/>
        <v>0</v>
      </c>
      <c r="I83" s="29">
        <f t="shared" si="20"/>
        <v>0</v>
      </c>
      <c r="J83" s="30">
        <f t="shared" si="21"/>
        <v>0</v>
      </c>
      <c r="K83" s="31">
        <f t="shared" si="22"/>
        <v>0</v>
      </c>
      <c r="L83" s="30">
        <f t="shared" si="23"/>
        <v>0</v>
      </c>
      <c r="M83" s="31">
        <f t="shared" si="24"/>
        <v>0</v>
      </c>
      <c r="N83" s="32"/>
      <c r="O83" s="33"/>
    </row>
    <row r="84" ht="15.75" customHeight="1">
      <c r="A84" s="21"/>
      <c r="B84" s="70"/>
      <c r="C84" s="61"/>
      <c r="D84" s="63"/>
      <c r="E84" s="73"/>
      <c r="F84" s="74"/>
      <c r="G84" s="34"/>
      <c r="H84" s="28">
        <f t="shared" si="19"/>
        <v>0</v>
      </c>
      <c r="I84" s="29">
        <f t="shared" si="20"/>
        <v>0</v>
      </c>
      <c r="J84" s="30">
        <f t="shared" si="21"/>
        <v>0</v>
      </c>
      <c r="K84" s="31">
        <f t="shared" si="22"/>
        <v>0</v>
      </c>
      <c r="L84" s="30">
        <f t="shared" si="23"/>
        <v>0</v>
      </c>
      <c r="M84" s="31">
        <f t="shared" si="24"/>
        <v>0</v>
      </c>
      <c r="N84" s="32"/>
      <c r="O84" s="33"/>
    </row>
    <row r="85" ht="15.75" customHeight="1">
      <c r="A85" s="21"/>
      <c r="B85" s="70"/>
      <c r="C85" s="61"/>
      <c r="D85" s="75"/>
      <c r="E85" s="71"/>
      <c r="F85" s="76"/>
      <c r="G85" s="157"/>
      <c r="H85" s="28">
        <f t="shared" si="19"/>
        <v>0</v>
      </c>
      <c r="I85" s="29">
        <f t="shared" si="20"/>
        <v>0</v>
      </c>
      <c r="J85" s="30">
        <f t="shared" si="21"/>
        <v>0</v>
      </c>
      <c r="K85" s="31">
        <f t="shared" si="22"/>
        <v>0</v>
      </c>
      <c r="L85" s="30">
        <f t="shared" si="23"/>
        <v>0</v>
      </c>
      <c r="M85" s="31">
        <f t="shared" si="24"/>
        <v>0</v>
      </c>
      <c r="N85" s="32"/>
      <c r="O85" s="33"/>
    </row>
    <row r="86" ht="23.25" customHeight="1">
      <c r="A86" s="21"/>
      <c r="B86" s="70"/>
      <c r="C86" s="61"/>
      <c r="D86" s="78"/>
      <c r="E86" s="71"/>
      <c r="F86" s="76"/>
      <c r="G86" s="157"/>
      <c r="H86" s="28">
        <f t="shared" si="19"/>
        <v>0</v>
      </c>
      <c r="I86" s="29">
        <f t="shared" si="20"/>
        <v>0</v>
      </c>
      <c r="J86" s="30">
        <f t="shared" si="21"/>
        <v>0</v>
      </c>
      <c r="K86" s="31">
        <f t="shared" si="22"/>
        <v>0</v>
      </c>
      <c r="L86" s="30">
        <f t="shared" si="23"/>
        <v>0</v>
      </c>
      <c r="M86" s="31">
        <f t="shared" si="24"/>
        <v>0</v>
      </c>
      <c r="N86" s="32"/>
      <c r="O86" s="33"/>
    </row>
    <row r="87" ht="15.75" customHeight="1">
      <c r="A87" s="21"/>
      <c r="B87" s="70"/>
      <c r="C87" s="61"/>
      <c r="D87" s="75"/>
      <c r="E87" s="71"/>
      <c r="F87" s="76"/>
      <c r="G87" s="157"/>
      <c r="H87" s="28">
        <f t="shared" si="19"/>
        <v>0</v>
      </c>
      <c r="I87" s="29">
        <f t="shared" si="20"/>
        <v>0</v>
      </c>
      <c r="J87" s="30">
        <f t="shared" si="21"/>
        <v>0</v>
      </c>
      <c r="K87" s="31">
        <f t="shared" si="22"/>
        <v>0</v>
      </c>
      <c r="L87" s="30">
        <f t="shared" si="23"/>
        <v>0</v>
      </c>
      <c r="M87" s="31">
        <f t="shared" si="24"/>
        <v>0</v>
      </c>
      <c r="N87" s="32"/>
      <c r="O87" s="33"/>
    </row>
    <row r="88" ht="15.75" customHeight="1">
      <c r="A88" s="21"/>
      <c r="B88" s="70"/>
      <c r="C88" s="61"/>
      <c r="D88" s="75"/>
      <c r="E88" s="71"/>
      <c r="F88" s="76"/>
      <c r="G88" s="157"/>
      <c r="H88" s="28">
        <f t="shared" si="19"/>
        <v>0</v>
      </c>
      <c r="I88" s="29">
        <f t="shared" si="20"/>
        <v>0</v>
      </c>
      <c r="J88" s="30">
        <f t="shared" si="21"/>
        <v>0</v>
      </c>
      <c r="K88" s="31">
        <f t="shared" si="22"/>
        <v>0</v>
      </c>
      <c r="L88" s="30">
        <f t="shared" si="23"/>
        <v>0</v>
      </c>
      <c r="M88" s="31">
        <f t="shared" si="24"/>
        <v>0</v>
      </c>
      <c r="N88" s="32"/>
      <c r="O88" s="33"/>
    </row>
    <row r="89" ht="15.75" customHeight="1">
      <c r="A89" s="21"/>
      <c r="B89" s="70"/>
      <c r="C89" s="61"/>
      <c r="D89" s="75"/>
      <c r="E89" s="71"/>
      <c r="F89" s="76"/>
      <c r="G89" s="157"/>
      <c r="H89" s="28">
        <f t="shared" si="19"/>
        <v>0</v>
      </c>
      <c r="I89" s="29">
        <f t="shared" si="20"/>
        <v>0</v>
      </c>
      <c r="J89" s="30">
        <f t="shared" si="21"/>
        <v>0</v>
      </c>
      <c r="K89" s="31">
        <f t="shared" si="22"/>
        <v>0</v>
      </c>
      <c r="L89" s="30">
        <f t="shared" si="23"/>
        <v>0</v>
      </c>
      <c r="M89" s="31">
        <f t="shared" si="24"/>
        <v>0</v>
      </c>
      <c r="N89" s="32"/>
      <c r="O89" s="33"/>
    </row>
    <row r="90" ht="15.75" customHeight="1">
      <c r="A90" s="21"/>
      <c r="B90" s="70"/>
      <c r="C90" s="61"/>
      <c r="D90" s="75"/>
      <c r="E90" s="71"/>
      <c r="F90" s="76"/>
      <c r="G90" s="157"/>
      <c r="H90" s="28">
        <f t="shared" si="19"/>
        <v>0</v>
      </c>
      <c r="I90" s="29">
        <f t="shared" si="20"/>
        <v>0</v>
      </c>
      <c r="J90" s="30">
        <f t="shared" si="21"/>
        <v>0</v>
      </c>
      <c r="K90" s="31">
        <f t="shared" si="22"/>
        <v>0</v>
      </c>
      <c r="L90" s="30">
        <f t="shared" si="23"/>
        <v>0</v>
      </c>
      <c r="M90" s="31">
        <f t="shared" si="24"/>
        <v>0</v>
      </c>
      <c r="N90" s="32"/>
      <c r="O90" s="33"/>
    </row>
    <row r="91" ht="15.75" customHeight="1">
      <c r="A91" s="21"/>
      <c r="B91" s="70"/>
      <c r="C91" s="61"/>
      <c r="D91" s="75"/>
      <c r="E91" s="71"/>
      <c r="F91" s="80"/>
      <c r="G91" s="157"/>
      <c r="H91" s="28">
        <f t="shared" si="19"/>
        <v>0</v>
      </c>
      <c r="I91" s="29">
        <f t="shared" si="20"/>
        <v>0</v>
      </c>
      <c r="J91" s="30">
        <f t="shared" si="21"/>
        <v>0</v>
      </c>
      <c r="K91" s="31">
        <f t="shared" si="22"/>
        <v>0</v>
      </c>
      <c r="L91" s="30">
        <f t="shared" si="23"/>
        <v>0</v>
      </c>
      <c r="M91" s="31">
        <f t="shared" si="24"/>
        <v>0</v>
      </c>
      <c r="N91" s="32"/>
      <c r="O91" s="33"/>
    </row>
    <row r="92" ht="15.75" customHeight="1">
      <c r="A92" s="21"/>
      <c r="B92" s="70"/>
      <c r="C92" s="61"/>
      <c r="D92" s="75"/>
      <c r="E92" s="71"/>
      <c r="F92" s="80"/>
      <c r="G92" s="157"/>
      <c r="H92" s="28">
        <f t="shared" si="19"/>
        <v>0</v>
      </c>
      <c r="I92" s="29">
        <f t="shared" si="20"/>
        <v>0</v>
      </c>
      <c r="J92" s="30">
        <f t="shared" si="21"/>
        <v>0</v>
      </c>
      <c r="K92" s="31">
        <f t="shared" si="22"/>
        <v>0</v>
      </c>
      <c r="L92" s="30">
        <f t="shared" si="23"/>
        <v>0</v>
      </c>
      <c r="M92" s="31">
        <f t="shared" si="24"/>
        <v>0</v>
      </c>
      <c r="N92" s="32"/>
      <c r="O92" s="33"/>
    </row>
    <row r="93" ht="15.75" customHeight="1">
      <c r="A93" s="35"/>
      <c r="B93" s="70"/>
      <c r="C93" s="61"/>
      <c r="D93" s="75"/>
      <c r="E93" s="71"/>
      <c r="F93" s="80"/>
      <c r="G93" s="157"/>
      <c r="H93" s="28">
        <f t="shared" si="19"/>
        <v>0</v>
      </c>
      <c r="I93" s="29">
        <f t="shared" si="20"/>
        <v>0</v>
      </c>
      <c r="J93" s="30">
        <f t="shared" si="21"/>
        <v>0</v>
      </c>
      <c r="K93" s="31">
        <f t="shared" si="22"/>
        <v>0</v>
      </c>
      <c r="L93" s="30">
        <f t="shared" si="23"/>
        <v>0</v>
      </c>
      <c r="M93" s="31">
        <f t="shared" si="24"/>
        <v>0</v>
      </c>
      <c r="N93" s="32"/>
      <c r="O93" s="33"/>
    </row>
    <row r="94" ht="15.75" customHeight="1">
      <c r="A94" s="21"/>
      <c r="B94" s="70"/>
      <c r="C94" s="81"/>
      <c r="D94" s="75"/>
      <c r="E94" s="71"/>
      <c r="F94" s="80"/>
      <c r="G94" s="157"/>
      <c r="H94" s="28">
        <f t="shared" si="19"/>
        <v>0</v>
      </c>
      <c r="I94" s="29">
        <f t="shared" si="20"/>
        <v>0</v>
      </c>
      <c r="J94" s="30">
        <f t="shared" si="21"/>
        <v>0</v>
      </c>
      <c r="K94" s="31">
        <f t="shared" si="22"/>
        <v>0</v>
      </c>
      <c r="L94" s="30">
        <f t="shared" si="23"/>
        <v>0</v>
      </c>
      <c r="M94" s="31">
        <f t="shared" si="24"/>
        <v>0</v>
      </c>
      <c r="N94" s="32"/>
      <c r="O94" s="33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ht="15.75" customHeight="1">
      <c r="A95" s="35"/>
      <c r="B95" s="70"/>
      <c r="C95" s="61"/>
      <c r="D95" s="75"/>
      <c r="E95" s="71"/>
      <c r="F95" s="80"/>
      <c r="G95" s="157"/>
      <c r="H95" s="28">
        <f t="shared" si="19"/>
        <v>0</v>
      </c>
      <c r="I95" s="29">
        <f t="shared" si="20"/>
        <v>0</v>
      </c>
      <c r="J95" s="30">
        <f t="shared" si="21"/>
        <v>0</v>
      </c>
      <c r="K95" s="31">
        <f t="shared" si="22"/>
        <v>0</v>
      </c>
      <c r="L95" s="30">
        <f t="shared" si="23"/>
        <v>0</v>
      </c>
      <c r="M95" s="31">
        <f t="shared" si="24"/>
        <v>0</v>
      </c>
      <c r="N95" s="32"/>
      <c r="O95" s="33"/>
    </row>
    <row r="96" ht="15.75" customHeight="1">
      <c r="A96" s="35"/>
      <c r="B96" s="70"/>
      <c r="C96" s="61"/>
      <c r="D96" s="75"/>
      <c r="E96" s="71"/>
      <c r="F96" s="80"/>
      <c r="G96" s="157"/>
      <c r="H96" s="28">
        <f t="shared" si="19"/>
        <v>0</v>
      </c>
      <c r="I96" s="29">
        <f t="shared" si="20"/>
        <v>0</v>
      </c>
      <c r="J96" s="30">
        <f t="shared" si="21"/>
        <v>0</v>
      </c>
      <c r="K96" s="31">
        <f t="shared" si="22"/>
        <v>0</v>
      </c>
      <c r="L96" s="30">
        <f t="shared" si="23"/>
        <v>0</v>
      </c>
      <c r="M96" s="31">
        <f t="shared" si="24"/>
        <v>0</v>
      </c>
      <c r="N96" s="32"/>
      <c r="O96" s="33"/>
    </row>
    <row r="97" ht="15.75" customHeight="1">
      <c r="A97" s="21"/>
      <c r="B97" s="70"/>
      <c r="C97" s="61"/>
      <c r="D97" s="75"/>
      <c r="E97" s="71"/>
      <c r="F97" s="80"/>
      <c r="G97" s="157"/>
      <c r="H97" s="28">
        <f t="shared" si="19"/>
        <v>0</v>
      </c>
      <c r="I97" s="29">
        <f t="shared" si="20"/>
        <v>0</v>
      </c>
      <c r="J97" s="30">
        <f t="shared" si="21"/>
        <v>0</v>
      </c>
      <c r="K97" s="31">
        <f t="shared" si="22"/>
        <v>0</v>
      </c>
      <c r="L97" s="30">
        <f t="shared" si="23"/>
        <v>0</v>
      </c>
      <c r="M97" s="31">
        <f t="shared" si="24"/>
        <v>0</v>
      </c>
      <c r="N97" s="32"/>
      <c r="O97" s="33"/>
    </row>
    <row r="98" ht="15.75" customHeight="1">
      <c r="A98" s="35"/>
      <c r="B98" s="70"/>
      <c r="C98" s="61"/>
      <c r="D98" s="75"/>
      <c r="E98" s="71"/>
      <c r="F98" s="80"/>
      <c r="G98" s="157"/>
      <c r="H98" s="28">
        <f t="shared" si="19"/>
        <v>0</v>
      </c>
      <c r="I98" s="29">
        <f t="shared" si="20"/>
        <v>0</v>
      </c>
      <c r="J98" s="30">
        <f t="shared" si="21"/>
        <v>0</v>
      </c>
      <c r="K98" s="31">
        <f t="shared" si="22"/>
        <v>0</v>
      </c>
      <c r="L98" s="30">
        <f t="shared" si="23"/>
        <v>0</v>
      </c>
      <c r="M98" s="31">
        <f t="shared" si="24"/>
        <v>0</v>
      </c>
      <c r="N98" s="32"/>
      <c r="O98" s="33"/>
    </row>
    <row r="99" ht="15.75" customHeight="1">
      <c r="A99" s="21"/>
      <c r="B99" s="70"/>
      <c r="C99" s="61"/>
      <c r="D99" s="75"/>
      <c r="E99" s="71"/>
      <c r="F99" s="80"/>
      <c r="G99" s="157"/>
      <c r="H99" s="28">
        <f t="shared" si="19"/>
        <v>0</v>
      </c>
      <c r="I99" s="29">
        <f t="shared" si="20"/>
        <v>0</v>
      </c>
      <c r="J99" s="30">
        <f t="shared" si="21"/>
        <v>0</v>
      </c>
      <c r="K99" s="31">
        <f t="shared" si="22"/>
        <v>0</v>
      </c>
      <c r="L99" s="30">
        <f t="shared" si="23"/>
        <v>0</v>
      </c>
      <c r="M99" s="31">
        <f t="shared" si="24"/>
        <v>0</v>
      </c>
      <c r="N99" s="32"/>
      <c r="O99" s="33"/>
    </row>
    <row r="100" ht="15.75" customHeight="1">
      <c r="A100" s="35"/>
      <c r="B100" s="70"/>
      <c r="C100" s="61"/>
      <c r="D100" s="75"/>
      <c r="E100" s="71"/>
      <c r="F100" s="80"/>
      <c r="G100" s="157"/>
      <c r="H100" s="28">
        <f t="shared" si="19"/>
        <v>0</v>
      </c>
      <c r="I100" s="29">
        <f t="shared" si="20"/>
        <v>0</v>
      </c>
      <c r="J100" s="30">
        <f t="shared" si="21"/>
        <v>0</v>
      </c>
      <c r="K100" s="31">
        <f t="shared" si="22"/>
        <v>0</v>
      </c>
      <c r="L100" s="30">
        <f t="shared" si="23"/>
        <v>0</v>
      </c>
      <c r="M100" s="31">
        <f t="shared" si="24"/>
        <v>0</v>
      </c>
      <c r="N100" s="32"/>
      <c r="O100" s="33"/>
    </row>
    <row r="101" ht="15.75" customHeight="1">
      <c r="A101" s="21"/>
      <c r="B101" s="70"/>
      <c r="C101" s="61"/>
      <c r="D101" s="75"/>
      <c r="E101" s="71"/>
      <c r="F101" s="80"/>
      <c r="G101" s="157"/>
      <c r="H101" s="28">
        <f t="shared" si="19"/>
        <v>0</v>
      </c>
      <c r="I101" s="29">
        <f t="shared" si="20"/>
        <v>0</v>
      </c>
      <c r="J101" s="30">
        <f t="shared" si="21"/>
        <v>0</v>
      </c>
      <c r="K101" s="31">
        <f t="shared" si="22"/>
        <v>0</v>
      </c>
      <c r="L101" s="30">
        <f t="shared" si="23"/>
        <v>0</v>
      </c>
      <c r="M101" s="31">
        <f t="shared" si="24"/>
        <v>0</v>
      </c>
      <c r="N101" s="32"/>
      <c r="O101" s="33"/>
    </row>
    <row r="102" ht="15.75" customHeight="1">
      <c r="A102" s="21"/>
      <c r="B102" s="70"/>
      <c r="C102" s="61"/>
      <c r="D102" s="75"/>
      <c r="E102" s="71"/>
      <c r="F102" s="80"/>
      <c r="G102" s="157"/>
      <c r="H102" s="28">
        <f t="shared" si="19"/>
        <v>0</v>
      </c>
      <c r="I102" s="29">
        <f t="shared" si="20"/>
        <v>0</v>
      </c>
      <c r="J102" s="30">
        <f t="shared" si="21"/>
        <v>0</v>
      </c>
      <c r="K102" s="31">
        <f t="shared" si="22"/>
        <v>0</v>
      </c>
      <c r="L102" s="30">
        <f t="shared" si="23"/>
        <v>0</v>
      </c>
      <c r="M102" s="31">
        <f t="shared" si="24"/>
        <v>0</v>
      </c>
      <c r="N102" s="32"/>
      <c r="O102" s="33"/>
    </row>
    <row r="103" ht="15.75" customHeight="1">
      <c r="A103" s="21"/>
      <c r="B103" s="70"/>
      <c r="C103" s="61"/>
      <c r="D103" s="75"/>
      <c r="E103" s="71"/>
      <c r="F103" s="80"/>
      <c r="G103" s="157"/>
      <c r="H103" s="28">
        <f t="shared" si="19"/>
        <v>0</v>
      </c>
      <c r="I103" s="29">
        <f t="shared" si="20"/>
        <v>0</v>
      </c>
      <c r="J103" s="30">
        <f t="shared" si="21"/>
        <v>0</v>
      </c>
      <c r="K103" s="31">
        <f t="shared" si="22"/>
        <v>0</v>
      </c>
      <c r="L103" s="30">
        <f t="shared" si="23"/>
        <v>0</v>
      </c>
      <c r="M103" s="31">
        <f t="shared" si="24"/>
        <v>0</v>
      </c>
      <c r="N103" s="32"/>
      <c r="O103" s="33"/>
    </row>
    <row r="104" ht="15.75" customHeight="1">
      <c r="A104" s="21"/>
      <c r="B104" s="70"/>
      <c r="C104" s="61"/>
      <c r="D104" s="75"/>
      <c r="E104" s="71"/>
      <c r="F104" s="80"/>
      <c r="G104" s="157"/>
      <c r="H104" s="28">
        <f t="shared" si="19"/>
        <v>0</v>
      </c>
      <c r="I104" s="29">
        <f t="shared" si="20"/>
        <v>0</v>
      </c>
      <c r="J104" s="30">
        <f t="shared" si="21"/>
        <v>0</v>
      </c>
      <c r="K104" s="31">
        <f t="shared" si="22"/>
        <v>0</v>
      </c>
      <c r="L104" s="30">
        <f t="shared" si="23"/>
        <v>0</v>
      </c>
      <c r="M104" s="31">
        <f t="shared" si="24"/>
        <v>0</v>
      </c>
      <c r="N104" s="32"/>
      <c r="O104" s="33"/>
    </row>
    <row r="105" ht="15.75" customHeight="1">
      <c r="A105" s="21"/>
      <c r="B105" s="70"/>
      <c r="C105" s="61"/>
      <c r="D105" s="75"/>
      <c r="E105" s="71"/>
      <c r="F105" s="80"/>
      <c r="G105" s="157"/>
      <c r="H105" s="28">
        <f t="shared" si="19"/>
        <v>0</v>
      </c>
      <c r="I105" s="29">
        <f t="shared" si="20"/>
        <v>0</v>
      </c>
      <c r="J105" s="30">
        <f t="shared" si="21"/>
        <v>0</v>
      </c>
      <c r="K105" s="31">
        <f t="shared" si="22"/>
        <v>0</v>
      </c>
      <c r="L105" s="30">
        <f t="shared" si="23"/>
        <v>0</v>
      </c>
      <c r="M105" s="31">
        <f t="shared" si="24"/>
        <v>0</v>
      </c>
      <c r="N105" s="32"/>
      <c r="O105" s="33"/>
    </row>
    <row r="106" ht="15.75" customHeight="1">
      <c r="A106" s="21"/>
      <c r="B106" s="70"/>
      <c r="C106" s="61"/>
      <c r="D106" s="75"/>
      <c r="E106" s="71"/>
      <c r="F106" s="80"/>
      <c r="G106" s="157"/>
      <c r="H106" s="28">
        <f t="shared" si="19"/>
        <v>0</v>
      </c>
      <c r="I106" s="29">
        <f t="shared" si="20"/>
        <v>0</v>
      </c>
      <c r="J106" s="30">
        <f t="shared" si="21"/>
        <v>0</v>
      </c>
      <c r="K106" s="31">
        <f t="shared" si="22"/>
        <v>0</v>
      </c>
      <c r="L106" s="30">
        <f t="shared" si="23"/>
        <v>0</v>
      </c>
      <c r="M106" s="31">
        <f t="shared" si="24"/>
        <v>0</v>
      </c>
      <c r="N106" s="32"/>
      <c r="O106" s="33"/>
    </row>
    <row r="107" ht="15.75" customHeight="1">
      <c r="A107" s="21"/>
      <c r="B107" s="70"/>
      <c r="C107" s="61"/>
      <c r="D107" s="75"/>
      <c r="E107" s="71"/>
      <c r="F107" s="80"/>
      <c r="G107" s="157"/>
      <c r="H107" s="28">
        <f t="shared" si="19"/>
        <v>0</v>
      </c>
      <c r="I107" s="29">
        <f t="shared" si="20"/>
        <v>0</v>
      </c>
      <c r="J107" s="30">
        <f t="shared" si="21"/>
        <v>0</v>
      </c>
      <c r="K107" s="31">
        <f t="shared" si="22"/>
        <v>0</v>
      </c>
      <c r="L107" s="30">
        <f t="shared" si="23"/>
        <v>0</v>
      </c>
      <c r="M107" s="31">
        <f t="shared" si="24"/>
        <v>0</v>
      </c>
      <c r="N107" s="32"/>
      <c r="O107" s="33"/>
    </row>
    <row r="108" ht="15.75" customHeight="1">
      <c r="A108" s="21"/>
      <c r="B108" s="70"/>
      <c r="C108" s="61"/>
      <c r="D108" s="35"/>
      <c r="E108" s="71"/>
      <c r="F108" s="72"/>
      <c r="G108" s="85"/>
      <c r="H108" s="28">
        <f t="shared" si="19"/>
        <v>0</v>
      </c>
      <c r="I108" s="29">
        <f t="shared" si="20"/>
        <v>0</v>
      </c>
      <c r="J108" s="30">
        <f t="shared" si="21"/>
        <v>0</v>
      </c>
      <c r="K108" s="31">
        <f t="shared" si="22"/>
        <v>0</v>
      </c>
      <c r="L108" s="30">
        <f t="shared" si="23"/>
        <v>0</v>
      </c>
      <c r="M108" s="31">
        <f t="shared" si="24"/>
        <v>0</v>
      </c>
      <c r="N108" s="32"/>
      <c r="O108" s="33"/>
    </row>
    <row r="109" ht="15.75" customHeight="1">
      <c r="A109" s="21"/>
      <c r="B109" s="70"/>
      <c r="C109" s="81"/>
      <c r="D109" s="35"/>
      <c r="E109" s="71"/>
      <c r="F109" s="72"/>
      <c r="G109" s="85"/>
      <c r="H109" s="28">
        <f t="shared" si="19"/>
        <v>0</v>
      </c>
      <c r="I109" s="29">
        <f t="shared" si="20"/>
        <v>0</v>
      </c>
      <c r="J109" s="30">
        <f t="shared" si="21"/>
        <v>0</v>
      </c>
      <c r="K109" s="31">
        <f t="shared" si="22"/>
        <v>0</v>
      </c>
      <c r="L109" s="30">
        <f t="shared" si="23"/>
        <v>0</v>
      </c>
      <c r="M109" s="31">
        <f t="shared" si="24"/>
        <v>0</v>
      </c>
      <c r="N109" s="32"/>
      <c r="O109" s="86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ht="15.75" customHeight="1">
      <c r="A110" s="87"/>
      <c r="B110" s="70"/>
      <c r="C110" s="61"/>
      <c r="D110" s="35"/>
      <c r="E110" s="71"/>
      <c r="F110" s="72"/>
      <c r="G110" s="85"/>
      <c r="H110" s="28">
        <f t="shared" si="19"/>
        <v>0</v>
      </c>
      <c r="I110" s="29">
        <f t="shared" si="20"/>
        <v>0</v>
      </c>
      <c r="J110" s="30">
        <f t="shared" si="21"/>
        <v>0</v>
      </c>
      <c r="K110" s="31">
        <f t="shared" si="22"/>
        <v>0</v>
      </c>
      <c r="L110" s="30">
        <f t="shared" si="23"/>
        <v>0</v>
      </c>
      <c r="M110" s="31">
        <f t="shared" si="24"/>
        <v>0</v>
      </c>
      <c r="N110" s="32"/>
      <c r="O110" s="33"/>
    </row>
    <row r="111" ht="15.75" customHeight="1">
      <c r="A111" s="87"/>
      <c r="B111" s="70"/>
      <c r="C111" s="61"/>
      <c r="D111" s="35"/>
      <c r="E111" s="71"/>
      <c r="F111" s="72"/>
      <c r="G111" s="85"/>
      <c r="H111" s="28">
        <f t="shared" si="19"/>
        <v>0</v>
      </c>
      <c r="I111" s="29">
        <f t="shared" si="20"/>
        <v>0</v>
      </c>
      <c r="J111" s="30">
        <f t="shared" si="21"/>
        <v>0</v>
      </c>
      <c r="K111" s="31">
        <f t="shared" si="22"/>
        <v>0</v>
      </c>
      <c r="L111" s="30">
        <f t="shared" si="23"/>
        <v>0</v>
      </c>
      <c r="M111" s="31">
        <f t="shared" si="24"/>
        <v>0</v>
      </c>
      <c r="N111" s="32"/>
      <c r="O111" s="33"/>
    </row>
    <row r="112" ht="15.75" customHeight="1">
      <c r="A112" s="87"/>
      <c r="B112" s="70"/>
      <c r="C112" s="61"/>
      <c r="D112" s="35"/>
      <c r="E112" s="71"/>
      <c r="F112" s="72"/>
      <c r="G112" s="85"/>
      <c r="H112" s="28">
        <f t="shared" si="19"/>
        <v>0</v>
      </c>
      <c r="I112" s="29">
        <f t="shared" si="20"/>
        <v>0</v>
      </c>
      <c r="J112" s="30">
        <f t="shared" si="21"/>
        <v>0</v>
      </c>
      <c r="K112" s="31">
        <f t="shared" si="22"/>
        <v>0</v>
      </c>
      <c r="L112" s="30">
        <f t="shared" si="23"/>
        <v>0</v>
      </c>
      <c r="M112" s="31">
        <f t="shared" si="24"/>
        <v>0</v>
      </c>
      <c r="N112" s="32"/>
      <c r="O112" s="33"/>
    </row>
    <row r="113" ht="15.75" customHeight="1">
      <c r="A113" s="87"/>
      <c r="B113" s="70"/>
      <c r="C113" s="61"/>
      <c r="D113" s="35"/>
      <c r="E113" s="71"/>
      <c r="F113" s="72"/>
      <c r="G113" s="85"/>
      <c r="H113" s="28">
        <f t="shared" si="19"/>
        <v>0</v>
      </c>
      <c r="I113" s="29">
        <f t="shared" si="20"/>
        <v>0</v>
      </c>
      <c r="J113" s="30">
        <f t="shared" si="21"/>
        <v>0</v>
      </c>
      <c r="K113" s="31">
        <f t="shared" si="22"/>
        <v>0</v>
      </c>
      <c r="L113" s="30">
        <f t="shared" si="23"/>
        <v>0</v>
      </c>
      <c r="M113" s="31">
        <f t="shared" si="24"/>
        <v>0</v>
      </c>
      <c r="N113" s="32"/>
      <c r="O113" s="86"/>
    </row>
    <row r="114" ht="15.75" customHeight="1">
      <c r="A114" s="87"/>
      <c r="B114" s="70"/>
      <c r="C114" s="61"/>
      <c r="D114" s="35"/>
      <c r="E114" s="71"/>
      <c r="F114" s="72"/>
      <c r="G114" s="85"/>
      <c r="H114" s="28">
        <f t="shared" si="19"/>
        <v>0</v>
      </c>
      <c r="I114" s="29">
        <f t="shared" si="20"/>
        <v>0</v>
      </c>
      <c r="J114" s="30">
        <f t="shared" si="21"/>
        <v>0</v>
      </c>
      <c r="K114" s="31">
        <f t="shared" si="22"/>
        <v>0</v>
      </c>
      <c r="L114" s="30">
        <f t="shared" si="23"/>
        <v>0</v>
      </c>
      <c r="M114" s="31">
        <f t="shared" si="24"/>
        <v>0</v>
      </c>
      <c r="N114" s="32"/>
      <c r="O114" s="86"/>
    </row>
    <row r="115" ht="15.75" customHeight="1">
      <c r="A115" s="87"/>
      <c r="B115" s="70"/>
      <c r="C115" s="61"/>
      <c r="D115" s="35"/>
      <c r="E115" s="71"/>
      <c r="F115" s="72"/>
      <c r="G115" s="85"/>
      <c r="H115" s="28">
        <f t="shared" si="19"/>
        <v>0</v>
      </c>
      <c r="I115" s="29">
        <f t="shared" si="20"/>
        <v>0</v>
      </c>
      <c r="J115" s="30">
        <f t="shared" si="21"/>
        <v>0</v>
      </c>
      <c r="K115" s="31">
        <f t="shared" si="22"/>
        <v>0</v>
      </c>
      <c r="L115" s="30">
        <f t="shared" si="23"/>
        <v>0</v>
      </c>
      <c r="M115" s="31">
        <f t="shared" si="24"/>
        <v>0</v>
      </c>
      <c r="N115" s="32"/>
      <c r="O115" s="86"/>
    </row>
    <row r="116" ht="15.75" customHeight="1">
      <c r="A116" s="87"/>
      <c r="B116" s="70"/>
      <c r="C116" s="61"/>
      <c r="D116" s="35"/>
      <c r="E116" s="71"/>
      <c r="F116" s="72"/>
      <c r="G116" s="85"/>
      <c r="H116" s="28">
        <f t="shared" si="19"/>
        <v>0</v>
      </c>
      <c r="I116" s="29">
        <f t="shared" si="20"/>
        <v>0</v>
      </c>
      <c r="J116" s="30">
        <f t="shared" si="21"/>
        <v>0</v>
      </c>
      <c r="K116" s="31">
        <f t="shared" si="22"/>
        <v>0</v>
      </c>
      <c r="L116" s="30">
        <f t="shared" si="23"/>
        <v>0</v>
      </c>
      <c r="M116" s="31">
        <f t="shared" si="24"/>
        <v>0</v>
      </c>
      <c r="N116" s="32"/>
      <c r="O116" s="86"/>
    </row>
    <row r="117" ht="15.75" customHeight="1">
      <c r="A117" s="87"/>
      <c r="B117" s="70"/>
      <c r="C117" s="61"/>
      <c r="D117" s="35"/>
      <c r="E117" s="71"/>
      <c r="F117" s="72"/>
      <c r="G117" s="85"/>
      <c r="H117" s="28">
        <f t="shared" si="19"/>
        <v>0</v>
      </c>
      <c r="I117" s="29">
        <f t="shared" si="20"/>
        <v>0</v>
      </c>
      <c r="J117" s="30">
        <f t="shared" si="21"/>
        <v>0</v>
      </c>
      <c r="K117" s="31">
        <f t="shared" si="22"/>
        <v>0</v>
      </c>
      <c r="L117" s="30">
        <f t="shared" si="23"/>
        <v>0</v>
      </c>
      <c r="M117" s="31">
        <f t="shared" si="24"/>
        <v>0</v>
      </c>
      <c r="N117" s="32"/>
      <c r="O117" s="86"/>
    </row>
    <row r="118" ht="15.75" customHeight="1">
      <c r="A118" s="87"/>
      <c r="B118" s="70"/>
      <c r="C118" s="61"/>
      <c r="D118" s="35"/>
      <c r="E118" s="71"/>
      <c r="F118" s="72"/>
      <c r="G118" s="85"/>
      <c r="H118" s="28">
        <f t="shared" si="19"/>
        <v>0</v>
      </c>
      <c r="I118" s="29">
        <f t="shared" si="20"/>
        <v>0</v>
      </c>
      <c r="J118" s="30">
        <f t="shared" si="21"/>
        <v>0</v>
      </c>
      <c r="K118" s="31">
        <f t="shared" si="22"/>
        <v>0</v>
      </c>
      <c r="L118" s="30">
        <f t="shared" si="23"/>
        <v>0</v>
      </c>
      <c r="M118" s="31">
        <f t="shared" si="24"/>
        <v>0</v>
      </c>
      <c r="N118" s="32"/>
      <c r="O118" s="86"/>
    </row>
    <row r="119" ht="15.75" customHeight="1">
      <c r="A119" s="87"/>
      <c r="B119" s="70"/>
      <c r="C119" s="61"/>
      <c r="D119" s="35"/>
      <c r="E119" s="71"/>
      <c r="F119" s="72"/>
      <c r="G119" s="85"/>
      <c r="H119" s="28">
        <f t="shared" si="19"/>
        <v>0</v>
      </c>
      <c r="I119" s="29">
        <f t="shared" si="20"/>
        <v>0</v>
      </c>
      <c r="J119" s="30">
        <f t="shared" si="21"/>
        <v>0</v>
      </c>
      <c r="K119" s="31">
        <f t="shared" si="22"/>
        <v>0</v>
      </c>
      <c r="L119" s="30">
        <f t="shared" si="23"/>
        <v>0</v>
      </c>
      <c r="M119" s="31">
        <f t="shared" si="24"/>
        <v>0</v>
      </c>
      <c r="N119" s="32"/>
      <c r="O119" s="86"/>
    </row>
    <row r="120" ht="15.75" customHeight="1">
      <c r="A120" s="87"/>
      <c r="B120" s="70"/>
      <c r="C120" s="61"/>
      <c r="D120" s="35"/>
      <c r="E120" s="71"/>
      <c r="F120" s="72"/>
      <c r="G120" s="85"/>
      <c r="H120" s="28">
        <f t="shared" si="19"/>
        <v>0</v>
      </c>
      <c r="I120" s="29">
        <f t="shared" si="20"/>
        <v>0</v>
      </c>
      <c r="J120" s="30">
        <f t="shared" si="21"/>
        <v>0</v>
      </c>
      <c r="K120" s="31">
        <f t="shared" si="22"/>
        <v>0</v>
      </c>
      <c r="L120" s="30">
        <f t="shared" si="23"/>
        <v>0</v>
      </c>
      <c r="M120" s="31">
        <f t="shared" si="24"/>
        <v>0</v>
      </c>
      <c r="N120" s="32"/>
      <c r="O120" s="86"/>
    </row>
    <row r="121" ht="15.75" customHeight="1">
      <c r="A121" s="87"/>
      <c r="B121" s="70"/>
      <c r="C121" s="61"/>
      <c r="D121" s="35"/>
      <c r="E121" s="71"/>
      <c r="F121" s="72"/>
      <c r="G121" s="85"/>
      <c r="H121" s="28">
        <f t="shared" si="19"/>
        <v>0</v>
      </c>
      <c r="I121" s="29">
        <f t="shared" si="20"/>
        <v>0</v>
      </c>
      <c r="J121" s="30">
        <f t="shared" si="21"/>
        <v>0</v>
      </c>
      <c r="K121" s="31">
        <f t="shared" si="22"/>
        <v>0</v>
      </c>
      <c r="L121" s="30">
        <f t="shared" si="23"/>
        <v>0</v>
      </c>
      <c r="M121" s="31">
        <f t="shared" si="24"/>
        <v>0</v>
      </c>
      <c r="N121" s="32"/>
      <c r="O121" s="86"/>
    </row>
    <row r="122" ht="15.75" customHeight="1">
      <c r="A122" s="87"/>
      <c r="B122" s="70"/>
      <c r="C122" s="61"/>
      <c r="D122" s="35"/>
      <c r="E122" s="71"/>
      <c r="F122" s="72"/>
      <c r="G122" s="85"/>
      <c r="H122" s="28">
        <f t="shared" si="19"/>
        <v>0</v>
      </c>
      <c r="I122" s="29">
        <f t="shared" si="20"/>
        <v>0</v>
      </c>
      <c r="J122" s="30">
        <f t="shared" si="21"/>
        <v>0</v>
      </c>
      <c r="K122" s="31">
        <f t="shared" si="22"/>
        <v>0</v>
      </c>
      <c r="L122" s="30">
        <f t="shared" si="23"/>
        <v>0</v>
      </c>
      <c r="M122" s="31">
        <f t="shared" si="24"/>
        <v>0</v>
      </c>
      <c r="N122" s="32"/>
      <c r="O122" s="86"/>
    </row>
    <row r="123" ht="15.75" customHeight="1">
      <c r="A123" s="87"/>
      <c r="B123" s="70"/>
      <c r="C123" s="61"/>
      <c r="D123" s="35"/>
      <c r="E123" s="71"/>
      <c r="F123" s="72"/>
      <c r="G123" s="85"/>
      <c r="H123" s="28">
        <f t="shared" si="19"/>
        <v>0</v>
      </c>
      <c r="I123" s="29">
        <f t="shared" si="20"/>
        <v>0</v>
      </c>
      <c r="J123" s="30">
        <f t="shared" si="21"/>
        <v>0</v>
      </c>
      <c r="K123" s="31">
        <f t="shared" si="22"/>
        <v>0</v>
      </c>
      <c r="L123" s="30">
        <f t="shared" si="23"/>
        <v>0</v>
      </c>
      <c r="M123" s="31">
        <f t="shared" si="24"/>
        <v>0</v>
      </c>
      <c r="N123" s="32"/>
      <c r="O123" s="86"/>
    </row>
    <row r="124" ht="15.75" customHeight="1">
      <c r="A124" s="87"/>
      <c r="B124" s="88"/>
      <c r="C124" s="61"/>
      <c r="D124" s="35"/>
      <c r="E124" s="71"/>
      <c r="F124" s="72"/>
      <c r="G124" s="85"/>
      <c r="H124" s="28">
        <f t="shared" si="19"/>
        <v>0</v>
      </c>
      <c r="I124" s="29">
        <f t="shared" si="20"/>
        <v>0</v>
      </c>
      <c r="J124" s="30">
        <f t="shared" si="21"/>
        <v>0</v>
      </c>
      <c r="K124" s="31">
        <f t="shared" si="22"/>
        <v>0</v>
      </c>
      <c r="L124" s="30">
        <f t="shared" si="23"/>
        <v>0</v>
      </c>
      <c r="M124" s="31">
        <f t="shared" si="24"/>
        <v>0</v>
      </c>
      <c r="N124" s="32"/>
      <c r="O124" s="86"/>
    </row>
    <row r="125" ht="15.75" customHeight="1">
      <c r="A125" s="87"/>
      <c r="B125" s="88"/>
      <c r="C125" s="61"/>
      <c r="D125" s="35"/>
      <c r="E125" s="71"/>
      <c r="F125" s="72"/>
      <c r="G125" s="85"/>
      <c r="H125" s="28">
        <f t="shared" si="19"/>
        <v>0</v>
      </c>
      <c r="I125" s="29">
        <f t="shared" si="20"/>
        <v>0</v>
      </c>
      <c r="J125" s="30">
        <f t="shared" si="21"/>
        <v>0</v>
      </c>
      <c r="K125" s="31">
        <f t="shared" si="22"/>
        <v>0</v>
      </c>
      <c r="L125" s="30">
        <f t="shared" si="23"/>
        <v>0</v>
      </c>
      <c r="M125" s="31">
        <f t="shared" si="24"/>
        <v>0</v>
      </c>
      <c r="N125" s="32"/>
      <c r="O125" s="86"/>
    </row>
    <row r="126" ht="15.75" customHeight="1">
      <c r="A126" s="89"/>
      <c r="B126" s="88"/>
      <c r="C126" s="61"/>
      <c r="D126" s="35"/>
      <c r="E126" s="71"/>
      <c r="F126" s="72"/>
      <c r="G126" s="85"/>
      <c r="H126" s="28">
        <f t="shared" si="19"/>
        <v>0</v>
      </c>
      <c r="I126" s="29">
        <f t="shared" si="20"/>
        <v>0</v>
      </c>
      <c r="J126" s="30">
        <f t="shared" si="21"/>
        <v>0</v>
      </c>
      <c r="K126" s="31">
        <f t="shared" si="22"/>
        <v>0</v>
      </c>
      <c r="L126" s="30">
        <f t="shared" si="23"/>
        <v>0</v>
      </c>
      <c r="M126" s="31">
        <f t="shared" si="24"/>
        <v>0</v>
      </c>
      <c r="N126" s="32"/>
      <c r="O126" s="86"/>
    </row>
    <row r="127" ht="15.75" customHeight="1">
      <c r="A127" s="89"/>
      <c r="B127" s="88"/>
      <c r="C127" s="61"/>
      <c r="D127" s="35"/>
      <c r="E127" s="71"/>
      <c r="F127" s="72"/>
      <c r="G127" s="85"/>
      <c r="H127" s="28">
        <f t="shared" si="19"/>
        <v>0</v>
      </c>
      <c r="I127" s="29">
        <f t="shared" si="20"/>
        <v>0</v>
      </c>
      <c r="J127" s="30">
        <f t="shared" si="21"/>
        <v>0</v>
      </c>
      <c r="K127" s="31">
        <f t="shared" si="22"/>
        <v>0</v>
      </c>
      <c r="L127" s="30">
        <f t="shared" si="23"/>
        <v>0</v>
      </c>
      <c r="M127" s="31">
        <f t="shared" si="24"/>
        <v>0</v>
      </c>
      <c r="N127" s="32"/>
      <c r="O127" s="86"/>
    </row>
    <row r="128" ht="15.75" customHeight="1">
      <c r="A128" s="90"/>
      <c r="B128" s="70"/>
      <c r="C128" s="61"/>
      <c r="D128" s="91"/>
      <c r="E128" s="71"/>
      <c r="F128" s="72"/>
      <c r="G128" s="85"/>
      <c r="H128" s="28">
        <f t="shared" si="19"/>
        <v>0</v>
      </c>
      <c r="I128" s="29">
        <f t="shared" si="20"/>
        <v>0</v>
      </c>
      <c r="J128" s="30">
        <f t="shared" si="21"/>
        <v>0</v>
      </c>
      <c r="K128" s="31">
        <f t="shared" si="22"/>
        <v>0</v>
      </c>
      <c r="L128" s="30">
        <f t="shared" si="23"/>
        <v>0</v>
      </c>
      <c r="M128" s="31">
        <f t="shared" si="24"/>
        <v>0</v>
      </c>
      <c r="N128" s="32"/>
      <c r="O128" s="86"/>
    </row>
    <row r="129" ht="15.75" customHeight="1">
      <c r="A129" s="89"/>
      <c r="B129" s="88"/>
      <c r="C129" s="61"/>
      <c r="D129" s="91"/>
      <c r="E129" s="71"/>
      <c r="F129" s="72"/>
      <c r="G129" s="85"/>
      <c r="H129" s="28">
        <f t="shared" si="19"/>
        <v>0</v>
      </c>
      <c r="I129" s="29">
        <f t="shared" si="20"/>
        <v>0</v>
      </c>
      <c r="J129" s="30">
        <f t="shared" si="21"/>
        <v>0</v>
      </c>
      <c r="K129" s="31">
        <f t="shared" si="22"/>
        <v>0</v>
      </c>
      <c r="L129" s="30">
        <f t="shared" si="23"/>
        <v>0</v>
      </c>
      <c r="M129" s="31">
        <f t="shared" si="24"/>
        <v>0</v>
      </c>
      <c r="N129" s="32"/>
      <c r="O129" s="86"/>
    </row>
    <row r="130" ht="15.75" customHeight="1">
      <c r="A130" s="90"/>
      <c r="B130" s="70"/>
      <c r="C130" s="61"/>
      <c r="D130" s="91"/>
      <c r="E130" s="71"/>
      <c r="F130" s="72"/>
      <c r="G130" s="85"/>
      <c r="H130" s="28">
        <f t="shared" si="19"/>
        <v>0</v>
      </c>
      <c r="I130" s="29">
        <f t="shared" si="20"/>
        <v>0</v>
      </c>
      <c r="J130" s="30">
        <f t="shared" si="21"/>
        <v>0</v>
      </c>
      <c r="K130" s="31">
        <f t="shared" si="22"/>
        <v>0</v>
      </c>
      <c r="L130" s="30">
        <f t="shared" si="23"/>
        <v>0</v>
      </c>
      <c r="M130" s="31">
        <f t="shared" si="24"/>
        <v>0</v>
      </c>
      <c r="N130" s="32"/>
      <c r="O130" s="86"/>
    </row>
    <row r="131" ht="15.75" customHeight="1">
      <c r="A131" s="89"/>
      <c r="B131" s="88"/>
      <c r="C131" s="61"/>
      <c r="D131" s="91"/>
      <c r="E131" s="71"/>
      <c r="F131" s="72"/>
      <c r="G131" s="85"/>
      <c r="H131" s="28">
        <f t="shared" si="19"/>
        <v>0</v>
      </c>
      <c r="I131" s="29">
        <f t="shared" si="20"/>
        <v>0</v>
      </c>
      <c r="J131" s="30">
        <f t="shared" si="21"/>
        <v>0</v>
      </c>
      <c r="K131" s="31">
        <f t="shared" si="22"/>
        <v>0</v>
      </c>
      <c r="L131" s="30">
        <f t="shared" si="23"/>
        <v>0</v>
      </c>
      <c r="M131" s="31">
        <f t="shared" si="24"/>
        <v>0</v>
      </c>
      <c r="N131" s="32"/>
      <c r="O131" s="86"/>
    </row>
    <row r="132" ht="15.75" customHeight="1">
      <c r="A132" s="90"/>
      <c r="B132" s="70"/>
      <c r="C132" s="61"/>
      <c r="D132" s="91"/>
      <c r="E132" s="71"/>
      <c r="F132" s="72"/>
      <c r="G132" s="85"/>
      <c r="H132" s="28">
        <f t="shared" si="19"/>
        <v>0</v>
      </c>
      <c r="I132" s="29">
        <f t="shared" si="20"/>
        <v>0</v>
      </c>
      <c r="J132" s="30">
        <f t="shared" si="21"/>
        <v>0</v>
      </c>
      <c r="K132" s="31">
        <f t="shared" si="22"/>
        <v>0</v>
      </c>
      <c r="L132" s="30">
        <f t="shared" si="23"/>
        <v>0</v>
      </c>
      <c r="M132" s="31">
        <f t="shared" si="24"/>
        <v>0</v>
      </c>
      <c r="N132" s="32"/>
      <c r="O132" s="86"/>
    </row>
    <row r="133" ht="15.75" customHeight="1">
      <c r="A133" s="90"/>
      <c r="B133" s="70"/>
      <c r="C133" s="61"/>
      <c r="D133" s="92"/>
      <c r="E133" s="71"/>
      <c r="F133" s="72"/>
      <c r="G133" s="85"/>
      <c r="H133" s="28">
        <f t="shared" si="19"/>
        <v>0</v>
      </c>
      <c r="I133" s="29">
        <f t="shared" si="20"/>
        <v>0</v>
      </c>
      <c r="J133" s="30">
        <f t="shared" si="21"/>
        <v>0</v>
      </c>
      <c r="K133" s="31">
        <f t="shared" si="22"/>
        <v>0</v>
      </c>
      <c r="L133" s="30">
        <f t="shared" si="23"/>
        <v>0</v>
      </c>
      <c r="M133" s="31">
        <f t="shared" si="24"/>
        <v>0</v>
      </c>
      <c r="N133" s="32"/>
      <c r="O133" s="86"/>
    </row>
    <row r="134" ht="15.75" customHeight="1">
      <c r="A134" s="21"/>
      <c r="B134" s="70"/>
      <c r="C134" s="61"/>
      <c r="D134" s="91"/>
      <c r="E134" s="71"/>
      <c r="F134" s="72"/>
      <c r="G134" s="85"/>
      <c r="H134" s="28">
        <f t="shared" si="19"/>
        <v>0</v>
      </c>
      <c r="I134" s="29">
        <f t="shared" si="20"/>
        <v>0</v>
      </c>
      <c r="J134" s="30">
        <f t="shared" si="21"/>
        <v>0</v>
      </c>
      <c r="K134" s="31">
        <f t="shared" si="22"/>
        <v>0</v>
      </c>
      <c r="L134" s="30">
        <f t="shared" si="23"/>
        <v>0</v>
      </c>
      <c r="M134" s="31">
        <f t="shared" si="24"/>
        <v>0</v>
      </c>
      <c r="N134" s="32"/>
      <c r="O134" s="86"/>
    </row>
    <row r="135" ht="15.75" customHeight="1">
      <c r="A135" s="21"/>
      <c r="B135" s="70"/>
      <c r="C135" s="61"/>
      <c r="D135" s="91"/>
      <c r="E135" s="71"/>
      <c r="F135" s="72"/>
      <c r="G135" s="85"/>
      <c r="H135" s="28">
        <f t="shared" si="19"/>
        <v>0</v>
      </c>
      <c r="I135" s="29">
        <f t="shared" si="20"/>
        <v>0</v>
      </c>
      <c r="J135" s="30">
        <f t="shared" si="21"/>
        <v>0</v>
      </c>
      <c r="K135" s="31">
        <f t="shared" si="22"/>
        <v>0</v>
      </c>
      <c r="L135" s="30">
        <f t="shared" si="23"/>
        <v>0</v>
      </c>
      <c r="M135" s="31">
        <f t="shared" si="24"/>
        <v>0</v>
      </c>
      <c r="N135" s="32"/>
      <c r="O135" s="86"/>
    </row>
    <row r="136" ht="15.75" customHeight="1">
      <c r="A136" s="21"/>
      <c r="B136" s="70"/>
      <c r="C136" s="61"/>
      <c r="D136" s="91"/>
      <c r="E136" s="71"/>
      <c r="F136" s="93"/>
      <c r="G136" s="94"/>
      <c r="H136" s="28">
        <f t="shared" si="19"/>
        <v>0</v>
      </c>
      <c r="I136" s="29">
        <f t="shared" si="20"/>
        <v>0</v>
      </c>
      <c r="J136" s="30">
        <f t="shared" si="21"/>
        <v>0</v>
      </c>
      <c r="K136" s="31">
        <f t="shared" si="22"/>
        <v>0</v>
      </c>
      <c r="L136" s="30">
        <f t="shared" si="23"/>
        <v>0</v>
      </c>
      <c r="M136" s="31">
        <f t="shared" si="24"/>
        <v>0</v>
      </c>
      <c r="N136" s="32"/>
      <c r="O136" s="86"/>
    </row>
    <row r="137" ht="15.75" customHeight="1">
      <c r="A137" s="21"/>
      <c r="B137" s="70"/>
      <c r="C137" s="61"/>
      <c r="D137" s="91"/>
      <c r="E137" s="71"/>
      <c r="F137" s="72"/>
      <c r="G137" s="85"/>
      <c r="H137" s="28">
        <f t="shared" si="19"/>
        <v>0</v>
      </c>
      <c r="I137" s="29">
        <f t="shared" si="20"/>
        <v>0</v>
      </c>
      <c r="J137" s="30">
        <f t="shared" si="21"/>
        <v>0</v>
      </c>
      <c r="K137" s="31">
        <f t="shared" si="22"/>
        <v>0</v>
      </c>
      <c r="L137" s="30">
        <f t="shared" si="23"/>
        <v>0</v>
      </c>
      <c r="M137" s="31">
        <f t="shared" si="24"/>
        <v>0</v>
      </c>
      <c r="N137" s="32"/>
      <c r="O137" s="86"/>
    </row>
    <row r="138" ht="15.75" customHeight="1">
      <c r="A138" s="21"/>
      <c r="B138" s="70"/>
      <c r="C138" s="61"/>
      <c r="D138" s="91"/>
      <c r="E138" s="71"/>
      <c r="F138" s="72"/>
      <c r="G138" s="85"/>
      <c r="H138" s="28">
        <f t="shared" si="19"/>
        <v>0</v>
      </c>
      <c r="I138" s="29">
        <f t="shared" si="20"/>
        <v>0</v>
      </c>
      <c r="J138" s="30">
        <f t="shared" si="21"/>
        <v>0</v>
      </c>
      <c r="K138" s="31">
        <f t="shared" si="22"/>
        <v>0</v>
      </c>
      <c r="L138" s="30">
        <f t="shared" si="23"/>
        <v>0</v>
      </c>
      <c r="M138" s="31">
        <f t="shared" si="24"/>
        <v>0</v>
      </c>
      <c r="N138" s="32"/>
      <c r="O138" s="86"/>
    </row>
    <row r="139" ht="15.75" customHeight="1">
      <c r="A139" s="21"/>
      <c r="B139" s="70"/>
      <c r="C139" s="61"/>
      <c r="D139" s="91"/>
      <c r="E139" s="71"/>
      <c r="F139" s="72"/>
      <c r="G139" s="85"/>
      <c r="H139" s="28">
        <f t="shared" si="19"/>
        <v>0</v>
      </c>
      <c r="I139" s="29">
        <f t="shared" si="20"/>
        <v>0</v>
      </c>
      <c r="J139" s="30">
        <f t="shared" si="21"/>
        <v>0</v>
      </c>
      <c r="K139" s="31">
        <f t="shared" si="22"/>
        <v>0</v>
      </c>
      <c r="L139" s="30">
        <f t="shared" si="23"/>
        <v>0</v>
      </c>
      <c r="M139" s="31">
        <f t="shared" si="24"/>
        <v>0</v>
      </c>
      <c r="N139" s="32"/>
      <c r="O139" s="86"/>
    </row>
    <row r="140" ht="15.75" customHeight="1">
      <c r="A140" s="21"/>
      <c r="B140" s="70"/>
      <c r="C140" s="61"/>
      <c r="D140" s="91"/>
      <c r="E140" s="71"/>
      <c r="F140" s="72"/>
      <c r="G140" s="85"/>
      <c r="H140" s="28">
        <f t="shared" si="19"/>
        <v>0</v>
      </c>
      <c r="I140" s="29">
        <f t="shared" si="20"/>
        <v>0</v>
      </c>
      <c r="J140" s="30">
        <f t="shared" si="21"/>
        <v>0</v>
      </c>
      <c r="K140" s="31">
        <f t="shared" si="22"/>
        <v>0</v>
      </c>
      <c r="L140" s="30">
        <f t="shared" si="23"/>
        <v>0</v>
      </c>
      <c r="M140" s="31">
        <f t="shared" si="24"/>
        <v>0</v>
      </c>
      <c r="N140" s="32"/>
      <c r="O140" s="86"/>
    </row>
    <row r="141" ht="15.75" customHeight="1">
      <c r="A141" s="21"/>
      <c r="B141" s="70"/>
      <c r="C141" s="61"/>
      <c r="D141" s="91"/>
      <c r="E141" s="71"/>
      <c r="F141" s="72"/>
      <c r="G141" s="85"/>
      <c r="H141" s="28">
        <f t="shared" si="19"/>
        <v>0</v>
      </c>
      <c r="I141" s="29">
        <f t="shared" si="20"/>
        <v>0</v>
      </c>
      <c r="J141" s="30">
        <f t="shared" si="21"/>
        <v>0</v>
      </c>
      <c r="K141" s="31">
        <f t="shared" si="22"/>
        <v>0</v>
      </c>
      <c r="L141" s="30">
        <f t="shared" si="23"/>
        <v>0</v>
      </c>
      <c r="M141" s="31">
        <f t="shared" si="24"/>
        <v>0</v>
      </c>
      <c r="N141" s="32"/>
      <c r="O141" s="86"/>
    </row>
    <row r="142" ht="15.75" customHeight="1">
      <c r="A142" s="21"/>
      <c r="B142" s="70"/>
      <c r="C142" s="61"/>
      <c r="D142" s="91"/>
      <c r="E142" s="71"/>
      <c r="F142" s="72"/>
      <c r="G142" s="85"/>
      <c r="H142" s="28">
        <f t="shared" si="19"/>
        <v>0</v>
      </c>
      <c r="I142" s="29">
        <f t="shared" si="20"/>
        <v>0</v>
      </c>
      <c r="J142" s="30">
        <f t="shared" si="21"/>
        <v>0</v>
      </c>
      <c r="K142" s="31">
        <f t="shared" si="22"/>
        <v>0</v>
      </c>
      <c r="L142" s="30">
        <f t="shared" si="23"/>
        <v>0</v>
      </c>
      <c r="M142" s="31">
        <f t="shared" si="24"/>
        <v>0</v>
      </c>
      <c r="N142" s="32"/>
      <c r="O142" s="86"/>
    </row>
    <row r="143" ht="15.75" customHeight="1">
      <c r="A143" s="21"/>
      <c r="B143" s="70"/>
      <c r="C143" s="61"/>
      <c r="D143" s="91"/>
      <c r="E143" s="71"/>
      <c r="F143" s="72"/>
      <c r="G143" s="85"/>
      <c r="H143" s="28">
        <f t="shared" si="19"/>
        <v>0</v>
      </c>
      <c r="I143" s="29">
        <f t="shared" si="20"/>
        <v>0</v>
      </c>
      <c r="J143" s="30">
        <f t="shared" si="21"/>
        <v>0</v>
      </c>
      <c r="K143" s="31">
        <f t="shared" si="22"/>
        <v>0</v>
      </c>
      <c r="L143" s="30">
        <f t="shared" si="23"/>
        <v>0</v>
      </c>
      <c r="M143" s="31">
        <f t="shared" si="24"/>
        <v>0</v>
      </c>
      <c r="N143" s="32"/>
      <c r="O143" s="86"/>
    </row>
    <row r="144" ht="15.75" customHeight="1">
      <c r="A144" s="21"/>
      <c r="B144" s="70"/>
      <c r="C144" s="61"/>
      <c r="D144" s="91"/>
      <c r="E144" s="71"/>
      <c r="F144" s="72"/>
      <c r="G144" s="85"/>
      <c r="H144" s="28">
        <f t="shared" si="19"/>
        <v>0</v>
      </c>
      <c r="I144" s="29">
        <f t="shared" si="20"/>
        <v>0</v>
      </c>
      <c r="J144" s="30">
        <f t="shared" si="21"/>
        <v>0</v>
      </c>
      <c r="K144" s="31">
        <f t="shared" si="22"/>
        <v>0</v>
      </c>
      <c r="L144" s="30">
        <f t="shared" si="23"/>
        <v>0</v>
      </c>
      <c r="M144" s="31">
        <f t="shared" si="24"/>
        <v>0</v>
      </c>
      <c r="N144" s="32"/>
      <c r="O144" s="33"/>
    </row>
    <row r="145" ht="15.75" customHeight="1">
      <c r="A145" s="21"/>
      <c r="B145" s="70"/>
      <c r="C145" s="61"/>
      <c r="D145" s="91"/>
      <c r="E145" s="71"/>
      <c r="F145" s="72"/>
      <c r="G145" s="85"/>
      <c r="H145" s="28">
        <f t="shared" si="19"/>
        <v>0</v>
      </c>
      <c r="I145" s="29">
        <f t="shared" si="20"/>
        <v>0</v>
      </c>
      <c r="J145" s="30">
        <f t="shared" si="21"/>
        <v>0</v>
      </c>
      <c r="K145" s="31">
        <f t="shared" si="22"/>
        <v>0</v>
      </c>
      <c r="L145" s="30">
        <f t="shared" si="23"/>
        <v>0</v>
      </c>
      <c r="M145" s="31">
        <f t="shared" si="24"/>
        <v>0</v>
      </c>
      <c r="N145" s="32"/>
      <c r="O145" s="33"/>
    </row>
    <row r="146" ht="15.75" customHeight="1">
      <c r="A146" s="21"/>
      <c r="B146" s="70"/>
      <c r="C146" s="61"/>
      <c r="D146" s="91"/>
      <c r="E146" s="71"/>
      <c r="F146" s="72"/>
      <c r="G146" s="85"/>
      <c r="H146" s="28">
        <f t="shared" si="19"/>
        <v>0</v>
      </c>
      <c r="I146" s="29">
        <f t="shared" si="20"/>
        <v>0</v>
      </c>
      <c r="J146" s="30">
        <f t="shared" si="21"/>
        <v>0</v>
      </c>
      <c r="K146" s="31">
        <f t="shared" si="22"/>
        <v>0</v>
      </c>
      <c r="L146" s="30">
        <f t="shared" si="23"/>
        <v>0</v>
      </c>
      <c r="M146" s="31">
        <f t="shared" si="24"/>
        <v>0</v>
      </c>
      <c r="N146" s="32"/>
      <c r="O146" s="33"/>
    </row>
    <row r="147" ht="15.75" customHeight="1">
      <c r="A147" s="21"/>
      <c r="B147" s="70"/>
      <c r="C147" s="61"/>
      <c r="D147" s="35"/>
      <c r="E147" s="71"/>
      <c r="F147" s="72"/>
      <c r="G147" s="85"/>
      <c r="H147" s="96">
        <f t="shared" si="19"/>
        <v>0</v>
      </c>
      <c r="I147" s="97">
        <f t="shared" si="20"/>
        <v>0</v>
      </c>
      <c r="J147" s="98">
        <f t="shared" si="21"/>
        <v>0</v>
      </c>
      <c r="K147" s="99">
        <f t="shared" si="22"/>
        <v>0</v>
      </c>
      <c r="L147" s="98">
        <f t="shared" si="23"/>
        <v>0</v>
      </c>
      <c r="M147" s="99">
        <f t="shared" si="24"/>
        <v>0</v>
      </c>
      <c r="N147" s="32"/>
      <c r="O147" s="33"/>
    </row>
    <row r="148" ht="15.75" customHeight="1">
      <c r="A148" s="21"/>
      <c r="B148" s="70"/>
      <c r="C148" s="61"/>
      <c r="D148" s="101"/>
      <c r="E148" s="71"/>
      <c r="F148" s="93"/>
      <c r="G148" s="94"/>
      <c r="H148" s="96">
        <f t="shared" si="19"/>
        <v>0</v>
      </c>
      <c r="I148" s="97">
        <f t="shared" si="20"/>
        <v>0</v>
      </c>
      <c r="J148" s="98">
        <f t="shared" si="21"/>
        <v>0</v>
      </c>
      <c r="K148" s="99">
        <f t="shared" si="22"/>
        <v>0</v>
      </c>
      <c r="L148" s="98">
        <f t="shared" si="23"/>
        <v>0</v>
      </c>
      <c r="M148" s="99">
        <f t="shared" si="24"/>
        <v>0</v>
      </c>
      <c r="N148" s="32"/>
      <c r="O148" s="33"/>
    </row>
    <row r="149" ht="15.75" customHeight="1">
      <c r="A149" s="21"/>
      <c r="B149" s="70"/>
      <c r="C149" s="61"/>
      <c r="D149" s="101"/>
      <c r="E149" s="71"/>
      <c r="F149" s="93"/>
      <c r="G149" s="94"/>
      <c r="H149" s="28">
        <f t="shared" si="19"/>
        <v>0</v>
      </c>
      <c r="I149" s="29">
        <f t="shared" si="20"/>
        <v>0</v>
      </c>
      <c r="J149" s="30">
        <f t="shared" si="21"/>
        <v>0</v>
      </c>
      <c r="K149" s="31">
        <f t="shared" si="22"/>
        <v>0</v>
      </c>
      <c r="L149" s="30">
        <f t="shared" si="23"/>
        <v>0</v>
      </c>
      <c r="M149" s="31">
        <f t="shared" si="24"/>
        <v>0</v>
      </c>
      <c r="N149" s="32"/>
      <c r="O149" s="33"/>
    </row>
    <row r="150" ht="15.75" customHeight="1">
      <c r="A150" s="21"/>
      <c r="B150" s="70"/>
      <c r="C150" s="61"/>
      <c r="D150" s="101"/>
      <c r="E150" s="71"/>
      <c r="F150" s="93"/>
      <c r="G150" s="94"/>
      <c r="H150" s="28">
        <f t="shared" si="19"/>
        <v>0</v>
      </c>
      <c r="I150" s="29">
        <f t="shared" si="20"/>
        <v>0</v>
      </c>
      <c r="J150" s="30">
        <f t="shared" si="21"/>
        <v>0</v>
      </c>
      <c r="K150" s="31">
        <f t="shared" si="22"/>
        <v>0</v>
      </c>
      <c r="L150" s="30">
        <f t="shared" si="23"/>
        <v>0</v>
      </c>
      <c r="M150" s="31">
        <f t="shared" si="24"/>
        <v>0</v>
      </c>
      <c r="N150" s="32"/>
      <c r="O150" s="86"/>
    </row>
    <row r="151" ht="15.75" customHeight="1">
      <c r="A151" s="21"/>
      <c r="B151" s="70"/>
      <c r="C151" s="61"/>
      <c r="D151" s="101"/>
      <c r="E151" s="71"/>
      <c r="F151" s="93"/>
      <c r="G151" s="94"/>
      <c r="H151" s="28">
        <f t="shared" si="19"/>
        <v>0</v>
      </c>
      <c r="I151" s="29">
        <f t="shared" si="20"/>
        <v>0</v>
      </c>
      <c r="J151" s="30">
        <f t="shared" si="21"/>
        <v>0</v>
      </c>
      <c r="K151" s="31">
        <f t="shared" si="22"/>
        <v>0</v>
      </c>
      <c r="L151" s="30">
        <f t="shared" si="23"/>
        <v>0</v>
      </c>
      <c r="M151" s="31">
        <f t="shared" si="24"/>
        <v>0</v>
      </c>
      <c r="N151" s="32"/>
      <c r="O151" s="86"/>
    </row>
    <row r="152" ht="15.75" customHeight="1">
      <c r="A152" s="21"/>
      <c r="B152" s="70"/>
      <c r="C152" s="61"/>
      <c r="D152" s="101"/>
      <c r="E152" s="71"/>
      <c r="F152" s="93"/>
      <c r="G152" s="94"/>
      <c r="H152" s="96">
        <f t="shared" si="19"/>
        <v>0</v>
      </c>
      <c r="I152" s="97">
        <f t="shared" si="20"/>
        <v>0</v>
      </c>
      <c r="J152" s="98">
        <f t="shared" si="21"/>
        <v>0</v>
      </c>
      <c r="K152" s="99">
        <f t="shared" si="22"/>
        <v>0</v>
      </c>
      <c r="L152" s="98">
        <f t="shared" si="23"/>
        <v>0</v>
      </c>
      <c r="M152" s="99">
        <f t="shared" si="24"/>
        <v>0</v>
      </c>
      <c r="N152" s="32"/>
      <c r="O152" s="86"/>
    </row>
    <row r="153" ht="15.75" customHeight="1">
      <c r="A153" s="21"/>
      <c r="B153" s="70"/>
      <c r="C153" s="61"/>
      <c r="D153" s="101"/>
      <c r="E153" s="71"/>
      <c r="F153" s="93"/>
      <c r="G153" s="94"/>
      <c r="H153" s="96">
        <f t="shared" si="19"/>
        <v>0</v>
      </c>
      <c r="I153" s="97">
        <f t="shared" si="20"/>
        <v>0</v>
      </c>
      <c r="J153" s="98">
        <f t="shared" si="21"/>
        <v>0</v>
      </c>
      <c r="K153" s="99">
        <f t="shared" si="22"/>
        <v>0</v>
      </c>
      <c r="L153" s="98">
        <f t="shared" si="23"/>
        <v>0</v>
      </c>
      <c r="M153" s="99">
        <f t="shared" si="24"/>
        <v>0</v>
      </c>
      <c r="N153" s="32"/>
      <c r="O153" s="86"/>
    </row>
    <row r="154" ht="15.75" customHeight="1">
      <c r="A154" s="21"/>
      <c r="B154" s="70"/>
      <c r="C154" s="61"/>
      <c r="D154" s="101"/>
      <c r="E154" s="71"/>
      <c r="F154" s="93"/>
      <c r="G154" s="94"/>
      <c r="H154" s="28">
        <f t="shared" si="19"/>
        <v>0</v>
      </c>
      <c r="I154" s="29">
        <f t="shared" si="20"/>
        <v>0</v>
      </c>
      <c r="J154" s="30">
        <f t="shared" si="21"/>
        <v>0</v>
      </c>
      <c r="K154" s="31">
        <f t="shared" si="22"/>
        <v>0</v>
      </c>
      <c r="L154" s="30">
        <f t="shared" si="23"/>
        <v>0</v>
      </c>
      <c r="M154" s="31">
        <f t="shared" si="24"/>
        <v>0</v>
      </c>
      <c r="N154" s="32"/>
      <c r="O154" s="86"/>
    </row>
    <row r="155" ht="15.75" customHeight="1">
      <c r="A155" s="21"/>
      <c r="B155" s="70"/>
      <c r="C155" s="61"/>
      <c r="D155" s="101"/>
      <c r="E155" s="71"/>
      <c r="F155" s="93"/>
      <c r="G155" s="94"/>
      <c r="H155" s="28">
        <f t="shared" si="19"/>
        <v>0</v>
      </c>
      <c r="I155" s="29">
        <f t="shared" si="20"/>
        <v>0</v>
      </c>
      <c r="J155" s="30">
        <f t="shared" si="21"/>
        <v>0</v>
      </c>
      <c r="K155" s="31">
        <f t="shared" si="22"/>
        <v>0</v>
      </c>
      <c r="L155" s="30">
        <f t="shared" si="23"/>
        <v>0</v>
      </c>
      <c r="M155" s="31">
        <f t="shared" si="24"/>
        <v>0</v>
      </c>
      <c r="N155" s="32"/>
      <c r="O155" s="86"/>
    </row>
    <row r="156" ht="15.75" customHeight="1">
      <c r="A156" s="21"/>
      <c r="B156" s="70"/>
      <c r="C156" s="61"/>
      <c r="D156" s="101"/>
      <c r="E156" s="71"/>
      <c r="F156" s="93"/>
      <c r="G156" s="94"/>
      <c r="H156" s="28">
        <f t="shared" si="19"/>
        <v>0</v>
      </c>
      <c r="I156" s="29">
        <f t="shared" si="20"/>
        <v>0</v>
      </c>
      <c r="J156" s="30">
        <f t="shared" si="21"/>
        <v>0</v>
      </c>
      <c r="K156" s="31">
        <f t="shared" si="22"/>
        <v>0</v>
      </c>
      <c r="L156" s="30">
        <f t="shared" si="23"/>
        <v>0</v>
      </c>
      <c r="M156" s="31">
        <f t="shared" si="24"/>
        <v>0</v>
      </c>
      <c r="N156" s="32"/>
      <c r="O156" s="86"/>
    </row>
    <row r="157" ht="15.75" customHeight="1">
      <c r="A157" s="21"/>
      <c r="B157" s="70"/>
      <c r="C157" s="61"/>
      <c r="D157" s="101"/>
      <c r="E157" s="71"/>
      <c r="F157" s="93"/>
      <c r="G157" s="94"/>
      <c r="H157" s="96">
        <f t="shared" si="19"/>
        <v>0</v>
      </c>
      <c r="I157" s="97">
        <f t="shared" si="20"/>
        <v>0</v>
      </c>
      <c r="J157" s="98">
        <f t="shared" si="21"/>
        <v>0</v>
      </c>
      <c r="K157" s="99">
        <f t="shared" si="22"/>
        <v>0</v>
      </c>
      <c r="L157" s="98">
        <f t="shared" si="23"/>
        <v>0</v>
      </c>
      <c r="M157" s="99">
        <f t="shared" si="24"/>
        <v>0</v>
      </c>
      <c r="N157" s="32"/>
      <c r="O157" s="86"/>
    </row>
    <row r="158" ht="15.75" customHeight="1">
      <c r="A158" s="21"/>
      <c r="B158" s="70"/>
      <c r="C158" s="61"/>
      <c r="D158" s="101"/>
      <c r="E158" s="71"/>
      <c r="F158" s="93"/>
      <c r="G158" s="94"/>
      <c r="H158" s="96">
        <f t="shared" si="19"/>
        <v>0</v>
      </c>
      <c r="I158" s="97">
        <f t="shared" si="20"/>
        <v>0</v>
      </c>
      <c r="J158" s="98">
        <f t="shared" si="21"/>
        <v>0</v>
      </c>
      <c r="K158" s="99">
        <f t="shared" si="22"/>
        <v>0</v>
      </c>
      <c r="L158" s="98">
        <f t="shared" si="23"/>
        <v>0</v>
      </c>
      <c r="M158" s="99">
        <f t="shared" si="24"/>
        <v>0</v>
      </c>
      <c r="N158" s="32"/>
      <c r="O158" s="86"/>
    </row>
    <row r="159" ht="15.75" customHeight="1">
      <c r="A159" s="21"/>
      <c r="B159" s="70"/>
      <c r="C159" s="61"/>
      <c r="D159" s="101"/>
      <c r="E159" s="71"/>
      <c r="F159" s="93"/>
      <c r="G159" s="94"/>
      <c r="H159" s="28">
        <f t="shared" si="19"/>
        <v>0</v>
      </c>
      <c r="I159" s="29">
        <f t="shared" si="20"/>
        <v>0</v>
      </c>
      <c r="J159" s="30">
        <f t="shared" si="21"/>
        <v>0</v>
      </c>
      <c r="K159" s="31">
        <f t="shared" si="22"/>
        <v>0</v>
      </c>
      <c r="L159" s="30">
        <f t="shared" si="23"/>
        <v>0</v>
      </c>
      <c r="M159" s="31">
        <f t="shared" si="24"/>
        <v>0</v>
      </c>
      <c r="N159" s="32"/>
      <c r="O159" s="86"/>
    </row>
    <row r="160" ht="15.75" customHeight="1">
      <c r="A160" s="21"/>
      <c r="B160" s="70"/>
      <c r="C160" s="61"/>
      <c r="D160" s="102"/>
      <c r="E160" s="103"/>
      <c r="F160" s="104"/>
      <c r="G160" s="94"/>
      <c r="H160" s="96">
        <f t="shared" si="19"/>
        <v>0</v>
      </c>
      <c r="I160" s="97">
        <f t="shared" si="20"/>
        <v>0</v>
      </c>
      <c r="J160" s="98">
        <f t="shared" si="21"/>
        <v>0</v>
      </c>
      <c r="K160" s="99">
        <f t="shared" si="22"/>
        <v>0</v>
      </c>
      <c r="L160" s="98">
        <f t="shared" si="23"/>
        <v>0</v>
      </c>
      <c r="M160" s="99">
        <f t="shared" si="24"/>
        <v>0</v>
      </c>
      <c r="N160" s="32"/>
      <c r="O160" s="86"/>
    </row>
    <row r="161" ht="15.75" customHeight="1">
      <c r="A161" s="21"/>
      <c r="B161" s="70"/>
      <c r="C161" s="61"/>
      <c r="D161" s="102"/>
      <c r="E161" s="103"/>
      <c r="F161" s="104"/>
      <c r="G161" s="94"/>
      <c r="H161" s="96">
        <f t="shared" si="19"/>
        <v>0</v>
      </c>
      <c r="I161" s="97">
        <f t="shared" si="20"/>
        <v>0</v>
      </c>
      <c r="J161" s="98">
        <f t="shared" si="21"/>
        <v>0</v>
      </c>
      <c r="K161" s="99">
        <f t="shared" si="22"/>
        <v>0</v>
      </c>
      <c r="L161" s="98">
        <f t="shared" si="23"/>
        <v>0</v>
      </c>
      <c r="M161" s="99">
        <f t="shared" si="24"/>
        <v>0</v>
      </c>
      <c r="N161" s="32"/>
      <c r="O161" s="86"/>
    </row>
    <row r="162" ht="15.75" customHeight="1">
      <c r="A162" s="21"/>
      <c r="B162" s="70"/>
      <c r="C162" s="61"/>
      <c r="D162" s="102"/>
      <c r="E162" s="103"/>
      <c r="F162" s="104"/>
      <c r="G162" s="94"/>
      <c r="H162" s="96">
        <f t="shared" si="19"/>
        <v>0</v>
      </c>
      <c r="I162" s="97">
        <f t="shared" si="20"/>
        <v>0</v>
      </c>
      <c r="J162" s="98">
        <f t="shared" si="21"/>
        <v>0</v>
      </c>
      <c r="K162" s="99">
        <f t="shared" si="22"/>
        <v>0</v>
      </c>
      <c r="L162" s="98">
        <f t="shared" si="23"/>
        <v>0</v>
      </c>
      <c r="M162" s="99">
        <f t="shared" si="24"/>
        <v>0</v>
      </c>
      <c r="N162" s="32"/>
      <c r="O162" s="86"/>
    </row>
    <row r="163" ht="15.75" customHeight="1">
      <c r="A163" s="21"/>
      <c r="B163" s="70"/>
      <c r="C163" s="61"/>
      <c r="D163" s="105"/>
      <c r="E163" s="106"/>
      <c r="F163" s="104"/>
      <c r="G163" s="94"/>
      <c r="H163" s="96">
        <f>F164*0.5+F164</f>
        <v>0</v>
      </c>
      <c r="I163" s="97">
        <f>F164*0.3+F164</f>
        <v>0</v>
      </c>
      <c r="J163" s="98">
        <f>F164*0.3+F164</f>
        <v>0</v>
      </c>
      <c r="K163" s="99">
        <f>F164*0.2+F164</f>
        <v>0</v>
      </c>
      <c r="L163" s="98">
        <f>F164*0.15+F164</f>
        <v>0</v>
      </c>
      <c r="M163" s="99">
        <f>F164*0.1+F164</f>
        <v>0</v>
      </c>
      <c r="N163" s="32"/>
      <c r="O163" s="86"/>
    </row>
    <row r="164" ht="15.75" customHeight="1">
      <c r="A164" s="21"/>
      <c r="B164" s="70"/>
      <c r="C164" s="61"/>
      <c r="D164" s="102"/>
      <c r="E164" s="103"/>
      <c r="F164" s="104"/>
      <c r="G164" s="94"/>
      <c r="H164" s="96">
        <f t="shared" ref="H164:H166" si="25">F164*0.5+F164</f>
        <v>0</v>
      </c>
      <c r="I164" s="97">
        <f t="shared" ref="I164:I166" si="26">F164*0.3+F164</f>
        <v>0</v>
      </c>
      <c r="J164" s="98">
        <f t="shared" ref="J164:J166" si="27">F164*0.3+F164</f>
        <v>0</v>
      </c>
      <c r="K164" s="99">
        <f t="shared" ref="K164:K166" si="28">F164*0.2+F164</f>
        <v>0</v>
      </c>
      <c r="L164" s="98">
        <f t="shared" ref="L164:L166" si="29">F164*0.15+F164</f>
        <v>0</v>
      </c>
      <c r="M164" s="99">
        <f t="shared" ref="M164:M166" si="30">F164*0.1+F164</f>
        <v>0</v>
      </c>
      <c r="N164" s="32"/>
      <c r="O164" s="86"/>
    </row>
    <row r="165" ht="15.75" customHeight="1">
      <c r="A165" s="21"/>
      <c r="B165" s="70"/>
      <c r="C165" s="61"/>
      <c r="D165" s="102"/>
      <c r="E165" s="103"/>
      <c r="F165" s="104"/>
      <c r="G165" s="94"/>
      <c r="H165" s="96">
        <f t="shared" si="25"/>
        <v>0</v>
      </c>
      <c r="I165" s="97">
        <f t="shared" si="26"/>
        <v>0</v>
      </c>
      <c r="J165" s="98">
        <f t="shared" si="27"/>
        <v>0</v>
      </c>
      <c r="K165" s="99">
        <f t="shared" si="28"/>
        <v>0</v>
      </c>
      <c r="L165" s="98">
        <f t="shared" si="29"/>
        <v>0</v>
      </c>
      <c r="M165" s="99">
        <f t="shared" si="30"/>
        <v>0</v>
      </c>
      <c r="N165" s="32"/>
      <c r="O165" s="86"/>
    </row>
    <row r="166" ht="15.75" customHeight="1">
      <c r="A166" s="21"/>
      <c r="B166" s="70"/>
      <c r="C166" s="61"/>
      <c r="D166" s="102"/>
      <c r="E166" s="103"/>
      <c r="F166" s="104"/>
      <c r="G166" s="94"/>
      <c r="H166" s="96">
        <f t="shared" si="25"/>
        <v>0</v>
      </c>
      <c r="I166" s="97">
        <f t="shared" si="26"/>
        <v>0</v>
      </c>
      <c r="J166" s="98">
        <f t="shared" si="27"/>
        <v>0</v>
      </c>
      <c r="K166" s="99">
        <f t="shared" si="28"/>
        <v>0</v>
      </c>
      <c r="L166" s="98">
        <f t="shared" si="29"/>
        <v>0</v>
      </c>
      <c r="M166" s="99">
        <f t="shared" si="30"/>
        <v>0</v>
      </c>
      <c r="N166" s="32"/>
      <c r="O166" s="86"/>
    </row>
    <row r="167" ht="15.75" customHeight="1">
      <c r="A167" s="21"/>
      <c r="B167" s="70"/>
      <c r="C167" s="61"/>
      <c r="D167" s="102"/>
      <c r="E167" s="103"/>
      <c r="F167" s="104"/>
      <c r="G167" s="94"/>
      <c r="H167" s="96">
        <f>F168*0.5+F168</f>
        <v>0</v>
      </c>
      <c r="I167" s="97">
        <f>F168*0.3+F168</f>
        <v>0</v>
      </c>
      <c r="J167" s="98">
        <f>F168*0.3+F168</f>
        <v>0</v>
      </c>
      <c r="K167" s="99">
        <f>F168*0.2+F168</f>
        <v>0</v>
      </c>
      <c r="L167" s="98">
        <f>F168*0.15+F168</f>
        <v>0</v>
      </c>
      <c r="M167" s="99">
        <f>F168*0.1+F168</f>
        <v>0</v>
      </c>
      <c r="N167" s="32"/>
      <c r="O167" s="86"/>
    </row>
    <row r="168" ht="15.75" customHeight="1">
      <c r="A168" s="21"/>
      <c r="B168" s="70"/>
      <c r="C168" s="61"/>
      <c r="D168" s="102"/>
      <c r="E168" s="107"/>
      <c r="F168" s="108"/>
      <c r="G168" s="94"/>
      <c r="H168" s="96">
        <f t="shared" ref="H168:H170" si="31">F168*0.5+F168</f>
        <v>0</v>
      </c>
      <c r="I168" s="97">
        <f t="shared" ref="I168:I170" si="32">F168*0.3+F168</f>
        <v>0</v>
      </c>
      <c r="J168" s="98">
        <f t="shared" ref="J168:J170" si="33">F168*0.3+F168</f>
        <v>0</v>
      </c>
      <c r="K168" s="99">
        <f t="shared" ref="K168:K170" si="34">F168*0.2+F168</f>
        <v>0</v>
      </c>
      <c r="L168" s="98">
        <f t="shared" ref="L168:L170" si="35">F168*0.15+F168</f>
        <v>0</v>
      </c>
      <c r="M168" s="99">
        <f t="shared" ref="M168:M170" si="36">F168*0.1+F168</f>
        <v>0</v>
      </c>
      <c r="N168" s="32"/>
      <c r="O168" s="33"/>
      <c r="P168" s="109"/>
      <c r="Q168" s="109"/>
    </row>
    <row r="169" ht="15.75" customHeight="1">
      <c r="A169" s="21"/>
      <c r="B169" s="70"/>
      <c r="C169" s="61"/>
      <c r="D169" s="102"/>
      <c r="E169" s="103"/>
      <c r="F169" s="104"/>
      <c r="G169" s="94"/>
      <c r="H169" s="96">
        <f t="shared" si="31"/>
        <v>0</v>
      </c>
      <c r="I169" s="97">
        <f t="shared" si="32"/>
        <v>0</v>
      </c>
      <c r="J169" s="98">
        <f t="shared" si="33"/>
        <v>0</v>
      </c>
      <c r="K169" s="99">
        <f t="shared" si="34"/>
        <v>0</v>
      </c>
      <c r="L169" s="98">
        <f t="shared" si="35"/>
        <v>0</v>
      </c>
      <c r="M169" s="99">
        <f t="shared" si="36"/>
        <v>0</v>
      </c>
      <c r="N169" s="32"/>
      <c r="O169" s="33"/>
      <c r="P169" s="109"/>
      <c r="Q169" s="109"/>
    </row>
    <row r="170" ht="15.75" customHeight="1">
      <c r="A170" s="21"/>
      <c r="B170" s="70"/>
      <c r="C170" s="61"/>
      <c r="D170" s="102"/>
      <c r="E170" s="103"/>
      <c r="F170" s="104"/>
      <c r="G170" s="94"/>
      <c r="H170" s="96">
        <f t="shared" si="31"/>
        <v>0</v>
      </c>
      <c r="I170" s="97">
        <f t="shared" si="32"/>
        <v>0</v>
      </c>
      <c r="J170" s="98">
        <f t="shared" si="33"/>
        <v>0</v>
      </c>
      <c r="K170" s="99">
        <f t="shared" si="34"/>
        <v>0</v>
      </c>
      <c r="L170" s="98">
        <f t="shared" si="35"/>
        <v>0</v>
      </c>
      <c r="M170" s="99">
        <f t="shared" si="36"/>
        <v>0</v>
      </c>
      <c r="N170" s="32"/>
      <c r="O170" s="33"/>
      <c r="P170" s="109"/>
      <c r="Q170" s="109"/>
    </row>
    <row r="171" ht="15.75" customHeight="1">
      <c r="A171" s="21"/>
      <c r="B171" s="70"/>
      <c r="C171" s="61"/>
      <c r="D171" s="102"/>
      <c r="E171" s="103"/>
      <c r="F171" s="104"/>
      <c r="G171" s="94"/>
      <c r="H171" s="96">
        <f>F172*0.5+F172</f>
        <v>0</v>
      </c>
      <c r="I171" s="97">
        <f>F172*0.3+F172</f>
        <v>0</v>
      </c>
      <c r="J171" s="98">
        <f>F172*0.3+F172</f>
        <v>0</v>
      </c>
      <c r="K171" s="99">
        <f>F172*0.2+F172</f>
        <v>0</v>
      </c>
      <c r="L171" s="98">
        <f>F172*0.15+F172</f>
        <v>0</v>
      </c>
      <c r="M171" s="99">
        <f>F172*0.1+F172</f>
        <v>0</v>
      </c>
      <c r="N171" s="32"/>
      <c r="O171" s="33"/>
      <c r="P171" s="109"/>
      <c r="Q171" s="109"/>
    </row>
    <row r="172" ht="15.75" customHeight="1">
      <c r="A172" s="21"/>
      <c r="B172" s="70"/>
      <c r="C172" s="61"/>
      <c r="D172" s="102"/>
      <c r="E172" s="103"/>
      <c r="F172" s="104"/>
      <c r="G172" s="94"/>
      <c r="H172" s="96">
        <f t="shared" ref="H172:H174" si="37">F172*0.5+F172</f>
        <v>0</v>
      </c>
      <c r="I172" s="97">
        <f t="shared" ref="I172:I174" si="38">F172*0.3+F172</f>
        <v>0</v>
      </c>
      <c r="J172" s="98">
        <f t="shared" ref="J172:J174" si="39">F172*0.3+F172</f>
        <v>0</v>
      </c>
      <c r="K172" s="99">
        <f t="shared" ref="K172:K174" si="40">F172*0.2+F172</f>
        <v>0</v>
      </c>
      <c r="L172" s="98">
        <f t="shared" ref="L172:L174" si="41">F172*0.15+F172</f>
        <v>0</v>
      </c>
      <c r="M172" s="99">
        <f t="shared" ref="M172:M174" si="42">F172*0.1+F172</f>
        <v>0</v>
      </c>
      <c r="N172" s="32"/>
      <c r="O172" s="33"/>
      <c r="P172" s="109"/>
      <c r="Q172" s="109"/>
    </row>
    <row r="173" ht="15.75" customHeight="1">
      <c r="A173" s="21"/>
      <c r="B173" s="70"/>
      <c r="C173" s="61"/>
      <c r="D173" s="102"/>
      <c r="E173" s="103"/>
      <c r="F173" s="104"/>
      <c r="G173" s="94"/>
      <c r="H173" s="96">
        <f t="shared" si="37"/>
        <v>0</v>
      </c>
      <c r="I173" s="97">
        <f t="shared" si="38"/>
        <v>0</v>
      </c>
      <c r="J173" s="98">
        <f t="shared" si="39"/>
        <v>0</v>
      </c>
      <c r="K173" s="99">
        <f t="shared" si="40"/>
        <v>0</v>
      </c>
      <c r="L173" s="98">
        <f t="shared" si="41"/>
        <v>0</v>
      </c>
      <c r="M173" s="99">
        <f t="shared" si="42"/>
        <v>0</v>
      </c>
      <c r="N173" s="32"/>
      <c r="O173" s="33"/>
      <c r="P173" s="109"/>
      <c r="Q173" s="109"/>
    </row>
    <row r="174" ht="15.75" customHeight="1">
      <c r="A174" s="21"/>
      <c r="B174" s="70"/>
      <c r="C174" s="61"/>
      <c r="D174" s="102"/>
      <c r="E174" s="110"/>
      <c r="F174" s="104"/>
      <c r="G174" s="94"/>
      <c r="H174" s="96">
        <f t="shared" si="37"/>
        <v>0</v>
      </c>
      <c r="I174" s="97">
        <f t="shared" si="38"/>
        <v>0</v>
      </c>
      <c r="J174" s="98">
        <f t="shared" si="39"/>
        <v>0</v>
      </c>
      <c r="K174" s="99">
        <f t="shared" si="40"/>
        <v>0</v>
      </c>
      <c r="L174" s="98">
        <f t="shared" si="41"/>
        <v>0</v>
      </c>
      <c r="M174" s="99">
        <f t="shared" si="42"/>
        <v>0</v>
      </c>
      <c r="N174" s="32"/>
      <c r="O174" s="33"/>
      <c r="P174" s="109"/>
      <c r="Q174" s="109"/>
    </row>
    <row r="175" ht="15.75" customHeight="1">
      <c r="A175" s="21"/>
      <c r="B175" s="70"/>
      <c r="C175" s="61"/>
      <c r="D175" s="102"/>
      <c r="E175" s="103"/>
      <c r="F175" s="104"/>
      <c r="G175" s="94"/>
      <c r="H175" s="96">
        <f>F176*0.5+F176</f>
        <v>0</v>
      </c>
      <c r="I175" s="97">
        <f>F176*0.3+F176</f>
        <v>0</v>
      </c>
      <c r="J175" s="98">
        <f>F176*0.3+F176</f>
        <v>0</v>
      </c>
      <c r="K175" s="99">
        <f>F176*0.2+F176</f>
        <v>0</v>
      </c>
      <c r="L175" s="98">
        <f>F176*0.15+F176</f>
        <v>0</v>
      </c>
      <c r="M175" s="99">
        <f>F176*0.1+F176</f>
        <v>0</v>
      </c>
      <c r="N175" s="32"/>
      <c r="O175" s="33"/>
      <c r="P175" s="109"/>
      <c r="Q175" s="109"/>
    </row>
    <row r="176" ht="15.75" customHeight="1">
      <c r="A176" s="21"/>
      <c r="B176" s="70"/>
      <c r="C176" s="61"/>
      <c r="D176" s="111"/>
      <c r="E176" s="103"/>
      <c r="F176" s="104"/>
      <c r="G176" s="94"/>
      <c r="H176" s="96">
        <f t="shared" ref="H176:H178" si="43">F176*0.5+F176</f>
        <v>0</v>
      </c>
      <c r="I176" s="97">
        <f t="shared" ref="I176:I178" si="44">F176*0.3+F176</f>
        <v>0</v>
      </c>
      <c r="J176" s="98">
        <f t="shared" ref="J176:J178" si="45">F176*0.3+F176</f>
        <v>0</v>
      </c>
      <c r="K176" s="99">
        <f t="shared" ref="K176:K178" si="46">F176*0.2+F176</f>
        <v>0</v>
      </c>
      <c r="L176" s="98">
        <f t="shared" ref="L176:L178" si="47">F176*0.15+F176</f>
        <v>0</v>
      </c>
      <c r="M176" s="99">
        <f t="shared" ref="M176:M178" si="48">F176*0.1+F176</f>
        <v>0</v>
      </c>
      <c r="N176" s="32"/>
      <c r="O176" s="33"/>
      <c r="P176" s="109"/>
      <c r="Q176" s="109"/>
    </row>
    <row r="177" ht="15.75" customHeight="1">
      <c r="A177" s="21"/>
      <c r="B177" s="70"/>
      <c r="C177" s="61"/>
      <c r="D177" s="102"/>
      <c r="E177" s="103"/>
      <c r="F177" s="112"/>
      <c r="G177" s="94"/>
      <c r="H177" s="96">
        <f t="shared" si="43"/>
        <v>0</v>
      </c>
      <c r="I177" s="97">
        <f t="shared" si="44"/>
        <v>0</v>
      </c>
      <c r="J177" s="98">
        <f t="shared" si="45"/>
        <v>0</v>
      </c>
      <c r="K177" s="99">
        <f t="shared" si="46"/>
        <v>0</v>
      </c>
      <c r="L177" s="98">
        <f t="shared" si="47"/>
        <v>0</v>
      </c>
      <c r="M177" s="99">
        <f t="shared" si="48"/>
        <v>0</v>
      </c>
      <c r="N177" s="32"/>
      <c r="O177" s="33"/>
      <c r="P177" s="109"/>
      <c r="Q177" s="109"/>
    </row>
    <row r="178" ht="15.75" customHeight="1">
      <c r="A178" s="21"/>
      <c r="B178" s="70"/>
      <c r="C178" s="61"/>
      <c r="D178" s="102"/>
      <c r="E178" s="103"/>
      <c r="F178" s="112"/>
      <c r="G178" s="94"/>
      <c r="H178" s="96">
        <f t="shared" si="43"/>
        <v>0</v>
      </c>
      <c r="I178" s="97">
        <f t="shared" si="44"/>
        <v>0</v>
      </c>
      <c r="J178" s="98">
        <f t="shared" si="45"/>
        <v>0</v>
      </c>
      <c r="K178" s="99">
        <f t="shared" si="46"/>
        <v>0</v>
      </c>
      <c r="L178" s="98">
        <f t="shared" si="47"/>
        <v>0</v>
      </c>
      <c r="M178" s="99">
        <f t="shared" si="48"/>
        <v>0</v>
      </c>
      <c r="N178" s="32"/>
      <c r="O178" s="33"/>
      <c r="P178" s="109"/>
      <c r="Q178" s="109"/>
    </row>
    <row r="179" ht="15.75" customHeight="1">
      <c r="A179" s="21"/>
      <c r="B179" s="70"/>
      <c r="C179" s="61"/>
      <c r="D179" s="102"/>
      <c r="E179" s="103"/>
      <c r="F179" s="112"/>
      <c r="G179" s="94"/>
      <c r="H179" s="96">
        <f>F180*0.5+F180</f>
        <v>0</v>
      </c>
      <c r="I179" s="97">
        <f>F180*0.3+F180</f>
        <v>0</v>
      </c>
      <c r="J179" s="98">
        <f>F180*0.3+F180</f>
        <v>0</v>
      </c>
      <c r="K179" s="99">
        <f>F180*0.2+F180</f>
        <v>0</v>
      </c>
      <c r="L179" s="98">
        <f>F180*0.15+F180</f>
        <v>0</v>
      </c>
      <c r="M179" s="99">
        <f>F180*0.1+F180</f>
        <v>0</v>
      </c>
      <c r="N179" s="32"/>
      <c r="O179" s="33"/>
      <c r="P179" s="109"/>
      <c r="Q179" s="109"/>
    </row>
    <row r="180" ht="15.75" customHeight="1">
      <c r="A180" s="21"/>
      <c r="B180" s="70"/>
      <c r="C180" s="61"/>
      <c r="D180" s="102"/>
      <c r="E180" s="103"/>
      <c r="F180" s="112"/>
      <c r="G180" s="94"/>
      <c r="H180" s="96">
        <f t="shared" ref="H180:H182" si="49">F180*0.5+F180</f>
        <v>0</v>
      </c>
      <c r="I180" s="97">
        <f t="shared" ref="I180:I182" si="50">F180*0.3+F180</f>
        <v>0</v>
      </c>
      <c r="J180" s="98">
        <f t="shared" ref="J180:J182" si="51">F180*0.3+F180</f>
        <v>0</v>
      </c>
      <c r="K180" s="99">
        <f t="shared" ref="K180:K182" si="52">F180*0.2+F180</f>
        <v>0</v>
      </c>
      <c r="L180" s="98">
        <f t="shared" ref="L180:L182" si="53">F180*0.15+F180</f>
        <v>0</v>
      </c>
      <c r="M180" s="99">
        <f t="shared" ref="M180:M182" si="54">F180*0.1+F180</f>
        <v>0</v>
      </c>
      <c r="N180" s="32"/>
      <c r="O180" s="33"/>
      <c r="P180" s="109"/>
      <c r="Q180" s="109"/>
    </row>
    <row r="181" ht="15.75" customHeight="1">
      <c r="A181" s="21"/>
      <c r="B181" s="70"/>
      <c r="C181" s="113"/>
      <c r="D181" s="102"/>
      <c r="E181" s="103"/>
      <c r="F181" s="112"/>
      <c r="G181" s="94"/>
      <c r="H181" s="96">
        <f t="shared" si="49"/>
        <v>0</v>
      </c>
      <c r="I181" s="97">
        <f t="shared" si="50"/>
        <v>0</v>
      </c>
      <c r="J181" s="98">
        <f t="shared" si="51"/>
        <v>0</v>
      </c>
      <c r="K181" s="99">
        <f t="shared" si="52"/>
        <v>0</v>
      </c>
      <c r="L181" s="98">
        <f t="shared" si="53"/>
        <v>0</v>
      </c>
      <c r="M181" s="99">
        <f t="shared" si="54"/>
        <v>0</v>
      </c>
      <c r="N181" s="32"/>
      <c r="O181" s="33"/>
      <c r="P181" s="109"/>
      <c r="Q181" s="109"/>
    </row>
    <row r="182" ht="15.75" customHeight="1">
      <c r="A182" s="21"/>
      <c r="B182" s="70"/>
      <c r="C182" s="113"/>
      <c r="D182" s="102"/>
      <c r="E182" s="103"/>
      <c r="F182" s="112"/>
      <c r="G182" s="94"/>
      <c r="H182" s="96">
        <f t="shared" si="49"/>
        <v>0</v>
      </c>
      <c r="I182" s="97">
        <f t="shared" si="50"/>
        <v>0</v>
      </c>
      <c r="J182" s="98">
        <f t="shared" si="51"/>
        <v>0</v>
      </c>
      <c r="K182" s="99">
        <f t="shared" si="52"/>
        <v>0</v>
      </c>
      <c r="L182" s="98">
        <f t="shared" si="53"/>
        <v>0</v>
      </c>
      <c r="M182" s="99">
        <f t="shared" si="54"/>
        <v>0</v>
      </c>
      <c r="N182" s="32"/>
      <c r="O182" s="33"/>
      <c r="P182" s="109"/>
      <c r="Q182" s="109"/>
    </row>
    <row r="183" ht="15.75" customHeight="1">
      <c r="A183" s="21"/>
      <c r="B183" s="70"/>
      <c r="C183" s="114"/>
      <c r="D183" s="102"/>
      <c r="E183" s="103"/>
      <c r="F183" s="112"/>
      <c r="G183" s="94"/>
      <c r="H183" s="96">
        <f>F184*0.5+F184</f>
        <v>0</v>
      </c>
      <c r="I183" s="97">
        <f>F184*0.3+F184</f>
        <v>0</v>
      </c>
      <c r="J183" s="98">
        <f>F184*0.3+F184</f>
        <v>0</v>
      </c>
      <c r="K183" s="99">
        <f>F184*0.2+F184</f>
        <v>0</v>
      </c>
      <c r="L183" s="98">
        <f>F184*0.15+F184</f>
        <v>0</v>
      </c>
      <c r="M183" s="99">
        <f>F184*0.1+F184</f>
        <v>0</v>
      </c>
      <c r="N183" s="32"/>
      <c r="O183" s="33"/>
      <c r="P183" s="109"/>
      <c r="Q183" s="109"/>
    </row>
    <row r="184" ht="15.75" customHeight="1">
      <c r="A184" s="21"/>
      <c r="B184" s="70"/>
      <c r="C184" s="113"/>
      <c r="D184" s="102"/>
      <c r="E184" s="103"/>
      <c r="F184" s="112"/>
      <c r="G184" s="94"/>
      <c r="H184" s="96">
        <f t="shared" ref="H184:H186" si="55">F184*0.5+F184</f>
        <v>0</v>
      </c>
      <c r="I184" s="97">
        <f t="shared" ref="I184:I186" si="56">F184*0.3+F184</f>
        <v>0</v>
      </c>
      <c r="J184" s="98">
        <f t="shared" ref="J184:J186" si="57">F184*0.3+F184</f>
        <v>0</v>
      </c>
      <c r="K184" s="99">
        <f t="shared" ref="K184:K186" si="58">F184*0.2+F184</f>
        <v>0</v>
      </c>
      <c r="L184" s="98">
        <f t="shared" ref="L184:L186" si="59">F184*0.15+F184</f>
        <v>0</v>
      </c>
      <c r="M184" s="99">
        <f t="shared" ref="M184:M186" si="60">F184*0.1+F184</f>
        <v>0</v>
      </c>
      <c r="N184" s="32"/>
      <c r="O184" s="33"/>
      <c r="P184" s="109"/>
      <c r="Q184" s="109"/>
    </row>
    <row r="185" ht="15.75" customHeight="1">
      <c r="A185" s="21"/>
      <c r="B185" s="70"/>
      <c r="C185" s="113"/>
      <c r="D185" s="102"/>
      <c r="E185" s="103"/>
      <c r="F185" s="112"/>
      <c r="G185" s="94"/>
      <c r="H185" s="96">
        <f t="shared" si="55"/>
        <v>0</v>
      </c>
      <c r="I185" s="97">
        <f t="shared" si="56"/>
        <v>0</v>
      </c>
      <c r="J185" s="98">
        <f t="shared" si="57"/>
        <v>0</v>
      </c>
      <c r="K185" s="99">
        <f t="shared" si="58"/>
        <v>0</v>
      </c>
      <c r="L185" s="98">
        <f t="shared" si="59"/>
        <v>0</v>
      </c>
      <c r="M185" s="99">
        <f t="shared" si="60"/>
        <v>0</v>
      </c>
      <c r="N185" s="32"/>
      <c r="O185" s="33"/>
      <c r="P185" s="109"/>
      <c r="Q185" s="109"/>
    </row>
    <row r="186" ht="15.75" customHeight="1">
      <c r="A186" s="21"/>
      <c r="B186" s="70"/>
      <c r="C186" s="113"/>
      <c r="D186" s="102"/>
      <c r="E186" s="103"/>
      <c r="F186" s="112"/>
      <c r="G186" s="94"/>
      <c r="H186" s="96">
        <f t="shared" si="55"/>
        <v>0</v>
      </c>
      <c r="I186" s="97">
        <f t="shared" si="56"/>
        <v>0</v>
      </c>
      <c r="J186" s="98">
        <f t="shared" si="57"/>
        <v>0</v>
      </c>
      <c r="K186" s="99">
        <f t="shared" si="58"/>
        <v>0</v>
      </c>
      <c r="L186" s="98">
        <f t="shared" si="59"/>
        <v>0</v>
      </c>
      <c r="M186" s="99">
        <f t="shared" si="60"/>
        <v>0</v>
      </c>
      <c r="N186" s="32"/>
      <c r="O186" s="33"/>
      <c r="P186" s="109"/>
      <c r="Q186" s="109"/>
    </row>
    <row r="187" ht="15.75" customHeight="1">
      <c r="A187" s="21"/>
      <c r="B187" s="70"/>
      <c r="C187" s="113"/>
      <c r="D187" s="102"/>
      <c r="E187" s="103"/>
      <c r="F187" s="112"/>
      <c r="G187" s="94"/>
      <c r="H187" s="96">
        <f>F188*0.5+F188</f>
        <v>0</v>
      </c>
      <c r="I187" s="97">
        <f>F188*0.3+F188</f>
        <v>0</v>
      </c>
      <c r="J187" s="98">
        <f>F188*0.3+F188</f>
        <v>0</v>
      </c>
      <c r="K187" s="99">
        <f>F188*0.2+F188</f>
        <v>0</v>
      </c>
      <c r="L187" s="98">
        <f>F188*0.15+F188</f>
        <v>0</v>
      </c>
      <c r="M187" s="99">
        <f>F188*0.1+F188</f>
        <v>0</v>
      </c>
      <c r="N187" s="32"/>
      <c r="O187" s="33"/>
      <c r="P187" s="109"/>
      <c r="Q187" s="109"/>
    </row>
    <row r="188" ht="15.75" customHeight="1">
      <c r="A188" s="21"/>
      <c r="B188" s="70"/>
      <c r="C188" s="113"/>
      <c r="D188" s="102"/>
      <c r="E188" s="103"/>
      <c r="F188" s="112"/>
      <c r="G188" s="94"/>
      <c r="H188" s="96">
        <f t="shared" ref="H188:H190" si="61">F188*0.5+F188</f>
        <v>0</v>
      </c>
      <c r="I188" s="97">
        <f t="shared" ref="I188:I190" si="62">F188*0.3+F188</f>
        <v>0</v>
      </c>
      <c r="J188" s="98">
        <f t="shared" ref="J188:J190" si="63">F188*0.3+F188</f>
        <v>0</v>
      </c>
      <c r="K188" s="99">
        <f t="shared" ref="K188:K190" si="64">F188*0.2+F188</f>
        <v>0</v>
      </c>
      <c r="L188" s="98">
        <f t="shared" ref="L188:L190" si="65">F188*0.15+F188</f>
        <v>0</v>
      </c>
      <c r="M188" s="99">
        <f t="shared" ref="M188:M190" si="66">F188*0.1+F188</f>
        <v>0</v>
      </c>
      <c r="N188" s="32"/>
      <c r="O188" s="33"/>
      <c r="P188" s="109"/>
      <c r="Q188" s="109"/>
    </row>
    <row r="189" ht="15.75" customHeight="1">
      <c r="A189" s="21"/>
      <c r="B189" s="70"/>
      <c r="C189" s="113"/>
      <c r="D189" s="102"/>
      <c r="E189" s="103"/>
      <c r="F189" s="112"/>
      <c r="G189" s="94"/>
      <c r="H189" s="96">
        <f t="shared" si="61"/>
        <v>0</v>
      </c>
      <c r="I189" s="97">
        <f t="shared" si="62"/>
        <v>0</v>
      </c>
      <c r="J189" s="98">
        <f t="shared" si="63"/>
        <v>0</v>
      </c>
      <c r="K189" s="99">
        <f t="shared" si="64"/>
        <v>0</v>
      </c>
      <c r="L189" s="98">
        <f t="shared" si="65"/>
        <v>0</v>
      </c>
      <c r="M189" s="99">
        <f t="shared" si="66"/>
        <v>0</v>
      </c>
      <c r="N189" s="32"/>
      <c r="O189" s="33"/>
      <c r="P189" s="109"/>
      <c r="Q189" s="109"/>
    </row>
    <row r="190" ht="15.75" customHeight="1">
      <c r="A190" s="21"/>
      <c r="B190" s="70"/>
      <c r="C190" s="113"/>
      <c r="D190" s="102"/>
      <c r="E190" s="103"/>
      <c r="F190" s="112"/>
      <c r="G190" s="94"/>
      <c r="H190" s="96">
        <f t="shared" si="61"/>
        <v>0</v>
      </c>
      <c r="I190" s="97">
        <f t="shared" si="62"/>
        <v>0</v>
      </c>
      <c r="J190" s="98">
        <f t="shared" si="63"/>
        <v>0</v>
      </c>
      <c r="K190" s="99">
        <f t="shared" si="64"/>
        <v>0</v>
      </c>
      <c r="L190" s="98">
        <f t="shared" si="65"/>
        <v>0</v>
      </c>
      <c r="M190" s="99">
        <f t="shared" si="66"/>
        <v>0</v>
      </c>
      <c r="N190" s="32"/>
      <c r="O190" s="33"/>
      <c r="P190" s="109"/>
      <c r="Q190" s="109"/>
    </row>
    <row r="191" ht="15.75" customHeight="1">
      <c r="A191" s="21"/>
      <c r="B191" s="70"/>
      <c r="C191" s="113"/>
      <c r="D191" s="102"/>
      <c r="E191" s="103"/>
      <c r="F191" s="112"/>
      <c r="G191" s="94"/>
      <c r="H191" s="96">
        <f>F192*0.5+F192</f>
        <v>0</v>
      </c>
      <c r="I191" s="97">
        <f>F192*0.3+F192</f>
        <v>0</v>
      </c>
      <c r="J191" s="98">
        <f>F192*0.3+F192</f>
        <v>0</v>
      </c>
      <c r="K191" s="99">
        <f>F192*0.2+F192</f>
        <v>0</v>
      </c>
      <c r="L191" s="98">
        <f>F192*0.15+F192</f>
        <v>0</v>
      </c>
      <c r="M191" s="99">
        <f>F192*0.1+F192</f>
        <v>0</v>
      </c>
      <c r="N191" s="32"/>
      <c r="O191" s="33"/>
      <c r="P191" s="109"/>
      <c r="Q191" s="109"/>
    </row>
    <row r="192" ht="15.75" customHeight="1">
      <c r="A192" s="21"/>
      <c r="B192" s="70"/>
      <c r="C192" s="61"/>
      <c r="D192" s="111"/>
      <c r="E192" s="103"/>
      <c r="F192" s="112"/>
      <c r="G192" s="94"/>
      <c r="H192" s="96">
        <f t="shared" ref="H192:H194" si="67">F192*0.5+F192</f>
        <v>0</v>
      </c>
      <c r="I192" s="97">
        <f t="shared" ref="I192:I194" si="68">F192*0.3+F192</f>
        <v>0</v>
      </c>
      <c r="J192" s="98">
        <f t="shared" ref="J192:J194" si="69">F192*0.3+F192</f>
        <v>0</v>
      </c>
      <c r="K192" s="99">
        <f t="shared" ref="K192:K194" si="70">F192*0.2+F192</f>
        <v>0</v>
      </c>
      <c r="L192" s="98">
        <f t="shared" ref="L192:L194" si="71">F192*0.15+F192</f>
        <v>0</v>
      </c>
      <c r="M192" s="99">
        <f t="shared" ref="M192:M194" si="72">F192*0.1+F192</f>
        <v>0</v>
      </c>
      <c r="N192" s="32"/>
      <c r="O192" s="33"/>
      <c r="P192" s="109"/>
      <c r="Q192" s="109"/>
    </row>
    <row r="193" ht="15.75" customHeight="1">
      <c r="A193" s="21"/>
      <c r="B193" s="70"/>
      <c r="C193" s="61"/>
      <c r="D193" s="111"/>
      <c r="E193" s="103"/>
      <c r="F193" s="112"/>
      <c r="G193" s="94"/>
      <c r="H193" s="96">
        <f t="shared" si="67"/>
        <v>0</v>
      </c>
      <c r="I193" s="97">
        <f t="shared" si="68"/>
        <v>0</v>
      </c>
      <c r="J193" s="98">
        <f t="shared" si="69"/>
        <v>0</v>
      </c>
      <c r="K193" s="99">
        <f t="shared" si="70"/>
        <v>0</v>
      </c>
      <c r="L193" s="98">
        <f t="shared" si="71"/>
        <v>0</v>
      </c>
      <c r="M193" s="99">
        <f t="shared" si="72"/>
        <v>0</v>
      </c>
      <c r="N193" s="32"/>
      <c r="O193" s="33"/>
      <c r="P193" s="109"/>
      <c r="Q193" s="109"/>
    </row>
    <row r="194" ht="15.75" customHeight="1">
      <c r="A194" s="21"/>
      <c r="B194" s="70"/>
      <c r="C194" s="113"/>
      <c r="D194" s="102"/>
      <c r="E194" s="103"/>
      <c r="F194" s="112"/>
      <c r="G194" s="94"/>
      <c r="H194" s="96">
        <f t="shared" si="67"/>
        <v>0</v>
      </c>
      <c r="I194" s="97">
        <f t="shared" si="68"/>
        <v>0</v>
      </c>
      <c r="J194" s="98">
        <f t="shared" si="69"/>
        <v>0</v>
      </c>
      <c r="K194" s="99">
        <f t="shared" si="70"/>
        <v>0</v>
      </c>
      <c r="L194" s="98">
        <f t="shared" si="71"/>
        <v>0</v>
      </c>
      <c r="M194" s="99">
        <f t="shared" si="72"/>
        <v>0</v>
      </c>
      <c r="N194" s="32"/>
      <c r="O194" s="33"/>
      <c r="P194" s="109"/>
      <c r="Q194" s="109"/>
    </row>
    <row r="195" ht="15.75" customHeight="1">
      <c r="A195" s="21"/>
      <c r="B195" s="70"/>
      <c r="C195" s="113"/>
      <c r="D195" s="102"/>
      <c r="E195" s="103"/>
      <c r="F195" s="112"/>
      <c r="G195" s="94"/>
      <c r="H195" s="96">
        <f>F196*0.5+F196</f>
        <v>0</v>
      </c>
      <c r="I195" s="97">
        <f>F196*0.3+F196</f>
        <v>0</v>
      </c>
      <c r="J195" s="98">
        <f>F196*0.3+F196</f>
        <v>0</v>
      </c>
      <c r="K195" s="99">
        <f>F196*0.2+F196</f>
        <v>0</v>
      </c>
      <c r="L195" s="98">
        <f>F196*0.15+F196</f>
        <v>0</v>
      </c>
      <c r="M195" s="99">
        <f>F196*0.1+F196</f>
        <v>0</v>
      </c>
      <c r="N195" s="32"/>
      <c r="O195" s="33"/>
      <c r="P195" s="109"/>
      <c r="Q195" s="109"/>
    </row>
    <row r="196" ht="15.75" customHeight="1">
      <c r="A196" s="21"/>
      <c r="B196" s="70"/>
      <c r="C196" s="113"/>
      <c r="D196" s="102"/>
      <c r="E196" s="103"/>
      <c r="F196" s="112"/>
      <c r="G196" s="94"/>
      <c r="H196" s="96">
        <f t="shared" ref="H196:H198" si="73">F196*0.5+F196</f>
        <v>0</v>
      </c>
      <c r="I196" s="97">
        <f t="shared" ref="I196:I198" si="74">F196*0.3+F196</f>
        <v>0</v>
      </c>
      <c r="J196" s="98">
        <f t="shared" ref="J196:J198" si="75">F196*0.3+F196</f>
        <v>0</v>
      </c>
      <c r="K196" s="99">
        <f t="shared" ref="K196:K198" si="76">F196*0.2+F196</f>
        <v>0</v>
      </c>
      <c r="L196" s="98">
        <f t="shared" ref="L196:L198" si="77">F196*0.15+F196</f>
        <v>0</v>
      </c>
      <c r="M196" s="99">
        <f t="shared" ref="M196:M198" si="78">F196*0.1+F196</f>
        <v>0</v>
      </c>
      <c r="N196" s="32"/>
      <c r="O196" s="33"/>
      <c r="P196" s="109"/>
      <c r="Q196" s="109"/>
    </row>
    <row r="197" ht="15.75" customHeight="1">
      <c r="A197" s="21"/>
      <c r="B197" s="70"/>
      <c r="C197" s="113"/>
      <c r="D197" s="102"/>
      <c r="E197" s="103"/>
      <c r="F197" s="112"/>
      <c r="G197" s="94"/>
      <c r="H197" s="96">
        <f t="shared" si="73"/>
        <v>0</v>
      </c>
      <c r="I197" s="97">
        <f t="shared" si="74"/>
        <v>0</v>
      </c>
      <c r="J197" s="98">
        <f t="shared" si="75"/>
        <v>0</v>
      </c>
      <c r="K197" s="99">
        <f t="shared" si="76"/>
        <v>0</v>
      </c>
      <c r="L197" s="98">
        <f t="shared" si="77"/>
        <v>0</v>
      </c>
      <c r="M197" s="99">
        <f t="shared" si="78"/>
        <v>0</v>
      </c>
      <c r="N197" s="32"/>
      <c r="O197" s="33"/>
      <c r="P197" s="109"/>
      <c r="Q197" s="109"/>
    </row>
    <row r="198" ht="15.75" customHeight="1">
      <c r="A198" s="21"/>
      <c r="B198" s="70"/>
      <c r="C198" s="113"/>
      <c r="D198" s="102"/>
      <c r="E198" s="103"/>
      <c r="F198" s="112"/>
      <c r="G198" s="94"/>
      <c r="H198" s="96">
        <f t="shared" si="73"/>
        <v>0</v>
      </c>
      <c r="I198" s="97">
        <f t="shared" si="74"/>
        <v>0</v>
      </c>
      <c r="J198" s="98">
        <f t="shared" si="75"/>
        <v>0</v>
      </c>
      <c r="K198" s="99">
        <f t="shared" si="76"/>
        <v>0</v>
      </c>
      <c r="L198" s="98">
        <f t="shared" si="77"/>
        <v>0</v>
      </c>
      <c r="M198" s="99">
        <f t="shared" si="78"/>
        <v>0</v>
      </c>
      <c r="N198" s="32"/>
      <c r="O198" s="33"/>
      <c r="P198" s="109"/>
      <c r="Q198" s="109"/>
    </row>
    <row r="199" ht="15.75" customHeight="1">
      <c r="A199" s="21"/>
      <c r="B199" s="70"/>
      <c r="C199" s="61"/>
      <c r="D199" s="102"/>
      <c r="E199" s="103"/>
      <c r="F199" s="115"/>
      <c r="G199" s="94"/>
      <c r="H199" s="96">
        <f>F200*0.5+F200</f>
        <v>0</v>
      </c>
      <c r="I199" s="97">
        <f>F200*0.3+F200</f>
        <v>0</v>
      </c>
      <c r="J199" s="98">
        <f>F200*0.3+F200</f>
        <v>0</v>
      </c>
      <c r="K199" s="99">
        <f>F200*0.2+F200</f>
        <v>0</v>
      </c>
      <c r="L199" s="98">
        <f>F200*0.15+F200</f>
        <v>0</v>
      </c>
      <c r="M199" s="99">
        <f>F200*0.1+F200</f>
        <v>0</v>
      </c>
      <c r="N199" s="32"/>
      <c r="O199" s="33"/>
      <c r="P199" s="109"/>
      <c r="Q199" s="109"/>
    </row>
    <row r="200" ht="15.75" customHeight="1">
      <c r="A200" s="21"/>
      <c r="B200" s="70"/>
      <c r="C200" s="113"/>
      <c r="D200" s="116"/>
      <c r="E200" s="103"/>
      <c r="F200" s="112"/>
      <c r="G200" s="94"/>
      <c r="H200" s="96">
        <f t="shared" ref="H200:H202" si="79">F200*0.5+F200</f>
        <v>0</v>
      </c>
      <c r="I200" s="97">
        <f t="shared" ref="I200:I202" si="80">F200*0.3+F200</f>
        <v>0</v>
      </c>
      <c r="J200" s="98">
        <f t="shared" ref="J200:J202" si="81">F200*0.3+F200</f>
        <v>0</v>
      </c>
      <c r="K200" s="99">
        <f t="shared" ref="K200:K202" si="82">F200*0.2+F200</f>
        <v>0</v>
      </c>
      <c r="L200" s="98">
        <f t="shared" ref="L200:L202" si="83">F200*0.15+F200</f>
        <v>0</v>
      </c>
      <c r="M200" s="99">
        <f t="shared" ref="M200:M202" si="84">F200*0.1+F200</f>
        <v>0</v>
      </c>
      <c r="N200" s="32"/>
      <c r="O200" s="33"/>
      <c r="P200" s="109"/>
      <c r="Q200" s="109"/>
    </row>
    <row r="201" ht="15.75" customHeight="1">
      <c r="A201" s="21"/>
      <c r="B201" s="70"/>
      <c r="C201" s="113"/>
      <c r="D201" s="116"/>
      <c r="E201" s="103"/>
      <c r="F201" s="112"/>
      <c r="G201" s="94"/>
      <c r="H201" s="96">
        <f t="shared" si="79"/>
        <v>0</v>
      </c>
      <c r="I201" s="97">
        <f t="shared" si="80"/>
        <v>0</v>
      </c>
      <c r="J201" s="98">
        <f t="shared" si="81"/>
        <v>0</v>
      </c>
      <c r="K201" s="99">
        <f t="shared" si="82"/>
        <v>0</v>
      </c>
      <c r="L201" s="98">
        <f t="shared" si="83"/>
        <v>0</v>
      </c>
      <c r="M201" s="99">
        <f t="shared" si="84"/>
        <v>0</v>
      </c>
      <c r="N201" s="32"/>
      <c r="O201" s="33"/>
      <c r="P201" s="109"/>
      <c r="Q201" s="109"/>
    </row>
    <row r="202" ht="15.75" customHeight="1">
      <c r="A202" s="21"/>
      <c r="B202" s="70"/>
      <c r="C202" s="113"/>
      <c r="D202" s="111"/>
      <c r="E202" s="117"/>
      <c r="F202" s="112"/>
      <c r="G202" s="94"/>
      <c r="H202" s="96">
        <f t="shared" si="79"/>
        <v>0</v>
      </c>
      <c r="I202" s="97">
        <f t="shared" si="80"/>
        <v>0</v>
      </c>
      <c r="J202" s="98">
        <f t="shared" si="81"/>
        <v>0</v>
      </c>
      <c r="K202" s="99">
        <f t="shared" si="82"/>
        <v>0</v>
      </c>
      <c r="L202" s="98">
        <f t="shared" si="83"/>
        <v>0</v>
      </c>
      <c r="M202" s="99">
        <f t="shared" si="84"/>
        <v>0</v>
      </c>
      <c r="N202" s="32"/>
      <c r="O202" s="33"/>
      <c r="P202" s="109"/>
      <c r="Q202" s="109"/>
    </row>
    <row r="203" ht="15.75" customHeight="1">
      <c r="A203" s="21"/>
      <c r="B203" s="70"/>
      <c r="C203" s="61"/>
      <c r="D203" s="111"/>
      <c r="E203" s="103"/>
      <c r="F203" s="112"/>
      <c r="G203" s="94"/>
      <c r="H203" s="96">
        <f>F204*0.5+F204</f>
        <v>0</v>
      </c>
      <c r="I203" s="97">
        <f>F204*0.3+F204</f>
        <v>0</v>
      </c>
      <c r="J203" s="98">
        <f>F204*0.3+F204</f>
        <v>0</v>
      </c>
      <c r="K203" s="99">
        <f>F204*0.2+F204</f>
        <v>0</v>
      </c>
      <c r="L203" s="98">
        <f>F204*0.15+F204</f>
        <v>0</v>
      </c>
      <c r="M203" s="99">
        <f>F204*0.1+F204</f>
        <v>0</v>
      </c>
      <c r="N203" s="32"/>
      <c r="O203" s="33"/>
      <c r="P203" s="109"/>
      <c r="Q203" s="109"/>
    </row>
    <row r="204" ht="15.75" customHeight="1">
      <c r="A204" s="21"/>
      <c r="B204" s="70"/>
      <c r="C204" s="61"/>
      <c r="D204" s="111"/>
      <c r="E204" s="103"/>
      <c r="F204" s="112"/>
      <c r="G204" s="94"/>
      <c r="H204" s="96">
        <f t="shared" ref="H204:H206" si="85">F204*0.5+F204</f>
        <v>0</v>
      </c>
      <c r="I204" s="97">
        <f t="shared" ref="I204:I206" si="86">F204*0.3+F204</f>
        <v>0</v>
      </c>
      <c r="J204" s="98">
        <f t="shared" ref="J204:J206" si="87">F204*0.3+F204</f>
        <v>0</v>
      </c>
      <c r="K204" s="99">
        <f t="shared" ref="K204:K206" si="88">F204*0.2+F204</f>
        <v>0</v>
      </c>
      <c r="L204" s="98">
        <f t="shared" ref="L204:L206" si="89">F204*0.15+F204</f>
        <v>0</v>
      </c>
      <c r="M204" s="99">
        <f t="shared" ref="M204:M206" si="90">F204*0.1+F204</f>
        <v>0</v>
      </c>
      <c r="N204" s="32"/>
      <c r="O204" s="33"/>
      <c r="P204" s="109"/>
      <c r="Q204" s="109"/>
    </row>
    <row r="205" ht="15.75" customHeight="1">
      <c r="A205" s="21"/>
      <c r="B205" s="70"/>
      <c r="C205" s="118"/>
      <c r="D205" s="119"/>
      <c r="E205" s="103"/>
      <c r="F205" s="120"/>
      <c r="G205" s="94"/>
      <c r="H205" s="96">
        <f t="shared" si="85"/>
        <v>0</v>
      </c>
      <c r="I205" s="97">
        <f t="shared" si="86"/>
        <v>0</v>
      </c>
      <c r="J205" s="98">
        <f t="shared" si="87"/>
        <v>0</v>
      </c>
      <c r="K205" s="99">
        <f t="shared" si="88"/>
        <v>0</v>
      </c>
      <c r="L205" s="98">
        <f t="shared" si="89"/>
        <v>0</v>
      </c>
      <c r="M205" s="99">
        <f t="shared" si="90"/>
        <v>0</v>
      </c>
      <c r="N205" s="32"/>
      <c r="O205" s="33"/>
    </row>
    <row r="206" ht="15.75" customHeight="1">
      <c r="A206" s="21"/>
      <c r="B206" s="70"/>
      <c r="C206" s="118"/>
      <c r="D206" s="119"/>
      <c r="E206" s="103"/>
      <c r="F206" s="120"/>
      <c r="G206" s="94"/>
      <c r="H206" s="96">
        <f t="shared" si="85"/>
        <v>0</v>
      </c>
      <c r="I206" s="97">
        <f t="shared" si="86"/>
        <v>0</v>
      </c>
      <c r="J206" s="98">
        <f t="shared" si="87"/>
        <v>0</v>
      </c>
      <c r="K206" s="99">
        <f t="shared" si="88"/>
        <v>0</v>
      </c>
      <c r="L206" s="98">
        <f t="shared" si="89"/>
        <v>0</v>
      </c>
      <c r="M206" s="99">
        <f t="shared" si="90"/>
        <v>0</v>
      </c>
      <c r="N206" s="32"/>
      <c r="O206" s="33"/>
    </row>
    <row r="207" ht="15.75" customHeight="1">
      <c r="A207" s="21"/>
      <c r="B207" s="70"/>
      <c r="C207" s="118"/>
      <c r="D207" s="119"/>
      <c r="E207" s="103"/>
      <c r="F207" s="120"/>
      <c r="G207" s="94"/>
      <c r="H207" s="96">
        <f>F208*0.5+F208</f>
        <v>0</v>
      </c>
      <c r="I207" s="97">
        <f>F208*0.3+F208</f>
        <v>0</v>
      </c>
      <c r="J207" s="98">
        <f>F208*0.3+F208</f>
        <v>0</v>
      </c>
      <c r="K207" s="99">
        <f>F208*0.2+F208</f>
        <v>0</v>
      </c>
      <c r="L207" s="98">
        <f>F208*0.15+F208</f>
        <v>0</v>
      </c>
      <c r="M207" s="99">
        <f>F208*0.1+F208</f>
        <v>0</v>
      </c>
      <c r="N207" s="32"/>
      <c r="O207" s="33"/>
    </row>
    <row r="208" ht="15.75" customHeight="1">
      <c r="A208" s="21"/>
      <c r="B208" s="70"/>
      <c r="C208" s="118"/>
      <c r="D208" s="119"/>
      <c r="E208" s="103"/>
      <c r="F208" s="120"/>
      <c r="G208" s="94"/>
      <c r="H208" s="96">
        <f t="shared" ref="H208:H210" si="91">F208*0.5+F208</f>
        <v>0</v>
      </c>
      <c r="I208" s="97">
        <f t="shared" ref="I208:I210" si="92">F208*0.3+F208</f>
        <v>0</v>
      </c>
      <c r="J208" s="98">
        <f t="shared" ref="J208:J210" si="93">F208*0.3+F208</f>
        <v>0</v>
      </c>
      <c r="K208" s="99">
        <f t="shared" ref="K208:K210" si="94">F208*0.2+F208</f>
        <v>0</v>
      </c>
      <c r="L208" s="98">
        <f t="shared" ref="L208:L210" si="95">F208*0.15+F208</f>
        <v>0</v>
      </c>
      <c r="M208" s="99">
        <f t="shared" ref="M208:M210" si="96">F208*0.1+F208</f>
        <v>0</v>
      </c>
      <c r="N208" s="32"/>
      <c r="O208" s="33"/>
    </row>
    <row r="209" ht="15.75" customHeight="1">
      <c r="A209" s="21"/>
      <c r="B209" s="70"/>
      <c r="C209" s="118"/>
      <c r="D209" s="119"/>
      <c r="E209" s="103"/>
      <c r="F209" s="120"/>
      <c r="G209" s="94"/>
      <c r="H209" s="96">
        <f t="shared" si="91"/>
        <v>0</v>
      </c>
      <c r="I209" s="97">
        <f t="shared" si="92"/>
        <v>0</v>
      </c>
      <c r="J209" s="98">
        <f t="shared" si="93"/>
        <v>0</v>
      </c>
      <c r="K209" s="99">
        <f t="shared" si="94"/>
        <v>0</v>
      </c>
      <c r="L209" s="98">
        <f t="shared" si="95"/>
        <v>0</v>
      </c>
      <c r="M209" s="99">
        <f t="shared" si="96"/>
        <v>0</v>
      </c>
      <c r="N209" s="32"/>
      <c r="O209" s="33"/>
    </row>
    <row r="210" ht="15.75" customHeight="1">
      <c r="A210" s="21"/>
      <c r="B210" s="70"/>
      <c r="C210" s="118"/>
      <c r="D210" s="119"/>
      <c r="E210" s="103"/>
      <c r="F210" s="120"/>
      <c r="G210" s="94"/>
      <c r="H210" s="96">
        <f t="shared" si="91"/>
        <v>0</v>
      </c>
      <c r="I210" s="97">
        <f t="shared" si="92"/>
        <v>0</v>
      </c>
      <c r="J210" s="98">
        <f t="shared" si="93"/>
        <v>0</v>
      </c>
      <c r="K210" s="99">
        <f t="shared" si="94"/>
        <v>0</v>
      </c>
      <c r="L210" s="98">
        <f t="shared" si="95"/>
        <v>0</v>
      </c>
      <c r="M210" s="99">
        <f t="shared" si="96"/>
        <v>0</v>
      </c>
      <c r="N210" s="32"/>
      <c r="O210" s="33"/>
    </row>
    <row r="211" ht="15.75" customHeight="1">
      <c r="A211" s="21"/>
      <c r="B211" s="70"/>
      <c r="C211" s="118"/>
      <c r="D211" s="119"/>
      <c r="E211" s="103"/>
      <c r="F211" s="120"/>
      <c r="G211" s="94"/>
      <c r="H211" s="96">
        <f>F212*0.5+F212</f>
        <v>0</v>
      </c>
      <c r="I211" s="97">
        <f>F212*0.3+F212</f>
        <v>0</v>
      </c>
      <c r="J211" s="98">
        <f>F212*0.3+F212</f>
        <v>0</v>
      </c>
      <c r="K211" s="99">
        <f>F212*0.2+F212</f>
        <v>0</v>
      </c>
      <c r="L211" s="98">
        <f>F212*0.15+F212</f>
        <v>0</v>
      </c>
      <c r="M211" s="99">
        <f>F212*0.1+F212</f>
        <v>0</v>
      </c>
      <c r="N211" s="32"/>
      <c r="O211" s="33"/>
    </row>
    <row r="212" ht="15.75" customHeight="1">
      <c r="A212" s="21"/>
      <c r="B212" s="70"/>
      <c r="C212" s="118"/>
      <c r="D212" s="119"/>
      <c r="E212" s="103"/>
      <c r="F212" s="120"/>
      <c r="G212" s="94"/>
      <c r="H212" s="96">
        <f t="shared" ref="H212:H214" si="97">F212*0.5+F212</f>
        <v>0</v>
      </c>
      <c r="I212" s="97">
        <f t="shared" ref="I212:I214" si="98">F212*0.3+F212</f>
        <v>0</v>
      </c>
      <c r="J212" s="98">
        <f t="shared" ref="J212:J214" si="99">F212*0.3+F212</f>
        <v>0</v>
      </c>
      <c r="K212" s="99">
        <f t="shared" ref="K212:K214" si="100">F212*0.2+F212</f>
        <v>0</v>
      </c>
      <c r="L212" s="98">
        <f t="shared" ref="L212:L214" si="101">F212*0.15+F212</f>
        <v>0</v>
      </c>
      <c r="M212" s="99">
        <f t="shared" ref="M212:M214" si="102">F212*0.1+F212</f>
        <v>0</v>
      </c>
      <c r="N212" s="32"/>
      <c r="O212" s="33"/>
    </row>
    <row r="213" ht="15.75" customHeight="1">
      <c r="A213" s="21"/>
      <c r="B213" s="70"/>
      <c r="C213" s="118"/>
      <c r="D213" s="119"/>
      <c r="E213" s="103"/>
      <c r="F213" s="120"/>
      <c r="G213" s="94"/>
      <c r="H213" s="96">
        <f t="shared" si="97"/>
        <v>0</v>
      </c>
      <c r="I213" s="97">
        <f t="shared" si="98"/>
        <v>0</v>
      </c>
      <c r="J213" s="98">
        <f t="shared" si="99"/>
        <v>0</v>
      </c>
      <c r="K213" s="99">
        <f t="shared" si="100"/>
        <v>0</v>
      </c>
      <c r="L213" s="98">
        <f t="shared" si="101"/>
        <v>0</v>
      </c>
      <c r="M213" s="99">
        <f t="shared" si="102"/>
        <v>0</v>
      </c>
      <c r="N213" s="32"/>
      <c r="O213" s="33"/>
    </row>
    <row r="214" ht="15.75" customHeight="1">
      <c r="A214" s="21"/>
      <c r="B214" s="70"/>
      <c r="C214" s="118"/>
      <c r="D214" s="119"/>
      <c r="E214" s="103"/>
      <c r="F214" s="120"/>
      <c r="G214" s="94"/>
      <c r="H214" s="96">
        <f t="shared" si="97"/>
        <v>0</v>
      </c>
      <c r="I214" s="97">
        <f t="shared" si="98"/>
        <v>0</v>
      </c>
      <c r="J214" s="98">
        <f t="shared" si="99"/>
        <v>0</v>
      </c>
      <c r="K214" s="99">
        <f t="shared" si="100"/>
        <v>0</v>
      </c>
      <c r="L214" s="98">
        <f t="shared" si="101"/>
        <v>0</v>
      </c>
      <c r="M214" s="99">
        <f t="shared" si="102"/>
        <v>0</v>
      </c>
      <c r="N214" s="32"/>
      <c r="O214" s="33"/>
    </row>
    <row r="215" ht="15.75" customHeight="1">
      <c r="A215" s="21"/>
      <c r="B215" s="70"/>
      <c r="C215" s="118"/>
      <c r="D215" s="119"/>
      <c r="E215" s="103"/>
      <c r="F215" s="120"/>
      <c r="G215" s="94"/>
      <c r="H215" s="96">
        <f>F216*0.5+F216</f>
        <v>0</v>
      </c>
      <c r="I215" s="97">
        <f>F216*0.3+F216</f>
        <v>0</v>
      </c>
      <c r="J215" s="98">
        <f>F216*0.3+F216</f>
        <v>0</v>
      </c>
      <c r="K215" s="99">
        <f>F216*0.2+F216</f>
        <v>0</v>
      </c>
      <c r="L215" s="98">
        <f>F216*0.15+F216</f>
        <v>0</v>
      </c>
      <c r="M215" s="99">
        <f>F216*0.1+F216</f>
        <v>0</v>
      </c>
      <c r="N215" s="32"/>
      <c r="O215" s="33"/>
    </row>
    <row r="216" ht="15.75" customHeight="1">
      <c r="A216" s="21"/>
      <c r="B216" s="70"/>
      <c r="C216" s="121"/>
      <c r="D216" s="119"/>
      <c r="E216" s="103"/>
      <c r="F216" s="122"/>
      <c r="G216" s="94"/>
      <c r="H216" s="96">
        <f t="shared" ref="H216:H218" si="103">F216*0.5+F216</f>
        <v>0</v>
      </c>
      <c r="I216" s="97">
        <f t="shared" ref="I216:I218" si="104">F216*0.3+F216</f>
        <v>0</v>
      </c>
      <c r="J216" s="98">
        <f t="shared" ref="J216:J218" si="105">F216*0.3+F216</f>
        <v>0</v>
      </c>
      <c r="K216" s="99">
        <f t="shared" ref="K216:K218" si="106">F216*0.2+F216</f>
        <v>0</v>
      </c>
      <c r="L216" s="98">
        <f t="shared" ref="L216:L218" si="107">F216*0.15+F216</f>
        <v>0</v>
      </c>
      <c r="M216" s="99">
        <f t="shared" ref="M216:M218" si="108">F216*0.1+F216</f>
        <v>0</v>
      </c>
      <c r="N216" s="32"/>
      <c r="O216" s="33"/>
    </row>
    <row r="217" ht="15.75" customHeight="1">
      <c r="A217" s="21"/>
      <c r="B217" s="70"/>
      <c r="C217" s="61"/>
      <c r="D217" s="119"/>
      <c r="E217" s="103"/>
      <c r="F217" s="120"/>
      <c r="G217" s="94"/>
      <c r="H217" s="96">
        <f t="shared" si="103"/>
        <v>0</v>
      </c>
      <c r="I217" s="97">
        <f t="shared" si="104"/>
        <v>0</v>
      </c>
      <c r="J217" s="98">
        <f t="shared" si="105"/>
        <v>0</v>
      </c>
      <c r="K217" s="99">
        <f t="shared" si="106"/>
        <v>0</v>
      </c>
      <c r="L217" s="98">
        <f t="shared" si="107"/>
        <v>0</v>
      </c>
      <c r="M217" s="99">
        <f t="shared" si="108"/>
        <v>0</v>
      </c>
      <c r="N217" s="32"/>
      <c r="O217" s="33"/>
    </row>
    <row r="218" ht="15.75" customHeight="1">
      <c r="A218" s="21"/>
      <c r="B218" s="70"/>
      <c r="C218" s="61"/>
      <c r="D218" s="119"/>
      <c r="E218" s="123"/>
      <c r="F218" s="120"/>
      <c r="G218" s="94"/>
      <c r="H218" s="96">
        <f t="shared" si="103"/>
        <v>0</v>
      </c>
      <c r="I218" s="97">
        <f t="shared" si="104"/>
        <v>0</v>
      </c>
      <c r="J218" s="98">
        <f t="shared" si="105"/>
        <v>0</v>
      </c>
      <c r="K218" s="99">
        <f t="shared" si="106"/>
        <v>0</v>
      </c>
      <c r="L218" s="98">
        <f t="shared" si="107"/>
        <v>0</v>
      </c>
      <c r="M218" s="99">
        <f t="shared" si="108"/>
        <v>0</v>
      </c>
      <c r="N218" s="32"/>
      <c r="O218" s="33"/>
    </row>
    <row r="219" ht="15.75" customHeight="1">
      <c r="A219" s="21"/>
      <c r="B219" s="70"/>
      <c r="C219" s="61"/>
      <c r="D219" s="119"/>
      <c r="E219" s="123"/>
      <c r="F219" s="120"/>
      <c r="G219" s="94"/>
      <c r="H219" s="96">
        <f>F220*0.5+F220</f>
        <v>0</v>
      </c>
      <c r="I219" s="97">
        <f>F220*0.3+F220</f>
        <v>0</v>
      </c>
      <c r="J219" s="98">
        <f>F220*0.3+F220</f>
        <v>0</v>
      </c>
      <c r="K219" s="99">
        <f>F220*0.2+F220</f>
        <v>0</v>
      </c>
      <c r="L219" s="98">
        <f>F220*0.15+F220</f>
        <v>0</v>
      </c>
      <c r="M219" s="99">
        <f>F220*0.1+F220</f>
        <v>0</v>
      </c>
      <c r="N219" s="32"/>
      <c r="O219" s="33"/>
    </row>
    <row r="220" ht="15.75" customHeight="1">
      <c r="A220" s="21"/>
      <c r="B220" s="70"/>
      <c r="C220" s="61"/>
      <c r="D220" s="119"/>
      <c r="E220" s="123"/>
      <c r="F220" s="120"/>
      <c r="G220" s="94"/>
      <c r="H220" s="96">
        <f t="shared" ref="H220:H222" si="109">F220*0.5+F220</f>
        <v>0</v>
      </c>
      <c r="I220" s="97">
        <f t="shared" ref="I220:I222" si="110">F220*0.3+F220</f>
        <v>0</v>
      </c>
      <c r="J220" s="98">
        <f t="shared" ref="J220:J222" si="111">F220*0.3+F220</f>
        <v>0</v>
      </c>
      <c r="K220" s="99">
        <f t="shared" ref="K220:K222" si="112">F220*0.2+F220</f>
        <v>0</v>
      </c>
      <c r="L220" s="98">
        <f t="shared" ref="L220:L222" si="113">F220*0.15+F220</f>
        <v>0</v>
      </c>
      <c r="M220" s="99">
        <f t="shared" ref="M220:M222" si="114">F220*0.1+F220</f>
        <v>0</v>
      </c>
      <c r="N220" s="32"/>
      <c r="O220" s="33"/>
    </row>
    <row r="221" ht="15.75" customHeight="1">
      <c r="A221" s="21"/>
      <c r="B221" s="70"/>
      <c r="C221" s="61"/>
      <c r="D221" s="119"/>
      <c r="E221" s="123"/>
      <c r="F221" s="120"/>
      <c r="G221" s="94"/>
      <c r="H221" s="96">
        <f t="shared" si="109"/>
        <v>0</v>
      </c>
      <c r="I221" s="97">
        <f t="shared" si="110"/>
        <v>0</v>
      </c>
      <c r="J221" s="98">
        <f t="shared" si="111"/>
        <v>0</v>
      </c>
      <c r="K221" s="99">
        <f t="shared" si="112"/>
        <v>0</v>
      </c>
      <c r="L221" s="98">
        <f t="shared" si="113"/>
        <v>0</v>
      </c>
      <c r="M221" s="99">
        <f t="shared" si="114"/>
        <v>0</v>
      </c>
      <c r="N221" s="32"/>
      <c r="O221" s="33"/>
    </row>
    <row r="222" ht="15.75" customHeight="1">
      <c r="A222" s="21"/>
      <c r="B222" s="70"/>
      <c r="C222" s="114"/>
      <c r="D222" s="124"/>
      <c r="E222" s="123"/>
      <c r="F222" s="122"/>
      <c r="G222" s="94"/>
      <c r="H222" s="96">
        <f t="shared" si="109"/>
        <v>0</v>
      </c>
      <c r="I222" s="97">
        <f t="shared" si="110"/>
        <v>0</v>
      </c>
      <c r="J222" s="98">
        <f t="shared" si="111"/>
        <v>0</v>
      </c>
      <c r="K222" s="99">
        <f t="shared" si="112"/>
        <v>0</v>
      </c>
      <c r="L222" s="98">
        <f t="shared" si="113"/>
        <v>0</v>
      </c>
      <c r="M222" s="99">
        <f t="shared" si="114"/>
        <v>0</v>
      </c>
      <c r="N222" s="32"/>
      <c r="O222" s="33"/>
    </row>
    <row r="223" ht="15.75" customHeight="1">
      <c r="A223" s="21"/>
      <c r="B223" s="70"/>
      <c r="C223" s="121"/>
      <c r="D223" s="124"/>
      <c r="E223" s="123"/>
      <c r="F223" s="122"/>
      <c r="G223" s="94"/>
      <c r="H223" s="96">
        <f>F224*0.5+F224</f>
        <v>0</v>
      </c>
      <c r="I223" s="97">
        <f>F224*0.3+F224</f>
        <v>0</v>
      </c>
      <c r="J223" s="98">
        <f>F224*0.3+F224</f>
        <v>0</v>
      </c>
      <c r="K223" s="99">
        <f>F224*0.2+F224</f>
        <v>0</v>
      </c>
      <c r="L223" s="98">
        <f>F224*0.15+F224</f>
        <v>0</v>
      </c>
      <c r="M223" s="99">
        <f>F224*0.1+F224</f>
        <v>0</v>
      </c>
      <c r="N223" s="32"/>
      <c r="O223" s="33"/>
    </row>
    <row r="224" ht="15.75" customHeight="1">
      <c r="A224" s="21"/>
      <c r="B224" s="70"/>
      <c r="C224" s="121"/>
      <c r="D224" s="124"/>
      <c r="E224" s="125"/>
      <c r="F224" s="122"/>
      <c r="G224" s="94"/>
      <c r="H224" s="96">
        <f t="shared" ref="H224:H226" si="115">F224*0.5+F224</f>
        <v>0</v>
      </c>
      <c r="I224" s="97">
        <f t="shared" ref="I224:I226" si="116">F224*0.3+F224</f>
        <v>0</v>
      </c>
      <c r="J224" s="98">
        <f t="shared" ref="J224:J226" si="117">F224*0.3+F224</f>
        <v>0</v>
      </c>
      <c r="K224" s="99">
        <f t="shared" ref="K224:K226" si="118">F224*0.2+F224</f>
        <v>0</v>
      </c>
      <c r="L224" s="98">
        <f t="shared" ref="L224:L226" si="119">F224*0.15+F224</f>
        <v>0</v>
      </c>
      <c r="M224" s="99">
        <f t="shared" ref="M224:M226" si="120">F224*0.1+F224</f>
        <v>0</v>
      </c>
      <c r="N224" s="32"/>
      <c r="O224" s="33"/>
    </row>
    <row r="225" ht="15.75" customHeight="1">
      <c r="A225" s="21"/>
      <c r="B225" s="70"/>
      <c r="C225" s="118"/>
      <c r="D225" s="124"/>
      <c r="E225" s="123"/>
      <c r="F225" s="120"/>
      <c r="G225" s="94"/>
      <c r="H225" s="96">
        <f t="shared" si="115"/>
        <v>0</v>
      </c>
      <c r="I225" s="97">
        <f t="shared" si="116"/>
        <v>0</v>
      </c>
      <c r="J225" s="98">
        <f t="shared" si="117"/>
        <v>0</v>
      </c>
      <c r="K225" s="99">
        <f t="shared" si="118"/>
        <v>0</v>
      </c>
      <c r="L225" s="98">
        <f t="shared" si="119"/>
        <v>0</v>
      </c>
      <c r="M225" s="99">
        <f t="shared" si="120"/>
        <v>0</v>
      </c>
      <c r="N225" s="32"/>
      <c r="O225" s="33"/>
    </row>
    <row r="226" ht="15.75" customHeight="1">
      <c r="A226" s="21"/>
      <c r="B226" s="70"/>
      <c r="C226" s="114"/>
      <c r="D226" s="124"/>
      <c r="E226" s="123"/>
      <c r="F226" s="122"/>
      <c r="G226" s="94"/>
      <c r="H226" s="96">
        <f t="shared" si="115"/>
        <v>0</v>
      </c>
      <c r="I226" s="97">
        <f t="shared" si="116"/>
        <v>0</v>
      </c>
      <c r="J226" s="98">
        <f t="shared" si="117"/>
        <v>0</v>
      </c>
      <c r="K226" s="99">
        <f t="shared" si="118"/>
        <v>0</v>
      </c>
      <c r="L226" s="98">
        <f t="shared" si="119"/>
        <v>0</v>
      </c>
      <c r="M226" s="99">
        <f t="shared" si="120"/>
        <v>0</v>
      </c>
      <c r="N226" s="32"/>
      <c r="O226" s="33"/>
    </row>
    <row r="227" ht="15.75" customHeight="1">
      <c r="A227" s="21"/>
      <c r="B227" s="70"/>
      <c r="C227" s="121"/>
      <c r="D227" s="124"/>
      <c r="E227" s="123"/>
      <c r="F227" s="120"/>
      <c r="G227" s="94"/>
      <c r="H227" s="96">
        <f>F228*0.5+F228</f>
        <v>0</v>
      </c>
      <c r="I227" s="97">
        <f>F228*0.3+F228</f>
        <v>0</v>
      </c>
      <c r="J227" s="98">
        <f>F228*0.3+F228</f>
        <v>0</v>
      </c>
      <c r="K227" s="99">
        <f>F228*0.2+F228</f>
        <v>0</v>
      </c>
      <c r="L227" s="98">
        <f>F228*0.15+F228</f>
        <v>0</v>
      </c>
      <c r="M227" s="99">
        <f>F228*0.1+F228</f>
        <v>0</v>
      </c>
      <c r="N227" s="32"/>
      <c r="O227" s="33"/>
    </row>
    <row r="228" ht="15.75" customHeight="1">
      <c r="A228" s="21"/>
      <c r="B228" s="70"/>
      <c r="C228" s="121"/>
      <c r="D228" s="124"/>
      <c r="E228" s="123"/>
      <c r="F228" s="122"/>
      <c r="G228" s="94"/>
      <c r="H228" s="96">
        <f t="shared" ref="H228:H230" si="121">F228*0.5+F228</f>
        <v>0</v>
      </c>
      <c r="I228" s="97">
        <f t="shared" ref="I228:I230" si="122">F228*0.3+F228</f>
        <v>0</v>
      </c>
      <c r="J228" s="98">
        <f t="shared" ref="J228:J230" si="123">F228*0.3+F228</f>
        <v>0</v>
      </c>
      <c r="K228" s="99">
        <f t="shared" ref="K228:K230" si="124">F228*0.2+F228</f>
        <v>0</v>
      </c>
      <c r="L228" s="98">
        <f t="shared" ref="L228:L230" si="125">F228*0.15+F228</f>
        <v>0</v>
      </c>
      <c r="M228" s="99">
        <f t="shared" ref="M228:M230" si="126">F228*0.1+F228</f>
        <v>0</v>
      </c>
      <c r="N228" s="32"/>
      <c r="O228" s="33"/>
    </row>
    <row r="229" ht="15.75" customHeight="1">
      <c r="A229" s="21"/>
      <c r="B229" s="70"/>
      <c r="C229" s="61"/>
      <c r="D229" s="124"/>
      <c r="E229" s="123"/>
      <c r="F229" s="112"/>
      <c r="G229" s="94"/>
      <c r="H229" s="96">
        <f t="shared" si="121"/>
        <v>0</v>
      </c>
      <c r="I229" s="97">
        <f t="shared" si="122"/>
        <v>0</v>
      </c>
      <c r="J229" s="98">
        <f t="shared" si="123"/>
        <v>0</v>
      </c>
      <c r="K229" s="99">
        <f t="shared" si="124"/>
        <v>0</v>
      </c>
      <c r="L229" s="98">
        <f t="shared" si="125"/>
        <v>0</v>
      </c>
      <c r="M229" s="99">
        <f t="shared" si="126"/>
        <v>0</v>
      </c>
      <c r="N229" s="32"/>
      <c r="O229" s="33"/>
    </row>
    <row r="230" ht="15.75" customHeight="1">
      <c r="A230" s="21"/>
      <c r="B230" s="70"/>
      <c r="C230" s="61"/>
      <c r="D230" s="124"/>
      <c r="E230" s="123"/>
      <c r="F230" s="122"/>
      <c r="G230" s="94"/>
      <c r="H230" s="96">
        <f t="shared" si="121"/>
        <v>0</v>
      </c>
      <c r="I230" s="97">
        <f t="shared" si="122"/>
        <v>0</v>
      </c>
      <c r="J230" s="98">
        <f t="shared" si="123"/>
        <v>0</v>
      </c>
      <c r="K230" s="99">
        <f t="shared" si="124"/>
        <v>0</v>
      </c>
      <c r="L230" s="98">
        <f t="shared" si="125"/>
        <v>0</v>
      </c>
      <c r="M230" s="99">
        <f t="shared" si="126"/>
        <v>0</v>
      </c>
      <c r="N230" s="32"/>
      <c r="O230" s="33"/>
    </row>
    <row r="231" ht="15.75" customHeight="1">
      <c r="A231" s="21"/>
      <c r="B231" s="70"/>
      <c r="C231" s="121"/>
      <c r="D231" s="124"/>
      <c r="E231" s="123"/>
      <c r="F231" s="120"/>
      <c r="G231" s="94"/>
      <c r="H231" s="96">
        <f>F232*0.5+F232</f>
        <v>0</v>
      </c>
      <c r="I231" s="97">
        <f>F232*0.3+F232</f>
        <v>0</v>
      </c>
      <c r="J231" s="98">
        <f>F232*0.3+F232</f>
        <v>0</v>
      </c>
      <c r="K231" s="99">
        <f>F232*0.2+F232</f>
        <v>0</v>
      </c>
      <c r="L231" s="98">
        <f>F232*0.15+F232</f>
        <v>0</v>
      </c>
      <c r="M231" s="99">
        <f>F232*0.1+F232</f>
        <v>0</v>
      </c>
      <c r="N231" s="32"/>
      <c r="O231" s="33"/>
    </row>
    <row r="232" ht="15.75" customHeight="1">
      <c r="A232" s="21"/>
      <c r="B232" s="70"/>
      <c r="C232" s="61"/>
      <c r="D232" s="119"/>
      <c r="E232" s="123"/>
      <c r="F232" s="120"/>
      <c r="G232" s="94"/>
      <c r="H232" s="96">
        <f t="shared" ref="H232:H234" si="127">F232*0.5+F232</f>
        <v>0</v>
      </c>
      <c r="I232" s="97">
        <f t="shared" ref="I232:I234" si="128">F232*0.3+F232</f>
        <v>0</v>
      </c>
      <c r="J232" s="98">
        <f t="shared" ref="J232:J234" si="129">F232*0.3+F232</f>
        <v>0</v>
      </c>
      <c r="K232" s="99">
        <f t="shared" ref="K232:K234" si="130">F232*0.2+F232</f>
        <v>0</v>
      </c>
      <c r="L232" s="98">
        <f t="shared" ref="L232:L234" si="131">F232*0.15+F232</f>
        <v>0</v>
      </c>
      <c r="M232" s="99">
        <f t="shared" ref="M232:M234" si="132">F232*0.1+F232</f>
        <v>0</v>
      </c>
      <c r="N232" s="32"/>
      <c r="O232" s="33"/>
    </row>
    <row r="233" ht="15.75" customHeight="1">
      <c r="A233" s="21"/>
      <c r="B233" s="70"/>
      <c r="C233" s="61"/>
      <c r="D233" s="119"/>
      <c r="E233" s="123"/>
      <c r="F233" s="120"/>
      <c r="G233" s="94"/>
      <c r="H233" s="96">
        <f t="shared" si="127"/>
        <v>0</v>
      </c>
      <c r="I233" s="97">
        <f t="shared" si="128"/>
        <v>0</v>
      </c>
      <c r="J233" s="98">
        <f t="shared" si="129"/>
        <v>0</v>
      </c>
      <c r="K233" s="99">
        <f t="shared" si="130"/>
        <v>0</v>
      </c>
      <c r="L233" s="98">
        <f t="shared" si="131"/>
        <v>0</v>
      </c>
      <c r="M233" s="99">
        <f t="shared" si="132"/>
        <v>0</v>
      </c>
      <c r="N233" s="32"/>
      <c r="O233" s="33"/>
    </row>
    <row r="234" ht="15.75" customHeight="1">
      <c r="A234" s="21"/>
      <c r="B234" s="70"/>
      <c r="C234" s="61"/>
      <c r="D234" s="119"/>
      <c r="E234" s="123"/>
      <c r="F234" s="120"/>
      <c r="G234" s="94"/>
      <c r="H234" s="96">
        <f t="shared" si="127"/>
        <v>0</v>
      </c>
      <c r="I234" s="97">
        <f t="shared" si="128"/>
        <v>0</v>
      </c>
      <c r="J234" s="98">
        <f t="shared" si="129"/>
        <v>0</v>
      </c>
      <c r="K234" s="99">
        <f t="shared" si="130"/>
        <v>0</v>
      </c>
      <c r="L234" s="98">
        <f t="shared" si="131"/>
        <v>0</v>
      </c>
      <c r="M234" s="99">
        <f t="shared" si="132"/>
        <v>0</v>
      </c>
      <c r="N234" s="32"/>
      <c r="O234" s="33"/>
    </row>
    <row r="235" ht="15.75" customHeight="1">
      <c r="A235" s="21"/>
      <c r="B235" s="70"/>
      <c r="C235" s="126"/>
      <c r="D235" s="124"/>
      <c r="E235" s="90"/>
      <c r="F235" s="112"/>
      <c r="G235" s="94"/>
      <c r="H235" s="96">
        <f>F236*0.5+F236</f>
        <v>0</v>
      </c>
      <c r="I235" s="97">
        <f>F236*0.3+F236</f>
        <v>0</v>
      </c>
      <c r="J235" s="98">
        <f>F236*0.3+F236</f>
        <v>0</v>
      </c>
      <c r="K235" s="99">
        <f>F236*0.2+F236</f>
        <v>0</v>
      </c>
      <c r="L235" s="98">
        <f>F236*0.15+F236</f>
        <v>0</v>
      </c>
      <c r="M235" s="99">
        <f>F236*0.1+F236</f>
        <v>0</v>
      </c>
      <c r="N235" s="32"/>
      <c r="O235" s="33"/>
    </row>
    <row r="236" ht="15.75" customHeight="1">
      <c r="A236" s="21"/>
      <c r="B236" s="70"/>
      <c r="C236" s="126"/>
      <c r="D236" s="124"/>
      <c r="E236" s="90"/>
      <c r="F236" s="112"/>
      <c r="G236" s="94"/>
      <c r="H236" s="96">
        <f t="shared" ref="H236:H238" si="133">F236*0.5+F236</f>
        <v>0</v>
      </c>
      <c r="I236" s="97">
        <f t="shared" ref="I236:I238" si="134">F236*0.3+F236</f>
        <v>0</v>
      </c>
      <c r="J236" s="98">
        <f t="shared" ref="J236:J238" si="135">F236*0.3+F236</f>
        <v>0</v>
      </c>
      <c r="K236" s="99">
        <f t="shared" ref="K236:K238" si="136">F236*0.2+F236</f>
        <v>0</v>
      </c>
      <c r="L236" s="98">
        <f t="shared" ref="L236:L238" si="137">F236*0.15+F236</f>
        <v>0</v>
      </c>
      <c r="M236" s="99">
        <f t="shared" ref="M236:M238" si="138">F236*0.1+F236</f>
        <v>0</v>
      </c>
      <c r="N236" s="32"/>
      <c r="O236" s="33"/>
    </row>
    <row r="237" ht="15.75" customHeight="1">
      <c r="A237" s="21"/>
      <c r="B237" s="70"/>
      <c r="C237" s="126"/>
      <c r="D237" s="124"/>
      <c r="E237" s="90"/>
      <c r="F237" s="112"/>
      <c r="G237" s="94"/>
      <c r="H237" s="96">
        <f t="shared" si="133"/>
        <v>0</v>
      </c>
      <c r="I237" s="97">
        <f t="shared" si="134"/>
        <v>0</v>
      </c>
      <c r="J237" s="98">
        <f t="shared" si="135"/>
        <v>0</v>
      </c>
      <c r="K237" s="99">
        <f t="shared" si="136"/>
        <v>0</v>
      </c>
      <c r="L237" s="98">
        <f t="shared" si="137"/>
        <v>0</v>
      </c>
      <c r="M237" s="99">
        <f t="shared" si="138"/>
        <v>0</v>
      </c>
      <c r="N237" s="32"/>
      <c r="O237" s="33"/>
    </row>
    <row r="238" ht="15.75" customHeight="1">
      <c r="A238" s="21"/>
      <c r="B238" s="70"/>
      <c r="C238" s="126"/>
      <c r="D238" s="124"/>
      <c r="E238" s="90"/>
      <c r="F238" s="112"/>
      <c r="G238" s="94"/>
      <c r="H238" s="96">
        <f t="shared" si="133"/>
        <v>0</v>
      </c>
      <c r="I238" s="97">
        <f t="shared" si="134"/>
        <v>0</v>
      </c>
      <c r="J238" s="98">
        <f t="shared" si="135"/>
        <v>0</v>
      </c>
      <c r="K238" s="99">
        <f t="shared" si="136"/>
        <v>0</v>
      </c>
      <c r="L238" s="98">
        <f t="shared" si="137"/>
        <v>0</v>
      </c>
      <c r="M238" s="99">
        <f t="shared" si="138"/>
        <v>0</v>
      </c>
      <c r="N238" s="32"/>
      <c r="O238" s="33"/>
    </row>
    <row r="239" ht="15.75" customHeight="1">
      <c r="A239" s="21"/>
      <c r="B239" s="70"/>
      <c r="C239" s="126"/>
      <c r="D239" s="124"/>
      <c r="E239" s="90"/>
      <c r="F239" s="112"/>
      <c r="G239" s="94"/>
      <c r="H239" s="96">
        <f>F240*0.5+F240</f>
        <v>0</v>
      </c>
      <c r="I239" s="97">
        <f>F240*0.3+F240</f>
        <v>0</v>
      </c>
      <c r="J239" s="98">
        <f>F240*0.3+F240</f>
        <v>0</v>
      </c>
      <c r="K239" s="99">
        <f>F240*0.2+F240</f>
        <v>0</v>
      </c>
      <c r="L239" s="98">
        <f>F240*0.15+F240</f>
        <v>0</v>
      </c>
      <c r="M239" s="99">
        <f>F240*0.1+F240</f>
        <v>0</v>
      </c>
      <c r="N239" s="32"/>
      <c r="O239" s="33"/>
    </row>
    <row r="240" ht="15.75" customHeight="1">
      <c r="A240" s="21"/>
      <c r="B240" s="70"/>
      <c r="C240" s="126"/>
      <c r="D240" s="124"/>
      <c r="E240" s="90"/>
      <c r="F240" s="112"/>
      <c r="G240" s="94"/>
      <c r="H240" s="96">
        <f t="shared" ref="H240:H242" si="139">F240*0.5+F240</f>
        <v>0</v>
      </c>
      <c r="I240" s="97">
        <f t="shared" ref="I240:I242" si="140">F240*0.3+F240</f>
        <v>0</v>
      </c>
      <c r="J240" s="98">
        <f t="shared" ref="J240:J242" si="141">F240*0.3+F240</f>
        <v>0</v>
      </c>
      <c r="K240" s="99">
        <f t="shared" ref="K240:K242" si="142">F240*0.2+F240</f>
        <v>0</v>
      </c>
      <c r="L240" s="98">
        <f t="shared" ref="L240:L242" si="143">F240*0.15+F240</f>
        <v>0</v>
      </c>
      <c r="M240" s="99">
        <f t="shared" ref="M240:M242" si="144">F240*0.1+F240</f>
        <v>0</v>
      </c>
      <c r="N240" s="32"/>
      <c r="O240" s="33"/>
    </row>
    <row r="241" ht="15.75" customHeight="1">
      <c r="A241" s="21"/>
      <c r="B241" s="70"/>
      <c r="C241" s="126"/>
      <c r="D241" s="124"/>
      <c r="E241" s="90"/>
      <c r="F241" s="112"/>
      <c r="G241" s="94"/>
      <c r="H241" s="96">
        <f t="shared" si="139"/>
        <v>0</v>
      </c>
      <c r="I241" s="97">
        <f t="shared" si="140"/>
        <v>0</v>
      </c>
      <c r="J241" s="98">
        <f t="shared" si="141"/>
        <v>0</v>
      </c>
      <c r="K241" s="99">
        <f t="shared" si="142"/>
        <v>0</v>
      </c>
      <c r="L241" s="98">
        <f t="shared" si="143"/>
        <v>0</v>
      </c>
      <c r="M241" s="99">
        <f t="shared" si="144"/>
        <v>0</v>
      </c>
      <c r="N241" s="32"/>
      <c r="O241" s="33"/>
    </row>
    <row r="242" ht="15.75" customHeight="1">
      <c r="A242" s="21"/>
      <c r="B242" s="70"/>
      <c r="C242" s="114"/>
      <c r="D242" s="124"/>
      <c r="E242" s="90"/>
      <c r="F242" s="112"/>
      <c r="G242" s="94"/>
      <c r="H242" s="96">
        <f t="shared" si="139"/>
        <v>0</v>
      </c>
      <c r="I242" s="97">
        <f t="shared" si="140"/>
        <v>0</v>
      </c>
      <c r="J242" s="98">
        <f t="shared" si="141"/>
        <v>0</v>
      </c>
      <c r="K242" s="99">
        <f t="shared" si="142"/>
        <v>0</v>
      </c>
      <c r="L242" s="98">
        <f t="shared" si="143"/>
        <v>0</v>
      </c>
      <c r="M242" s="99">
        <f t="shared" si="144"/>
        <v>0</v>
      </c>
      <c r="N242" s="32"/>
      <c r="O242" s="33"/>
    </row>
    <row r="243" ht="15.75" customHeight="1">
      <c r="A243" s="21"/>
      <c r="B243" s="70"/>
      <c r="C243" s="61"/>
      <c r="D243" s="124"/>
      <c r="E243" s="90"/>
      <c r="F243" s="115"/>
      <c r="G243" s="94"/>
      <c r="H243" s="96">
        <f>F244*0.5+F244</f>
        <v>0</v>
      </c>
      <c r="I243" s="97">
        <f>F244*0.3+F244</f>
        <v>0</v>
      </c>
      <c r="J243" s="98">
        <f>F244*0.3+F244</f>
        <v>0</v>
      </c>
      <c r="K243" s="99">
        <f>F244*0.2+F244</f>
        <v>0</v>
      </c>
      <c r="L243" s="98">
        <f>F244*0.15+F244</f>
        <v>0</v>
      </c>
      <c r="M243" s="99">
        <f>F244*0.1+F244</f>
        <v>0</v>
      </c>
      <c r="N243" s="32"/>
      <c r="O243" s="33"/>
    </row>
    <row r="244" ht="15.75" customHeight="1">
      <c r="A244" s="21"/>
      <c r="B244" s="70"/>
      <c r="C244" s="61"/>
      <c r="D244" s="124"/>
      <c r="E244" s="90"/>
      <c r="F244" s="115"/>
      <c r="G244" s="94"/>
      <c r="H244" s="96">
        <f t="shared" ref="H244:H246" si="145">F244*0.5+F244</f>
        <v>0</v>
      </c>
      <c r="I244" s="97">
        <f t="shared" ref="I244:I246" si="146">F244*0.3+F244</f>
        <v>0</v>
      </c>
      <c r="J244" s="98">
        <f t="shared" ref="J244:J246" si="147">F244*0.3+F244</f>
        <v>0</v>
      </c>
      <c r="K244" s="99">
        <f t="shared" ref="K244:K246" si="148">F244*0.2+F244</f>
        <v>0</v>
      </c>
      <c r="L244" s="98">
        <f t="shared" ref="L244:L246" si="149">F244*0.15+F244</f>
        <v>0</v>
      </c>
      <c r="M244" s="99">
        <f t="shared" ref="M244:M246" si="150">F244*0.1+F244</f>
        <v>0</v>
      </c>
      <c r="N244" s="32"/>
      <c r="O244" s="33"/>
    </row>
    <row r="245" ht="15.75" customHeight="1">
      <c r="A245" s="21"/>
      <c r="B245" s="70"/>
      <c r="C245" s="61"/>
      <c r="D245" s="124"/>
      <c r="E245" s="90"/>
      <c r="F245" s="115"/>
      <c r="G245" s="94"/>
      <c r="H245" s="96">
        <f t="shared" si="145"/>
        <v>0</v>
      </c>
      <c r="I245" s="97">
        <f t="shared" si="146"/>
        <v>0</v>
      </c>
      <c r="J245" s="98">
        <f t="shared" si="147"/>
        <v>0</v>
      </c>
      <c r="K245" s="99">
        <f t="shared" si="148"/>
        <v>0</v>
      </c>
      <c r="L245" s="98">
        <f t="shared" si="149"/>
        <v>0</v>
      </c>
      <c r="M245" s="99">
        <f t="shared" si="150"/>
        <v>0</v>
      </c>
      <c r="N245" s="32"/>
      <c r="O245" s="33"/>
    </row>
    <row r="246" ht="15.75" customHeight="1">
      <c r="A246" s="21"/>
      <c r="B246" s="70"/>
      <c r="C246" s="61"/>
      <c r="D246" s="102"/>
      <c r="E246" s="90"/>
      <c r="F246" s="115"/>
      <c r="G246" s="94"/>
      <c r="H246" s="96">
        <f t="shared" si="145"/>
        <v>0</v>
      </c>
      <c r="I246" s="97">
        <f t="shared" si="146"/>
        <v>0</v>
      </c>
      <c r="J246" s="98">
        <f t="shared" si="147"/>
        <v>0</v>
      </c>
      <c r="K246" s="99">
        <f t="shared" si="148"/>
        <v>0</v>
      </c>
      <c r="L246" s="98">
        <f t="shared" si="149"/>
        <v>0</v>
      </c>
      <c r="M246" s="99">
        <f t="shared" si="150"/>
        <v>0</v>
      </c>
      <c r="N246" s="32"/>
      <c r="O246" s="33"/>
    </row>
    <row r="247" ht="15.75" customHeight="1">
      <c r="A247" s="21"/>
      <c r="B247" s="70"/>
      <c r="C247" s="61"/>
      <c r="D247" s="124"/>
      <c r="E247" s="90"/>
      <c r="F247" s="115"/>
      <c r="G247" s="94"/>
      <c r="H247" s="96">
        <f>F248*0.5+F248</f>
        <v>0</v>
      </c>
      <c r="I247" s="97">
        <f>F248*0.3+F248</f>
        <v>0</v>
      </c>
      <c r="J247" s="98">
        <f>F248*0.3+F248</f>
        <v>0</v>
      </c>
      <c r="K247" s="99">
        <f>F248*0.2+F248</f>
        <v>0</v>
      </c>
      <c r="L247" s="98">
        <f>F248*0.15+F248</f>
        <v>0</v>
      </c>
      <c r="M247" s="99">
        <f>F248*0.1+F248</f>
        <v>0</v>
      </c>
      <c r="N247" s="32"/>
      <c r="O247" s="33"/>
    </row>
    <row r="248" ht="15.75" customHeight="1">
      <c r="A248" s="21"/>
      <c r="B248" s="70"/>
      <c r="C248" s="61"/>
      <c r="D248" s="124"/>
      <c r="E248" s="90"/>
      <c r="F248" s="115"/>
      <c r="G248" s="94"/>
      <c r="H248" s="96">
        <f t="shared" ref="H248:H250" si="151">F248*0.5+F248</f>
        <v>0</v>
      </c>
      <c r="I248" s="97">
        <f t="shared" ref="I248:I250" si="152">F248*0.3+F248</f>
        <v>0</v>
      </c>
      <c r="J248" s="98">
        <f t="shared" ref="J248:J250" si="153">F248*0.3+F248</f>
        <v>0</v>
      </c>
      <c r="K248" s="99">
        <f t="shared" ref="K248:K250" si="154">F248*0.2+F248</f>
        <v>0</v>
      </c>
      <c r="L248" s="98">
        <f t="shared" ref="L248:L250" si="155">F248*0.15+F248</f>
        <v>0</v>
      </c>
      <c r="M248" s="99">
        <f t="shared" ref="M248:M250" si="156">F248*0.1+F248</f>
        <v>0</v>
      </c>
      <c r="N248" s="32"/>
      <c r="O248" s="33"/>
    </row>
    <row r="249" ht="15.75" customHeight="1">
      <c r="A249" s="21"/>
      <c r="B249" s="70"/>
      <c r="C249" s="61"/>
      <c r="D249" s="124"/>
      <c r="E249" s="90"/>
      <c r="F249" s="115"/>
      <c r="G249" s="94"/>
      <c r="H249" s="96">
        <f t="shared" si="151"/>
        <v>0</v>
      </c>
      <c r="I249" s="97">
        <f t="shared" si="152"/>
        <v>0</v>
      </c>
      <c r="J249" s="98">
        <f t="shared" si="153"/>
        <v>0</v>
      </c>
      <c r="K249" s="99">
        <f t="shared" si="154"/>
        <v>0</v>
      </c>
      <c r="L249" s="98">
        <f t="shared" si="155"/>
        <v>0</v>
      </c>
      <c r="M249" s="99">
        <f t="shared" si="156"/>
        <v>0</v>
      </c>
      <c r="N249" s="32"/>
      <c r="O249" s="33"/>
    </row>
    <row r="250" ht="15.75" customHeight="1">
      <c r="A250" s="21"/>
      <c r="B250" s="70"/>
      <c r="C250" s="61"/>
      <c r="D250" s="124"/>
      <c r="E250" s="90"/>
      <c r="F250" s="115"/>
      <c r="G250" s="94"/>
      <c r="H250" s="96">
        <f t="shared" si="151"/>
        <v>0</v>
      </c>
      <c r="I250" s="97">
        <f t="shared" si="152"/>
        <v>0</v>
      </c>
      <c r="J250" s="98">
        <f t="shared" si="153"/>
        <v>0</v>
      </c>
      <c r="K250" s="99">
        <f t="shared" si="154"/>
        <v>0</v>
      </c>
      <c r="L250" s="98">
        <f t="shared" si="155"/>
        <v>0</v>
      </c>
      <c r="M250" s="99">
        <f t="shared" si="156"/>
        <v>0</v>
      </c>
      <c r="N250" s="32"/>
      <c r="O250" s="33"/>
    </row>
    <row r="251" ht="15.75" customHeight="1">
      <c r="A251" s="21"/>
      <c r="B251" s="70"/>
      <c r="C251" s="61"/>
      <c r="D251" s="124"/>
      <c r="E251" s="90"/>
      <c r="F251" s="115"/>
      <c r="G251" s="94"/>
      <c r="H251" s="96">
        <f>F252*0.5+F252</f>
        <v>0</v>
      </c>
      <c r="I251" s="97">
        <f>F252*0.3+F252</f>
        <v>0</v>
      </c>
      <c r="J251" s="98">
        <f>F252*0.3+F252</f>
        <v>0</v>
      </c>
      <c r="K251" s="99">
        <f>F252*0.2+F252</f>
        <v>0</v>
      </c>
      <c r="L251" s="98">
        <f>F252*0.15+F252</f>
        <v>0</v>
      </c>
      <c r="M251" s="99">
        <f>F252*0.1+F252</f>
        <v>0</v>
      </c>
      <c r="N251" s="32"/>
      <c r="O251" s="33"/>
    </row>
    <row r="252" ht="15.75" customHeight="1">
      <c r="A252" s="21"/>
      <c r="B252" s="70"/>
      <c r="C252" s="61"/>
      <c r="D252" s="124"/>
      <c r="E252" s="90"/>
      <c r="F252" s="115"/>
      <c r="G252" s="94"/>
      <c r="H252" s="96">
        <f t="shared" ref="H252:H254" si="157">F252*0.5+F252</f>
        <v>0</v>
      </c>
      <c r="I252" s="97">
        <f t="shared" ref="I252:I254" si="158">F252*0.3+F252</f>
        <v>0</v>
      </c>
      <c r="J252" s="98">
        <f t="shared" ref="J252:J254" si="159">F252*0.3+F252</f>
        <v>0</v>
      </c>
      <c r="K252" s="99">
        <f t="shared" ref="K252:K254" si="160">F252*0.2+F252</f>
        <v>0</v>
      </c>
      <c r="L252" s="98">
        <f t="shared" ref="L252:L254" si="161">F252*0.15+F252</f>
        <v>0</v>
      </c>
      <c r="M252" s="99">
        <f t="shared" ref="M252:M254" si="162">F252*0.1+F252</f>
        <v>0</v>
      </c>
      <c r="N252" s="32"/>
      <c r="O252" s="33"/>
    </row>
    <row r="253" ht="15.75" customHeight="1">
      <c r="A253" s="21"/>
      <c r="B253" s="70"/>
      <c r="C253" s="61"/>
      <c r="D253" s="124"/>
      <c r="E253" s="90"/>
      <c r="F253" s="112"/>
      <c r="G253" s="94"/>
      <c r="H253" s="96">
        <f t="shared" si="157"/>
        <v>0</v>
      </c>
      <c r="I253" s="97">
        <f t="shared" si="158"/>
        <v>0</v>
      </c>
      <c r="J253" s="98">
        <f t="shared" si="159"/>
        <v>0</v>
      </c>
      <c r="K253" s="99">
        <f t="shared" si="160"/>
        <v>0</v>
      </c>
      <c r="L253" s="98">
        <f t="shared" si="161"/>
        <v>0</v>
      </c>
      <c r="M253" s="99">
        <f t="shared" si="162"/>
        <v>0</v>
      </c>
      <c r="N253" s="32"/>
      <c r="O253" s="33"/>
    </row>
    <row r="254" ht="15.75" customHeight="1">
      <c r="A254" s="21"/>
      <c r="B254" s="70"/>
      <c r="C254" s="61"/>
      <c r="D254" s="102"/>
      <c r="E254" s="90"/>
      <c r="F254" s="127"/>
      <c r="G254" s="94"/>
      <c r="H254" s="96">
        <f t="shared" si="157"/>
        <v>0</v>
      </c>
      <c r="I254" s="97">
        <f t="shared" si="158"/>
        <v>0</v>
      </c>
      <c r="J254" s="98">
        <f t="shared" si="159"/>
        <v>0</v>
      </c>
      <c r="K254" s="99">
        <f t="shared" si="160"/>
        <v>0</v>
      </c>
      <c r="L254" s="98">
        <f t="shared" si="161"/>
        <v>0</v>
      </c>
      <c r="M254" s="99">
        <f t="shared" si="162"/>
        <v>0</v>
      </c>
      <c r="N254" s="32"/>
      <c r="O254" s="33"/>
    </row>
    <row r="255" ht="15.75" customHeight="1">
      <c r="A255" s="21"/>
      <c r="B255" s="70"/>
      <c r="C255" s="61"/>
      <c r="D255" s="128"/>
      <c r="E255" s="90"/>
      <c r="F255" s="127"/>
      <c r="G255" s="94"/>
      <c r="H255" s="96">
        <f>F256*0.5+F256</f>
        <v>0</v>
      </c>
      <c r="I255" s="97">
        <f>F256*0.3+F256</f>
        <v>0</v>
      </c>
      <c r="J255" s="98">
        <f>F256*0.3+F256</f>
        <v>0</v>
      </c>
      <c r="K255" s="99">
        <f>F256*0.2+F256</f>
        <v>0</v>
      </c>
      <c r="L255" s="98">
        <f>F256*0.15+F256</f>
        <v>0</v>
      </c>
      <c r="M255" s="99">
        <f>F256*0.1+F256</f>
        <v>0</v>
      </c>
      <c r="N255" s="32"/>
      <c r="O255" s="33"/>
    </row>
    <row r="256" ht="15.75" customHeight="1">
      <c r="A256" s="21"/>
      <c r="B256" s="70"/>
      <c r="C256" s="61"/>
      <c r="D256" s="102"/>
      <c r="E256" s="90"/>
      <c r="F256" s="127"/>
      <c r="G256" s="94"/>
      <c r="H256" s="96">
        <f t="shared" ref="H256:H258" si="163">F256*0.5+F256</f>
        <v>0</v>
      </c>
      <c r="I256" s="97">
        <f t="shared" ref="I256:I258" si="164">F256*0.3+F256</f>
        <v>0</v>
      </c>
      <c r="J256" s="98">
        <f t="shared" ref="J256:J258" si="165">F256*0.3+F256</f>
        <v>0</v>
      </c>
      <c r="K256" s="99">
        <f t="shared" ref="K256:K258" si="166">F256*0.2+F256</f>
        <v>0</v>
      </c>
      <c r="L256" s="98">
        <f t="shared" ref="L256:L258" si="167">F256*0.15+F256</f>
        <v>0</v>
      </c>
      <c r="M256" s="99">
        <f t="shared" ref="M256:M258" si="168">F256*0.1+F256</f>
        <v>0</v>
      </c>
      <c r="N256" s="32"/>
      <c r="O256" s="33"/>
    </row>
    <row r="257" ht="15.75" customHeight="1">
      <c r="A257" s="21"/>
      <c r="B257" s="70"/>
      <c r="C257" s="61"/>
      <c r="D257" s="102"/>
      <c r="E257" s="90"/>
      <c r="F257" s="127"/>
      <c r="G257" s="94"/>
      <c r="H257" s="96">
        <f t="shared" si="163"/>
        <v>0</v>
      </c>
      <c r="I257" s="97">
        <f t="shared" si="164"/>
        <v>0</v>
      </c>
      <c r="J257" s="98">
        <f t="shared" si="165"/>
        <v>0</v>
      </c>
      <c r="K257" s="99">
        <f t="shared" si="166"/>
        <v>0</v>
      </c>
      <c r="L257" s="98">
        <f t="shared" si="167"/>
        <v>0</v>
      </c>
      <c r="M257" s="99">
        <f t="shared" si="168"/>
        <v>0</v>
      </c>
      <c r="N257" s="32"/>
      <c r="O257" s="33"/>
    </row>
    <row r="258" ht="15.75" customHeight="1">
      <c r="A258" s="21"/>
      <c r="B258" s="70"/>
      <c r="C258" s="61"/>
      <c r="D258" s="102"/>
      <c r="E258" s="90"/>
      <c r="F258" s="127"/>
      <c r="G258" s="94"/>
      <c r="H258" s="96">
        <f t="shared" si="163"/>
        <v>0</v>
      </c>
      <c r="I258" s="97">
        <f t="shared" si="164"/>
        <v>0</v>
      </c>
      <c r="J258" s="98">
        <f t="shared" si="165"/>
        <v>0</v>
      </c>
      <c r="K258" s="99">
        <f t="shared" si="166"/>
        <v>0</v>
      </c>
      <c r="L258" s="98">
        <f t="shared" si="167"/>
        <v>0</v>
      </c>
      <c r="M258" s="99">
        <f t="shared" si="168"/>
        <v>0</v>
      </c>
      <c r="N258" s="32"/>
      <c r="O258" s="33"/>
    </row>
    <row r="259" ht="15.75" customHeight="1">
      <c r="A259" s="21"/>
      <c r="B259" s="70"/>
      <c r="C259" s="61"/>
      <c r="D259" s="102"/>
      <c r="E259" s="90"/>
      <c r="F259" s="127"/>
      <c r="G259" s="94"/>
      <c r="H259" s="96">
        <f>F260*0.5+F260</f>
        <v>0</v>
      </c>
      <c r="I259" s="97">
        <f>F260*0.3+F260</f>
        <v>0</v>
      </c>
      <c r="J259" s="98">
        <f>F260*0.3+F260</f>
        <v>0</v>
      </c>
      <c r="K259" s="99">
        <f>F260*0.2+F260</f>
        <v>0</v>
      </c>
      <c r="L259" s="98">
        <f>F260*0.15+F260</f>
        <v>0</v>
      </c>
      <c r="M259" s="99">
        <f>F260*0.1+F260</f>
        <v>0</v>
      </c>
      <c r="N259" s="32"/>
      <c r="O259" s="33"/>
    </row>
    <row r="260" ht="15.75" customHeight="1">
      <c r="A260" s="21"/>
      <c r="B260" s="70"/>
      <c r="C260" s="61"/>
      <c r="D260" s="102"/>
      <c r="E260" s="90"/>
      <c r="F260" s="115"/>
      <c r="G260" s="94"/>
      <c r="H260" s="96">
        <f t="shared" ref="H260:H262" si="169">F260*0.5+F260</f>
        <v>0</v>
      </c>
      <c r="I260" s="97">
        <f t="shared" ref="I260:I262" si="170">F260*0.3+F260</f>
        <v>0</v>
      </c>
      <c r="J260" s="98">
        <f t="shared" ref="J260:J262" si="171">F260*0.3+F260</f>
        <v>0</v>
      </c>
      <c r="K260" s="99">
        <f t="shared" ref="K260:K262" si="172">F260*0.2+F260</f>
        <v>0</v>
      </c>
      <c r="L260" s="98">
        <f t="shared" ref="L260:L262" si="173">F260*0.15+F260</f>
        <v>0</v>
      </c>
      <c r="M260" s="99">
        <f t="shared" ref="M260:M262" si="174">F260*0.1+F260</f>
        <v>0</v>
      </c>
      <c r="N260" s="32"/>
      <c r="O260" s="33"/>
    </row>
    <row r="261" ht="15.75" customHeight="1">
      <c r="A261" s="21"/>
      <c r="B261" s="70"/>
      <c r="C261" s="129"/>
      <c r="D261" s="102"/>
      <c r="E261" s="90"/>
      <c r="F261" s="115"/>
      <c r="G261" s="94"/>
      <c r="H261" s="96">
        <f t="shared" si="169"/>
        <v>0</v>
      </c>
      <c r="I261" s="97">
        <f t="shared" si="170"/>
        <v>0</v>
      </c>
      <c r="J261" s="98">
        <f t="shared" si="171"/>
        <v>0</v>
      </c>
      <c r="K261" s="99">
        <f t="shared" si="172"/>
        <v>0</v>
      </c>
      <c r="L261" s="98">
        <f t="shared" si="173"/>
        <v>0</v>
      </c>
      <c r="M261" s="99">
        <f t="shared" si="174"/>
        <v>0</v>
      </c>
      <c r="N261" s="32"/>
      <c r="O261" s="33"/>
    </row>
    <row r="262" ht="15.75" customHeight="1">
      <c r="A262" s="21"/>
      <c r="B262" s="70"/>
      <c r="C262" s="114"/>
      <c r="D262" s="124"/>
      <c r="E262" s="90"/>
      <c r="F262" s="115"/>
      <c r="G262" s="94"/>
      <c r="H262" s="96">
        <f t="shared" si="169"/>
        <v>0</v>
      </c>
      <c r="I262" s="97">
        <f t="shared" si="170"/>
        <v>0</v>
      </c>
      <c r="J262" s="98">
        <f t="shared" si="171"/>
        <v>0</v>
      </c>
      <c r="K262" s="99">
        <f t="shared" si="172"/>
        <v>0</v>
      </c>
      <c r="L262" s="98">
        <f t="shared" si="173"/>
        <v>0</v>
      </c>
      <c r="M262" s="99">
        <f t="shared" si="174"/>
        <v>0</v>
      </c>
      <c r="N262" s="32"/>
      <c r="O262" s="33"/>
    </row>
    <row r="263" ht="15.75" customHeight="1">
      <c r="A263" s="21"/>
      <c r="B263" s="70"/>
      <c r="C263" s="114"/>
      <c r="D263" s="124"/>
      <c r="E263" s="90"/>
      <c r="F263" s="115"/>
      <c r="G263" s="94"/>
      <c r="H263" s="96">
        <f>F264*0.5+F264</f>
        <v>0</v>
      </c>
      <c r="I263" s="97">
        <f>F264*0.3+F264</f>
        <v>0</v>
      </c>
      <c r="J263" s="98">
        <f>F264*0.3+F264</f>
        <v>0</v>
      </c>
      <c r="K263" s="99">
        <f>F264*0.2+F264</f>
        <v>0</v>
      </c>
      <c r="L263" s="98">
        <f>F264*0.15+F264</f>
        <v>0</v>
      </c>
      <c r="M263" s="99">
        <f>F264*0.1+F264</f>
        <v>0</v>
      </c>
      <c r="N263" s="32"/>
      <c r="O263" s="33"/>
    </row>
    <row r="264" ht="15.75" customHeight="1">
      <c r="A264" s="21"/>
      <c r="B264" s="70"/>
      <c r="C264" s="114"/>
      <c r="D264" s="124"/>
      <c r="E264" s="90"/>
      <c r="F264" s="115"/>
      <c r="G264" s="94"/>
      <c r="H264" s="96">
        <f t="shared" ref="H264:H266" si="175">F264*0.5+F264</f>
        <v>0</v>
      </c>
      <c r="I264" s="97">
        <f t="shared" ref="I264:I266" si="176">F264*0.3+F264</f>
        <v>0</v>
      </c>
      <c r="J264" s="98">
        <f t="shared" ref="J264:J266" si="177">F264*0.3+F264</f>
        <v>0</v>
      </c>
      <c r="K264" s="99">
        <f t="shared" ref="K264:K266" si="178">F264*0.2+F264</f>
        <v>0</v>
      </c>
      <c r="L264" s="98">
        <f t="shared" ref="L264:L266" si="179">F264*0.15+F264</f>
        <v>0</v>
      </c>
      <c r="M264" s="99">
        <f t="shared" ref="M264:M266" si="180">F264*0.1+F264</f>
        <v>0</v>
      </c>
      <c r="N264" s="32"/>
      <c r="O264" s="33"/>
    </row>
    <row r="265" ht="15.75" customHeight="1">
      <c r="A265" s="21"/>
      <c r="B265" s="70"/>
      <c r="C265" s="114"/>
      <c r="D265" s="124"/>
      <c r="E265" s="90"/>
      <c r="F265" s="115"/>
      <c r="G265" s="94"/>
      <c r="H265" s="96">
        <f t="shared" si="175"/>
        <v>0</v>
      </c>
      <c r="I265" s="97">
        <f t="shared" si="176"/>
        <v>0</v>
      </c>
      <c r="J265" s="98">
        <f t="shared" si="177"/>
        <v>0</v>
      </c>
      <c r="K265" s="99">
        <f t="shared" si="178"/>
        <v>0</v>
      </c>
      <c r="L265" s="98">
        <f t="shared" si="179"/>
        <v>0</v>
      </c>
      <c r="M265" s="99">
        <f t="shared" si="180"/>
        <v>0</v>
      </c>
      <c r="N265" s="32"/>
      <c r="O265" s="33"/>
    </row>
    <row r="266" ht="15.75" customHeight="1">
      <c r="A266" s="21"/>
      <c r="B266" s="70"/>
      <c r="C266" s="61"/>
      <c r="D266" s="124"/>
      <c r="E266" s="90"/>
      <c r="F266" s="115"/>
      <c r="G266" s="94"/>
      <c r="H266" s="96">
        <f t="shared" si="175"/>
        <v>0</v>
      </c>
      <c r="I266" s="97">
        <f t="shared" si="176"/>
        <v>0</v>
      </c>
      <c r="J266" s="98">
        <f t="shared" si="177"/>
        <v>0</v>
      </c>
      <c r="K266" s="99">
        <f t="shared" si="178"/>
        <v>0</v>
      </c>
      <c r="L266" s="98">
        <f t="shared" si="179"/>
        <v>0</v>
      </c>
      <c r="M266" s="99">
        <f t="shared" si="180"/>
        <v>0</v>
      </c>
      <c r="N266" s="32"/>
      <c r="O266" s="33"/>
    </row>
    <row r="267" ht="15.75" customHeight="1">
      <c r="A267" s="21"/>
      <c r="B267" s="70"/>
      <c r="C267" s="126"/>
      <c r="D267" s="124"/>
      <c r="E267" s="90"/>
      <c r="F267" s="115"/>
      <c r="G267" s="94"/>
      <c r="H267" s="96">
        <f>F268*0.5+F268</f>
        <v>0</v>
      </c>
      <c r="I267" s="97">
        <f>F268*0.3+F268</f>
        <v>0</v>
      </c>
      <c r="J267" s="98">
        <f>F268*0.3+F268</f>
        <v>0</v>
      </c>
      <c r="K267" s="99">
        <f>F268*0.2+F268</f>
        <v>0</v>
      </c>
      <c r="L267" s="98">
        <f>F268*0.15+F268</f>
        <v>0</v>
      </c>
      <c r="M267" s="99">
        <f>F268*0.1+F268</f>
        <v>0</v>
      </c>
      <c r="N267" s="32"/>
      <c r="O267" s="33"/>
    </row>
    <row r="268" ht="15.75" customHeight="1">
      <c r="A268" s="21"/>
      <c r="B268" s="70"/>
      <c r="C268" s="130"/>
      <c r="D268" s="124"/>
      <c r="E268" s="90"/>
      <c r="F268" s="115"/>
      <c r="G268" s="94"/>
      <c r="H268" s="96">
        <f t="shared" ref="H268:H270" si="181">F268*0.5+F268</f>
        <v>0</v>
      </c>
      <c r="I268" s="97">
        <f t="shared" ref="I268:I270" si="182">F268*0.3+F268</f>
        <v>0</v>
      </c>
      <c r="J268" s="98">
        <f t="shared" ref="J268:J270" si="183">F268*0.3+F268</f>
        <v>0</v>
      </c>
      <c r="K268" s="99">
        <f t="shared" ref="K268:K270" si="184">F268*0.2+F268</f>
        <v>0</v>
      </c>
      <c r="L268" s="98">
        <f t="shared" ref="L268:L270" si="185">F268*0.15+F268</f>
        <v>0</v>
      </c>
      <c r="M268" s="99">
        <f t="shared" ref="M268:M270" si="186">F268*0.1+F268</f>
        <v>0</v>
      </c>
      <c r="N268" s="32"/>
      <c r="O268" s="33"/>
    </row>
    <row r="269" ht="15.75" customHeight="1">
      <c r="A269" s="21"/>
      <c r="B269" s="70"/>
      <c r="C269" s="114"/>
      <c r="D269" s="124"/>
      <c r="E269" s="90"/>
      <c r="F269" s="115"/>
      <c r="G269" s="94"/>
      <c r="H269" s="96">
        <f t="shared" si="181"/>
        <v>0</v>
      </c>
      <c r="I269" s="97">
        <f t="shared" si="182"/>
        <v>0</v>
      </c>
      <c r="J269" s="98">
        <f t="shared" si="183"/>
        <v>0</v>
      </c>
      <c r="K269" s="99">
        <f t="shared" si="184"/>
        <v>0</v>
      </c>
      <c r="L269" s="98">
        <f t="shared" si="185"/>
        <v>0</v>
      </c>
      <c r="M269" s="99">
        <f t="shared" si="186"/>
        <v>0</v>
      </c>
      <c r="N269" s="32"/>
      <c r="O269" s="33"/>
    </row>
    <row r="270" ht="15.75" customHeight="1">
      <c r="A270" s="21"/>
      <c r="B270" s="70"/>
      <c r="C270" s="126"/>
      <c r="D270" s="124"/>
      <c r="E270" s="90"/>
      <c r="F270" s="115"/>
      <c r="G270" s="94"/>
      <c r="H270" s="96">
        <f t="shared" si="181"/>
        <v>0</v>
      </c>
      <c r="I270" s="97">
        <f t="shared" si="182"/>
        <v>0</v>
      </c>
      <c r="J270" s="98">
        <f t="shared" si="183"/>
        <v>0</v>
      </c>
      <c r="K270" s="99">
        <f t="shared" si="184"/>
        <v>0</v>
      </c>
      <c r="L270" s="98">
        <f t="shared" si="185"/>
        <v>0</v>
      </c>
      <c r="M270" s="99">
        <f t="shared" si="186"/>
        <v>0</v>
      </c>
      <c r="N270" s="32"/>
      <c r="O270" s="33"/>
    </row>
    <row r="271" ht="15.75" customHeight="1">
      <c r="A271" s="21"/>
      <c r="B271" s="70"/>
      <c r="C271" s="126"/>
      <c r="D271" s="124"/>
      <c r="E271" s="90"/>
      <c r="F271" s="115"/>
      <c r="G271" s="94"/>
      <c r="H271" s="96">
        <f>F272*0.5+F272</f>
        <v>0</v>
      </c>
      <c r="I271" s="97">
        <f>F272*0.3+F272</f>
        <v>0</v>
      </c>
      <c r="J271" s="98">
        <f>F272*0.3+F272</f>
        <v>0</v>
      </c>
      <c r="K271" s="99">
        <f>F272*0.2+F272</f>
        <v>0</v>
      </c>
      <c r="L271" s="98">
        <f>F272*0.15+F272</f>
        <v>0</v>
      </c>
      <c r="M271" s="99">
        <f>F272*0.1+F272</f>
        <v>0</v>
      </c>
      <c r="N271" s="32"/>
      <c r="O271" s="33"/>
    </row>
    <row r="272" ht="15.75" customHeight="1">
      <c r="A272" s="21"/>
      <c r="B272" s="70"/>
      <c r="C272" s="126"/>
      <c r="D272" s="124"/>
      <c r="E272" s="90"/>
      <c r="F272" s="115"/>
      <c r="G272" s="94"/>
      <c r="H272" s="96">
        <f t="shared" ref="H272:H274" si="187">F272*0.5+F272</f>
        <v>0</v>
      </c>
      <c r="I272" s="97">
        <f t="shared" ref="I272:I274" si="188">F272*0.3+F272</f>
        <v>0</v>
      </c>
      <c r="J272" s="98">
        <f t="shared" ref="J272:J274" si="189">F272*0.3+F272</f>
        <v>0</v>
      </c>
      <c r="K272" s="99">
        <f t="shared" ref="K272:K274" si="190">F272*0.2+F272</f>
        <v>0</v>
      </c>
      <c r="L272" s="98">
        <f t="shared" ref="L272:L274" si="191">F272*0.15+F272</f>
        <v>0</v>
      </c>
      <c r="M272" s="99">
        <f t="shared" ref="M272:M274" si="192">F272*0.1+F272</f>
        <v>0</v>
      </c>
      <c r="N272" s="32"/>
      <c r="O272" s="33"/>
    </row>
    <row r="273" ht="15.75" customHeight="1">
      <c r="A273" s="21"/>
      <c r="B273" s="70"/>
      <c r="C273" s="126"/>
      <c r="D273" s="124"/>
      <c r="E273" s="90"/>
      <c r="F273" s="115"/>
      <c r="G273" s="94"/>
      <c r="H273" s="96">
        <f t="shared" si="187"/>
        <v>0</v>
      </c>
      <c r="I273" s="97">
        <f t="shared" si="188"/>
        <v>0</v>
      </c>
      <c r="J273" s="98">
        <f t="shared" si="189"/>
        <v>0</v>
      </c>
      <c r="K273" s="99">
        <f t="shared" si="190"/>
        <v>0</v>
      </c>
      <c r="L273" s="98">
        <f t="shared" si="191"/>
        <v>0</v>
      </c>
      <c r="M273" s="99">
        <f t="shared" si="192"/>
        <v>0</v>
      </c>
      <c r="N273" s="32"/>
      <c r="O273" s="33"/>
    </row>
    <row r="274" ht="15.75" customHeight="1">
      <c r="A274" s="21"/>
      <c r="B274" s="70"/>
      <c r="C274" s="126"/>
      <c r="D274" s="124"/>
      <c r="E274" s="90"/>
      <c r="F274" s="115"/>
      <c r="G274" s="94"/>
      <c r="H274" s="96">
        <f t="shared" si="187"/>
        <v>0</v>
      </c>
      <c r="I274" s="97">
        <f t="shared" si="188"/>
        <v>0</v>
      </c>
      <c r="J274" s="98">
        <f t="shared" si="189"/>
        <v>0</v>
      </c>
      <c r="K274" s="99">
        <f t="shared" si="190"/>
        <v>0</v>
      </c>
      <c r="L274" s="98">
        <f t="shared" si="191"/>
        <v>0</v>
      </c>
      <c r="M274" s="99">
        <f t="shared" si="192"/>
        <v>0</v>
      </c>
      <c r="N274" s="32"/>
      <c r="O274" s="33"/>
    </row>
    <row r="275" ht="15.75" customHeight="1">
      <c r="A275" s="21"/>
      <c r="B275" s="70"/>
      <c r="C275" s="126"/>
      <c r="D275" s="124"/>
      <c r="E275" s="90"/>
      <c r="F275" s="115"/>
      <c r="G275" s="94"/>
      <c r="H275" s="96">
        <f>F276*0.5+F276</f>
        <v>0</v>
      </c>
      <c r="I275" s="97">
        <f>F276*0.3+F276</f>
        <v>0</v>
      </c>
      <c r="J275" s="98">
        <f>F276*0.3+F276</f>
        <v>0</v>
      </c>
      <c r="K275" s="99">
        <f>F276*0.2+F276</f>
        <v>0</v>
      </c>
      <c r="L275" s="98">
        <f>F276*0.15+F276</f>
        <v>0</v>
      </c>
      <c r="M275" s="99">
        <f>F276*0.1+F276</f>
        <v>0</v>
      </c>
      <c r="N275" s="32"/>
      <c r="O275" s="33"/>
    </row>
    <row r="276" ht="15.75" customHeight="1">
      <c r="A276" s="21"/>
      <c r="B276" s="70"/>
      <c r="C276" s="126"/>
      <c r="D276" s="125"/>
      <c r="E276" s="90"/>
      <c r="F276" s="115"/>
      <c r="G276" s="94"/>
      <c r="H276" s="96">
        <f t="shared" ref="H276:H278" si="193">F276*0.5+F276</f>
        <v>0</v>
      </c>
      <c r="I276" s="97">
        <f t="shared" ref="I276:I278" si="194">F276*0.3+F276</f>
        <v>0</v>
      </c>
      <c r="J276" s="98">
        <f t="shared" ref="J276:J278" si="195">F276*0.3+F276</f>
        <v>0</v>
      </c>
      <c r="K276" s="99">
        <f t="shared" ref="K276:K278" si="196">F276*0.2+F276</f>
        <v>0</v>
      </c>
      <c r="L276" s="98">
        <f t="shared" ref="L276:L278" si="197">F276*0.15+F276</f>
        <v>0</v>
      </c>
      <c r="M276" s="99">
        <f t="shared" ref="M276:M278" si="198">F276*0.1+F276</f>
        <v>0</v>
      </c>
      <c r="N276" s="32"/>
      <c r="O276" s="33"/>
    </row>
    <row r="277" ht="15.75" customHeight="1">
      <c r="A277" s="21"/>
      <c r="B277" s="70"/>
      <c r="C277" s="126"/>
      <c r="D277" s="125"/>
      <c r="E277" s="90"/>
      <c r="F277" s="115"/>
      <c r="G277" s="94"/>
      <c r="H277" s="96">
        <f t="shared" si="193"/>
        <v>0</v>
      </c>
      <c r="I277" s="97">
        <f t="shared" si="194"/>
        <v>0</v>
      </c>
      <c r="J277" s="98">
        <f t="shared" si="195"/>
        <v>0</v>
      </c>
      <c r="K277" s="99">
        <f t="shared" si="196"/>
        <v>0</v>
      </c>
      <c r="L277" s="98">
        <f t="shared" si="197"/>
        <v>0</v>
      </c>
      <c r="M277" s="99">
        <f t="shared" si="198"/>
        <v>0</v>
      </c>
      <c r="N277" s="32"/>
      <c r="O277" s="33"/>
    </row>
    <row r="278" ht="15.75" customHeight="1">
      <c r="A278" s="21"/>
      <c r="B278" s="70"/>
      <c r="C278" s="126"/>
      <c r="D278" s="125"/>
      <c r="E278" s="90"/>
      <c r="F278" s="115"/>
      <c r="G278" s="94"/>
      <c r="H278" s="96">
        <f t="shared" si="193"/>
        <v>0</v>
      </c>
      <c r="I278" s="97">
        <f t="shared" si="194"/>
        <v>0</v>
      </c>
      <c r="J278" s="98">
        <f t="shared" si="195"/>
        <v>0</v>
      </c>
      <c r="K278" s="99">
        <f t="shared" si="196"/>
        <v>0</v>
      </c>
      <c r="L278" s="98">
        <f t="shared" si="197"/>
        <v>0</v>
      </c>
      <c r="M278" s="99">
        <f t="shared" si="198"/>
        <v>0</v>
      </c>
      <c r="N278" s="32"/>
      <c r="O278" s="33"/>
    </row>
    <row r="279" ht="15.75" customHeight="1">
      <c r="A279" s="21"/>
      <c r="B279" s="70"/>
      <c r="C279" s="126"/>
      <c r="D279" s="125"/>
      <c r="E279" s="90"/>
      <c r="F279" s="115"/>
      <c r="G279" s="94"/>
      <c r="H279" s="96">
        <f>F280*0.5+F280</f>
        <v>0</v>
      </c>
      <c r="I279" s="97">
        <f>F280*0.3+F280</f>
        <v>0</v>
      </c>
      <c r="J279" s="98">
        <f>F280*0.3+F280</f>
        <v>0</v>
      </c>
      <c r="K279" s="99">
        <f>F280*0.2+F280</f>
        <v>0</v>
      </c>
      <c r="L279" s="98">
        <f>F280*0.15+F280</f>
        <v>0</v>
      </c>
      <c r="M279" s="99">
        <f>F280*0.1+F280</f>
        <v>0</v>
      </c>
      <c r="N279" s="32"/>
      <c r="O279" s="33"/>
    </row>
    <row r="280" ht="15.75" customHeight="1">
      <c r="A280" s="21"/>
      <c r="B280" s="70"/>
      <c r="C280" s="126"/>
      <c r="D280" s="125"/>
      <c r="E280" s="90"/>
      <c r="F280" s="115"/>
      <c r="G280" s="94"/>
      <c r="H280" s="96">
        <f t="shared" ref="H280:H282" si="199">F280*0.5+F280</f>
        <v>0</v>
      </c>
      <c r="I280" s="97">
        <f t="shared" ref="I280:I282" si="200">F280*0.3+F280</f>
        <v>0</v>
      </c>
      <c r="J280" s="98">
        <f t="shared" ref="J280:J282" si="201">F280*0.3+F280</f>
        <v>0</v>
      </c>
      <c r="K280" s="99">
        <f t="shared" ref="K280:K282" si="202">F280*0.2+F280</f>
        <v>0</v>
      </c>
      <c r="L280" s="98">
        <f t="shared" ref="L280:L282" si="203">F280*0.15+F280</f>
        <v>0</v>
      </c>
      <c r="M280" s="99">
        <f t="shared" ref="M280:M282" si="204">F280*0.1+F280</f>
        <v>0</v>
      </c>
      <c r="N280" s="32"/>
      <c r="O280" s="33"/>
    </row>
    <row r="281" ht="15.75" customHeight="1">
      <c r="A281" s="21"/>
      <c r="B281" s="70"/>
      <c r="C281" s="61"/>
      <c r="D281" s="125"/>
      <c r="E281" s="90"/>
      <c r="F281" s="115"/>
      <c r="G281" s="94"/>
      <c r="H281" s="96">
        <f t="shared" si="199"/>
        <v>0</v>
      </c>
      <c r="I281" s="97">
        <f t="shared" si="200"/>
        <v>0</v>
      </c>
      <c r="J281" s="98">
        <f t="shared" si="201"/>
        <v>0</v>
      </c>
      <c r="K281" s="99">
        <f t="shared" si="202"/>
        <v>0</v>
      </c>
      <c r="L281" s="98">
        <f t="shared" si="203"/>
        <v>0</v>
      </c>
      <c r="M281" s="99">
        <f t="shared" si="204"/>
        <v>0</v>
      </c>
      <c r="N281" s="32"/>
      <c r="O281" s="33"/>
    </row>
    <row r="282" ht="15.75" customHeight="1">
      <c r="A282" s="21"/>
      <c r="B282" s="70"/>
      <c r="C282" s="61"/>
      <c r="D282" s="103"/>
      <c r="E282" s="90"/>
      <c r="F282" s="115"/>
      <c r="G282" s="94"/>
      <c r="H282" s="96">
        <f t="shared" si="199"/>
        <v>0</v>
      </c>
      <c r="I282" s="97">
        <f t="shared" si="200"/>
        <v>0</v>
      </c>
      <c r="J282" s="98">
        <f t="shared" si="201"/>
        <v>0</v>
      </c>
      <c r="K282" s="99">
        <f t="shared" si="202"/>
        <v>0</v>
      </c>
      <c r="L282" s="98">
        <f t="shared" si="203"/>
        <v>0</v>
      </c>
      <c r="M282" s="99">
        <f t="shared" si="204"/>
        <v>0</v>
      </c>
      <c r="N282" s="32"/>
      <c r="O282" s="33"/>
    </row>
    <row r="283" ht="15.75" customHeight="1">
      <c r="A283" s="21"/>
      <c r="B283" s="70"/>
      <c r="C283" s="61"/>
      <c r="D283" s="103"/>
      <c r="E283" s="90"/>
      <c r="F283" s="115"/>
      <c r="G283" s="94"/>
      <c r="H283" s="96">
        <f>F284*0.5+F284</f>
        <v>0</v>
      </c>
      <c r="I283" s="97">
        <f>F284*0.3+F284</f>
        <v>0</v>
      </c>
      <c r="J283" s="98">
        <f>F284*0.3+F284</f>
        <v>0</v>
      </c>
      <c r="K283" s="99">
        <f>F284*0.2+F284</f>
        <v>0</v>
      </c>
      <c r="L283" s="98">
        <f>F284*0.15+F284</f>
        <v>0</v>
      </c>
      <c r="M283" s="99">
        <f>F284*0.1+F284</f>
        <v>0</v>
      </c>
      <c r="N283" s="32"/>
      <c r="O283" s="33"/>
    </row>
    <row r="284" ht="15.75" customHeight="1">
      <c r="A284" s="21"/>
      <c r="B284" s="70"/>
      <c r="C284" s="61"/>
      <c r="D284" s="125"/>
      <c r="E284" s="90"/>
      <c r="F284" s="115"/>
      <c r="G284" s="94"/>
      <c r="H284" s="96">
        <f t="shared" ref="H284:H286" si="205">F284*0.5+F284</f>
        <v>0</v>
      </c>
      <c r="I284" s="97">
        <f t="shared" ref="I284:I286" si="206">F284*0.3+F284</f>
        <v>0</v>
      </c>
      <c r="J284" s="98">
        <f t="shared" ref="J284:J286" si="207">F284*0.3+F284</f>
        <v>0</v>
      </c>
      <c r="K284" s="99">
        <f t="shared" ref="K284:K286" si="208">F284*0.2+F284</f>
        <v>0</v>
      </c>
      <c r="L284" s="98">
        <f t="shared" ref="L284:L286" si="209">F284*0.15+F284</f>
        <v>0</v>
      </c>
      <c r="M284" s="99">
        <f t="shared" ref="M284:M286" si="210">F284*0.1+F284</f>
        <v>0</v>
      </c>
      <c r="N284" s="32"/>
      <c r="O284" s="33"/>
    </row>
    <row r="285" ht="15.75" customHeight="1">
      <c r="A285" s="21"/>
      <c r="B285" s="70"/>
      <c r="C285" s="126"/>
      <c r="D285" s="125"/>
      <c r="E285" s="90"/>
      <c r="F285" s="115"/>
      <c r="G285" s="94"/>
      <c r="H285" s="96">
        <f t="shared" si="205"/>
        <v>0</v>
      </c>
      <c r="I285" s="97">
        <f t="shared" si="206"/>
        <v>0</v>
      </c>
      <c r="J285" s="98">
        <f t="shared" si="207"/>
        <v>0</v>
      </c>
      <c r="K285" s="99">
        <f t="shared" si="208"/>
        <v>0</v>
      </c>
      <c r="L285" s="98">
        <f t="shared" si="209"/>
        <v>0</v>
      </c>
      <c r="M285" s="99">
        <f t="shared" si="210"/>
        <v>0</v>
      </c>
      <c r="N285" s="32"/>
      <c r="O285" s="33"/>
    </row>
    <row r="286" ht="15.75" customHeight="1">
      <c r="A286" s="21"/>
      <c r="B286" s="70"/>
      <c r="C286" s="126"/>
      <c r="D286" s="125"/>
      <c r="E286" s="90"/>
      <c r="F286" s="115"/>
      <c r="G286" s="94"/>
      <c r="H286" s="96">
        <f t="shared" si="205"/>
        <v>0</v>
      </c>
      <c r="I286" s="97">
        <f t="shared" si="206"/>
        <v>0</v>
      </c>
      <c r="J286" s="98">
        <f t="shared" si="207"/>
        <v>0</v>
      </c>
      <c r="K286" s="99">
        <f t="shared" si="208"/>
        <v>0</v>
      </c>
      <c r="L286" s="98">
        <f t="shared" si="209"/>
        <v>0</v>
      </c>
      <c r="M286" s="99">
        <f t="shared" si="210"/>
        <v>0</v>
      </c>
      <c r="N286" s="32"/>
      <c r="O286" s="33"/>
    </row>
    <row r="287" ht="15.75" customHeight="1">
      <c r="A287" s="21"/>
      <c r="B287" s="70"/>
      <c r="C287" s="126"/>
      <c r="D287" s="125"/>
      <c r="E287" s="90"/>
      <c r="F287" s="115"/>
      <c r="G287" s="94"/>
      <c r="H287" s="96">
        <f>F288*0.5+F288</f>
        <v>0</v>
      </c>
      <c r="I287" s="97">
        <f>F288*0.3+F288</f>
        <v>0</v>
      </c>
      <c r="J287" s="98">
        <f>F288*0.3+F288</f>
        <v>0</v>
      </c>
      <c r="K287" s="99">
        <f>F288*0.2+F288</f>
        <v>0</v>
      </c>
      <c r="L287" s="98">
        <f>F288*0.15+F288</f>
        <v>0</v>
      </c>
      <c r="M287" s="99">
        <f>F288*0.1+F288</f>
        <v>0</v>
      </c>
      <c r="N287" s="32"/>
      <c r="O287" s="33"/>
    </row>
    <row r="288" ht="15.75" customHeight="1">
      <c r="A288" s="21"/>
      <c r="B288" s="70"/>
      <c r="C288" s="126"/>
      <c r="D288" s="125"/>
      <c r="E288" s="90"/>
      <c r="F288" s="115"/>
      <c r="G288" s="94"/>
      <c r="H288" s="96">
        <f t="shared" ref="H288:H290" si="211">F288*0.5+F288</f>
        <v>0</v>
      </c>
      <c r="I288" s="97">
        <f t="shared" ref="I288:I290" si="212">F288*0.3+F288</f>
        <v>0</v>
      </c>
      <c r="J288" s="98">
        <f t="shared" ref="J288:J290" si="213">F288*0.3+F288</f>
        <v>0</v>
      </c>
      <c r="K288" s="99">
        <f t="shared" ref="K288:K290" si="214">F288*0.2+F288</f>
        <v>0</v>
      </c>
      <c r="L288" s="98">
        <f t="shared" ref="L288:L290" si="215">F288*0.15+F288</f>
        <v>0</v>
      </c>
      <c r="M288" s="99">
        <f t="shared" ref="M288:M290" si="216">F288*0.1+F288</f>
        <v>0</v>
      </c>
      <c r="N288" s="32"/>
      <c r="O288" s="33"/>
    </row>
    <row r="289" ht="15.75" customHeight="1">
      <c r="A289" s="21"/>
      <c r="B289" s="70"/>
      <c r="C289" s="126"/>
      <c r="D289" s="125"/>
      <c r="E289" s="90"/>
      <c r="F289" s="115"/>
      <c r="G289" s="94"/>
      <c r="H289" s="96">
        <f t="shared" si="211"/>
        <v>0</v>
      </c>
      <c r="I289" s="97">
        <f t="shared" si="212"/>
        <v>0</v>
      </c>
      <c r="J289" s="98">
        <f t="shared" si="213"/>
        <v>0</v>
      </c>
      <c r="K289" s="99">
        <f t="shared" si="214"/>
        <v>0</v>
      </c>
      <c r="L289" s="98">
        <f t="shared" si="215"/>
        <v>0</v>
      </c>
      <c r="M289" s="99">
        <f t="shared" si="216"/>
        <v>0</v>
      </c>
      <c r="N289" s="32"/>
      <c r="O289" s="33"/>
    </row>
    <row r="290" ht="15.75" customHeight="1">
      <c r="A290" s="21"/>
      <c r="B290" s="70"/>
      <c r="C290" s="126"/>
      <c r="D290" s="125"/>
      <c r="E290" s="90"/>
      <c r="F290" s="115"/>
      <c r="G290" s="94"/>
      <c r="H290" s="96">
        <f t="shared" si="211"/>
        <v>0</v>
      </c>
      <c r="I290" s="97">
        <f t="shared" si="212"/>
        <v>0</v>
      </c>
      <c r="J290" s="98">
        <f t="shared" si="213"/>
        <v>0</v>
      </c>
      <c r="K290" s="99">
        <f t="shared" si="214"/>
        <v>0</v>
      </c>
      <c r="L290" s="98">
        <f t="shared" si="215"/>
        <v>0</v>
      </c>
      <c r="M290" s="99">
        <f t="shared" si="216"/>
        <v>0</v>
      </c>
      <c r="N290" s="32"/>
      <c r="O290" s="33"/>
    </row>
    <row r="291" ht="15.75" customHeight="1">
      <c r="A291" s="21"/>
      <c r="B291" s="70"/>
      <c r="C291" s="126"/>
      <c r="D291" s="125"/>
      <c r="E291" s="90"/>
      <c r="F291" s="115"/>
      <c r="G291" s="94"/>
      <c r="H291" s="96">
        <f>F292*0.5+F292</f>
        <v>0</v>
      </c>
      <c r="I291" s="97">
        <f>F292*0.3+F292</f>
        <v>0</v>
      </c>
      <c r="J291" s="98">
        <f>F292*0.3+F292</f>
        <v>0</v>
      </c>
      <c r="K291" s="99">
        <f>F292*0.2+F292</f>
        <v>0</v>
      </c>
      <c r="L291" s="98">
        <f>F292*0.15+F292</f>
        <v>0</v>
      </c>
      <c r="M291" s="99">
        <f>F292*0.1+F292</f>
        <v>0</v>
      </c>
      <c r="N291" s="32"/>
      <c r="O291" s="33"/>
    </row>
    <row r="292" ht="15.75" customHeight="1">
      <c r="A292" s="21"/>
      <c r="B292" s="70"/>
      <c r="C292" s="126"/>
      <c r="D292" s="125"/>
      <c r="E292" s="90"/>
      <c r="F292" s="115"/>
      <c r="G292" s="94"/>
      <c r="H292" s="96">
        <f t="shared" ref="H292:H294" si="217">F292*0.5+F292</f>
        <v>0</v>
      </c>
      <c r="I292" s="97">
        <f t="shared" ref="I292:I294" si="218">F292*0.3+F292</f>
        <v>0</v>
      </c>
      <c r="J292" s="98">
        <f t="shared" ref="J292:J294" si="219">F292*0.3+F292</f>
        <v>0</v>
      </c>
      <c r="K292" s="99">
        <f t="shared" ref="K292:K294" si="220">F292*0.2+F292</f>
        <v>0</v>
      </c>
      <c r="L292" s="98">
        <f t="shared" ref="L292:L294" si="221">F292*0.15+F292</f>
        <v>0</v>
      </c>
      <c r="M292" s="99">
        <f t="shared" ref="M292:M294" si="222">F292*0.1+F292</f>
        <v>0</v>
      </c>
      <c r="N292" s="32"/>
      <c r="O292" s="33"/>
    </row>
    <row r="293" ht="15.75" customHeight="1">
      <c r="A293" s="21"/>
      <c r="B293" s="70"/>
      <c r="C293" s="61"/>
      <c r="D293" s="103"/>
      <c r="E293" s="90"/>
      <c r="F293" s="115"/>
      <c r="G293" s="94"/>
      <c r="H293" s="96">
        <f t="shared" si="217"/>
        <v>0</v>
      </c>
      <c r="I293" s="97">
        <f t="shared" si="218"/>
        <v>0</v>
      </c>
      <c r="J293" s="98">
        <f t="shared" si="219"/>
        <v>0</v>
      </c>
      <c r="K293" s="99">
        <f t="shared" si="220"/>
        <v>0</v>
      </c>
      <c r="L293" s="98">
        <f t="shared" si="221"/>
        <v>0</v>
      </c>
      <c r="M293" s="99">
        <f t="shared" si="222"/>
        <v>0</v>
      </c>
      <c r="N293" s="32"/>
      <c r="O293" s="33"/>
    </row>
    <row r="294" ht="15.75" customHeight="1">
      <c r="A294" s="21"/>
      <c r="B294" s="70"/>
      <c r="C294" s="61"/>
      <c r="D294" s="103"/>
      <c r="E294" s="90"/>
      <c r="F294" s="115"/>
      <c r="G294" s="94"/>
      <c r="H294" s="96">
        <f t="shared" si="217"/>
        <v>0</v>
      </c>
      <c r="I294" s="97">
        <f t="shared" si="218"/>
        <v>0</v>
      </c>
      <c r="J294" s="98">
        <f t="shared" si="219"/>
        <v>0</v>
      </c>
      <c r="K294" s="99">
        <f t="shared" si="220"/>
        <v>0</v>
      </c>
      <c r="L294" s="98">
        <f t="shared" si="221"/>
        <v>0</v>
      </c>
      <c r="M294" s="99">
        <f t="shared" si="222"/>
        <v>0</v>
      </c>
      <c r="N294" s="32"/>
      <c r="O294" s="33"/>
    </row>
    <row r="295" ht="15.75" customHeight="1">
      <c r="A295" s="21"/>
      <c r="B295" s="70"/>
      <c r="C295" s="114"/>
      <c r="D295" s="125"/>
      <c r="E295" s="90"/>
      <c r="F295" s="115"/>
      <c r="G295" s="94"/>
      <c r="H295" s="96">
        <f>F296*0.5+F296</f>
        <v>0</v>
      </c>
      <c r="I295" s="97">
        <f>F296*0.3+F296</f>
        <v>0</v>
      </c>
      <c r="J295" s="98">
        <f>F296*0.3+F296</f>
        <v>0</v>
      </c>
      <c r="K295" s="99">
        <f>F296*0.2+F296</f>
        <v>0</v>
      </c>
      <c r="L295" s="98">
        <f>F296*0.15+F296</f>
        <v>0</v>
      </c>
      <c r="M295" s="99">
        <f>F296*0.1+F296</f>
        <v>0</v>
      </c>
      <c r="N295" s="32"/>
      <c r="O295" s="33"/>
    </row>
    <row r="296" ht="15.75" customHeight="1">
      <c r="A296" s="21"/>
      <c r="B296" s="70"/>
      <c r="C296" s="126"/>
      <c r="D296" s="125"/>
      <c r="E296" s="90"/>
      <c r="F296" s="115"/>
      <c r="G296" s="94"/>
      <c r="H296" s="96">
        <f t="shared" ref="H296:H298" si="223">F296*0.5+F296</f>
        <v>0</v>
      </c>
      <c r="I296" s="97">
        <f t="shared" ref="I296:I298" si="224">F296*0.3+F296</f>
        <v>0</v>
      </c>
      <c r="J296" s="98">
        <f t="shared" ref="J296:J298" si="225">F296*0.3+F296</f>
        <v>0</v>
      </c>
      <c r="K296" s="99">
        <f t="shared" ref="K296:K298" si="226">F296*0.2+F296</f>
        <v>0</v>
      </c>
      <c r="L296" s="98">
        <f t="shared" ref="L296:L298" si="227">F296*0.15+F296</f>
        <v>0</v>
      </c>
      <c r="M296" s="99">
        <f t="shared" ref="M296:M298" si="228">F296*0.1+F296</f>
        <v>0</v>
      </c>
      <c r="N296" s="32"/>
      <c r="O296" s="33"/>
    </row>
    <row r="297" ht="15.75" customHeight="1">
      <c r="A297" s="21"/>
      <c r="B297" s="70"/>
      <c r="C297" s="126"/>
      <c r="D297" s="125"/>
      <c r="E297" s="90"/>
      <c r="F297" s="115"/>
      <c r="G297" s="94"/>
      <c r="H297" s="96">
        <f t="shared" si="223"/>
        <v>0</v>
      </c>
      <c r="I297" s="97">
        <f t="shared" si="224"/>
        <v>0</v>
      </c>
      <c r="J297" s="98">
        <f t="shared" si="225"/>
        <v>0</v>
      </c>
      <c r="K297" s="99">
        <f t="shared" si="226"/>
        <v>0</v>
      </c>
      <c r="L297" s="98">
        <f t="shared" si="227"/>
        <v>0</v>
      </c>
      <c r="M297" s="99">
        <f t="shared" si="228"/>
        <v>0</v>
      </c>
      <c r="N297" s="32"/>
      <c r="O297" s="33"/>
    </row>
    <row r="298" ht="15.75" customHeight="1">
      <c r="A298" s="21"/>
      <c r="B298" s="70"/>
      <c r="C298" s="114"/>
      <c r="D298" s="125"/>
      <c r="E298" s="90"/>
      <c r="F298" s="115"/>
      <c r="G298" s="94"/>
      <c r="H298" s="96">
        <f t="shared" si="223"/>
        <v>0</v>
      </c>
      <c r="I298" s="97">
        <f t="shared" si="224"/>
        <v>0</v>
      </c>
      <c r="J298" s="98">
        <f t="shared" si="225"/>
        <v>0</v>
      </c>
      <c r="K298" s="99">
        <f t="shared" si="226"/>
        <v>0</v>
      </c>
      <c r="L298" s="98">
        <f t="shared" si="227"/>
        <v>0</v>
      </c>
      <c r="M298" s="99">
        <f t="shared" si="228"/>
        <v>0</v>
      </c>
      <c r="N298" s="32"/>
      <c r="O298" s="33"/>
    </row>
    <row r="299" ht="15.75" customHeight="1">
      <c r="A299" s="21"/>
      <c r="B299" s="70"/>
      <c r="C299" s="114"/>
      <c r="D299" s="125"/>
      <c r="E299" s="90"/>
      <c r="F299" s="115"/>
      <c r="G299" s="94"/>
      <c r="H299" s="96">
        <f>F300*0.5+F300</f>
        <v>0</v>
      </c>
      <c r="I299" s="97">
        <f>F300*0.3+F300</f>
        <v>0</v>
      </c>
      <c r="J299" s="98">
        <f>F300*0.3+F300</f>
        <v>0</v>
      </c>
      <c r="K299" s="99">
        <f>F300*0.2+F300</f>
        <v>0</v>
      </c>
      <c r="L299" s="98">
        <f>F300*0.15+F300</f>
        <v>0</v>
      </c>
      <c r="M299" s="99">
        <f>F300*0.1+F300</f>
        <v>0</v>
      </c>
      <c r="N299" s="32"/>
      <c r="O299" s="33"/>
    </row>
    <row r="300" ht="15.75" customHeight="1">
      <c r="A300" s="21"/>
      <c r="B300" s="70"/>
      <c r="C300" s="114"/>
      <c r="D300" s="103"/>
      <c r="E300" s="90"/>
      <c r="F300" s="115"/>
      <c r="G300" s="94"/>
      <c r="H300" s="96">
        <f t="shared" ref="H300:H302" si="229">F300*0.5+F300</f>
        <v>0</v>
      </c>
      <c r="I300" s="97">
        <f t="shared" ref="I300:I302" si="230">F300*0.3+F300</f>
        <v>0</v>
      </c>
      <c r="J300" s="98">
        <f t="shared" ref="J300:J302" si="231">F300*0.3+F300</f>
        <v>0</v>
      </c>
      <c r="K300" s="99">
        <f t="shared" ref="K300:K302" si="232">F300*0.2+F300</f>
        <v>0</v>
      </c>
      <c r="L300" s="98">
        <f t="shared" ref="L300:L302" si="233">F300*0.15+F300</f>
        <v>0</v>
      </c>
      <c r="M300" s="99">
        <f t="shared" ref="M300:M302" si="234">F300*0.1+F300</f>
        <v>0</v>
      </c>
      <c r="N300" s="32"/>
      <c r="O300" s="33"/>
    </row>
    <row r="301" ht="15.75" customHeight="1">
      <c r="A301" s="21"/>
      <c r="B301" s="70"/>
      <c r="C301" s="131"/>
      <c r="D301" s="132"/>
      <c r="E301" s="90"/>
      <c r="F301" s="115"/>
      <c r="G301" s="94"/>
      <c r="H301" s="96">
        <f t="shared" si="229"/>
        <v>0</v>
      </c>
      <c r="I301" s="97">
        <f t="shared" si="230"/>
        <v>0</v>
      </c>
      <c r="J301" s="98">
        <f t="shared" si="231"/>
        <v>0</v>
      </c>
      <c r="K301" s="99">
        <f t="shared" si="232"/>
        <v>0</v>
      </c>
      <c r="L301" s="98">
        <f t="shared" si="233"/>
        <v>0</v>
      </c>
      <c r="M301" s="99">
        <f t="shared" si="234"/>
        <v>0</v>
      </c>
      <c r="N301" s="32"/>
      <c r="O301" s="33"/>
    </row>
    <row r="302" ht="15.75" customHeight="1">
      <c r="A302" s="21"/>
      <c r="B302" s="70"/>
      <c r="C302" s="129"/>
      <c r="D302" s="133"/>
      <c r="E302" s="90"/>
      <c r="F302" s="115"/>
      <c r="G302" s="94"/>
      <c r="H302" s="96">
        <f t="shared" si="229"/>
        <v>0</v>
      </c>
      <c r="I302" s="97">
        <f t="shared" si="230"/>
        <v>0</v>
      </c>
      <c r="J302" s="98">
        <f t="shared" si="231"/>
        <v>0</v>
      </c>
      <c r="K302" s="99">
        <f t="shared" si="232"/>
        <v>0</v>
      </c>
      <c r="L302" s="98">
        <f t="shared" si="233"/>
        <v>0</v>
      </c>
      <c r="M302" s="99">
        <f t="shared" si="234"/>
        <v>0</v>
      </c>
      <c r="N302" s="32"/>
      <c r="O302" s="33"/>
    </row>
    <row r="303" ht="15.75" customHeight="1">
      <c r="A303" s="21"/>
      <c r="B303" s="70"/>
      <c r="C303" s="126"/>
      <c r="D303" s="103"/>
      <c r="E303" s="90"/>
      <c r="F303" s="115"/>
      <c r="G303" s="94"/>
      <c r="H303" s="96">
        <f>F304*0.5+F304</f>
        <v>0</v>
      </c>
      <c r="I303" s="97">
        <f>F304*0.3+F304</f>
        <v>0</v>
      </c>
      <c r="J303" s="98">
        <f>F304*0.3+F304</f>
        <v>0</v>
      </c>
      <c r="K303" s="99">
        <f>F304*0.2+F304</f>
        <v>0</v>
      </c>
      <c r="L303" s="98">
        <f>F304*0.15+F304</f>
        <v>0</v>
      </c>
      <c r="M303" s="99">
        <f>F304*0.1+F304</f>
        <v>0</v>
      </c>
      <c r="N303" s="32"/>
      <c r="O303" s="33"/>
    </row>
    <row r="304" ht="15.75" customHeight="1">
      <c r="A304" s="21"/>
      <c r="B304" s="70"/>
      <c r="C304" s="126"/>
      <c r="D304" s="103"/>
      <c r="E304" s="90"/>
      <c r="F304" s="115"/>
      <c r="G304" s="94"/>
      <c r="H304" s="96">
        <f t="shared" ref="H304:H306" si="235">F304*0.5+F304</f>
        <v>0</v>
      </c>
      <c r="I304" s="97">
        <f t="shared" ref="I304:I306" si="236">F304*0.3+F304</f>
        <v>0</v>
      </c>
      <c r="J304" s="98">
        <f t="shared" ref="J304:J306" si="237">F304*0.3+F304</f>
        <v>0</v>
      </c>
      <c r="K304" s="99">
        <f t="shared" ref="K304:K306" si="238">F304*0.2+F304</f>
        <v>0</v>
      </c>
      <c r="L304" s="98">
        <f t="shared" ref="L304:L306" si="239">F304*0.15+F304</f>
        <v>0</v>
      </c>
      <c r="M304" s="99">
        <f t="shared" ref="M304:M306" si="240">F304*0.1+F304</f>
        <v>0</v>
      </c>
      <c r="N304" s="32"/>
      <c r="O304" s="33"/>
    </row>
    <row r="305" ht="15.75" customHeight="1">
      <c r="A305" s="21"/>
      <c r="B305" s="70"/>
      <c r="C305" s="126"/>
      <c r="D305" s="103"/>
      <c r="E305" s="90"/>
      <c r="F305" s="115"/>
      <c r="G305" s="94"/>
      <c r="H305" s="96">
        <f t="shared" si="235"/>
        <v>0</v>
      </c>
      <c r="I305" s="97">
        <f t="shared" si="236"/>
        <v>0</v>
      </c>
      <c r="J305" s="98">
        <f t="shared" si="237"/>
        <v>0</v>
      </c>
      <c r="K305" s="99">
        <f t="shared" si="238"/>
        <v>0</v>
      </c>
      <c r="L305" s="98">
        <f t="shared" si="239"/>
        <v>0</v>
      </c>
      <c r="M305" s="99">
        <f t="shared" si="240"/>
        <v>0</v>
      </c>
      <c r="N305" s="32"/>
      <c r="O305" s="33"/>
    </row>
    <row r="306" ht="15.75" customHeight="1">
      <c r="A306" s="21"/>
      <c r="B306" s="70"/>
      <c r="C306" s="126"/>
      <c r="D306" s="103"/>
      <c r="E306" s="90"/>
      <c r="F306" s="115"/>
      <c r="G306" s="94"/>
      <c r="H306" s="96">
        <f t="shared" si="235"/>
        <v>0</v>
      </c>
      <c r="I306" s="97">
        <f t="shared" si="236"/>
        <v>0</v>
      </c>
      <c r="J306" s="98">
        <f t="shared" si="237"/>
        <v>0</v>
      </c>
      <c r="K306" s="99">
        <f t="shared" si="238"/>
        <v>0</v>
      </c>
      <c r="L306" s="98">
        <f t="shared" si="239"/>
        <v>0</v>
      </c>
      <c r="M306" s="99">
        <f t="shared" si="240"/>
        <v>0</v>
      </c>
      <c r="N306" s="32"/>
      <c r="O306" s="33"/>
    </row>
    <row r="307" ht="15.75" customHeight="1">
      <c r="A307" s="21"/>
      <c r="B307" s="70"/>
      <c r="C307" s="129"/>
      <c r="D307" s="134"/>
      <c r="E307" s="90"/>
      <c r="F307" s="115"/>
      <c r="G307" s="94"/>
      <c r="H307" s="96">
        <f>F308*0.5+F308</f>
        <v>0</v>
      </c>
      <c r="I307" s="97">
        <f>F308*0.3+F308</f>
        <v>0</v>
      </c>
      <c r="J307" s="98">
        <f>F308*0.3+F308</f>
        <v>0</v>
      </c>
      <c r="K307" s="99">
        <f>F308*0.2+F308</f>
        <v>0</v>
      </c>
      <c r="L307" s="98">
        <f>F308*0.15+F308</f>
        <v>0</v>
      </c>
      <c r="M307" s="99">
        <f>F308*0.1+F308</f>
        <v>0</v>
      </c>
      <c r="N307" s="32"/>
      <c r="O307" s="33"/>
    </row>
    <row r="308" ht="15.75" customHeight="1">
      <c r="A308" s="21"/>
      <c r="B308" s="70"/>
      <c r="C308" s="129"/>
      <c r="D308" s="134"/>
      <c r="E308" s="90"/>
      <c r="F308" s="115"/>
      <c r="G308" s="94"/>
      <c r="H308" s="96">
        <f t="shared" ref="H308:H310" si="241">F308*0.5+F308</f>
        <v>0</v>
      </c>
      <c r="I308" s="97">
        <f t="shared" ref="I308:I310" si="242">F308*0.3+F308</f>
        <v>0</v>
      </c>
      <c r="J308" s="98">
        <f t="shared" ref="J308:J310" si="243">F308*0.3+F308</f>
        <v>0</v>
      </c>
      <c r="K308" s="99">
        <f t="shared" ref="K308:K310" si="244">F308*0.2+F308</f>
        <v>0</v>
      </c>
      <c r="L308" s="98">
        <f t="shared" ref="L308:L310" si="245">F308*0.15+F308</f>
        <v>0</v>
      </c>
      <c r="M308" s="99">
        <f t="shared" ref="M308:M310" si="246">F308*0.1+F308</f>
        <v>0</v>
      </c>
      <c r="N308" s="32"/>
      <c r="O308" s="33"/>
    </row>
    <row r="309" ht="15.75" customHeight="1">
      <c r="A309" s="21"/>
      <c r="B309" s="70"/>
      <c r="C309" s="129"/>
      <c r="D309" s="133"/>
      <c r="E309" s="90"/>
      <c r="F309" s="115"/>
      <c r="G309" s="94"/>
      <c r="H309" s="96">
        <f t="shared" si="241"/>
        <v>0</v>
      </c>
      <c r="I309" s="97">
        <f t="shared" si="242"/>
        <v>0</v>
      </c>
      <c r="J309" s="98">
        <f t="shared" si="243"/>
        <v>0</v>
      </c>
      <c r="K309" s="99">
        <f t="shared" si="244"/>
        <v>0</v>
      </c>
      <c r="L309" s="98">
        <f t="shared" si="245"/>
        <v>0</v>
      </c>
      <c r="M309" s="99">
        <f t="shared" si="246"/>
        <v>0</v>
      </c>
      <c r="N309" s="32"/>
      <c r="O309" s="33"/>
    </row>
    <row r="310" ht="15.75" customHeight="1">
      <c r="A310" s="21"/>
      <c r="B310" s="70"/>
      <c r="C310" s="61"/>
      <c r="D310" s="103"/>
      <c r="E310" s="90"/>
      <c r="F310" s="115"/>
      <c r="G310" s="94"/>
      <c r="H310" s="96">
        <f t="shared" si="241"/>
        <v>0</v>
      </c>
      <c r="I310" s="97">
        <f t="shared" si="242"/>
        <v>0</v>
      </c>
      <c r="J310" s="98">
        <f t="shared" si="243"/>
        <v>0</v>
      </c>
      <c r="K310" s="99">
        <f t="shared" si="244"/>
        <v>0</v>
      </c>
      <c r="L310" s="98">
        <f t="shared" si="245"/>
        <v>0</v>
      </c>
      <c r="M310" s="99">
        <f t="shared" si="246"/>
        <v>0</v>
      </c>
      <c r="N310" s="32"/>
      <c r="O310" s="33"/>
    </row>
    <row r="311" ht="15.75" customHeight="1">
      <c r="A311" s="21"/>
      <c r="B311" s="70"/>
      <c r="C311" s="61"/>
      <c r="D311" s="103"/>
      <c r="E311" s="90"/>
      <c r="F311" s="115"/>
      <c r="G311" s="94"/>
      <c r="H311" s="96">
        <f>F312*0.5+F312</f>
        <v>0</v>
      </c>
      <c r="I311" s="97">
        <f>F312*0.3+F312</f>
        <v>0</v>
      </c>
      <c r="J311" s="98">
        <f>F312*0.3+F312</f>
        <v>0</v>
      </c>
      <c r="K311" s="99">
        <f>F312*0.2+F312</f>
        <v>0</v>
      </c>
      <c r="L311" s="98">
        <f>F312*0.15+F312</f>
        <v>0</v>
      </c>
      <c r="M311" s="99">
        <f>F312*0.1+F312</f>
        <v>0</v>
      </c>
      <c r="N311" s="32"/>
      <c r="O311" s="33"/>
    </row>
    <row r="312" ht="15.75" customHeight="1">
      <c r="A312" s="21"/>
      <c r="B312" s="70"/>
      <c r="C312" s="61"/>
      <c r="D312" s="103"/>
      <c r="E312" s="90"/>
      <c r="F312" s="115"/>
      <c r="G312" s="94"/>
      <c r="H312" s="96">
        <f t="shared" ref="H312:H314" si="247">F312*0.5+F312</f>
        <v>0</v>
      </c>
      <c r="I312" s="97">
        <f t="shared" ref="I312:I314" si="248">F312*0.3+F312</f>
        <v>0</v>
      </c>
      <c r="J312" s="98">
        <f t="shared" ref="J312:J314" si="249">F312*0.3+F312</f>
        <v>0</v>
      </c>
      <c r="K312" s="99">
        <f t="shared" ref="K312:K314" si="250">F312*0.2+F312</f>
        <v>0</v>
      </c>
      <c r="L312" s="98">
        <f t="shared" ref="L312:L314" si="251">F312*0.15+F312</f>
        <v>0</v>
      </c>
      <c r="M312" s="99">
        <f t="shared" ref="M312:M314" si="252">F312*0.1+F312</f>
        <v>0</v>
      </c>
      <c r="N312" s="32"/>
      <c r="O312" s="33"/>
    </row>
    <row r="313" ht="15.75" customHeight="1">
      <c r="A313" s="21"/>
      <c r="B313" s="70"/>
      <c r="C313" s="61"/>
      <c r="D313" s="103"/>
      <c r="E313" s="90"/>
      <c r="F313" s="115"/>
      <c r="G313" s="94"/>
      <c r="H313" s="96">
        <f t="shared" si="247"/>
        <v>0</v>
      </c>
      <c r="I313" s="97">
        <f t="shared" si="248"/>
        <v>0</v>
      </c>
      <c r="J313" s="98">
        <f t="shared" si="249"/>
        <v>0</v>
      </c>
      <c r="K313" s="99">
        <f t="shared" si="250"/>
        <v>0</v>
      </c>
      <c r="L313" s="98">
        <f t="shared" si="251"/>
        <v>0</v>
      </c>
      <c r="M313" s="99">
        <f t="shared" si="252"/>
        <v>0</v>
      </c>
      <c r="N313" s="32"/>
      <c r="O313" s="33"/>
    </row>
    <row r="314" ht="15.75" customHeight="1">
      <c r="A314" s="21"/>
      <c r="B314" s="70"/>
      <c r="C314" s="61"/>
      <c r="D314" s="103"/>
      <c r="E314" s="90"/>
      <c r="F314" s="115"/>
      <c r="G314" s="94"/>
      <c r="H314" s="96">
        <f t="shared" si="247"/>
        <v>0</v>
      </c>
      <c r="I314" s="97">
        <f t="shared" si="248"/>
        <v>0</v>
      </c>
      <c r="J314" s="98">
        <f t="shared" si="249"/>
        <v>0</v>
      </c>
      <c r="K314" s="99">
        <f t="shared" si="250"/>
        <v>0</v>
      </c>
      <c r="L314" s="98">
        <f t="shared" si="251"/>
        <v>0</v>
      </c>
      <c r="M314" s="99">
        <f t="shared" si="252"/>
        <v>0</v>
      </c>
      <c r="N314" s="32"/>
      <c r="O314" s="33"/>
    </row>
    <row r="315" ht="15.75" customHeight="1">
      <c r="A315" s="21"/>
      <c r="B315" s="70"/>
      <c r="C315" s="61"/>
      <c r="D315" s="103"/>
      <c r="E315" s="90"/>
      <c r="F315" s="115"/>
      <c r="G315" s="94"/>
      <c r="H315" s="96">
        <f>F316*0.5+F316</f>
        <v>0</v>
      </c>
      <c r="I315" s="97">
        <f>F316*0.3+F316</f>
        <v>0</v>
      </c>
      <c r="J315" s="98">
        <f>F316*0.3+F316</f>
        <v>0</v>
      </c>
      <c r="K315" s="99">
        <f>F316*0.2+F316</f>
        <v>0</v>
      </c>
      <c r="L315" s="98">
        <f>F316*0.15+F316</f>
        <v>0</v>
      </c>
      <c r="M315" s="99">
        <f>F316*0.1+F316</f>
        <v>0</v>
      </c>
      <c r="N315" s="32"/>
      <c r="O315" s="33"/>
    </row>
    <row r="316" ht="15.75" customHeight="1">
      <c r="A316" s="21"/>
      <c r="B316" s="70"/>
      <c r="C316" s="61"/>
      <c r="D316" s="103"/>
      <c r="E316" s="90"/>
      <c r="F316" s="115"/>
      <c r="G316" s="94"/>
      <c r="H316" s="96">
        <f t="shared" ref="H316:H318" si="253">F316*0.5+F316</f>
        <v>0</v>
      </c>
      <c r="I316" s="97">
        <f t="shared" ref="I316:I318" si="254">F316*0.3+F316</f>
        <v>0</v>
      </c>
      <c r="J316" s="98">
        <f t="shared" ref="J316:J318" si="255">F316*0.3+F316</f>
        <v>0</v>
      </c>
      <c r="K316" s="99">
        <f t="shared" ref="K316:K318" si="256">F316*0.2+F316</f>
        <v>0</v>
      </c>
      <c r="L316" s="98">
        <f t="shared" ref="L316:L318" si="257">F316*0.15+F316</f>
        <v>0</v>
      </c>
      <c r="M316" s="99">
        <f t="shared" ref="M316:M318" si="258">F316*0.1+F316</f>
        <v>0</v>
      </c>
      <c r="N316" s="32"/>
      <c r="O316" s="33"/>
    </row>
    <row r="317" ht="15.75" customHeight="1">
      <c r="A317" s="21"/>
      <c r="B317" s="70"/>
      <c r="C317" s="131"/>
      <c r="D317" s="103"/>
      <c r="E317" s="90"/>
      <c r="F317" s="115"/>
      <c r="G317" s="94"/>
      <c r="H317" s="96">
        <f t="shared" si="253"/>
        <v>0</v>
      </c>
      <c r="I317" s="97">
        <f t="shared" si="254"/>
        <v>0</v>
      </c>
      <c r="J317" s="98">
        <f t="shared" si="255"/>
        <v>0</v>
      </c>
      <c r="K317" s="99">
        <f t="shared" si="256"/>
        <v>0</v>
      </c>
      <c r="L317" s="98">
        <f t="shared" si="257"/>
        <v>0</v>
      </c>
      <c r="M317" s="99">
        <f t="shared" si="258"/>
        <v>0</v>
      </c>
      <c r="N317" s="32"/>
      <c r="O317" s="33"/>
    </row>
    <row r="318" ht="15.75" customHeight="1">
      <c r="A318" s="21"/>
      <c r="B318" s="70"/>
      <c r="C318" s="61"/>
      <c r="D318" s="133"/>
      <c r="E318" s="90"/>
      <c r="F318" s="115"/>
      <c r="G318" s="94"/>
      <c r="H318" s="96">
        <f t="shared" si="253"/>
        <v>0</v>
      </c>
      <c r="I318" s="97">
        <f t="shared" si="254"/>
        <v>0</v>
      </c>
      <c r="J318" s="98">
        <f t="shared" si="255"/>
        <v>0</v>
      </c>
      <c r="K318" s="99">
        <f t="shared" si="256"/>
        <v>0</v>
      </c>
      <c r="L318" s="98">
        <f t="shared" si="257"/>
        <v>0</v>
      </c>
      <c r="M318" s="99">
        <f t="shared" si="258"/>
        <v>0</v>
      </c>
      <c r="N318" s="32"/>
      <c r="O318" s="33"/>
    </row>
    <row r="319" ht="15.75" customHeight="1">
      <c r="A319" s="21"/>
      <c r="B319" s="70"/>
      <c r="C319" s="61"/>
      <c r="D319" s="135"/>
      <c r="E319" s="90"/>
      <c r="F319" s="115"/>
      <c r="G319" s="94"/>
      <c r="H319" s="96">
        <f>F320*0.5+F320</f>
        <v>0</v>
      </c>
      <c r="I319" s="97">
        <f>F320*0.3+F320</f>
        <v>0</v>
      </c>
      <c r="J319" s="98">
        <f>F320*0.3+F320</f>
        <v>0</v>
      </c>
      <c r="K319" s="99">
        <f>F320*0.2+F320</f>
        <v>0</v>
      </c>
      <c r="L319" s="98">
        <f>F320*0.15+F320</f>
        <v>0</v>
      </c>
      <c r="M319" s="99">
        <f>F320*0.1+F320</f>
        <v>0</v>
      </c>
      <c r="N319" s="32"/>
      <c r="O319" s="33"/>
    </row>
    <row r="320" ht="15.75" customHeight="1">
      <c r="A320" s="21"/>
      <c r="B320" s="70"/>
      <c r="C320" s="136"/>
      <c r="D320" s="107"/>
      <c r="E320" s="90"/>
      <c r="F320" s="137"/>
      <c r="G320" s="94"/>
      <c r="H320" s="96">
        <f t="shared" ref="H320:H322" si="259">F320*0.5+F320</f>
        <v>0</v>
      </c>
      <c r="I320" s="97">
        <f t="shared" ref="I320:I322" si="260">F320*0.3+F320</f>
        <v>0</v>
      </c>
      <c r="J320" s="98">
        <f t="shared" ref="J320:J322" si="261">F320*0.3+F320</f>
        <v>0</v>
      </c>
      <c r="K320" s="99">
        <f t="shared" ref="K320:K322" si="262">F320*0.2+F320</f>
        <v>0</v>
      </c>
      <c r="L320" s="98">
        <f t="shared" ref="L320:L322" si="263">F320*0.15+F320</f>
        <v>0</v>
      </c>
      <c r="M320" s="99">
        <f t="shared" ref="M320:M322" si="264">F320*0.1+F320</f>
        <v>0</v>
      </c>
      <c r="N320" s="32"/>
      <c r="O320" s="33"/>
    </row>
    <row r="321" ht="15.75" customHeight="1">
      <c r="A321" s="21"/>
      <c r="B321" s="70"/>
      <c r="C321" s="114"/>
      <c r="D321" s="125"/>
      <c r="E321" s="90"/>
      <c r="F321" s="138"/>
      <c r="G321" s="94"/>
      <c r="H321" s="96">
        <f t="shared" si="259"/>
        <v>0</v>
      </c>
      <c r="I321" s="97">
        <f t="shared" si="260"/>
        <v>0</v>
      </c>
      <c r="J321" s="98">
        <f t="shared" si="261"/>
        <v>0</v>
      </c>
      <c r="K321" s="99">
        <f t="shared" si="262"/>
        <v>0</v>
      </c>
      <c r="L321" s="98">
        <f t="shared" si="263"/>
        <v>0</v>
      </c>
      <c r="M321" s="99">
        <f t="shared" si="264"/>
        <v>0</v>
      </c>
      <c r="N321" s="32"/>
      <c r="O321" s="33"/>
    </row>
    <row r="322" ht="15.75" customHeight="1">
      <c r="A322" s="21"/>
      <c r="B322" s="70"/>
      <c r="C322" s="114"/>
      <c r="D322" s="125"/>
      <c r="E322" s="90"/>
      <c r="F322" s="138"/>
      <c r="G322" s="94"/>
      <c r="H322" s="96">
        <f t="shared" si="259"/>
        <v>0</v>
      </c>
      <c r="I322" s="97">
        <f t="shared" si="260"/>
        <v>0</v>
      </c>
      <c r="J322" s="98">
        <f t="shared" si="261"/>
        <v>0</v>
      </c>
      <c r="K322" s="99">
        <f t="shared" si="262"/>
        <v>0</v>
      </c>
      <c r="L322" s="98">
        <f t="shared" si="263"/>
        <v>0</v>
      </c>
      <c r="M322" s="99">
        <f t="shared" si="264"/>
        <v>0</v>
      </c>
      <c r="N322" s="32"/>
      <c r="O322" s="33"/>
    </row>
    <row r="323" ht="15.75" customHeight="1">
      <c r="A323" s="21"/>
      <c r="B323" s="70"/>
      <c r="C323" s="114"/>
      <c r="D323" s="125"/>
      <c r="E323" s="90"/>
      <c r="F323" s="138"/>
      <c r="G323" s="94"/>
      <c r="H323" s="96">
        <f>F324*0.5+F324</f>
        <v>0</v>
      </c>
      <c r="I323" s="97">
        <f>F324*0.3+F324</f>
        <v>0</v>
      </c>
      <c r="J323" s="98">
        <f>F324*0.3+F324</f>
        <v>0</v>
      </c>
      <c r="K323" s="99">
        <f>F324*0.2+F324</f>
        <v>0</v>
      </c>
      <c r="L323" s="98">
        <f>F324*0.15+F324</f>
        <v>0</v>
      </c>
      <c r="M323" s="99">
        <f>F324*0.1+F324</f>
        <v>0</v>
      </c>
      <c r="N323" s="32"/>
      <c r="O323" s="33"/>
    </row>
    <row r="324" ht="15.75" customHeight="1">
      <c r="A324" s="21"/>
      <c r="B324" s="70"/>
      <c r="C324" s="114"/>
      <c r="D324" s="125"/>
      <c r="E324" s="90"/>
      <c r="F324" s="138"/>
      <c r="G324" s="94"/>
      <c r="H324" s="96">
        <f t="shared" ref="H324:H326" si="265">F324*0.5+F324</f>
        <v>0</v>
      </c>
      <c r="I324" s="97">
        <f t="shared" ref="I324:I326" si="266">F324*0.3+F324</f>
        <v>0</v>
      </c>
      <c r="J324" s="98">
        <f t="shared" ref="J324:J326" si="267">F324*0.3+F324</f>
        <v>0</v>
      </c>
      <c r="K324" s="99">
        <f t="shared" ref="K324:K326" si="268">F324*0.2+F324</f>
        <v>0</v>
      </c>
      <c r="L324" s="98">
        <f t="shared" ref="L324:L326" si="269">F324*0.15+F324</f>
        <v>0</v>
      </c>
      <c r="M324" s="99">
        <f t="shared" ref="M324:M326" si="270">F324*0.1+F324</f>
        <v>0</v>
      </c>
      <c r="N324" s="32"/>
      <c r="O324" s="33"/>
    </row>
    <row r="325" ht="15.75" customHeight="1">
      <c r="A325" s="21"/>
      <c r="B325" s="70"/>
      <c r="C325" s="114"/>
      <c r="D325" s="125"/>
      <c r="E325" s="90"/>
      <c r="F325" s="138"/>
      <c r="G325" s="94"/>
      <c r="H325" s="96">
        <f t="shared" si="265"/>
        <v>0</v>
      </c>
      <c r="I325" s="97">
        <f t="shared" si="266"/>
        <v>0</v>
      </c>
      <c r="J325" s="98">
        <f t="shared" si="267"/>
        <v>0</v>
      </c>
      <c r="K325" s="99">
        <f t="shared" si="268"/>
        <v>0</v>
      </c>
      <c r="L325" s="98">
        <f t="shared" si="269"/>
        <v>0</v>
      </c>
      <c r="M325" s="99">
        <f t="shared" si="270"/>
        <v>0</v>
      </c>
      <c r="N325" s="32"/>
      <c r="O325" s="33"/>
    </row>
    <row r="326" ht="15.75" customHeight="1">
      <c r="A326" s="21"/>
      <c r="B326" s="70"/>
      <c r="C326" s="114"/>
      <c r="D326" s="125"/>
      <c r="E326" s="90"/>
      <c r="F326" s="138"/>
      <c r="G326" s="94"/>
      <c r="H326" s="96">
        <f t="shared" si="265"/>
        <v>0</v>
      </c>
      <c r="I326" s="97">
        <f t="shared" si="266"/>
        <v>0</v>
      </c>
      <c r="J326" s="98">
        <f t="shared" si="267"/>
        <v>0</v>
      </c>
      <c r="K326" s="99">
        <f t="shared" si="268"/>
        <v>0</v>
      </c>
      <c r="L326" s="98">
        <f t="shared" si="269"/>
        <v>0</v>
      </c>
      <c r="M326" s="99">
        <f t="shared" si="270"/>
        <v>0</v>
      </c>
      <c r="N326" s="32"/>
      <c r="O326" s="33"/>
    </row>
    <row r="327" ht="15.75" customHeight="1">
      <c r="A327" s="21"/>
      <c r="B327" s="70"/>
      <c r="C327" s="114"/>
      <c r="D327" s="125"/>
      <c r="E327" s="90"/>
      <c r="F327" s="112"/>
      <c r="G327" s="94"/>
      <c r="H327" s="96">
        <f>F328*0.5+F328</f>
        <v>0</v>
      </c>
      <c r="I327" s="97">
        <f>F328*0.3+F328</f>
        <v>0</v>
      </c>
      <c r="J327" s="98">
        <f>F328*0.3+F328</f>
        <v>0</v>
      </c>
      <c r="K327" s="99">
        <f>F328*0.2+F328</f>
        <v>0</v>
      </c>
      <c r="L327" s="98">
        <f>F328*0.15+F328</f>
        <v>0</v>
      </c>
      <c r="M327" s="99">
        <f>F328*0.1+F328</f>
        <v>0</v>
      </c>
      <c r="N327" s="32"/>
      <c r="O327" s="33"/>
    </row>
    <row r="328" ht="15.75" customHeight="1">
      <c r="A328" s="21"/>
      <c r="B328" s="70"/>
      <c r="C328" s="61"/>
      <c r="D328" s="103"/>
      <c r="E328" s="90"/>
      <c r="F328" s="120"/>
      <c r="G328" s="94"/>
      <c r="H328" s="96">
        <f>F328*0.5+F328</f>
        <v>0</v>
      </c>
      <c r="I328" s="97">
        <f>F328*0.3+F328</f>
        <v>0</v>
      </c>
      <c r="J328" s="98">
        <f>F328*0.3+F328</f>
        <v>0</v>
      </c>
      <c r="K328" s="99">
        <f>F328*0.2+F328</f>
        <v>0</v>
      </c>
      <c r="L328" s="98">
        <f>F328*0.15+F328</f>
        <v>0</v>
      </c>
      <c r="M328" s="99">
        <f>F328*0.1+F328</f>
        <v>0</v>
      </c>
      <c r="N328" s="32"/>
      <c r="O328" s="33"/>
    </row>
    <row r="329" ht="15.75" customHeight="1">
      <c r="A329" s="139"/>
      <c r="B329" s="140"/>
      <c r="C329" s="61"/>
      <c r="D329" s="133"/>
      <c r="E329" s="90"/>
      <c r="F329" s="141"/>
      <c r="G329" s="94"/>
      <c r="H329" s="96"/>
      <c r="I329" s="97"/>
      <c r="J329" s="98"/>
      <c r="K329" s="99"/>
      <c r="L329" s="98"/>
      <c r="M329" s="99"/>
      <c r="N329" s="32"/>
      <c r="O329" s="33"/>
    </row>
    <row r="330" ht="15.75" customHeight="1">
      <c r="A330" s="139"/>
      <c r="B330" s="140"/>
      <c r="C330" s="61"/>
      <c r="D330" s="133"/>
      <c r="E330" s="90"/>
      <c r="F330" s="141"/>
      <c r="G330" s="94"/>
      <c r="H330" s="96"/>
      <c r="I330" s="97"/>
      <c r="J330" s="98"/>
      <c r="K330" s="99"/>
      <c r="L330" s="98"/>
      <c r="M330" s="99"/>
      <c r="N330" s="32"/>
      <c r="O330" s="33"/>
    </row>
    <row r="331" ht="15.75" customHeight="1">
      <c r="A331" s="139"/>
      <c r="B331" s="140"/>
      <c r="C331" s="61"/>
      <c r="D331" s="133"/>
      <c r="E331" s="90"/>
      <c r="F331" s="141"/>
      <c r="G331" s="94"/>
      <c r="H331" s="96"/>
      <c r="I331" s="97"/>
      <c r="J331" s="98"/>
      <c r="K331" s="99"/>
      <c r="L331" s="98"/>
      <c r="M331" s="99"/>
      <c r="N331" s="32"/>
      <c r="O331" s="33"/>
    </row>
    <row r="332" ht="15.75" customHeight="1">
      <c r="A332" s="139"/>
      <c r="B332" s="140"/>
      <c r="C332" s="61"/>
      <c r="D332" s="133"/>
      <c r="E332" s="90"/>
      <c r="F332" s="141"/>
      <c r="G332" s="94"/>
      <c r="H332" s="96"/>
      <c r="I332" s="97"/>
      <c r="J332" s="98"/>
      <c r="K332" s="99"/>
      <c r="L332" s="98"/>
      <c r="M332" s="99"/>
      <c r="N332" s="32"/>
      <c r="O332" s="33"/>
    </row>
    <row r="333" ht="15.75" customHeight="1">
      <c r="A333" s="139"/>
      <c r="B333" s="140"/>
      <c r="C333" s="61"/>
      <c r="D333" s="133"/>
      <c r="E333" s="90"/>
      <c r="F333" s="141"/>
      <c r="G333" s="94"/>
      <c r="H333" s="96"/>
      <c r="I333" s="97"/>
      <c r="J333" s="98"/>
      <c r="K333" s="99"/>
      <c r="L333" s="98"/>
      <c r="M333" s="99"/>
      <c r="N333" s="32"/>
      <c r="O333" s="33"/>
    </row>
    <row r="334" ht="15.75" customHeight="1">
      <c r="A334" s="139"/>
      <c r="B334" s="140"/>
      <c r="C334" s="61"/>
      <c r="D334" s="133"/>
      <c r="E334" s="90"/>
      <c r="F334" s="141"/>
      <c r="G334" s="94"/>
      <c r="H334" s="96"/>
      <c r="I334" s="97"/>
      <c r="J334" s="98"/>
      <c r="K334" s="99"/>
      <c r="L334" s="98"/>
      <c r="M334" s="99"/>
      <c r="N334" s="32"/>
      <c r="O334" s="33"/>
    </row>
    <row r="335" ht="15.75" customHeight="1">
      <c r="A335" s="139"/>
      <c r="B335" s="140"/>
      <c r="C335" s="61"/>
      <c r="D335" s="133"/>
      <c r="E335" s="90"/>
      <c r="F335" s="141"/>
      <c r="G335" s="94"/>
      <c r="H335" s="96"/>
      <c r="I335" s="97"/>
      <c r="J335" s="98"/>
      <c r="K335" s="99"/>
      <c r="L335" s="98"/>
      <c r="M335" s="99"/>
      <c r="N335" s="32"/>
      <c r="O335" s="33"/>
    </row>
    <row r="336" ht="15.75" customHeight="1">
      <c r="A336" s="139"/>
      <c r="B336" s="140"/>
      <c r="C336" s="61"/>
      <c r="D336" s="133"/>
      <c r="E336" s="90"/>
      <c r="F336" s="141"/>
      <c r="G336" s="94"/>
      <c r="H336" s="96"/>
      <c r="I336" s="97"/>
      <c r="J336" s="98"/>
      <c r="K336" s="99"/>
      <c r="L336" s="98"/>
      <c r="M336" s="99"/>
      <c r="N336" s="32"/>
      <c r="O336" s="33"/>
    </row>
    <row r="337" ht="15.75" customHeight="1">
      <c r="A337" s="139"/>
      <c r="B337" s="140"/>
      <c r="C337" s="61"/>
      <c r="D337" s="133"/>
      <c r="E337" s="90"/>
      <c r="F337" s="141"/>
      <c r="G337" s="94"/>
      <c r="H337" s="96"/>
      <c r="I337" s="97"/>
      <c r="J337" s="98"/>
      <c r="K337" s="99"/>
      <c r="L337" s="98"/>
      <c r="M337" s="99"/>
      <c r="N337" s="32"/>
      <c r="O337" s="33"/>
    </row>
    <row r="338" ht="15.75" customHeight="1">
      <c r="A338" s="139"/>
      <c r="B338" s="140"/>
      <c r="C338" s="61"/>
      <c r="D338" s="133"/>
      <c r="E338" s="90"/>
      <c r="F338" s="141"/>
      <c r="G338" s="94"/>
      <c r="H338" s="96"/>
      <c r="I338" s="97"/>
      <c r="J338" s="98"/>
      <c r="K338" s="99"/>
      <c r="L338" s="98"/>
      <c r="M338" s="99"/>
      <c r="N338" s="32"/>
      <c r="O338" s="33"/>
    </row>
    <row r="339" ht="15.75" customHeight="1">
      <c r="A339" s="139"/>
      <c r="B339" s="140"/>
      <c r="C339" s="61"/>
      <c r="D339" s="133"/>
      <c r="E339" s="90"/>
      <c r="F339" s="141"/>
      <c r="G339" s="94"/>
      <c r="H339" s="96"/>
      <c r="I339" s="97"/>
      <c r="J339" s="98"/>
      <c r="K339" s="99"/>
      <c r="L339" s="98"/>
      <c r="M339" s="99"/>
      <c r="N339" s="32"/>
      <c r="O339" s="33"/>
    </row>
    <row r="340" ht="15.75" customHeight="1">
      <c r="A340" s="139"/>
      <c r="B340" s="140"/>
      <c r="C340" s="61"/>
      <c r="D340" s="133"/>
      <c r="E340" s="90"/>
      <c r="F340" s="141"/>
      <c r="G340" s="94"/>
      <c r="H340" s="96"/>
      <c r="I340" s="97"/>
      <c r="J340" s="98"/>
      <c r="K340" s="99"/>
      <c r="L340" s="98"/>
      <c r="M340" s="99"/>
      <c r="N340" s="32"/>
      <c r="O340" s="33"/>
    </row>
    <row r="341" ht="15.75" customHeight="1">
      <c r="A341" s="139"/>
      <c r="B341" s="140"/>
      <c r="C341" s="61"/>
      <c r="D341" s="133"/>
      <c r="E341" s="90"/>
      <c r="F341" s="141"/>
      <c r="G341" s="94"/>
      <c r="H341" s="96"/>
      <c r="I341" s="97"/>
      <c r="J341" s="98"/>
      <c r="K341" s="99"/>
      <c r="L341" s="98"/>
      <c r="M341" s="99"/>
      <c r="N341" s="32"/>
      <c r="O341" s="33"/>
    </row>
    <row r="342" ht="15.75" customHeight="1">
      <c r="A342" s="139"/>
      <c r="B342" s="140"/>
      <c r="C342" s="61"/>
      <c r="D342" s="133"/>
      <c r="E342" s="90"/>
      <c r="F342" s="141"/>
      <c r="G342" s="94"/>
      <c r="H342" s="96"/>
      <c r="I342" s="97"/>
      <c r="J342" s="98"/>
      <c r="K342" s="99"/>
      <c r="L342" s="98"/>
      <c r="M342" s="99"/>
      <c r="N342" s="32"/>
      <c r="O342" s="33"/>
    </row>
    <row r="343" ht="15.75" customHeight="1">
      <c r="A343" s="139"/>
      <c r="B343" s="140"/>
      <c r="C343" s="61"/>
      <c r="D343" s="133"/>
      <c r="E343" s="90"/>
      <c r="F343" s="141"/>
      <c r="G343" s="94"/>
      <c r="H343" s="96"/>
      <c r="I343" s="97"/>
      <c r="J343" s="98"/>
      <c r="K343" s="99"/>
      <c r="L343" s="98"/>
      <c r="M343" s="99"/>
      <c r="N343" s="32"/>
      <c r="O343" s="33"/>
    </row>
    <row r="344" ht="15.75" customHeight="1">
      <c r="A344" s="139"/>
      <c r="B344" s="140"/>
      <c r="C344" s="61"/>
      <c r="D344" s="133"/>
      <c r="E344" s="90"/>
      <c r="F344" s="141"/>
      <c r="G344" s="94"/>
      <c r="H344" s="96"/>
      <c r="I344" s="97"/>
      <c r="J344" s="98"/>
      <c r="K344" s="99"/>
      <c r="L344" s="98"/>
      <c r="M344" s="99"/>
      <c r="N344" s="32"/>
      <c r="O344" s="33"/>
    </row>
    <row r="345" ht="15.75" customHeight="1">
      <c r="A345" s="139"/>
      <c r="B345" s="140"/>
      <c r="C345" s="61"/>
      <c r="D345" s="133"/>
      <c r="E345" s="90"/>
      <c r="F345" s="141"/>
      <c r="G345" s="94"/>
      <c r="H345" s="96"/>
      <c r="I345" s="97"/>
      <c r="J345" s="98"/>
      <c r="K345" s="99"/>
      <c r="L345" s="98"/>
      <c r="M345" s="99"/>
      <c r="N345" s="32"/>
      <c r="O345" s="33"/>
    </row>
    <row r="346" ht="15.75" customHeight="1">
      <c r="A346" s="139"/>
      <c r="B346" s="140"/>
      <c r="C346" s="61"/>
      <c r="D346" s="133"/>
      <c r="E346" s="90"/>
      <c r="F346" s="141"/>
      <c r="G346" s="94"/>
      <c r="H346" s="96"/>
      <c r="I346" s="97"/>
      <c r="J346" s="98"/>
      <c r="K346" s="99"/>
      <c r="L346" s="98"/>
      <c r="M346" s="99"/>
      <c r="N346" s="32"/>
      <c r="O346" s="33"/>
    </row>
    <row r="347" ht="15.75" customHeight="1">
      <c r="A347" s="139"/>
      <c r="B347" s="140"/>
      <c r="C347" s="61"/>
      <c r="D347" s="133"/>
      <c r="E347" s="90"/>
      <c r="F347" s="141"/>
      <c r="G347" s="94"/>
      <c r="H347" s="96"/>
      <c r="I347" s="97"/>
      <c r="J347" s="98"/>
      <c r="K347" s="99"/>
      <c r="L347" s="98"/>
      <c r="M347" s="99"/>
      <c r="N347" s="32"/>
      <c r="O347" s="33"/>
    </row>
    <row r="348" ht="15.75" customHeight="1">
      <c r="A348" s="139"/>
      <c r="B348" s="140"/>
      <c r="C348" s="61"/>
      <c r="D348" s="133"/>
      <c r="E348" s="90"/>
      <c r="F348" s="141"/>
      <c r="G348" s="94"/>
      <c r="H348" s="96"/>
      <c r="I348" s="97"/>
      <c r="J348" s="98"/>
      <c r="K348" s="99"/>
      <c r="L348" s="98"/>
      <c r="M348" s="99"/>
      <c r="N348" s="32"/>
      <c r="O348" s="33"/>
    </row>
    <row r="349" ht="15.75" customHeight="1">
      <c r="A349" s="139"/>
      <c r="B349" s="140"/>
      <c r="C349" s="61"/>
      <c r="D349" s="133"/>
      <c r="E349" s="90"/>
      <c r="F349" s="141"/>
      <c r="G349" s="94"/>
      <c r="H349" s="96"/>
      <c r="I349" s="97"/>
      <c r="J349" s="98"/>
      <c r="K349" s="99"/>
      <c r="L349" s="98"/>
      <c r="M349" s="99"/>
      <c r="N349" s="32"/>
      <c r="O349" s="33"/>
    </row>
    <row r="350" ht="15.75" customHeight="1">
      <c r="A350" s="139"/>
      <c r="B350" s="140"/>
      <c r="C350" s="61"/>
      <c r="D350" s="133"/>
      <c r="E350" s="90"/>
      <c r="F350" s="141"/>
      <c r="G350" s="94"/>
      <c r="H350" s="96"/>
      <c r="I350" s="97"/>
      <c r="J350" s="98"/>
      <c r="K350" s="99"/>
      <c r="L350" s="98"/>
      <c r="M350" s="99"/>
      <c r="N350" s="32"/>
      <c r="O350" s="33"/>
    </row>
    <row r="351" ht="15.75" customHeight="1">
      <c r="A351" s="139"/>
      <c r="B351" s="140"/>
      <c r="C351" s="61"/>
      <c r="D351" s="133"/>
      <c r="E351" s="90"/>
      <c r="F351" s="141"/>
      <c r="G351" s="94"/>
      <c r="H351" s="96"/>
      <c r="I351" s="97"/>
      <c r="J351" s="98"/>
      <c r="K351" s="99"/>
      <c r="L351" s="98"/>
      <c r="M351" s="99"/>
      <c r="N351" s="32"/>
      <c r="O351" s="33"/>
    </row>
    <row r="352" ht="15.75" customHeight="1">
      <c r="A352" s="139"/>
      <c r="B352" s="140"/>
      <c r="C352" s="61"/>
      <c r="D352" s="133"/>
      <c r="E352" s="90"/>
      <c r="F352" s="141"/>
      <c r="G352" s="94"/>
      <c r="H352" s="96"/>
      <c r="I352" s="97"/>
      <c r="J352" s="98"/>
      <c r="K352" s="99"/>
      <c r="L352" s="98"/>
      <c r="M352" s="99"/>
      <c r="N352" s="32"/>
      <c r="O352" s="33"/>
    </row>
    <row r="353" ht="15.75" customHeight="1">
      <c r="A353" s="139"/>
      <c r="B353" s="140"/>
      <c r="C353" s="61"/>
      <c r="D353" s="133"/>
      <c r="E353" s="90"/>
      <c r="F353" s="141"/>
      <c r="G353" s="94"/>
      <c r="H353" s="96"/>
      <c r="I353" s="97"/>
      <c r="J353" s="98"/>
      <c r="K353" s="99"/>
      <c r="L353" s="98"/>
      <c r="M353" s="99"/>
      <c r="N353" s="32"/>
      <c r="O353" s="33"/>
    </row>
    <row r="354" ht="15.75" customHeight="1">
      <c r="A354" s="139"/>
      <c r="B354" s="140"/>
      <c r="C354" s="61"/>
      <c r="D354" s="133"/>
      <c r="E354" s="90"/>
      <c r="F354" s="141"/>
      <c r="G354" s="94"/>
      <c r="H354" s="96"/>
      <c r="I354" s="97"/>
      <c r="J354" s="98"/>
      <c r="K354" s="99"/>
      <c r="L354" s="98"/>
      <c r="M354" s="99"/>
      <c r="N354" s="32"/>
      <c r="O354" s="33"/>
    </row>
    <row r="355" ht="15.75" customHeight="1">
      <c r="A355" s="139"/>
      <c r="B355" s="140"/>
      <c r="C355" s="61"/>
      <c r="D355" s="133"/>
      <c r="E355" s="90"/>
      <c r="F355" s="141"/>
      <c r="G355" s="94"/>
      <c r="H355" s="96"/>
      <c r="I355" s="97"/>
      <c r="J355" s="98"/>
      <c r="K355" s="99"/>
      <c r="L355" s="98"/>
      <c r="M355" s="99"/>
      <c r="N355" s="32"/>
      <c r="O355" s="33"/>
    </row>
    <row r="356" ht="15.75" customHeight="1">
      <c r="A356" s="139"/>
      <c r="B356" s="140"/>
      <c r="C356" s="61"/>
      <c r="D356" s="133"/>
      <c r="E356" s="90"/>
      <c r="F356" s="141"/>
      <c r="G356" s="94"/>
      <c r="H356" s="96"/>
      <c r="I356" s="97"/>
      <c r="J356" s="98"/>
      <c r="K356" s="99"/>
      <c r="L356" s="98"/>
      <c r="M356" s="99"/>
      <c r="N356" s="32"/>
      <c r="O356" s="33"/>
    </row>
    <row r="357" ht="15.75" customHeight="1">
      <c r="A357" s="139"/>
      <c r="B357" s="140"/>
      <c r="C357" s="61"/>
      <c r="D357" s="133"/>
      <c r="E357" s="90"/>
      <c r="F357" s="141"/>
      <c r="G357" s="94"/>
      <c r="H357" s="96"/>
      <c r="I357" s="97"/>
      <c r="J357" s="98"/>
      <c r="K357" s="99"/>
      <c r="L357" s="98"/>
      <c r="M357" s="99"/>
      <c r="N357" s="32"/>
      <c r="O357" s="33"/>
    </row>
    <row r="358" ht="15.75" customHeight="1">
      <c r="A358" s="139"/>
      <c r="B358" s="140"/>
      <c r="C358" s="61"/>
      <c r="D358" s="133"/>
      <c r="E358" s="90"/>
      <c r="F358" s="141"/>
      <c r="G358" s="94"/>
      <c r="H358" s="96"/>
      <c r="I358" s="97"/>
      <c r="J358" s="98"/>
      <c r="K358" s="99"/>
      <c r="L358" s="98"/>
      <c r="M358" s="99"/>
      <c r="N358" s="32"/>
      <c r="O358" s="33"/>
    </row>
    <row r="359" ht="15.75" customHeight="1">
      <c r="A359" s="139"/>
      <c r="B359" s="140"/>
      <c r="C359" s="61"/>
      <c r="D359" s="133"/>
      <c r="E359" s="90"/>
      <c r="F359" s="141"/>
      <c r="G359" s="94"/>
      <c r="H359" s="96"/>
      <c r="I359" s="97"/>
      <c r="J359" s="98"/>
      <c r="K359" s="99"/>
      <c r="L359" s="98"/>
      <c r="M359" s="99"/>
      <c r="N359" s="32"/>
      <c r="O359" s="33"/>
    </row>
    <row r="360" ht="15.75" customHeight="1">
      <c r="A360" s="139"/>
      <c r="B360" s="140"/>
      <c r="C360" s="61"/>
      <c r="D360" s="133"/>
      <c r="E360" s="90"/>
      <c r="F360" s="141"/>
      <c r="G360" s="94"/>
      <c r="H360" s="96"/>
      <c r="I360" s="97"/>
      <c r="J360" s="98"/>
      <c r="K360" s="99"/>
      <c r="L360" s="98"/>
      <c r="M360" s="99"/>
      <c r="N360" s="32"/>
      <c r="O360" s="33"/>
    </row>
    <row r="361" ht="15.75" customHeight="1">
      <c r="A361" s="139"/>
      <c r="B361" s="140"/>
      <c r="C361" s="61"/>
      <c r="D361" s="133"/>
      <c r="E361" s="90"/>
      <c r="F361" s="141"/>
      <c r="G361" s="94"/>
      <c r="H361" s="96"/>
      <c r="I361" s="97"/>
      <c r="J361" s="98"/>
      <c r="K361" s="99"/>
      <c r="L361" s="98"/>
      <c r="M361" s="99"/>
      <c r="N361" s="32"/>
      <c r="O361" s="33"/>
    </row>
    <row r="362" ht="15.75" customHeight="1">
      <c r="A362" s="139"/>
      <c r="B362" s="140"/>
      <c r="C362" s="61"/>
      <c r="D362" s="133"/>
      <c r="E362" s="90"/>
      <c r="F362" s="141"/>
      <c r="G362" s="94"/>
      <c r="H362" s="96"/>
      <c r="I362" s="97"/>
      <c r="J362" s="98"/>
      <c r="K362" s="99"/>
      <c r="L362" s="98"/>
      <c r="M362" s="99"/>
      <c r="N362" s="32"/>
      <c r="O362" s="33"/>
    </row>
    <row r="363" ht="15.75" customHeight="1">
      <c r="A363" s="139"/>
      <c r="B363" s="140"/>
      <c r="C363" s="61"/>
      <c r="D363" s="133"/>
      <c r="E363" s="90"/>
      <c r="F363" s="141"/>
      <c r="G363" s="94"/>
      <c r="H363" s="96"/>
      <c r="I363" s="97"/>
      <c r="J363" s="98"/>
      <c r="K363" s="99"/>
      <c r="L363" s="98"/>
      <c r="M363" s="99"/>
      <c r="N363" s="32"/>
      <c r="O363" s="33"/>
    </row>
    <row r="364" ht="15.75" customHeight="1">
      <c r="A364" s="139"/>
      <c r="B364" s="140"/>
      <c r="C364" s="61"/>
      <c r="D364" s="133"/>
      <c r="E364" s="90"/>
      <c r="F364" s="141"/>
      <c r="G364" s="94"/>
      <c r="H364" s="96"/>
      <c r="I364" s="97"/>
      <c r="J364" s="98"/>
      <c r="K364" s="99"/>
      <c r="L364" s="98"/>
      <c r="M364" s="99"/>
      <c r="N364" s="32"/>
      <c r="O364" s="33"/>
    </row>
    <row r="365" ht="15.75" customHeight="1">
      <c r="A365" s="139"/>
      <c r="B365" s="140"/>
      <c r="C365" s="61"/>
      <c r="D365" s="133"/>
      <c r="E365" s="90"/>
      <c r="F365" s="141"/>
      <c r="G365" s="94"/>
      <c r="H365" s="96"/>
      <c r="I365" s="97"/>
      <c r="J365" s="98"/>
      <c r="K365" s="99"/>
      <c r="L365" s="98"/>
      <c r="M365" s="99"/>
      <c r="N365" s="32"/>
      <c r="O365" s="33"/>
    </row>
    <row r="366" ht="15.75" customHeight="1">
      <c r="A366" s="139"/>
      <c r="B366" s="140"/>
      <c r="C366" s="61"/>
      <c r="D366" s="133"/>
      <c r="E366" s="90"/>
      <c r="F366" s="141"/>
      <c r="G366" s="94"/>
      <c r="H366" s="96"/>
      <c r="I366" s="97"/>
      <c r="J366" s="98"/>
      <c r="K366" s="99"/>
      <c r="L366" s="98"/>
      <c r="M366" s="99"/>
      <c r="N366" s="32"/>
      <c r="O366" s="33"/>
    </row>
    <row r="367" ht="15.75" customHeight="1">
      <c r="A367" s="139"/>
      <c r="B367" s="140"/>
      <c r="C367" s="61"/>
      <c r="D367" s="133"/>
      <c r="E367" s="90"/>
      <c r="F367" s="141"/>
      <c r="G367" s="94"/>
      <c r="H367" s="96"/>
      <c r="I367" s="97"/>
      <c r="J367" s="98"/>
      <c r="K367" s="99"/>
      <c r="L367" s="98"/>
      <c r="M367" s="99"/>
      <c r="N367" s="32"/>
      <c r="O367" s="33"/>
    </row>
    <row r="368" ht="15.75" customHeight="1">
      <c r="A368" s="139"/>
      <c r="B368" s="140"/>
      <c r="C368" s="61"/>
      <c r="D368" s="133"/>
      <c r="E368" s="90"/>
      <c r="F368" s="141"/>
      <c r="G368" s="94"/>
      <c r="H368" s="96"/>
      <c r="I368" s="97"/>
      <c r="J368" s="98"/>
      <c r="K368" s="99"/>
      <c r="L368" s="98"/>
      <c r="M368" s="99"/>
      <c r="N368" s="32"/>
      <c r="O368" s="33"/>
    </row>
    <row r="369" ht="15.75" customHeight="1">
      <c r="A369" s="139"/>
      <c r="B369" s="140"/>
      <c r="C369" s="61"/>
      <c r="D369" s="133"/>
      <c r="E369" s="90"/>
      <c r="F369" s="141"/>
      <c r="G369" s="94"/>
      <c r="H369" s="96"/>
      <c r="I369" s="97"/>
      <c r="J369" s="98"/>
      <c r="K369" s="99"/>
      <c r="L369" s="98"/>
      <c r="M369" s="99"/>
      <c r="N369" s="32"/>
      <c r="O369" s="33"/>
    </row>
    <row r="370" ht="15.75" customHeight="1">
      <c r="A370" s="139"/>
      <c r="B370" s="140"/>
      <c r="C370" s="61"/>
      <c r="D370" s="133"/>
      <c r="E370" s="90"/>
      <c r="F370" s="141"/>
      <c r="G370" s="94"/>
      <c r="H370" s="96"/>
      <c r="I370" s="97"/>
      <c r="J370" s="98"/>
      <c r="K370" s="99"/>
      <c r="L370" s="98"/>
      <c r="M370" s="99"/>
      <c r="N370" s="32"/>
      <c r="O370" s="33"/>
    </row>
    <row r="371" ht="15.75" customHeight="1">
      <c r="A371" s="139"/>
      <c r="B371" s="140"/>
      <c r="C371" s="61"/>
      <c r="D371" s="133"/>
      <c r="E371" s="90"/>
      <c r="F371" s="141"/>
      <c r="G371" s="94"/>
      <c r="H371" s="96"/>
      <c r="I371" s="97"/>
      <c r="J371" s="98"/>
      <c r="K371" s="99"/>
      <c r="L371" s="98"/>
      <c r="M371" s="99"/>
      <c r="N371" s="32"/>
      <c r="O371" s="33"/>
    </row>
    <row r="372" ht="15.75" customHeight="1">
      <c r="A372" s="139"/>
      <c r="B372" s="140"/>
      <c r="C372" s="61"/>
      <c r="D372" s="133"/>
      <c r="E372" s="90"/>
      <c r="F372" s="141"/>
      <c r="G372" s="94"/>
      <c r="H372" s="96"/>
      <c r="I372" s="97"/>
      <c r="J372" s="98"/>
      <c r="K372" s="99"/>
      <c r="L372" s="98"/>
      <c r="M372" s="99"/>
      <c r="N372" s="32"/>
      <c r="O372" s="33"/>
    </row>
    <row r="373" ht="15.75" customHeight="1">
      <c r="A373" s="139"/>
      <c r="B373" s="140"/>
      <c r="C373" s="61"/>
      <c r="D373" s="133"/>
      <c r="E373" s="90"/>
      <c r="F373" s="141"/>
      <c r="G373" s="94"/>
      <c r="H373" s="96"/>
      <c r="I373" s="97"/>
      <c r="J373" s="98"/>
      <c r="K373" s="99"/>
      <c r="L373" s="98"/>
      <c r="M373" s="99"/>
      <c r="N373" s="32"/>
      <c r="O373" s="33"/>
    </row>
    <row r="374" ht="15.75" customHeight="1">
      <c r="A374" s="139"/>
      <c r="B374" s="140"/>
      <c r="C374" s="61"/>
      <c r="D374" s="133"/>
      <c r="E374" s="90"/>
      <c r="F374" s="141"/>
      <c r="G374" s="94"/>
      <c r="H374" s="96"/>
      <c r="I374" s="97"/>
      <c r="J374" s="98"/>
      <c r="K374" s="99"/>
      <c r="L374" s="98"/>
      <c r="M374" s="99"/>
      <c r="N374" s="32"/>
      <c r="O374" s="33"/>
    </row>
    <row r="375" ht="15.75" customHeight="1">
      <c r="A375" s="139"/>
      <c r="B375" s="140"/>
      <c r="C375" s="61"/>
      <c r="D375" s="133"/>
      <c r="E375" s="90"/>
      <c r="F375" s="141"/>
      <c r="G375" s="94"/>
      <c r="H375" s="96"/>
      <c r="I375" s="97"/>
      <c r="J375" s="98"/>
      <c r="K375" s="99"/>
      <c r="L375" s="98"/>
      <c r="M375" s="99"/>
      <c r="N375" s="32"/>
      <c r="O375" s="33"/>
    </row>
    <row r="376" ht="15.75" customHeight="1">
      <c r="A376" s="139"/>
      <c r="B376" s="140"/>
      <c r="C376" s="61"/>
      <c r="D376" s="133"/>
      <c r="E376" s="90"/>
      <c r="F376" s="141"/>
      <c r="G376" s="94"/>
      <c r="H376" s="96"/>
      <c r="I376" s="97"/>
      <c r="J376" s="98"/>
      <c r="K376" s="99"/>
      <c r="L376" s="98"/>
      <c r="M376" s="99"/>
      <c r="N376" s="32"/>
      <c r="O376" s="33"/>
    </row>
    <row r="377" ht="15.75" customHeight="1">
      <c r="A377" s="139"/>
      <c r="B377" s="140"/>
      <c r="C377" s="61"/>
      <c r="D377" s="133"/>
      <c r="E377" s="90"/>
      <c r="F377" s="141"/>
      <c r="G377" s="94"/>
      <c r="H377" s="96"/>
      <c r="I377" s="97"/>
      <c r="J377" s="98"/>
      <c r="K377" s="99"/>
      <c r="L377" s="98"/>
      <c r="M377" s="99"/>
      <c r="N377" s="32"/>
      <c r="O377" s="33"/>
    </row>
    <row r="378" ht="15.75" customHeight="1">
      <c r="A378" s="139"/>
      <c r="B378" s="140"/>
      <c r="C378" s="61"/>
      <c r="D378" s="133"/>
      <c r="E378" s="90"/>
      <c r="F378" s="141"/>
      <c r="G378" s="94"/>
      <c r="H378" s="96"/>
      <c r="I378" s="97"/>
      <c r="J378" s="98"/>
      <c r="K378" s="99"/>
      <c r="L378" s="98"/>
      <c r="M378" s="99"/>
      <c r="N378" s="32"/>
      <c r="O378" s="33"/>
    </row>
    <row r="379" ht="15.75" customHeight="1">
      <c r="A379" s="139"/>
      <c r="B379" s="140"/>
      <c r="C379" s="61"/>
      <c r="D379" s="133"/>
      <c r="E379" s="90"/>
      <c r="F379" s="141"/>
      <c r="G379" s="94"/>
      <c r="H379" s="96"/>
      <c r="I379" s="97"/>
      <c r="J379" s="98"/>
      <c r="K379" s="99"/>
      <c r="L379" s="98"/>
      <c r="M379" s="99"/>
      <c r="N379" s="32"/>
      <c r="O379" s="33"/>
    </row>
    <row r="380" ht="15.75" customHeight="1">
      <c r="A380" s="139"/>
      <c r="B380" s="140"/>
      <c r="C380" s="61"/>
      <c r="D380" s="133"/>
      <c r="E380" s="90"/>
      <c r="F380" s="141"/>
      <c r="G380" s="94"/>
      <c r="H380" s="96"/>
      <c r="I380" s="97"/>
      <c r="J380" s="98"/>
      <c r="K380" s="99"/>
      <c r="L380" s="98"/>
      <c r="M380" s="99"/>
      <c r="N380" s="32"/>
      <c r="O380" s="33"/>
    </row>
    <row r="381" ht="15.75" customHeight="1">
      <c r="A381" s="139"/>
      <c r="B381" s="140"/>
      <c r="C381" s="61"/>
      <c r="D381" s="133"/>
      <c r="E381" s="90"/>
      <c r="F381" s="141"/>
      <c r="G381" s="94"/>
      <c r="H381" s="96"/>
      <c r="I381" s="97"/>
      <c r="J381" s="98"/>
      <c r="K381" s="99"/>
      <c r="L381" s="98"/>
      <c r="M381" s="99"/>
      <c r="N381" s="32"/>
      <c r="O381" s="33"/>
    </row>
    <row r="382" ht="15.75" customHeight="1">
      <c r="A382" s="139"/>
      <c r="B382" s="140"/>
      <c r="C382" s="61"/>
      <c r="D382" s="133"/>
      <c r="E382" s="90"/>
      <c r="F382" s="141"/>
      <c r="G382" s="94"/>
      <c r="H382" s="96"/>
      <c r="I382" s="97"/>
      <c r="J382" s="98"/>
      <c r="K382" s="99"/>
      <c r="L382" s="98"/>
      <c r="M382" s="99"/>
      <c r="N382" s="32"/>
      <c r="O382" s="33"/>
    </row>
    <row r="383" ht="15.75" customHeight="1">
      <c r="A383" s="139"/>
      <c r="B383" s="140"/>
      <c r="C383" s="61"/>
      <c r="D383" s="133"/>
      <c r="E383" s="90"/>
      <c r="F383" s="141"/>
      <c r="G383" s="94"/>
      <c r="H383" s="96"/>
      <c r="I383" s="97"/>
      <c r="J383" s="98"/>
      <c r="K383" s="99"/>
      <c r="L383" s="98"/>
      <c r="M383" s="99"/>
      <c r="N383" s="32"/>
      <c r="O383" s="33"/>
    </row>
    <row r="384" ht="15.75" customHeight="1">
      <c r="A384" s="139"/>
      <c r="B384" s="140"/>
      <c r="C384" s="61"/>
      <c r="D384" s="133"/>
      <c r="E384" s="90"/>
      <c r="F384" s="141"/>
      <c r="G384" s="94"/>
      <c r="H384" s="96"/>
      <c r="I384" s="97"/>
      <c r="J384" s="98"/>
      <c r="K384" s="99"/>
      <c r="L384" s="98"/>
      <c r="M384" s="99"/>
      <c r="N384" s="32"/>
      <c r="O384" s="33"/>
    </row>
    <row r="385" ht="15.75" customHeight="1">
      <c r="A385" s="139"/>
      <c r="B385" s="140"/>
      <c r="C385" s="61"/>
      <c r="D385" s="133"/>
      <c r="E385" s="90"/>
      <c r="F385" s="141"/>
      <c r="G385" s="94"/>
      <c r="H385" s="96"/>
      <c r="I385" s="97"/>
      <c r="J385" s="98"/>
      <c r="K385" s="99"/>
      <c r="L385" s="98"/>
      <c r="M385" s="99"/>
      <c r="N385" s="32"/>
      <c r="O385" s="33"/>
    </row>
    <row r="386" ht="15.75" customHeight="1">
      <c r="A386" s="139"/>
      <c r="B386" s="140"/>
      <c r="C386" s="61"/>
      <c r="D386" s="133"/>
      <c r="E386" s="90"/>
      <c r="F386" s="141"/>
      <c r="G386" s="94"/>
      <c r="H386" s="96"/>
      <c r="I386" s="97"/>
      <c r="J386" s="98"/>
      <c r="K386" s="99"/>
      <c r="L386" s="98"/>
      <c r="M386" s="99"/>
      <c r="N386" s="32"/>
      <c r="O386" s="33"/>
    </row>
    <row r="387" ht="15.75" customHeight="1">
      <c r="A387" s="139"/>
      <c r="B387" s="140"/>
      <c r="C387" s="61"/>
      <c r="D387" s="133"/>
      <c r="E387" s="90"/>
      <c r="F387" s="141"/>
      <c r="G387" s="94"/>
      <c r="H387" s="96"/>
      <c r="I387" s="97"/>
      <c r="J387" s="98"/>
      <c r="K387" s="99"/>
      <c r="L387" s="98"/>
      <c r="M387" s="99"/>
      <c r="N387" s="32"/>
      <c r="O387" s="33"/>
    </row>
    <row r="388" ht="15.75" customHeight="1">
      <c r="A388" s="139"/>
      <c r="B388" s="140"/>
      <c r="C388" s="61"/>
      <c r="D388" s="133"/>
      <c r="E388" s="90"/>
      <c r="F388" s="141"/>
      <c r="G388" s="94"/>
      <c r="H388" s="96"/>
      <c r="I388" s="97"/>
      <c r="J388" s="98"/>
      <c r="K388" s="99"/>
      <c r="L388" s="98"/>
      <c r="M388" s="99"/>
      <c r="N388" s="32"/>
      <c r="O388" s="33"/>
    </row>
    <row r="389" ht="15.75" customHeight="1">
      <c r="A389" s="139"/>
      <c r="B389" s="140"/>
      <c r="C389" s="61"/>
      <c r="D389" s="133"/>
      <c r="E389" s="90"/>
      <c r="F389" s="141"/>
      <c r="G389" s="94"/>
      <c r="H389" s="96"/>
      <c r="I389" s="97"/>
      <c r="J389" s="98"/>
      <c r="K389" s="99"/>
      <c r="L389" s="98"/>
      <c r="M389" s="99"/>
      <c r="N389" s="32"/>
      <c r="O389" s="33"/>
    </row>
    <row r="390" ht="15.75" customHeight="1">
      <c r="A390" s="139"/>
      <c r="B390" s="140"/>
      <c r="C390" s="61"/>
      <c r="D390" s="133"/>
      <c r="E390" s="90"/>
      <c r="F390" s="141"/>
      <c r="G390" s="94"/>
      <c r="H390" s="96"/>
      <c r="I390" s="97"/>
      <c r="J390" s="98"/>
      <c r="K390" s="99"/>
      <c r="L390" s="98"/>
      <c r="M390" s="99"/>
      <c r="N390" s="32"/>
      <c r="O390" s="33"/>
    </row>
    <row r="391" ht="15.75" customHeight="1">
      <c r="A391" s="139"/>
      <c r="B391" s="140"/>
      <c r="C391" s="61"/>
      <c r="D391" s="133"/>
      <c r="E391" s="90"/>
      <c r="F391" s="141"/>
      <c r="G391" s="94"/>
      <c r="H391" s="96"/>
      <c r="I391" s="97"/>
      <c r="J391" s="98"/>
      <c r="K391" s="99"/>
      <c r="L391" s="98"/>
      <c r="M391" s="99"/>
      <c r="N391" s="32"/>
      <c r="O391" s="33"/>
    </row>
    <row r="392" ht="15.75" customHeight="1">
      <c r="A392" s="139"/>
      <c r="B392" s="140"/>
      <c r="C392" s="61"/>
      <c r="D392" s="133"/>
      <c r="E392" s="90"/>
      <c r="F392" s="141"/>
      <c r="G392" s="94"/>
      <c r="H392" s="96"/>
      <c r="I392" s="97"/>
      <c r="J392" s="98"/>
      <c r="K392" s="99"/>
      <c r="L392" s="98"/>
      <c r="M392" s="99"/>
      <c r="N392" s="32"/>
      <c r="O392" s="33"/>
    </row>
    <row r="393" ht="15.75" customHeight="1">
      <c r="A393" s="139"/>
      <c r="B393" s="140"/>
      <c r="C393" s="61"/>
      <c r="D393" s="133"/>
      <c r="E393" s="90"/>
      <c r="F393" s="141"/>
      <c r="G393" s="94"/>
      <c r="H393" s="96"/>
      <c r="I393" s="97"/>
      <c r="J393" s="98"/>
      <c r="K393" s="99"/>
      <c r="L393" s="98"/>
      <c r="M393" s="99"/>
      <c r="N393" s="32"/>
      <c r="O393" s="33"/>
    </row>
    <row r="394" ht="15.75" customHeight="1">
      <c r="A394" s="139"/>
      <c r="B394" s="140"/>
      <c r="C394" s="61"/>
      <c r="D394" s="133"/>
      <c r="E394" s="90"/>
      <c r="F394" s="141"/>
      <c r="G394" s="94"/>
      <c r="H394" s="96"/>
      <c r="I394" s="97"/>
      <c r="J394" s="98"/>
      <c r="K394" s="99"/>
      <c r="L394" s="98"/>
      <c r="M394" s="99"/>
      <c r="N394" s="32"/>
      <c r="O394" s="33"/>
    </row>
    <row r="395" ht="15.75" customHeight="1">
      <c r="A395" s="139"/>
      <c r="B395" s="140"/>
      <c r="C395" s="61"/>
      <c r="D395" s="133"/>
      <c r="E395" s="90"/>
      <c r="F395" s="141"/>
      <c r="G395" s="94"/>
      <c r="H395" s="96"/>
      <c r="I395" s="97"/>
      <c r="J395" s="98"/>
      <c r="K395" s="99"/>
      <c r="L395" s="98"/>
      <c r="M395" s="99"/>
      <c r="N395" s="32"/>
      <c r="O395" s="33"/>
    </row>
    <row r="396" ht="15.75" customHeight="1">
      <c r="A396" s="139"/>
      <c r="B396" s="140"/>
      <c r="C396" s="61"/>
      <c r="D396" s="133"/>
      <c r="E396" s="90"/>
      <c r="F396" s="141"/>
      <c r="G396" s="94"/>
      <c r="H396" s="96"/>
      <c r="I396" s="97"/>
      <c r="J396" s="98"/>
      <c r="K396" s="99"/>
      <c r="L396" s="98"/>
      <c r="M396" s="99"/>
      <c r="N396" s="32"/>
      <c r="O396" s="33"/>
    </row>
    <row r="397" ht="15.75" customHeight="1">
      <c r="A397" s="139"/>
      <c r="B397" s="140"/>
      <c r="C397" s="61"/>
      <c r="D397" s="133"/>
      <c r="E397" s="90"/>
      <c r="F397" s="141"/>
      <c r="G397" s="94"/>
      <c r="H397" s="96"/>
      <c r="I397" s="97"/>
      <c r="J397" s="98"/>
      <c r="K397" s="99"/>
      <c r="L397" s="98"/>
      <c r="M397" s="99"/>
      <c r="N397" s="32"/>
      <c r="O397" s="33"/>
    </row>
    <row r="398" ht="15.75" customHeight="1">
      <c r="A398" s="139"/>
      <c r="B398" s="140"/>
      <c r="C398" s="61"/>
      <c r="D398" s="133"/>
      <c r="E398" s="90"/>
      <c r="F398" s="141"/>
      <c r="G398" s="94"/>
      <c r="H398" s="96"/>
      <c r="I398" s="97"/>
      <c r="J398" s="98"/>
      <c r="K398" s="99"/>
      <c r="L398" s="98"/>
      <c r="M398" s="99"/>
      <c r="N398" s="32"/>
      <c r="O398" s="33"/>
    </row>
    <row r="399" ht="15.75" customHeight="1">
      <c r="A399" s="139"/>
      <c r="B399" s="140"/>
      <c r="C399" s="61"/>
      <c r="D399" s="133"/>
      <c r="E399" s="90"/>
      <c r="F399" s="141"/>
      <c r="G399" s="94"/>
      <c r="H399" s="96"/>
      <c r="I399" s="97"/>
      <c r="J399" s="98"/>
      <c r="K399" s="99"/>
      <c r="L399" s="98"/>
      <c r="M399" s="99"/>
      <c r="N399" s="32"/>
      <c r="O399" s="33"/>
    </row>
    <row r="400" ht="15.75" customHeight="1">
      <c r="A400" s="139"/>
      <c r="B400" s="140"/>
      <c r="C400" s="61"/>
      <c r="D400" s="133"/>
      <c r="E400" s="90"/>
      <c r="F400" s="141"/>
      <c r="G400" s="94"/>
      <c r="H400" s="96"/>
      <c r="I400" s="97"/>
      <c r="J400" s="98"/>
      <c r="K400" s="99"/>
      <c r="L400" s="98"/>
      <c r="M400" s="99"/>
      <c r="N400" s="32"/>
      <c r="O400" s="33"/>
    </row>
    <row r="401" ht="15.75" customHeight="1">
      <c r="A401" s="139"/>
      <c r="B401" s="140"/>
      <c r="C401" s="61"/>
      <c r="D401" s="133"/>
      <c r="E401" s="90"/>
      <c r="F401" s="141"/>
      <c r="G401" s="94"/>
      <c r="H401" s="96"/>
      <c r="I401" s="97"/>
      <c r="J401" s="98"/>
      <c r="K401" s="99"/>
      <c r="L401" s="98"/>
      <c r="M401" s="99"/>
      <c r="N401" s="32"/>
      <c r="O401" s="33"/>
    </row>
    <row r="402" ht="15.75" customHeight="1">
      <c r="A402" s="139"/>
      <c r="B402" s="140"/>
      <c r="C402" s="61"/>
      <c r="D402" s="133"/>
      <c r="E402" s="90"/>
      <c r="F402" s="141"/>
      <c r="G402" s="94"/>
      <c r="H402" s="96"/>
      <c r="I402" s="97"/>
      <c r="J402" s="98"/>
      <c r="K402" s="99"/>
      <c r="L402" s="98"/>
      <c r="M402" s="99"/>
      <c r="N402" s="32"/>
      <c r="O402" s="33"/>
    </row>
    <row r="403" ht="15.75" customHeight="1">
      <c r="A403" s="139"/>
      <c r="B403" s="140"/>
      <c r="C403" s="61"/>
      <c r="D403" s="133"/>
      <c r="E403" s="90"/>
      <c r="F403" s="141"/>
      <c r="G403" s="94"/>
      <c r="H403" s="96"/>
      <c r="I403" s="97"/>
      <c r="J403" s="98"/>
      <c r="K403" s="99"/>
      <c r="L403" s="98"/>
      <c r="M403" s="99"/>
      <c r="N403" s="32"/>
      <c r="O403" s="33"/>
    </row>
    <row r="404" ht="15.75" customHeight="1">
      <c r="A404" s="139"/>
      <c r="B404" s="140"/>
      <c r="C404" s="61"/>
      <c r="D404" s="133"/>
      <c r="E404" s="90"/>
      <c r="F404" s="141"/>
      <c r="G404" s="94"/>
      <c r="H404" s="96"/>
      <c r="I404" s="97"/>
      <c r="J404" s="98"/>
      <c r="K404" s="99"/>
      <c r="L404" s="98"/>
      <c r="M404" s="99"/>
      <c r="N404" s="32"/>
      <c r="O404" s="33"/>
    </row>
    <row r="405" ht="15.75" customHeight="1">
      <c r="A405" s="139"/>
      <c r="B405" s="140"/>
      <c r="C405" s="61"/>
      <c r="D405" s="133"/>
      <c r="E405" s="90"/>
      <c r="F405" s="141"/>
      <c r="G405" s="94"/>
      <c r="H405" s="96"/>
      <c r="I405" s="97"/>
      <c r="J405" s="98"/>
      <c r="K405" s="99"/>
      <c r="L405" s="98"/>
      <c r="M405" s="99"/>
      <c r="N405" s="32"/>
      <c r="O405" s="33"/>
    </row>
    <row r="406" ht="15.75" customHeight="1">
      <c r="A406" s="139"/>
      <c r="B406" s="140"/>
      <c r="C406" s="61"/>
      <c r="D406" s="133"/>
      <c r="E406" s="90"/>
      <c r="F406" s="141"/>
      <c r="G406" s="94"/>
      <c r="H406" s="96"/>
      <c r="I406" s="97"/>
      <c r="J406" s="98"/>
      <c r="K406" s="99"/>
      <c r="L406" s="98"/>
      <c r="M406" s="99"/>
      <c r="N406" s="32"/>
      <c r="O406" s="33"/>
    </row>
    <row r="407" ht="15.75" customHeight="1">
      <c r="A407" s="139"/>
      <c r="B407" s="140"/>
      <c r="C407" s="61"/>
      <c r="D407" s="133"/>
      <c r="E407" s="90"/>
      <c r="F407" s="141"/>
      <c r="G407" s="94"/>
      <c r="H407" s="96"/>
      <c r="I407" s="97"/>
      <c r="J407" s="98"/>
      <c r="K407" s="99"/>
      <c r="L407" s="98"/>
      <c r="M407" s="99"/>
      <c r="N407" s="32"/>
      <c r="O407" s="33"/>
    </row>
    <row r="408" ht="15.75" customHeight="1">
      <c r="A408" s="139"/>
      <c r="B408" s="140"/>
      <c r="C408" s="61"/>
      <c r="D408" s="133"/>
      <c r="E408" s="90"/>
      <c r="F408" s="141"/>
      <c r="G408" s="94"/>
      <c r="H408" s="96"/>
      <c r="I408" s="97"/>
      <c r="J408" s="98"/>
      <c r="K408" s="99"/>
      <c r="L408" s="98"/>
      <c r="M408" s="99"/>
      <c r="N408" s="32"/>
      <c r="O408" s="33"/>
    </row>
    <row r="409" ht="15.75" customHeight="1">
      <c r="A409" s="139"/>
      <c r="B409" s="140"/>
      <c r="C409" s="61"/>
      <c r="D409" s="133"/>
      <c r="E409" s="90"/>
      <c r="F409" s="141"/>
      <c r="G409" s="94"/>
      <c r="H409" s="96"/>
      <c r="I409" s="97"/>
      <c r="J409" s="98"/>
      <c r="K409" s="99"/>
      <c r="L409" s="98"/>
      <c r="M409" s="99"/>
      <c r="N409" s="32"/>
      <c r="O409" s="33"/>
    </row>
    <row r="410" ht="15.75" customHeight="1">
      <c r="A410" s="139"/>
      <c r="B410" s="140"/>
      <c r="C410" s="61"/>
      <c r="D410" s="133"/>
      <c r="E410" s="90"/>
      <c r="F410" s="141"/>
      <c r="G410" s="94"/>
      <c r="H410" s="96"/>
      <c r="I410" s="97"/>
      <c r="J410" s="98"/>
      <c r="K410" s="99"/>
      <c r="L410" s="98"/>
      <c r="M410" s="99"/>
      <c r="N410" s="32"/>
      <c r="O410" s="33"/>
    </row>
    <row r="411" ht="15.75" customHeight="1">
      <c r="A411" s="139"/>
      <c r="B411" s="140"/>
      <c r="C411" s="61"/>
      <c r="D411" s="133"/>
      <c r="E411" s="90"/>
      <c r="F411" s="141"/>
      <c r="G411" s="94"/>
      <c r="H411" s="96"/>
      <c r="I411" s="97"/>
      <c r="J411" s="98"/>
      <c r="K411" s="99"/>
      <c r="L411" s="98"/>
      <c r="M411" s="99"/>
      <c r="N411" s="32"/>
      <c r="O411" s="33"/>
    </row>
    <row r="412" ht="15.75" customHeight="1">
      <c r="A412" s="139"/>
      <c r="B412" s="140"/>
      <c r="C412" s="61"/>
      <c r="D412" s="133"/>
      <c r="E412" s="90"/>
      <c r="F412" s="141"/>
      <c r="G412" s="94"/>
      <c r="H412" s="96"/>
      <c r="I412" s="97"/>
      <c r="J412" s="98"/>
      <c r="K412" s="99"/>
      <c r="L412" s="98"/>
      <c r="M412" s="99"/>
      <c r="N412" s="32"/>
      <c r="O412" s="33"/>
    </row>
    <row r="413" ht="15.75" customHeight="1">
      <c r="A413" s="139"/>
      <c r="B413" s="140"/>
      <c r="C413" s="61"/>
      <c r="D413" s="133"/>
      <c r="E413" s="90"/>
      <c r="F413" s="141"/>
      <c r="G413" s="94"/>
      <c r="H413" s="96"/>
      <c r="I413" s="97"/>
      <c r="J413" s="98"/>
      <c r="K413" s="99"/>
      <c r="L413" s="98"/>
      <c r="M413" s="99"/>
      <c r="N413" s="32"/>
      <c r="O413" s="33"/>
    </row>
    <row r="414" ht="15.75" customHeight="1">
      <c r="A414" s="139"/>
      <c r="B414" s="140"/>
      <c r="C414" s="61"/>
      <c r="D414" s="133"/>
      <c r="E414" s="90"/>
      <c r="F414" s="141"/>
      <c r="G414" s="94"/>
      <c r="H414" s="96"/>
      <c r="I414" s="97"/>
      <c r="J414" s="98"/>
      <c r="K414" s="99"/>
      <c r="L414" s="98"/>
      <c r="M414" s="99"/>
      <c r="N414" s="32"/>
      <c r="O414" s="33"/>
    </row>
    <row r="415" ht="15.75" customHeight="1">
      <c r="A415" s="139"/>
      <c r="B415" s="140"/>
      <c r="C415" s="61"/>
      <c r="D415" s="133"/>
      <c r="E415" s="90"/>
      <c r="F415" s="141"/>
      <c r="G415" s="94"/>
      <c r="H415" s="96"/>
      <c r="I415" s="97"/>
      <c r="J415" s="98"/>
      <c r="K415" s="99"/>
      <c r="L415" s="98"/>
      <c r="M415" s="99"/>
      <c r="N415" s="32"/>
      <c r="O415" s="33"/>
    </row>
    <row r="416" ht="15.75" customHeight="1">
      <c r="A416" s="139"/>
      <c r="B416" s="140"/>
      <c r="C416" s="61"/>
      <c r="D416" s="133"/>
      <c r="E416" s="90"/>
      <c r="F416" s="141"/>
      <c r="G416" s="94"/>
      <c r="H416" s="96"/>
      <c r="I416" s="97"/>
      <c r="J416" s="98"/>
      <c r="K416" s="99"/>
      <c r="L416" s="98"/>
      <c r="M416" s="99"/>
      <c r="N416" s="32"/>
      <c r="O416" s="33"/>
    </row>
    <row r="417" ht="15.75" customHeight="1">
      <c r="A417" s="139"/>
      <c r="B417" s="140"/>
      <c r="C417" s="61"/>
      <c r="D417" s="133"/>
      <c r="E417" s="90"/>
      <c r="F417" s="141"/>
      <c r="G417" s="94"/>
      <c r="H417" s="96"/>
      <c r="I417" s="97"/>
      <c r="J417" s="98"/>
      <c r="K417" s="99"/>
      <c r="L417" s="98"/>
      <c r="M417" s="99"/>
      <c r="N417" s="32"/>
      <c r="O417" s="33"/>
    </row>
    <row r="418" ht="15.75" customHeight="1">
      <c r="A418" s="139"/>
      <c r="B418" s="140"/>
      <c r="C418" s="61"/>
      <c r="D418" s="133"/>
      <c r="E418" s="90"/>
      <c r="F418" s="141"/>
      <c r="G418" s="94"/>
      <c r="H418" s="96"/>
      <c r="I418" s="97"/>
      <c r="J418" s="98"/>
      <c r="K418" s="99"/>
      <c r="L418" s="98"/>
      <c r="M418" s="99"/>
      <c r="N418" s="32"/>
      <c r="O418" s="33"/>
    </row>
    <row r="419" ht="15.75" customHeight="1">
      <c r="A419" s="139"/>
      <c r="B419" s="140"/>
      <c r="C419" s="61"/>
      <c r="D419" s="133"/>
      <c r="E419" s="90"/>
      <c r="F419" s="141"/>
      <c r="G419" s="94"/>
      <c r="H419" s="96"/>
      <c r="I419" s="97"/>
      <c r="J419" s="98"/>
      <c r="K419" s="99"/>
      <c r="L419" s="98"/>
      <c r="M419" s="99"/>
      <c r="N419" s="32"/>
      <c r="O419" s="33"/>
    </row>
    <row r="420" ht="15.75" customHeight="1">
      <c r="A420" s="139"/>
      <c r="B420" s="140"/>
      <c r="C420" s="61"/>
      <c r="D420" s="133"/>
      <c r="E420" s="90"/>
      <c r="F420" s="141"/>
      <c r="G420" s="94"/>
      <c r="H420" s="96"/>
      <c r="I420" s="97"/>
      <c r="J420" s="98"/>
      <c r="K420" s="99"/>
      <c r="L420" s="98"/>
      <c r="M420" s="99"/>
      <c r="N420" s="32"/>
      <c r="O420" s="33"/>
    </row>
    <row r="421" ht="15.75" customHeight="1">
      <c r="A421" s="139"/>
      <c r="B421" s="140"/>
      <c r="C421" s="61"/>
      <c r="D421" s="133"/>
      <c r="E421" s="90"/>
      <c r="F421" s="141"/>
      <c r="G421" s="94"/>
      <c r="H421" s="96"/>
      <c r="I421" s="97"/>
      <c r="J421" s="98"/>
      <c r="K421" s="99"/>
      <c r="L421" s="98"/>
      <c r="M421" s="99"/>
      <c r="N421" s="32"/>
      <c r="O421" s="33"/>
    </row>
    <row r="422" ht="15.75" customHeight="1">
      <c r="A422" s="139"/>
      <c r="B422" s="140"/>
      <c r="C422" s="61"/>
      <c r="D422" s="133"/>
      <c r="E422" s="90"/>
      <c r="F422" s="141"/>
      <c r="G422" s="94"/>
      <c r="H422" s="96"/>
      <c r="I422" s="97"/>
      <c r="J422" s="98"/>
      <c r="K422" s="99"/>
      <c r="L422" s="98"/>
      <c r="M422" s="99"/>
      <c r="N422" s="32"/>
      <c r="O422" s="33"/>
    </row>
    <row r="423" ht="15.75" customHeight="1">
      <c r="A423" s="139"/>
      <c r="B423" s="140"/>
      <c r="C423" s="61"/>
      <c r="D423" s="133"/>
      <c r="E423" s="90"/>
      <c r="F423" s="141"/>
      <c r="G423" s="94"/>
      <c r="H423" s="96"/>
      <c r="I423" s="97"/>
      <c r="J423" s="98"/>
      <c r="K423" s="99"/>
      <c r="L423" s="98"/>
      <c r="M423" s="99"/>
      <c r="N423" s="32"/>
      <c r="O423" s="33"/>
    </row>
    <row r="424" ht="15.75" customHeight="1">
      <c r="A424" s="139"/>
      <c r="B424" s="140"/>
      <c r="C424" s="61"/>
      <c r="D424" s="133"/>
      <c r="E424" s="90"/>
      <c r="F424" s="141"/>
      <c r="G424" s="94"/>
      <c r="H424" s="96"/>
      <c r="I424" s="97"/>
      <c r="J424" s="98"/>
      <c r="K424" s="99"/>
      <c r="L424" s="98"/>
      <c r="M424" s="99"/>
      <c r="N424" s="32"/>
      <c r="O424" s="33"/>
    </row>
    <row r="425" ht="15.75" customHeight="1">
      <c r="A425" s="139"/>
      <c r="B425" s="140"/>
      <c r="C425" s="61"/>
      <c r="D425" s="133"/>
      <c r="E425" s="90"/>
      <c r="F425" s="141"/>
      <c r="G425" s="94"/>
      <c r="H425" s="96"/>
      <c r="I425" s="97"/>
      <c r="J425" s="98"/>
      <c r="K425" s="99"/>
      <c r="L425" s="98"/>
      <c r="M425" s="99"/>
      <c r="N425" s="32"/>
      <c r="O425" s="33"/>
    </row>
    <row r="426" ht="15.75" customHeight="1">
      <c r="A426" s="139"/>
      <c r="B426" s="140"/>
      <c r="C426" s="61"/>
      <c r="D426" s="133"/>
      <c r="E426" s="90"/>
      <c r="F426" s="141"/>
      <c r="G426" s="94"/>
      <c r="H426" s="96"/>
      <c r="I426" s="97"/>
      <c r="J426" s="98"/>
      <c r="K426" s="99"/>
      <c r="L426" s="98"/>
      <c r="M426" s="99"/>
      <c r="N426" s="32"/>
      <c r="O426" s="33"/>
    </row>
    <row r="427" ht="15.75" customHeight="1">
      <c r="A427" s="139"/>
      <c r="B427" s="140"/>
      <c r="C427" s="61"/>
      <c r="D427" s="133"/>
      <c r="E427" s="90"/>
      <c r="F427" s="141"/>
      <c r="G427" s="94"/>
      <c r="H427" s="96"/>
      <c r="I427" s="97"/>
      <c r="J427" s="98"/>
      <c r="K427" s="99"/>
      <c r="L427" s="98"/>
      <c r="M427" s="99"/>
      <c r="N427" s="32"/>
      <c r="O427" s="33"/>
    </row>
    <row r="428" ht="15.75" customHeight="1">
      <c r="A428" s="139"/>
      <c r="B428" s="140"/>
      <c r="C428" s="61"/>
      <c r="D428" s="133"/>
      <c r="E428" s="90"/>
      <c r="F428" s="141"/>
      <c r="G428" s="94"/>
      <c r="H428" s="96"/>
      <c r="I428" s="97"/>
      <c r="J428" s="98"/>
      <c r="K428" s="99"/>
      <c r="L428" s="98"/>
      <c r="M428" s="99"/>
      <c r="N428" s="32"/>
      <c r="O428" s="33"/>
    </row>
    <row r="429" ht="15.75" customHeight="1">
      <c r="A429" s="139"/>
      <c r="B429" s="140"/>
      <c r="C429" s="61"/>
      <c r="D429" s="133"/>
      <c r="E429" s="90"/>
      <c r="F429" s="141"/>
      <c r="G429" s="94"/>
      <c r="H429" s="96"/>
      <c r="I429" s="97"/>
      <c r="J429" s="98"/>
      <c r="K429" s="99"/>
      <c r="L429" s="98"/>
      <c r="M429" s="99"/>
      <c r="N429" s="32"/>
      <c r="O429" s="33"/>
    </row>
    <row r="430" ht="15.75" customHeight="1">
      <c r="A430" s="139"/>
      <c r="B430" s="140"/>
      <c r="C430" s="61"/>
      <c r="D430" s="133"/>
      <c r="E430" s="90"/>
      <c r="F430" s="141"/>
      <c r="G430" s="94"/>
      <c r="H430" s="96"/>
      <c r="I430" s="97"/>
      <c r="J430" s="98"/>
      <c r="K430" s="99"/>
      <c r="L430" s="98"/>
      <c r="M430" s="99"/>
      <c r="N430" s="32"/>
      <c r="O430" s="33"/>
    </row>
    <row r="431" ht="15.75" customHeight="1">
      <c r="A431" s="139"/>
      <c r="B431" s="140"/>
      <c r="C431" s="61"/>
      <c r="D431" s="133"/>
      <c r="E431" s="90"/>
      <c r="F431" s="141"/>
      <c r="G431" s="94"/>
      <c r="H431" s="96"/>
      <c r="I431" s="97"/>
      <c r="J431" s="98"/>
      <c r="K431" s="99"/>
      <c r="L431" s="98"/>
      <c r="M431" s="99"/>
      <c r="N431" s="32"/>
      <c r="O431" s="33"/>
    </row>
    <row r="432" ht="15.75" customHeight="1">
      <c r="A432" s="139"/>
      <c r="B432" s="140"/>
      <c r="C432" s="61"/>
      <c r="D432" s="133"/>
      <c r="E432" s="90"/>
      <c r="F432" s="141"/>
      <c r="G432" s="94"/>
      <c r="H432" s="96"/>
      <c r="I432" s="97"/>
      <c r="J432" s="98"/>
      <c r="K432" s="99"/>
      <c r="L432" s="98"/>
      <c r="M432" s="99"/>
      <c r="N432" s="32"/>
      <c r="O432" s="33"/>
    </row>
    <row r="433" ht="15.75" customHeight="1">
      <c r="A433" s="139"/>
      <c r="B433" s="140"/>
      <c r="C433" s="61"/>
      <c r="D433" s="133"/>
      <c r="E433" s="90"/>
      <c r="F433" s="141"/>
      <c r="G433" s="94"/>
      <c r="H433" s="96"/>
      <c r="I433" s="97"/>
      <c r="J433" s="98"/>
      <c r="K433" s="99"/>
      <c r="L433" s="98"/>
      <c r="M433" s="99"/>
      <c r="N433" s="32"/>
      <c r="O433" s="33"/>
    </row>
    <row r="434" ht="15.75" customHeight="1">
      <c r="A434" s="139"/>
      <c r="B434" s="140"/>
      <c r="C434" s="61"/>
      <c r="D434" s="133"/>
      <c r="E434" s="90"/>
      <c r="F434" s="141"/>
      <c r="G434" s="94"/>
      <c r="H434" s="96"/>
      <c r="I434" s="97"/>
      <c r="J434" s="98"/>
      <c r="K434" s="99"/>
      <c r="L434" s="98"/>
      <c r="M434" s="99"/>
      <c r="N434" s="32"/>
      <c r="O434" s="33"/>
    </row>
    <row r="435" ht="15.75" customHeight="1">
      <c r="A435" s="139"/>
      <c r="B435" s="140"/>
      <c r="C435" s="61"/>
      <c r="D435" s="133"/>
      <c r="E435" s="90"/>
      <c r="F435" s="141"/>
      <c r="G435" s="94"/>
      <c r="H435" s="96"/>
      <c r="I435" s="97"/>
      <c r="J435" s="98"/>
      <c r="K435" s="99"/>
      <c r="L435" s="98"/>
      <c r="M435" s="99"/>
      <c r="N435" s="32"/>
      <c r="O435" s="33"/>
    </row>
    <row r="436" ht="15.75" customHeight="1">
      <c r="A436" s="139"/>
      <c r="B436" s="140"/>
      <c r="C436" s="61"/>
      <c r="D436" s="133"/>
      <c r="E436" s="90"/>
      <c r="F436" s="141"/>
      <c r="G436" s="94"/>
      <c r="H436" s="96"/>
      <c r="I436" s="97"/>
      <c r="J436" s="98"/>
      <c r="K436" s="99"/>
      <c r="L436" s="98"/>
      <c r="M436" s="99"/>
      <c r="N436" s="32"/>
      <c r="O436" s="33"/>
    </row>
    <row r="437" ht="15.75" customHeight="1">
      <c r="A437" s="139"/>
      <c r="B437" s="140"/>
      <c r="C437" s="61"/>
      <c r="D437" s="133"/>
      <c r="E437" s="90"/>
      <c r="F437" s="141"/>
      <c r="G437" s="94"/>
      <c r="H437" s="96"/>
      <c r="I437" s="97"/>
      <c r="J437" s="98"/>
      <c r="K437" s="99"/>
      <c r="L437" s="98"/>
      <c r="M437" s="99"/>
      <c r="N437" s="32"/>
      <c r="O437" s="33"/>
    </row>
    <row r="438" ht="15.75" customHeight="1">
      <c r="A438" s="139"/>
      <c r="B438" s="140"/>
      <c r="C438" s="61"/>
      <c r="D438" s="133"/>
      <c r="E438" s="90"/>
      <c r="F438" s="141"/>
      <c r="G438" s="94"/>
      <c r="H438" s="96"/>
      <c r="I438" s="97"/>
      <c r="J438" s="98"/>
      <c r="K438" s="99"/>
      <c r="L438" s="98"/>
      <c r="M438" s="99"/>
      <c r="N438" s="32"/>
      <c r="O438" s="33"/>
    </row>
    <row r="439" ht="15.75" customHeight="1">
      <c r="A439" s="139"/>
      <c r="B439" s="140"/>
      <c r="C439" s="61"/>
      <c r="D439" s="133"/>
      <c r="E439" s="90"/>
      <c r="F439" s="141"/>
      <c r="G439" s="94"/>
      <c r="H439" s="96"/>
      <c r="I439" s="97"/>
      <c r="J439" s="98"/>
      <c r="K439" s="99"/>
      <c r="L439" s="98"/>
      <c r="M439" s="99"/>
      <c r="N439" s="32"/>
      <c r="O439" s="33"/>
    </row>
    <row r="440" ht="15.75" customHeight="1">
      <c r="A440" s="139"/>
      <c r="B440" s="140"/>
      <c r="C440" s="61"/>
      <c r="D440" s="133"/>
      <c r="E440" s="90"/>
      <c r="F440" s="141"/>
      <c r="G440" s="94"/>
      <c r="H440" s="96"/>
      <c r="I440" s="97"/>
      <c r="J440" s="98"/>
      <c r="K440" s="99"/>
      <c r="L440" s="98"/>
      <c r="M440" s="99"/>
      <c r="N440" s="32"/>
      <c r="O440" s="33"/>
    </row>
    <row r="441" ht="15.75" customHeight="1">
      <c r="A441" s="139"/>
      <c r="B441" s="140"/>
      <c r="C441" s="61"/>
      <c r="D441" s="133"/>
      <c r="E441" s="90"/>
      <c r="F441" s="141"/>
      <c r="G441" s="94"/>
      <c r="H441" s="96"/>
      <c r="I441" s="97"/>
      <c r="J441" s="98"/>
      <c r="K441" s="99"/>
      <c r="L441" s="98"/>
      <c r="M441" s="99"/>
      <c r="N441" s="32"/>
      <c r="O441" s="33"/>
    </row>
    <row r="442" ht="15.75" customHeight="1">
      <c r="A442" s="139"/>
      <c r="B442" s="140"/>
      <c r="C442" s="61"/>
      <c r="D442" s="133"/>
      <c r="E442" s="90"/>
      <c r="F442" s="141"/>
      <c r="G442" s="94"/>
      <c r="H442" s="96"/>
      <c r="I442" s="97"/>
      <c r="J442" s="98"/>
      <c r="K442" s="99"/>
      <c r="L442" s="98"/>
      <c r="M442" s="99"/>
      <c r="N442" s="32"/>
      <c r="O442" s="33"/>
    </row>
    <row r="443" ht="15.75" customHeight="1">
      <c r="A443" s="139"/>
      <c r="B443" s="140"/>
      <c r="C443" s="61"/>
      <c r="D443" s="133"/>
      <c r="E443" s="90"/>
      <c r="F443" s="141"/>
      <c r="G443" s="94"/>
      <c r="H443" s="96"/>
      <c r="I443" s="97"/>
      <c r="J443" s="98"/>
      <c r="K443" s="99"/>
      <c r="L443" s="98"/>
      <c r="M443" s="99"/>
      <c r="N443" s="32"/>
      <c r="O443" s="33"/>
    </row>
    <row r="444" ht="15.75" customHeight="1">
      <c r="A444" s="139"/>
      <c r="B444" s="140"/>
      <c r="C444" s="61"/>
      <c r="D444" s="133"/>
      <c r="E444" s="90"/>
      <c r="F444" s="141"/>
      <c r="G444" s="94"/>
      <c r="H444" s="96"/>
      <c r="I444" s="97"/>
      <c r="J444" s="98"/>
      <c r="K444" s="99"/>
      <c r="L444" s="98"/>
      <c r="M444" s="99"/>
      <c r="N444" s="32"/>
      <c r="O444" s="33"/>
    </row>
    <row r="445" ht="15.75" customHeight="1">
      <c r="A445" s="139"/>
      <c r="B445" s="140"/>
      <c r="C445" s="61"/>
      <c r="D445" s="133"/>
      <c r="E445" s="90"/>
      <c r="F445" s="141"/>
      <c r="G445" s="94"/>
      <c r="H445" s="96"/>
      <c r="I445" s="97"/>
      <c r="J445" s="98"/>
      <c r="K445" s="99"/>
      <c r="L445" s="98"/>
      <c r="M445" s="99"/>
      <c r="N445" s="32"/>
      <c r="O445" s="33"/>
    </row>
    <row r="446" ht="15.75" customHeight="1">
      <c r="A446" s="139"/>
      <c r="B446" s="140"/>
      <c r="C446" s="61"/>
      <c r="D446" s="133"/>
      <c r="E446" s="90"/>
      <c r="F446" s="141"/>
      <c r="G446" s="94"/>
      <c r="H446" s="96"/>
      <c r="I446" s="97"/>
      <c r="J446" s="98"/>
      <c r="K446" s="99"/>
      <c r="L446" s="98"/>
      <c r="M446" s="99"/>
      <c r="N446" s="32"/>
      <c r="O446" s="33"/>
    </row>
    <row r="447" ht="15.75" customHeight="1">
      <c r="A447" s="139"/>
      <c r="B447" s="140"/>
      <c r="C447" s="61"/>
      <c r="D447" s="133"/>
      <c r="E447" s="90"/>
      <c r="F447" s="141"/>
      <c r="G447" s="94"/>
      <c r="H447" s="96"/>
      <c r="I447" s="97"/>
      <c r="J447" s="98"/>
      <c r="K447" s="99"/>
      <c r="L447" s="98"/>
      <c r="M447" s="99"/>
      <c r="N447" s="32"/>
      <c r="O447" s="33"/>
    </row>
    <row r="448" ht="15.75" customHeight="1">
      <c r="A448" s="139"/>
      <c r="B448" s="140"/>
      <c r="C448" s="61"/>
      <c r="D448" s="133"/>
      <c r="E448" s="90"/>
      <c r="F448" s="141"/>
      <c r="G448" s="94"/>
      <c r="H448" s="96"/>
      <c r="I448" s="97"/>
      <c r="J448" s="98"/>
      <c r="K448" s="99"/>
      <c r="L448" s="98"/>
      <c r="M448" s="99"/>
      <c r="N448" s="32"/>
      <c r="O448" s="33"/>
    </row>
    <row r="449" ht="15.75" customHeight="1">
      <c r="A449" s="139"/>
      <c r="B449" s="140"/>
      <c r="C449" s="61"/>
      <c r="D449" s="133"/>
      <c r="E449" s="90"/>
      <c r="F449" s="141"/>
      <c r="G449" s="94"/>
      <c r="H449" s="96"/>
      <c r="I449" s="97"/>
      <c r="J449" s="98"/>
      <c r="K449" s="99"/>
      <c r="L449" s="98"/>
      <c r="M449" s="99"/>
      <c r="N449" s="32"/>
      <c r="O449" s="33"/>
    </row>
    <row r="450" ht="15.75" customHeight="1">
      <c r="A450" s="139"/>
      <c r="B450" s="140"/>
      <c r="C450" s="61"/>
      <c r="D450" s="133"/>
      <c r="E450" s="90"/>
      <c r="F450" s="141"/>
      <c r="G450" s="94"/>
      <c r="H450" s="96"/>
      <c r="I450" s="97"/>
      <c r="J450" s="98"/>
      <c r="K450" s="99"/>
      <c r="L450" s="98"/>
      <c r="M450" s="99"/>
      <c r="N450" s="32"/>
      <c r="O450" s="33"/>
    </row>
    <row r="451" ht="15.75" customHeight="1">
      <c r="A451" s="139"/>
      <c r="B451" s="140"/>
      <c r="C451" s="61"/>
      <c r="D451" s="133"/>
      <c r="E451" s="90"/>
      <c r="F451" s="141"/>
      <c r="G451" s="94"/>
      <c r="H451" s="96"/>
      <c r="I451" s="97"/>
      <c r="J451" s="98"/>
      <c r="K451" s="99"/>
      <c r="L451" s="98"/>
      <c r="M451" s="99"/>
      <c r="N451" s="32"/>
      <c r="O451" s="33"/>
    </row>
    <row r="452" ht="15.75" customHeight="1">
      <c r="A452" s="139"/>
      <c r="B452" s="140"/>
      <c r="C452" s="61"/>
      <c r="D452" s="133"/>
      <c r="E452" s="90"/>
      <c r="F452" s="141"/>
      <c r="G452" s="94"/>
      <c r="H452" s="96"/>
      <c r="I452" s="97"/>
      <c r="J452" s="98"/>
      <c r="K452" s="99"/>
      <c r="L452" s="98"/>
      <c r="M452" s="99"/>
      <c r="N452" s="32"/>
      <c r="O452" s="33"/>
    </row>
    <row r="453" ht="15.75" customHeight="1">
      <c r="A453" s="139"/>
      <c r="B453" s="140"/>
      <c r="C453" s="61"/>
      <c r="D453" s="133"/>
      <c r="E453" s="90"/>
      <c r="F453" s="141"/>
      <c r="G453" s="94"/>
      <c r="H453" s="96"/>
      <c r="I453" s="97"/>
      <c r="J453" s="98"/>
      <c r="K453" s="99"/>
      <c r="L453" s="98"/>
      <c r="M453" s="99"/>
      <c r="N453" s="32"/>
      <c r="O453" s="33"/>
    </row>
    <row r="454" ht="15.75" customHeight="1">
      <c r="A454" s="139"/>
      <c r="B454" s="140"/>
      <c r="C454" s="61"/>
      <c r="D454" s="133"/>
      <c r="E454" s="90"/>
      <c r="F454" s="141"/>
      <c r="G454" s="94"/>
      <c r="H454" s="96"/>
      <c r="I454" s="97"/>
      <c r="J454" s="98"/>
      <c r="K454" s="99"/>
      <c r="L454" s="98"/>
      <c r="M454" s="99"/>
      <c r="N454" s="32"/>
      <c r="O454" s="33"/>
    </row>
    <row r="455" ht="15.75" customHeight="1">
      <c r="A455" s="139"/>
      <c r="B455" s="140"/>
      <c r="C455" s="61"/>
      <c r="D455" s="133"/>
      <c r="E455" s="90"/>
      <c r="F455" s="141"/>
      <c r="G455" s="94"/>
      <c r="H455" s="96"/>
      <c r="I455" s="97"/>
      <c r="J455" s="98"/>
      <c r="K455" s="99"/>
      <c r="L455" s="98"/>
      <c r="M455" s="99"/>
      <c r="N455" s="32"/>
      <c r="O455" s="33"/>
    </row>
    <row r="456" ht="15.75" customHeight="1">
      <c r="A456" s="139"/>
      <c r="B456" s="140"/>
      <c r="C456" s="61"/>
      <c r="D456" s="133"/>
      <c r="E456" s="90"/>
      <c r="F456" s="141"/>
      <c r="G456" s="94"/>
      <c r="H456" s="96"/>
      <c r="I456" s="97"/>
      <c r="J456" s="98"/>
      <c r="K456" s="99"/>
      <c r="L456" s="98"/>
      <c r="M456" s="99"/>
      <c r="N456" s="32"/>
      <c r="O456" s="33"/>
    </row>
    <row r="457" ht="15.75" customHeight="1">
      <c r="A457" s="139"/>
      <c r="B457" s="140"/>
      <c r="C457" s="61"/>
      <c r="D457" s="133"/>
      <c r="E457" s="90"/>
      <c r="F457" s="141"/>
      <c r="G457" s="94"/>
      <c r="H457" s="96"/>
      <c r="I457" s="97"/>
      <c r="J457" s="98"/>
      <c r="K457" s="99"/>
      <c r="L457" s="98"/>
      <c r="M457" s="99"/>
      <c r="N457" s="32"/>
      <c r="O457" s="33"/>
    </row>
    <row r="458" ht="15.75" customHeight="1">
      <c r="A458" s="139"/>
      <c r="B458" s="140"/>
      <c r="C458" s="61"/>
      <c r="D458" s="133"/>
      <c r="E458" s="90"/>
      <c r="F458" s="141"/>
      <c r="G458" s="94"/>
      <c r="H458" s="96"/>
      <c r="I458" s="97"/>
      <c r="J458" s="98"/>
      <c r="K458" s="99"/>
      <c r="L458" s="98"/>
      <c r="M458" s="99"/>
      <c r="N458" s="32"/>
      <c r="O458" s="33"/>
    </row>
    <row r="459" ht="15.75" customHeight="1">
      <c r="A459" s="139"/>
      <c r="B459" s="140"/>
      <c r="C459" s="61"/>
      <c r="D459" s="133"/>
      <c r="E459" s="90"/>
      <c r="F459" s="141"/>
      <c r="G459" s="94"/>
      <c r="H459" s="96"/>
      <c r="I459" s="97"/>
      <c r="J459" s="98"/>
      <c r="K459" s="99"/>
      <c r="L459" s="98"/>
      <c r="M459" s="99"/>
      <c r="N459" s="32"/>
      <c r="O459" s="33"/>
    </row>
    <row r="460" ht="15.75" customHeight="1">
      <c r="A460" s="139"/>
      <c r="B460" s="140"/>
      <c r="C460" s="61"/>
      <c r="D460" s="133"/>
      <c r="E460" s="90"/>
      <c r="F460" s="141"/>
      <c r="G460" s="94"/>
      <c r="H460" s="96"/>
      <c r="I460" s="97"/>
      <c r="J460" s="98"/>
      <c r="K460" s="99"/>
      <c r="L460" s="98"/>
      <c r="M460" s="99"/>
      <c r="N460" s="32"/>
      <c r="O460" s="33"/>
    </row>
    <row r="461" ht="15.75" customHeight="1">
      <c r="A461" s="139"/>
      <c r="B461" s="140"/>
      <c r="C461" s="61"/>
      <c r="D461" s="133"/>
      <c r="E461" s="90"/>
      <c r="F461" s="141"/>
      <c r="G461" s="94"/>
      <c r="H461" s="96"/>
      <c r="I461" s="97"/>
      <c r="J461" s="98"/>
      <c r="K461" s="99"/>
      <c r="L461" s="98"/>
      <c r="M461" s="99"/>
      <c r="N461" s="32"/>
      <c r="O461" s="33"/>
    </row>
    <row r="462" ht="15.75" customHeight="1">
      <c r="A462" s="139"/>
      <c r="B462" s="140"/>
      <c r="C462" s="61"/>
      <c r="D462" s="133"/>
      <c r="E462" s="90"/>
      <c r="F462" s="141"/>
      <c r="G462" s="94"/>
      <c r="H462" s="96"/>
      <c r="I462" s="97"/>
      <c r="J462" s="98"/>
      <c r="K462" s="99"/>
      <c r="L462" s="98"/>
      <c r="M462" s="99"/>
      <c r="N462" s="32"/>
      <c r="O462" s="33"/>
    </row>
    <row r="463" ht="15.75" customHeight="1">
      <c r="A463" s="139"/>
      <c r="B463" s="140"/>
      <c r="C463" s="61"/>
      <c r="D463" s="133"/>
      <c r="E463" s="90"/>
      <c r="F463" s="141"/>
      <c r="G463" s="94"/>
      <c r="H463" s="96"/>
      <c r="I463" s="97"/>
      <c r="J463" s="98"/>
      <c r="K463" s="99"/>
      <c r="L463" s="98"/>
      <c r="M463" s="99"/>
      <c r="N463" s="32"/>
      <c r="O463" s="33"/>
    </row>
    <row r="464" ht="15.75" customHeight="1">
      <c r="A464" s="139"/>
      <c r="B464" s="140"/>
      <c r="C464" s="61"/>
      <c r="D464" s="133"/>
      <c r="E464" s="90"/>
      <c r="F464" s="141"/>
      <c r="G464" s="94"/>
      <c r="H464" s="96"/>
      <c r="I464" s="97"/>
      <c r="J464" s="98"/>
      <c r="K464" s="99"/>
      <c r="L464" s="98"/>
      <c r="M464" s="99"/>
      <c r="N464" s="32"/>
      <c r="O464" s="33"/>
    </row>
    <row r="465" ht="15.75" customHeight="1">
      <c r="A465" s="139"/>
      <c r="B465" s="140"/>
      <c r="C465" s="61"/>
      <c r="D465" s="133"/>
      <c r="E465" s="90"/>
      <c r="F465" s="141"/>
      <c r="G465" s="94"/>
      <c r="H465" s="96"/>
      <c r="I465" s="97"/>
      <c r="J465" s="98"/>
      <c r="K465" s="99"/>
      <c r="L465" s="98"/>
      <c r="M465" s="99"/>
      <c r="N465" s="32"/>
      <c r="O465" s="33"/>
    </row>
    <row r="466" ht="15.75" customHeight="1">
      <c r="A466" s="139"/>
      <c r="B466" s="140"/>
      <c r="C466" s="61"/>
      <c r="D466" s="133"/>
      <c r="E466" s="90"/>
      <c r="F466" s="141"/>
      <c r="G466" s="94"/>
      <c r="H466" s="96"/>
      <c r="I466" s="97"/>
      <c r="J466" s="98"/>
      <c r="K466" s="99"/>
      <c r="L466" s="98"/>
      <c r="M466" s="99"/>
      <c r="N466" s="32"/>
      <c r="O466" s="33"/>
    </row>
    <row r="467" ht="15.75" customHeight="1">
      <c r="A467" s="139"/>
      <c r="B467" s="140"/>
      <c r="C467" s="61"/>
      <c r="D467" s="133"/>
      <c r="E467" s="90"/>
      <c r="F467" s="141"/>
      <c r="G467" s="94"/>
      <c r="H467" s="96"/>
      <c r="I467" s="97"/>
      <c r="J467" s="98"/>
      <c r="K467" s="99"/>
      <c r="L467" s="98"/>
      <c r="M467" s="99"/>
      <c r="N467" s="32"/>
      <c r="O467" s="33"/>
    </row>
    <row r="468" ht="15.75" customHeight="1">
      <c r="A468" s="139"/>
      <c r="B468" s="140"/>
      <c r="C468" s="61"/>
      <c r="D468" s="133"/>
      <c r="E468" s="90"/>
      <c r="F468" s="141"/>
      <c r="G468" s="94"/>
      <c r="H468" s="96"/>
      <c r="I468" s="97"/>
      <c r="J468" s="98"/>
      <c r="K468" s="99"/>
      <c r="L468" s="98"/>
      <c r="M468" s="99"/>
      <c r="N468" s="32"/>
      <c r="O468" s="33"/>
    </row>
    <row r="469" ht="15.75" customHeight="1">
      <c r="A469" s="139"/>
      <c r="B469" s="140"/>
      <c r="C469" s="61"/>
      <c r="D469" s="133"/>
      <c r="E469" s="90"/>
      <c r="F469" s="141"/>
      <c r="G469" s="94"/>
      <c r="H469" s="96"/>
      <c r="I469" s="97"/>
      <c r="J469" s="98"/>
      <c r="K469" s="99"/>
      <c r="L469" s="98"/>
      <c r="M469" s="99"/>
      <c r="N469" s="32"/>
      <c r="O469" s="33"/>
    </row>
    <row r="470" ht="15.75" customHeight="1">
      <c r="A470" s="139"/>
      <c r="B470" s="140"/>
      <c r="C470" s="61"/>
      <c r="D470" s="133"/>
      <c r="E470" s="90"/>
      <c r="F470" s="141"/>
      <c r="G470" s="94"/>
      <c r="H470" s="96"/>
      <c r="I470" s="97"/>
      <c r="J470" s="98"/>
      <c r="K470" s="99"/>
      <c r="L470" s="98"/>
      <c r="M470" s="99"/>
      <c r="N470" s="32"/>
      <c r="O470" s="33"/>
    </row>
    <row r="471" ht="15.75" customHeight="1">
      <c r="A471" s="139"/>
      <c r="B471" s="140"/>
      <c r="C471" s="61"/>
      <c r="D471" s="133"/>
      <c r="E471" s="90"/>
      <c r="F471" s="141"/>
      <c r="G471" s="94"/>
      <c r="H471" s="96"/>
      <c r="I471" s="97"/>
      <c r="J471" s="98"/>
      <c r="K471" s="99"/>
      <c r="L471" s="98"/>
      <c r="M471" s="99"/>
      <c r="N471" s="32"/>
      <c r="O471" s="33"/>
    </row>
    <row r="472" ht="15.75" customHeight="1">
      <c r="A472" s="139"/>
      <c r="B472" s="140"/>
      <c r="C472" s="61"/>
      <c r="D472" s="133"/>
      <c r="E472" s="90"/>
      <c r="F472" s="141"/>
      <c r="G472" s="94"/>
      <c r="H472" s="96"/>
      <c r="I472" s="97"/>
      <c r="J472" s="98"/>
      <c r="K472" s="99"/>
      <c r="L472" s="98"/>
      <c r="M472" s="99"/>
      <c r="N472" s="32"/>
      <c r="O472" s="33"/>
    </row>
    <row r="473" ht="15.75" customHeight="1">
      <c r="A473" s="139"/>
      <c r="B473" s="140"/>
      <c r="C473" s="61"/>
      <c r="D473" s="133"/>
      <c r="E473" s="90"/>
      <c r="F473" s="141"/>
      <c r="G473" s="94"/>
      <c r="H473" s="96"/>
      <c r="I473" s="97"/>
      <c r="J473" s="98"/>
      <c r="K473" s="99"/>
      <c r="L473" s="98"/>
      <c r="M473" s="99"/>
      <c r="N473" s="32"/>
      <c r="O473" s="33"/>
    </row>
    <row r="474" ht="15.75" customHeight="1">
      <c r="A474" s="139"/>
      <c r="B474" s="140"/>
      <c r="C474" s="61"/>
      <c r="D474" s="133"/>
      <c r="E474" s="90"/>
      <c r="F474" s="141"/>
      <c r="G474" s="94"/>
      <c r="H474" s="96"/>
      <c r="I474" s="97"/>
      <c r="J474" s="98"/>
      <c r="K474" s="99"/>
      <c r="L474" s="98"/>
      <c r="M474" s="99"/>
      <c r="N474" s="32"/>
      <c r="O474" s="33"/>
    </row>
    <row r="475" ht="15.75" customHeight="1">
      <c r="A475" s="139"/>
      <c r="B475" s="140"/>
      <c r="C475" s="61"/>
      <c r="D475" s="133"/>
      <c r="E475" s="90"/>
      <c r="F475" s="141"/>
      <c r="G475" s="94"/>
      <c r="H475" s="96"/>
      <c r="I475" s="97"/>
      <c r="J475" s="98"/>
      <c r="K475" s="99"/>
      <c r="L475" s="98"/>
      <c r="M475" s="99"/>
      <c r="N475" s="32"/>
      <c r="O475" s="33"/>
    </row>
    <row r="476" ht="15.75" customHeight="1">
      <c r="A476" s="139"/>
      <c r="B476" s="140"/>
      <c r="C476" s="61"/>
      <c r="D476" s="133"/>
      <c r="E476" s="90"/>
      <c r="F476" s="141"/>
      <c r="G476" s="94"/>
      <c r="H476" s="96"/>
      <c r="I476" s="97"/>
      <c r="J476" s="98"/>
      <c r="K476" s="99"/>
      <c r="L476" s="98"/>
      <c r="M476" s="99"/>
      <c r="N476" s="32"/>
      <c r="O476" s="33"/>
    </row>
    <row r="477" ht="15.75" customHeight="1">
      <c r="A477" s="139"/>
      <c r="B477" s="140"/>
      <c r="C477" s="61"/>
      <c r="D477" s="133"/>
      <c r="E477" s="90"/>
      <c r="F477" s="141"/>
      <c r="G477" s="94"/>
      <c r="H477" s="96"/>
      <c r="I477" s="97"/>
      <c r="J477" s="98"/>
      <c r="K477" s="99"/>
      <c r="L477" s="98"/>
      <c r="M477" s="99"/>
      <c r="N477" s="32"/>
      <c r="O477" s="33"/>
    </row>
    <row r="478" ht="15.75" customHeight="1">
      <c r="A478" s="139"/>
      <c r="B478" s="140"/>
      <c r="C478" s="61"/>
      <c r="D478" s="133"/>
      <c r="E478" s="90"/>
      <c r="F478" s="141"/>
      <c r="G478" s="94"/>
      <c r="H478" s="96"/>
      <c r="I478" s="97"/>
      <c r="J478" s="98"/>
      <c r="K478" s="99"/>
      <c r="L478" s="98"/>
      <c r="M478" s="99"/>
      <c r="N478" s="32"/>
      <c r="O478" s="33"/>
    </row>
    <row r="479" ht="15.75" customHeight="1">
      <c r="A479" s="139"/>
      <c r="B479" s="140"/>
      <c r="C479" s="61"/>
      <c r="D479" s="133"/>
      <c r="E479" s="90"/>
      <c r="F479" s="141"/>
      <c r="G479" s="94"/>
      <c r="H479" s="96"/>
      <c r="I479" s="97"/>
      <c r="J479" s="98"/>
      <c r="K479" s="99"/>
      <c r="L479" s="98"/>
      <c r="M479" s="99"/>
      <c r="N479" s="32"/>
      <c r="O479" s="33"/>
    </row>
    <row r="480" ht="15.75" customHeight="1">
      <c r="A480" s="139"/>
      <c r="B480" s="140"/>
      <c r="C480" s="61"/>
      <c r="D480" s="133"/>
      <c r="E480" s="90"/>
      <c r="F480" s="141"/>
      <c r="G480" s="94"/>
      <c r="H480" s="96"/>
      <c r="I480" s="97"/>
      <c r="J480" s="98"/>
      <c r="K480" s="99"/>
      <c r="L480" s="98"/>
      <c r="M480" s="99"/>
      <c r="N480" s="32"/>
      <c r="O480" s="33"/>
    </row>
    <row r="481" ht="15.75" customHeight="1">
      <c r="A481" s="139"/>
      <c r="B481" s="140"/>
      <c r="C481" s="61"/>
      <c r="D481" s="133"/>
      <c r="E481" s="90"/>
      <c r="F481" s="141"/>
      <c r="G481" s="94"/>
      <c r="H481" s="96"/>
      <c r="I481" s="97"/>
      <c r="J481" s="98"/>
      <c r="K481" s="99"/>
      <c r="L481" s="98"/>
      <c r="M481" s="99"/>
      <c r="N481" s="32"/>
      <c r="O481" s="33"/>
    </row>
    <row r="482" ht="15.75" customHeight="1">
      <c r="A482" s="139"/>
      <c r="B482" s="140"/>
      <c r="C482" s="61"/>
      <c r="D482" s="133"/>
      <c r="E482" s="90"/>
      <c r="F482" s="141"/>
      <c r="G482" s="94"/>
      <c r="H482" s="96"/>
      <c r="I482" s="97"/>
      <c r="J482" s="98"/>
      <c r="K482" s="99"/>
      <c r="L482" s="98"/>
      <c r="M482" s="99"/>
      <c r="N482" s="32"/>
      <c r="O482" s="33"/>
    </row>
    <row r="483" ht="15.75" customHeight="1">
      <c r="A483" s="139"/>
      <c r="B483" s="140"/>
      <c r="C483" s="61"/>
      <c r="D483" s="133"/>
      <c r="E483" s="90"/>
      <c r="F483" s="141"/>
      <c r="G483" s="94"/>
      <c r="H483" s="96"/>
      <c r="I483" s="97"/>
      <c r="J483" s="98"/>
      <c r="K483" s="99"/>
      <c r="L483" s="98"/>
      <c r="M483" s="99"/>
      <c r="N483" s="32"/>
      <c r="O483" s="33"/>
    </row>
    <row r="484" ht="15.75" customHeight="1">
      <c r="A484" s="139"/>
      <c r="B484" s="140"/>
      <c r="C484" s="61"/>
      <c r="D484" s="133"/>
      <c r="E484" s="90"/>
      <c r="F484" s="141"/>
      <c r="G484" s="94"/>
      <c r="H484" s="96"/>
      <c r="I484" s="97"/>
      <c r="J484" s="98"/>
      <c r="K484" s="99"/>
      <c r="L484" s="98"/>
      <c r="M484" s="99"/>
      <c r="N484" s="32"/>
      <c r="O484" s="33"/>
    </row>
    <row r="485" ht="15.75" customHeight="1">
      <c r="A485" s="139"/>
      <c r="B485" s="140"/>
      <c r="C485" s="61"/>
      <c r="D485" s="133"/>
      <c r="E485" s="90"/>
      <c r="F485" s="141"/>
      <c r="G485" s="94"/>
      <c r="H485" s="96"/>
      <c r="I485" s="97"/>
      <c r="J485" s="98"/>
      <c r="K485" s="99"/>
      <c r="L485" s="98"/>
      <c r="M485" s="99"/>
      <c r="N485" s="32"/>
      <c r="O485" s="33"/>
    </row>
    <row r="486" ht="15.75" customHeight="1">
      <c r="A486" s="139"/>
      <c r="B486" s="140"/>
      <c r="C486" s="61"/>
      <c r="D486" s="133"/>
      <c r="E486" s="90"/>
      <c r="F486" s="141"/>
      <c r="G486" s="94"/>
      <c r="H486" s="96"/>
      <c r="I486" s="97"/>
      <c r="J486" s="98"/>
      <c r="K486" s="99"/>
      <c r="L486" s="98"/>
      <c r="M486" s="99"/>
      <c r="N486" s="32"/>
      <c r="O486" s="33"/>
    </row>
    <row r="487" ht="15.75" customHeight="1">
      <c r="A487" s="139"/>
      <c r="B487" s="140"/>
      <c r="C487" s="61"/>
      <c r="D487" s="133"/>
      <c r="E487" s="90"/>
      <c r="F487" s="141"/>
      <c r="G487" s="94"/>
      <c r="H487" s="96"/>
      <c r="I487" s="97"/>
      <c r="J487" s="98"/>
      <c r="K487" s="99"/>
      <c r="L487" s="98"/>
      <c r="M487" s="99"/>
      <c r="N487" s="32"/>
      <c r="O487" s="33"/>
    </row>
    <row r="488" ht="15.75" customHeight="1">
      <c r="A488" s="139"/>
      <c r="B488" s="140"/>
      <c r="C488" s="61"/>
      <c r="D488" s="133"/>
      <c r="E488" s="90"/>
      <c r="F488" s="141"/>
      <c r="G488" s="94"/>
      <c r="H488" s="96"/>
      <c r="I488" s="97"/>
      <c r="J488" s="98"/>
      <c r="K488" s="99"/>
      <c r="L488" s="98"/>
      <c r="M488" s="99"/>
      <c r="N488" s="32"/>
      <c r="O488" s="33"/>
    </row>
    <row r="489" ht="15.75" customHeight="1">
      <c r="A489" s="139"/>
      <c r="B489" s="140"/>
      <c r="C489" s="61"/>
      <c r="D489" s="133"/>
      <c r="E489" s="90"/>
      <c r="F489" s="141"/>
      <c r="G489" s="94"/>
      <c r="H489" s="96"/>
      <c r="I489" s="97"/>
      <c r="J489" s="98"/>
      <c r="K489" s="99"/>
      <c r="L489" s="98"/>
      <c r="M489" s="99"/>
      <c r="N489" s="32"/>
      <c r="O489" s="33"/>
    </row>
    <row r="490" ht="15.75" customHeight="1">
      <c r="A490" s="139"/>
      <c r="B490" s="140"/>
      <c r="C490" s="61"/>
      <c r="D490" s="133"/>
      <c r="E490" s="90"/>
      <c r="F490" s="141"/>
      <c r="G490" s="94"/>
      <c r="H490" s="96"/>
      <c r="I490" s="97"/>
      <c r="J490" s="98"/>
      <c r="K490" s="99"/>
      <c r="L490" s="98"/>
      <c r="M490" s="99"/>
      <c r="N490" s="32"/>
      <c r="O490" s="33"/>
    </row>
    <row r="491" ht="15.75" customHeight="1">
      <c r="A491" s="139"/>
      <c r="B491" s="140"/>
      <c r="C491" s="61"/>
      <c r="D491" s="133"/>
      <c r="E491" s="90"/>
      <c r="F491" s="141"/>
      <c r="G491" s="94"/>
      <c r="H491" s="96"/>
      <c r="I491" s="97"/>
      <c r="J491" s="98"/>
      <c r="K491" s="99"/>
      <c r="L491" s="98"/>
      <c r="M491" s="99"/>
      <c r="N491" s="32"/>
      <c r="O491" s="33"/>
    </row>
    <row r="492" ht="15.75" customHeight="1">
      <c r="A492" s="139"/>
      <c r="B492" s="140"/>
      <c r="C492" s="61"/>
      <c r="D492" s="133"/>
      <c r="E492" s="90"/>
      <c r="F492" s="141"/>
      <c r="G492" s="94"/>
      <c r="H492" s="96"/>
      <c r="I492" s="97"/>
      <c r="J492" s="98"/>
      <c r="K492" s="99"/>
      <c r="L492" s="98"/>
      <c r="M492" s="99"/>
      <c r="N492" s="32"/>
      <c r="O492" s="33"/>
    </row>
    <row r="493" ht="15.75" customHeight="1">
      <c r="A493" s="139"/>
      <c r="B493" s="140"/>
      <c r="C493" s="61"/>
      <c r="D493" s="133"/>
      <c r="E493" s="90"/>
      <c r="F493" s="141"/>
      <c r="G493" s="94"/>
      <c r="H493" s="96"/>
      <c r="I493" s="97"/>
      <c r="J493" s="98"/>
      <c r="K493" s="99"/>
      <c r="L493" s="98"/>
      <c r="M493" s="99"/>
      <c r="N493" s="32"/>
      <c r="O493" s="33"/>
    </row>
    <row r="494" ht="15.75" customHeight="1">
      <c r="A494" s="139"/>
      <c r="B494" s="140"/>
      <c r="C494" s="61"/>
      <c r="D494" s="133"/>
      <c r="E494" s="90"/>
      <c r="F494" s="141"/>
      <c r="G494" s="94"/>
      <c r="H494" s="96"/>
      <c r="I494" s="97"/>
      <c r="J494" s="98"/>
      <c r="K494" s="99"/>
      <c r="L494" s="98"/>
      <c r="M494" s="99"/>
      <c r="N494" s="32"/>
      <c r="O494" s="33"/>
    </row>
    <row r="495" ht="15.75" customHeight="1">
      <c r="A495" s="139"/>
      <c r="B495" s="140"/>
      <c r="C495" s="61"/>
      <c r="D495" s="133"/>
      <c r="E495" s="90"/>
      <c r="F495" s="141"/>
      <c r="G495" s="94"/>
      <c r="H495" s="96"/>
      <c r="I495" s="97"/>
      <c r="J495" s="98"/>
      <c r="K495" s="99"/>
      <c r="L495" s="98"/>
      <c r="M495" s="99"/>
      <c r="N495" s="32"/>
      <c r="O495" s="33"/>
    </row>
    <row r="496" ht="15.75" customHeight="1">
      <c r="A496" s="139"/>
      <c r="B496" s="140"/>
      <c r="C496" s="61"/>
      <c r="D496" s="133"/>
      <c r="E496" s="90"/>
      <c r="F496" s="141"/>
      <c r="G496" s="94"/>
      <c r="H496" s="96"/>
      <c r="I496" s="97"/>
      <c r="J496" s="98"/>
      <c r="K496" s="99"/>
      <c r="L496" s="98"/>
      <c r="M496" s="99"/>
      <c r="N496" s="32"/>
      <c r="O496" s="33"/>
    </row>
    <row r="497" ht="15.75" customHeight="1">
      <c r="A497" s="139"/>
      <c r="B497" s="140"/>
      <c r="C497" s="61"/>
      <c r="D497" s="133"/>
      <c r="E497" s="90"/>
      <c r="F497" s="141"/>
      <c r="G497" s="94"/>
      <c r="H497" s="96"/>
      <c r="I497" s="97"/>
      <c r="J497" s="98"/>
      <c r="K497" s="99"/>
      <c r="L497" s="98"/>
      <c r="M497" s="99"/>
      <c r="N497" s="32"/>
      <c r="O497" s="33"/>
    </row>
    <row r="498" ht="15.75" customHeight="1">
      <c r="A498" s="139"/>
      <c r="B498" s="140"/>
      <c r="C498" s="61"/>
      <c r="D498" s="133"/>
      <c r="E498" s="90"/>
      <c r="F498" s="141"/>
      <c r="G498" s="94"/>
      <c r="H498" s="96"/>
      <c r="I498" s="97"/>
      <c r="J498" s="98"/>
      <c r="K498" s="99"/>
      <c r="L498" s="98"/>
      <c r="M498" s="99"/>
      <c r="N498" s="32"/>
      <c r="O498" s="33"/>
    </row>
    <row r="499" ht="15.75" customHeight="1">
      <c r="A499" s="139"/>
      <c r="B499" s="140"/>
      <c r="C499" s="61"/>
      <c r="D499" s="133"/>
      <c r="E499" s="90"/>
      <c r="F499" s="141"/>
      <c r="G499" s="94"/>
      <c r="H499" s="96"/>
      <c r="I499" s="97"/>
      <c r="J499" s="98"/>
      <c r="K499" s="99"/>
      <c r="L499" s="98"/>
      <c r="M499" s="99"/>
      <c r="N499" s="32"/>
      <c r="O499" s="33"/>
    </row>
    <row r="500" ht="15.75" customHeight="1">
      <c r="A500" s="139"/>
      <c r="B500" s="140"/>
      <c r="C500" s="61"/>
      <c r="D500" s="133"/>
      <c r="E500" s="90"/>
      <c r="F500" s="141"/>
      <c r="G500" s="94"/>
      <c r="H500" s="96"/>
      <c r="I500" s="97"/>
      <c r="J500" s="98"/>
      <c r="K500" s="99"/>
      <c r="L500" s="98"/>
      <c r="M500" s="99"/>
      <c r="N500" s="32"/>
      <c r="O500" s="33"/>
    </row>
    <row r="501" ht="15.75" customHeight="1">
      <c r="A501" s="139"/>
      <c r="B501" s="140"/>
      <c r="C501" s="61"/>
      <c r="D501" s="133"/>
      <c r="E501" s="90"/>
      <c r="F501" s="141"/>
      <c r="G501" s="94"/>
      <c r="H501" s="96"/>
      <c r="I501" s="97"/>
      <c r="J501" s="98"/>
      <c r="K501" s="99"/>
      <c r="L501" s="98"/>
      <c r="M501" s="99"/>
      <c r="N501" s="32"/>
      <c r="O501" s="33"/>
    </row>
    <row r="502" ht="15.75" customHeight="1">
      <c r="A502" s="139"/>
      <c r="B502" s="140"/>
      <c r="C502" s="61"/>
      <c r="D502" s="133"/>
      <c r="E502" s="90"/>
      <c r="F502" s="141"/>
      <c r="G502" s="94"/>
      <c r="H502" s="96"/>
      <c r="I502" s="97"/>
      <c r="J502" s="98"/>
      <c r="K502" s="99"/>
      <c r="L502" s="98"/>
      <c r="M502" s="99"/>
      <c r="N502" s="32"/>
      <c r="O502" s="33"/>
    </row>
    <row r="503" ht="15.75" customHeight="1">
      <c r="A503" s="139"/>
      <c r="B503" s="140"/>
      <c r="C503" s="61"/>
      <c r="D503" s="133"/>
      <c r="E503" s="90"/>
      <c r="F503" s="141"/>
      <c r="G503" s="94"/>
      <c r="H503" s="96"/>
      <c r="I503" s="97"/>
      <c r="J503" s="98"/>
      <c r="K503" s="99"/>
      <c r="L503" s="98"/>
      <c r="M503" s="99"/>
      <c r="N503" s="32"/>
      <c r="O503" s="33"/>
    </row>
    <row r="504" ht="15.75" customHeight="1">
      <c r="A504" s="139"/>
      <c r="B504" s="140"/>
      <c r="C504" s="61"/>
      <c r="D504" s="133"/>
      <c r="E504" s="90"/>
      <c r="F504" s="141"/>
      <c r="G504" s="94"/>
      <c r="H504" s="96"/>
      <c r="I504" s="97"/>
      <c r="J504" s="98"/>
      <c r="K504" s="99"/>
      <c r="L504" s="98"/>
      <c r="M504" s="99"/>
      <c r="N504" s="32"/>
      <c r="O504" s="33"/>
    </row>
    <row r="505" ht="15.75" customHeight="1">
      <c r="A505" s="139"/>
      <c r="B505" s="140"/>
      <c r="C505" s="61"/>
      <c r="D505" s="133"/>
      <c r="E505" s="90"/>
      <c r="F505" s="141"/>
      <c r="G505" s="94"/>
      <c r="H505" s="96"/>
      <c r="I505" s="97"/>
      <c r="J505" s="98"/>
      <c r="K505" s="99"/>
      <c r="L505" s="98"/>
      <c r="M505" s="99"/>
      <c r="N505" s="32"/>
      <c r="O505" s="33"/>
    </row>
    <row r="506" ht="15.75" customHeight="1">
      <c r="A506" s="139"/>
      <c r="B506" s="140"/>
      <c r="C506" s="61"/>
      <c r="D506" s="133"/>
      <c r="E506" s="90"/>
      <c r="F506" s="141"/>
      <c r="G506" s="94"/>
      <c r="H506" s="96"/>
      <c r="I506" s="97"/>
      <c r="J506" s="98"/>
      <c r="K506" s="99"/>
      <c r="L506" s="98"/>
      <c r="M506" s="99"/>
      <c r="N506" s="32"/>
      <c r="O506" s="33"/>
    </row>
    <row r="507" ht="15.75" customHeight="1">
      <c r="A507" s="139"/>
      <c r="B507" s="140"/>
      <c r="C507" s="61"/>
      <c r="D507" s="133"/>
      <c r="E507" s="90"/>
      <c r="F507" s="141"/>
      <c r="G507" s="94"/>
      <c r="H507" s="96"/>
      <c r="I507" s="97"/>
      <c r="J507" s="98"/>
      <c r="K507" s="99"/>
      <c r="L507" s="98"/>
      <c r="M507" s="99"/>
      <c r="N507" s="32"/>
      <c r="O507" s="33"/>
    </row>
    <row r="508" ht="15.75" customHeight="1">
      <c r="A508" s="139"/>
      <c r="B508" s="140"/>
      <c r="C508" s="61"/>
      <c r="D508" s="133"/>
      <c r="E508" s="90"/>
      <c r="F508" s="141"/>
      <c r="G508" s="94"/>
      <c r="H508" s="96"/>
      <c r="I508" s="97"/>
      <c r="J508" s="98"/>
      <c r="K508" s="99"/>
      <c r="L508" s="98"/>
      <c r="M508" s="99"/>
      <c r="N508" s="32"/>
      <c r="O508" s="33"/>
    </row>
    <row r="509" ht="15.75" customHeight="1">
      <c r="A509" s="139"/>
      <c r="B509" s="140"/>
      <c r="C509" s="61"/>
      <c r="D509" s="133"/>
      <c r="E509" s="90"/>
      <c r="F509" s="141"/>
      <c r="G509" s="94"/>
      <c r="H509" s="96"/>
      <c r="I509" s="97"/>
      <c r="J509" s="98"/>
      <c r="K509" s="99"/>
      <c r="L509" s="98"/>
      <c r="M509" s="99"/>
      <c r="N509" s="32"/>
      <c r="O509" s="33"/>
    </row>
    <row r="510" ht="15.75" customHeight="1">
      <c r="A510" s="139"/>
      <c r="B510" s="140"/>
      <c r="C510" s="61"/>
      <c r="D510" s="133"/>
      <c r="E510" s="90"/>
      <c r="F510" s="141"/>
      <c r="G510" s="94"/>
      <c r="H510" s="96"/>
      <c r="I510" s="97"/>
      <c r="J510" s="98"/>
      <c r="K510" s="99"/>
      <c r="L510" s="98"/>
      <c r="M510" s="99"/>
      <c r="N510" s="32"/>
      <c r="O510" s="33"/>
    </row>
    <row r="511" ht="15.75" customHeight="1">
      <c r="A511" s="139"/>
      <c r="B511" s="140"/>
      <c r="C511" s="61"/>
      <c r="D511" s="133"/>
      <c r="E511" s="90"/>
      <c r="F511" s="141"/>
      <c r="G511" s="94"/>
      <c r="H511" s="96"/>
      <c r="I511" s="97"/>
      <c r="J511" s="98"/>
      <c r="K511" s="99"/>
      <c r="L511" s="98"/>
      <c r="M511" s="99"/>
      <c r="N511" s="32"/>
      <c r="O511" s="33"/>
    </row>
    <row r="512" ht="15.75" customHeight="1">
      <c r="A512" s="139"/>
      <c r="B512" s="140"/>
      <c r="C512" s="61"/>
      <c r="D512" s="133"/>
      <c r="E512" s="90"/>
      <c r="F512" s="141"/>
      <c r="G512" s="94"/>
      <c r="H512" s="96"/>
      <c r="I512" s="97"/>
      <c r="J512" s="98"/>
      <c r="K512" s="99"/>
      <c r="L512" s="98"/>
      <c r="M512" s="99"/>
      <c r="N512" s="32"/>
      <c r="O512" s="33"/>
    </row>
    <row r="513" ht="15.75" customHeight="1">
      <c r="A513" s="139"/>
      <c r="B513" s="140"/>
      <c r="C513" s="61"/>
      <c r="D513" s="133"/>
      <c r="E513" s="90"/>
      <c r="F513" s="141"/>
      <c r="G513" s="94"/>
      <c r="H513" s="96"/>
      <c r="I513" s="97"/>
      <c r="J513" s="98"/>
      <c r="K513" s="99"/>
      <c r="L513" s="98"/>
      <c r="M513" s="99"/>
      <c r="N513" s="32"/>
      <c r="O513" s="33"/>
    </row>
    <row r="514" ht="15.75" customHeight="1">
      <c r="A514" s="139"/>
      <c r="B514" s="140"/>
      <c r="C514" s="61"/>
      <c r="D514" s="133"/>
      <c r="E514" s="90"/>
      <c r="F514" s="141"/>
      <c r="G514" s="94"/>
      <c r="H514" s="96"/>
      <c r="I514" s="97"/>
      <c r="J514" s="98"/>
      <c r="K514" s="99"/>
      <c r="L514" s="98"/>
      <c r="M514" s="99"/>
      <c r="N514" s="32"/>
      <c r="O514" s="33"/>
    </row>
    <row r="515" ht="15.75" customHeight="1">
      <c r="A515" s="139"/>
      <c r="B515" s="140"/>
      <c r="C515" s="61"/>
      <c r="D515" s="133"/>
      <c r="E515" s="90"/>
      <c r="F515" s="141"/>
      <c r="G515" s="94"/>
      <c r="H515" s="96"/>
      <c r="I515" s="97"/>
      <c r="J515" s="98"/>
      <c r="K515" s="99"/>
      <c r="L515" s="98"/>
      <c r="M515" s="99"/>
      <c r="N515" s="32"/>
      <c r="O515" s="33"/>
    </row>
    <row r="516" ht="15.75" customHeight="1">
      <c r="A516" s="139"/>
      <c r="B516" s="140"/>
      <c r="C516" s="61"/>
      <c r="D516" s="133"/>
      <c r="E516" s="90"/>
      <c r="F516" s="141"/>
      <c r="G516" s="94"/>
      <c r="H516" s="96"/>
      <c r="I516" s="97"/>
      <c r="J516" s="98"/>
      <c r="K516" s="99"/>
      <c r="L516" s="98"/>
      <c r="M516" s="99"/>
      <c r="N516" s="32"/>
      <c r="O516" s="33"/>
    </row>
    <row r="517" ht="15.75" customHeight="1">
      <c r="A517" s="139"/>
      <c r="B517" s="140"/>
      <c r="C517" s="61"/>
      <c r="D517" s="133"/>
      <c r="E517" s="90"/>
      <c r="F517" s="141"/>
      <c r="G517" s="94"/>
      <c r="H517" s="96"/>
      <c r="I517" s="97"/>
      <c r="J517" s="98"/>
      <c r="K517" s="99"/>
      <c r="L517" s="98"/>
      <c r="M517" s="99"/>
      <c r="N517" s="32"/>
      <c r="O517" s="33"/>
    </row>
    <row r="518" ht="15.75" customHeight="1">
      <c r="A518" s="139"/>
      <c r="B518" s="140"/>
      <c r="C518" s="61"/>
      <c r="D518" s="133"/>
      <c r="E518" s="90"/>
      <c r="F518" s="141"/>
      <c r="G518" s="94"/>
      <c r="H518" s="96"/>
      <c r="I518" s="97"/>
      <c r="J518" s="98"/>
      <c r="K518" s="99"/>
      <c r="L518" s="98"/>
      <c r="M518" s="99"/>
      <c r="N518" s="32"/>
      <c r="O518" s="33"/>
    </row>
    <row r="519" ht="15.75" customHeight="1">
      <c r="A519" s="139"/>
      <c r="B519" s="140"/>
      <c r="C519" s="61"/>
      <c r="D519" s="133"/>
      <c r="E519" s="90"/>
      <c r="F519" s="141"/>
      <c r="G519" s="94"/>
      <c r="H519" s="96"/>
      <c r="I519" s="97"/>
      <c r="J519" s="98"/>
      <c r="K519" s="99"/>
      <c r="L519" s="98"/>
      <c r="M519" s="99"/>
      <c r="N519" s="32"/>
      <c r="O519" s="33"/>
    </row>
    <row r="520" ht="15.75" customHeight="1">
      <c r="A520" s="139"/>
      <c r="B520" s="140"/>
      <c r="C520" s="61"/>
      <c r="D520" s="133"/>
      <c r="E520" s="90"/>
      <c r="F520" s="141"/>
      <c r="G520" s="94"/>
      <c r="H520" s="96"/>
      <c r="I520" s="97"/>
      <c r="J520" s="98"/>
      <c r="K520" s="99"/>
      <c r="L520" s="98"/>
      <c r="M520" s="99"/>
      <c r="N520" s="32"/>
      <c r="O520" s="33"/>
    </row>
    <row r="521" ht="15.75" customHeight="1">
      <c r="A521" s="139"/>
      <c r="B521" s="140"/>
      <c r="C521" s="61"/>
      <c r="D521" s="133"/>
      <c r="E521" s="90"/>
      <c r="F521" s="141"/>
      <c r="G521" s="94"/>
      <c r="H521" s="96"/>
      <c r="I521" s="97"/>
      <c r="J521" s="98"/>
      <c r="K521" s="99"/>
      <c r="L521" s="98"/>
      <c r="M521" s="99"/>
      <c r="N521" s="32"/>
      <c r="O521" s="33"/>
    </row>
    <row r="522" ht="15.75" customHeight="1">
      <c r="A522" s="139"/>
      <c r="B522" s="140"/>
      <c r="C522" s="61"/>
      <c r="D522" s="133"/>
      <c r="E522" s="90"/>
      <c r="F522" s="141"/>
      <c r="G522" s="94"/>
      <c r="H522" s="96"/>
      <c r="I522" s="97"/>
      <c r="J522" s="98"/>
      <c r="K522" s="99"/>
      <c r="L522" s="98"/>
      <c r="M522" s="99"/>
      <c r="N522" s="32"/>
      <c r="O522" s="33"/>
    </row>
    <row r="523" ht="15.75" customHeight="1">
      <c r="A523" s="139"/>
      <c r="B523" s="140"/>
      <c r="C523" s="61"/>
      <c r="D523" s="133"/>
      <c r="E523" s="90"/>
      <c r="F523" s="141"/>
      <c r="G523" s="94"/>
      <c r="H523" s="96"/>
      <c r="I523" s="97"/>
      <c r="J523" s="98"/>
      <c r="K523" s="99"/>
      <c r="L523" s="98"/>
      <c r="M523" s="99"/>
      <c r="N523" s="32"/>
      <c r="O523" s="33"/>
    </row>
    <row r="524" ht="15.75" customHeight="1">
      <c r="A524" s="139"/>
      <c r="B524" s="140"/>
      <c r="C524" s="61"/>
      <c r="D524" s="133"/>
      <c r="E524" s="90"/>
      <c r="F524" s="141"/>
      <c r="G524" s="94"/>
      <c r="H524" s="96"/>
      <c r="I524" s="97"/>
      <c r="J524" s="98"/>
      <c r="K524" s="99"/>
      <c r="L524" s="98"/>
      <c r="M524" s="99"/>
      <c r="N524" s="32"/>
      <c r="O524" s="33"/>
    </row>
    <row r="525" ht="15.75" customHeight="1">
      <c r="A525" s="139"/>
      <c r="B525" s="140"/>
      <c r="C525" s="61"/>
      <c r="D525" s="133"/>
      <c r="E525" s="90"/>
      <c r="F525" s="141"/>
      <c r="G525" s="94"/>
      <c r="H525" s="96"/>
      <c r="I525" s="97"/>
      <c r="J525" s="98"/>
      <c r="K525" s="99"/>
      <c r="L525" s="98"/>
      <c r="M525" s="99"/>
      <c r="N525" s="32"/>
      <c r="O525" s="33"/>
    </row>
    <row r="526" ht="15.75" customHeight="1">
      <c r="A526" s="139"/>
      <c r="B526" s="140"/>
      <c r="C526" s="61"/>
      <c r="D526" s="133"/>
      <c r="E526" s="90"/>
      <c r="F526" s="141"/>
      <c r="G526" s="94"/>
      <c r="H526" s="96"/>
      <c r="I526" s="97"/>
      <c r="J526" s="98"/>
      <c r="K526" s="99"/>
      <c r="L526" s="98"/>
      <c r="M526" s="99"/>
      <c r="N526" s="32"/>
      <c r="O526" s="33"/>
    </row>
    <row r="527" ht="15.75" customHeight="1">
      <c r="A527" s="139"/>
      <c r="B527" s="140"/>
      <c r="C527" s="61"/>
      <c r="D527" s="133"/>
      <c r="E527" s="90"/>
      <c r="F527" s="141"/>
      <c r="G527" s="94"/>
      <c r="H527" s="96"/>
      <c r="I527" s="97"/>
      <c r="J527" s="98"/>
      <c r="K527" s="99"/>
      <c r="L527" s="98"/>
      <c r="M527" s="99"/>
      <c r="N527" s="32"/>
      <c r="O527" s="33"/>
    </row>
    <row r="528" ht="15.75" customHeight="1">
      <c r="A528" s="139"/>
      <c r="B528" s="140"/>
      <c r="C528" s="61"/>
      <c r="D528" s="133"/>
      <c r="E528" s="90"/>
      <c r="F528" s="141"/>
      <c r="G528" s="94"/>
      <c r="H528" s="96"/>
      <c r="I528" s="97"/>
      <c r="J528" s="98"/>
      <c r="K528" s="99"/>
      <c r="L528" s="98"/>
      <c r="M528" s="99"/>
      <c r="N528" s="32"/>
      <c r="O528" s="33"/>
    </row>
    <row r="529" ht="15.75" customHeight="1">
      <c r="A529" s="142"/>
      <c r="B529" s="143"/>
      <c r="C529" s="144"/>
      <c r="D529" s="145"/>
      <c r="E529" s="142"/>
      <c r="F529" s="146"/>
      <c r="G529" s="147"/>
      <c r="H529" s="148"/>
      <c r="I529" s="148"/>
      <c r="J529" s="149"/>
      <c r="K529" s="149"/>
      <c r="L529" s="149"/>
      <c r="M529" s="149"/>
      <c r="N529" s="142"/>
      <c r="O529" s="33"/>
    </row>
    <row r="530" ht="15.75" customHeight="1">
      <c r="A530" s="142"/>
      <c r="B530" s="143"/>
      <c r="C530" s="144"/>
      <c r="D530" s="145"/>
      <c r="E530" s="142"/>
      <c r="F530" s="146"/>
      <c r="G530" s="147"/>
      <c r="H530" s="148"/>
      <c r="I530" s="148"/>
      <c r="J530" s="149"/>
      <c r="K530" s="149"/>
      <c r="L530" s="149"/>
      <c r="M530" s="149"/>
      <c r="N530" s="142"/>
      <c r="O530" s="33"/>
    </row>
    <row r="531" ht="15.75" customHeight="1">
      <c r="A531" s="142"/>
      <c r="B531" s="143"/>
      <c r="C531" s="144"/>
      <c r="D531" s="145"/>
      <c r="E531" s="142"/>
      <c r="F531" s="146"/>
      <c r="G531" s="147"/>
      <c r="H531" s="148"/>
      <c r="I531" s="148"/>
      <c r="J531" s="149"/>
      <c r="K531" s="149"/>
      <c r="L531" s="149"/>
      <c r="M531" s="149"/>
      <c r="N531" s="142"/>
      <c r="O531" s="33"/>
    </row>
    <row r="532" ht="15.75" customHeight="1">
      <c r="A532" s="142"/>
      <c r="B532" s="143"/>
      <c r="C532" s="144"/>
      <c r="D532" s="145"/>
      <c r="E532" s="142"/>
      <c r="F532" s="146"/>
      <c r="G532" s="147"/>
      <c r="H532" s="148"/>
      <c r="I532" s="148"/>
      <c r="J532" s="149"/>
      <c r="K532" s="149"/>
      <c r="L532" s="149"/>
      <c r="M532" s="149"/>
      <c r="N532" s="142"/>
      <c r="O532" s="33"/>
    </row>
    <row r="533" ht="15.75" customHeight="1">
      <c r="A533" s="142"/>
      <c r="B533" s="143"/>
      <c r="C533" s="144"/>
      <c r="D533" s="145"/>
      <c r="E533" s="142"/>
      <c r="F533" s="146"/>
      <c r="G533" s="147"/>
      <c r="H533" s="148"/>
      <c r="I533" s="148"/>
      <c r="J533" s="149"/>
      <c r="K533" s="149"/>
      <c r="L533" s="149"/>
      <c r="M533" s="149"/>
      <c r="N533" s="142"/>
      <c r="O533" s="33"/>
    </row>
    <row r="534" ht="15.75" customHeight="1">
      <c r="A534" s="142"/>
      <c r="B534" s="143"/>
      <c r="C534" s="144"/>
      <c r="D534" s="145"/>
      <c r="E534" s="142"/>
      <c r="F534" s="146"/>
      <c r="G534" s="147"/>
      <c r="H534" s="148"/>
      <c r="I534" s="148"/>
      <c r="J534" s="149"/>
      <c r="K534" s="149"/>
      <c r="L534" s="149"/>
      <c r="M534" s="149"/>
      <c r="N534" s="142"/>
      <c r="O534" s="33"/>
    </row>
    <row r="535" ht="15.75" customHeight="1">
      <c r="A535" s="142"/>
      <c r="B535" s="143"/>
      <c r="C535" s="144"/>
      <c r="D535" s="145"/>
      <c r="E535" s="142"/>
      <c r="F535" s="146"/>
      <c r="G535" s="147"/>
      <c r="H535" s="148"/>
      <c r="I535" s="148"/>
      <c r="J535" s="149"/>
      <c r="K535" s="149"/>
      <c r="L535" s="149"/>
      <c r="M535" s="149"/>
      <c r="N535" s="142"/>
      <c r="O535" s="33"/>
    </row>
    <row r="536" ht="15.75" customHeight="1">
      <c r="A536" s="142"/>
      <c r="B536" s="143"/>
      <c r="C536" s="144"/>
      <c r="D536" s="145"/>
      <c r="E536" s="142"/>
      <c r="F536" s="146"/>
      <c r="G536" s="147"/>
      <c r="H536" s="148"/>
      <c r="I536" s="148"/>
      <c r="J536" s="149"/>
      <c r="K536" s="149"/>
      <c r="L536" s="149"/>
      <c r="M536" s="149"/>
      <c r="N536" s="142"/>
      <c r="O536" s="33"/>
    </row>
    <row r="537" ht="15.75" customHeight="1">
      <c r="A537" s="142"/>
      <c r="B537" s="143"/>
      <c r="C537" s="144"/>
      <c r="D537" s="145"/>
      <c r="E537" s="142"/>
      <c r="F537" s="146"/>
      <c r="G537" s="147"/>
      <c r="H537" s="148"/>
      <c r="I537" s="148"/>
      <c r="J537" s="149"/>
      <c r="K537" s="149"/>
      <c r="L537" s="149"/>
      <c r="M537" s="149"/>
      <c r="N537" s="142"/>
      <c r="O537" s="33"/>
    </row>
    <row r="538" ht="15.75" customHeight="1">
      <c r="A538" s="142"/>
      <c r="B538" s="143"/>
      <c r="C538" s="144"/>
      <c r="D538" s="145"/>
      <c r="E538" s="142"/>
      <c r="F538" s="146"/>
      <c r="G538" s="147"/>
      <c r="H538" s="148"/>
      <c r="I538" s="148"/>
      <c r="J538" s="149"/>
      <c r="K538" s="149"/>
      <c r="L538" s="149"/>
      <c r="M538" s="149"/>
      <c r="N538" s="142"/>
      <c r="O538" s="33"/>
    </row>
    <row r="539" ht="15.75" customHeight="1">
      <c r="A539" s="142"/>
      <c r="B539" s="143"/>
      <c r="C539" s="144"/>
      <c r="D539" s="145"/>
      <c r="E539" s="142"/>
      <c r="F539" s="146"/>
      <c r="G539" s="147"/>
      <c r="H539" s="148"/>
      <c r="I539" s="148"/>
      <c r="J539" s="149"/>
      <c r="K539" s="149"/>
      <c r="L539" s="149"/>
      <c r="M539" s="149"/>
      <c r="N539" s="142"/>
      <c r="O539" s="33"/>
    </row>
    <row r="540" ht="15.75" customHeight="1">
      <c r="A540" s="142"/>
      <c r="B540" s="143"/>
      <c r="C540" s="144"/>
      <c r="D540" s="145"/>
      <c r="E540" s="142"/>
      <c r="F540" s="146"/>
      <c r="G540" s="147"/>
      <c r="H540" s="148"/>
      <c r="I540" s="148"/>
      <c r="J540" s="149"/>
      <c r="K540" s="149"/>
      <c r="L540" s="149"/>
      <c r="M540" s="149"/>
      <c r="N540" s="142"/>
      <c r="O540" s="33"/>
    </row>
    <row r="541" ht="15.75" customHeight="1">
      <c r="A541" s="142"/>
      <c r="B541" s="143"/>
      <c r="C541" s="144"/>
      <c r="D541" s="145"/>
      <c r="E541" s="142"/>
      <c r="F541" s="146"/>
      <c r="G541" s="147"/>
      <c r="H541" s="148"/>
      <c r="I541" s="148"/>
      <c r="J541" s="149"/>
      <c r="K541" s="149"/>
      <c r="L541" s="149"/>
      <c r="M541" s="149"/>
      <c r="N541" s="142"/>
      <c r="O541" s="33"/>
    </row>
    <row r="542" ht="15.75" customHeight="1">
      <c r="A542" s="142"/>
      <c r="B542" s="143"/>
      <c r="C542" s="144"/>
      <c r="D542" s="145"/>
      <c r="E542" s="142"/>
      <c r="F542" s="146"/>
      <c r="G542" s="147"/>
      <c r="H542" s="148"/>
      <c r="I542" s="148"/>
      <c r="J542" s="149"/>
      <c r="K542" s="149"/>
      <c r="L542" s="149"/>
      <c r="M542" s="149"/>
      <c r="N542" s="142"/>
      <c r="O542" s="33"/>
    </row>
    <row r="543" ht="15.75" customHeight="1">
      <c r="A543" s="142"/>
      <c r="B543" s="143"/>
      <c r="C543" s="144"/>
      <c r="D543" s="145"/>
      <c r="E543" s="142"/>
      <c r="F543" s="146"/>
      <c r="G543" s="147"/>
      <c r="H543" s="148"/>
      <c r="I543" s="148"/>
      <c r="J543" s="149"/>
      <c r="K543" s="149"/>
      <c r="L543" s="149"/>
      <c r="M543" s="149"/>
      <c r="N543" s="142"/>
      <c r="O543" s="33"/>
    </row>
    <row r="544" ht="15.75" customHeight="1">
      <c r="A544" s="142"/>
      <c r="B544" s="143"/>
      <c r="C544" s="144"/>
      <c r="D544" s="145"/>
      <c r="E544" s="142"/>
      <c r="F544" s="146"/>
      <c r="G544" s="147"/>
      <c r="H544" s="148"/>
      <c r="I544" s="148"/>
      <c r="J544" s="149"/>
      <c r="K544" s="149"/>
      <c r="L544" s="149"/>
      <c r="M544" s="149"/>
      <c r="N544" s="142"/>
      <c r="O544" s="33"/>
    </row>
    <row r="545" ht="15.75" customHeight="1">
      <c r="A545" s="142"/>
      <c r="B545" s="143"/>
      <c r="C545" s="144"/>
      <c r="D545" s="145"/>
      <c r="E545" s="142"/>
      <c r="F545" s="146"/>
      <c r="G545" s="147"/>
      <c r="H545" s="148"/>
      <c r="I545" s="148"/>
      <c r="J545" s="149"/>
      <c r="K545" s="149"/>
      <c r="L545" s="149"/>
      <c r="M545" s="149"/>
      <c r="N545" s="142"/>
      <c r="O545" s="33"/>
    </row>
    <row r="546" ht="15.75" customHeight="1">
      <c r="A546" s="142"/>
      <c r="B546" s="143"/>
      <c r="C546" s="144"/>
      <c r="D546" s="145"/>
      <c r="E546" s="142"/>
      <c r="F546" s="146"/>
      <c r="G546" s="147"/>
      <c r="H546" s="148"/>
      <c r="I546" s="148"/>
      <c r="J546" s="149"/>
      <c r="K546" s="149"/>
      <c r="L546" s="149"/>
      <c r="M546" s="149"/>
      <c r="N546" s="142"/>
      <c r="O546" s="33"/>
    </row>
    <row r="547" ht="15.75" customHeight="1">
      <c r="A547" s="142"/>
      <c r="B547" s="143"/>
      <c r="C547" s="144"/>
      <c r="D547" s="145"/>
      <c r="E547" s="142"/>
      <c r="F547" s="146"/>
      <c r="G547" s="147"/>
      <c r="H547" s="148"/>
      <c r="I547" s="148"/>
      <c r="J547" s="149"/>
      <c r="K547" s="149"/>
      <c r="L547" s="149"/>
      <c r="M547" s="149"/>
      <c r="N547" s="142"/>
      <c r="O547" s="33"/>
    </row>
    <row r="548" ht="15.75" customHeight="1">
      <c r="A548" s="142"/>
      <c r="B548" s="143"/>
      <c r="C548" s="144"/>
      <c r="D548" s="145"/>
      <c r="E548" s="142"/>
      <c r="F548" s="146"/>
      <c r="G548" s="147"/>
      <c r="H548" s="148"/>
      <c r="I548" s="148"/>
      <c r="J548" s="149"/>
      <c r="K548" s="149"/>
      <c r="L548" s="149"/>
      <c r="M548" s="149"/>
      <c r="N548" s="142"/>
      <c r="O548" s="33"/>
    </row>
    <row r="549" ht="15.75" customHeight="1">
      <c r="A549" s="142"/>
      <c r="B549" s="143"/>
      <c r="C549" s="144"/>
      <c r="D549" s="145"/>
      <c r="E549" s="142"/>
      <c r="F549" s="146"/>
      <c r="G549" s="147"/>
      <c r="H549" s="148"/>
      <c r="I549" s="148"/>
      <c r="J549" s="149"/>
      <c r="K549" s="149"/>
      <c r="L549" s="149"/>
      <c r="M549" s="149"/>
      <c r="N549" s="142"/>
      <c r="O549" s="33"/>
    </row>
    <row r="550" ht="15.75" customHeight="1">
      <c r="A550" s="142"/>
      <c r="B550" s="143"/>
      <c r="C550" s="144"/>
      <c r="D550" s="145"/>
      <c r="E550" s="142"/>
      <c r="F550" s="146"/>
      <c r="G550" s="147"/>
      <c r="H550" s="148"/>
      <c r="I550" s="148"/>
      <c r="J550" s="149"/>
      <c r="K550" s="149"/>
      <c r="L550" s="149"/>
      <c r="M550" s="149"/>
      <c r="N550" s="142"/>
      <c r="O550" s="33"/>
    </row>
    <row r="551" ht="15.75" customHeight="1">
      <c r="A551" s="142"/>
      <c r="B551" s="143"/>
      <c r="C551" s="144"/>
      <c r="D551" s="145"/>
      <c r="E551" s="142"/>
      <c r="F551" s="146"/>
      <c r="G551" s="147"/>
      <c r="H551" s="148"/>
      <c r="I551" s="148"/>
      <c r="J551" s="149"/>
      <c r="K551" s="149"/>
      <c r="L551" s="149"/>
      <c r="M551" s="149"/>
      <c r="N551" s="142"/>
      <c r="O551" s="33"/>
    </row>
    <row r="552" ht="15.75" customHeight="1">
      <c r="A552" s="142"/>
      <c r="B552" s="143"/>
      <c r="C552" s="144"/>
      <c r="D552" s="145"/>
      <c r="E552" s="142"/>
      <c r="F552" s="146"/>
      <c r="G552" s="147"/>
      <c r="H552" s="148"/>
      <c r="I552" s="148"/>
      <c r="J552" s="149"/>
      <c r="K552" s="149"/>
      <c r="L552" s="149"/>
      <c r="M552" s="149"/>
      <c r="N552" s="142"/>
      <c r="O552" s="33"/>
    </row>
    <row r="553" ht="15.75" customHeight="1">
      <c r="A553" s="142"/>
      <c r="B553" s="143"/>
      <c r="C553" s="144"/>
      <c r="D553" s="145"/>
      <c r="E553" s="142"/>
      <c r="F553" s="146"/>
      <c r="G553" s="147"/>
      <c r="H553" s="148"/>
      <c r="I553" s="148"/>
      <c r="J553" s="149"/>
      <c r="K553" s="149"/>
      <c r="L553" s="149"/>
      <c r="M553" s="149"/>
      <c r="N553" s="142"/>
      <c r="O553" s="33"/>
    </row>
    <row r="554" ht="15.75" customHeight="1">
      <c r="A554" s="142"/>
      <c r="B554" s="143"/>
      <c r="C554" s="144"/>
      <c r="D554" s="145"/>
      <c r="E554" s="142"/>
      <c r="F554" s="146"/>
      <c r="G554" s="147"/>
      <c r="H554" s="148"/>
      <c r="I554" s="148"/>
      <c r="J554" s="149"/>
      <c r="K554" s="149"/>
      <c r="L554" s="149"/>
      <c r="M554" s="149"/>
      <c r="N554" s="142"/>
      <c r="O554" s="33"/>
    </row>
    <row r="555" ht="15.75" customHeight="1">
      <c r="A555" s="142"/>
      <c r="B555" s="143"/>
      <c r="C555" s="144"/>
      <c r="D555" s="145"/>
      <c r="E555" s="142"/>
      <c r="F555" s="146"/>
      <c r="G555" s="147"/>
      <c r="H555" s="148"/>
      <c r="I555" s="148"/>
      <c r="J555" s="149"/>
      <c r="K555" s="149"/>
      <c r="L555" s="149"/>
      <c r="M555" s="149"/>
      <c r="N555" s="142"/>
      <c r="O555" s="33"/>
    </row>
    <row r="556" ht="15.75" customHeight="1">
      <c r="A556" s="142"/>
      <c r="B556" s="143"/>
      <c r="C556" s="144"/>
      <c r="D556" s="145"/>
      <c r="E556" s="142"/>
      <c r="F556" s="146"/>
      <c r="G556" s="147"/>
      <c r="H556" s="148"/>
      <c r="I556" s="148"/>
      <c r="J556" s="149"/>
      <c r="K556" s="149"/>
      <c r="L556" s="149"/>
      <c r="M556" s="149"/>
      <c r="N556" s="142"/>
      <c r="O556" s="33"/>
    </row>
    <row r="557" ht="15.75" customHeight="1">
      <c r="A557" s="142"/>
      <c r="B557" s="143"/>
      <c r="C557" s="144"/>
      <c r="D557" s="145"/>
      <c r="E557" s="142"/>
      <c r="F557" s="146"/>
      <c r="G557" s="147"/>
      <c r="H557" s="148"/>
      <c r="I557" s="148"/>
      <c r="J557" s="149"/>
      <c r="K557" s="149"/>
      <c r="L557" s="149"/>
      <c r="M557" s="149"/>
      <c r="N557" s="142"/>
      <c r="O557" s="33"/>
    </row>
    <row r="558" ht="15.75" customHeight="1">
      <c r="A558" s="142"/>
      <c r="B558" s="143"/>
      <c r="C558" s="144"/>
      <c r="D558" s="145"/>
      <c r="E558" s="142"/>
      <c r="F558" s="146"/>
      <c r="G558" s="147"/>
      <c r="H558" s="148"/>
      <c r="I558" s="148"/>
      <c r="J558" s="149"/>
      <c r="K558" s="149"/>
      <c r="L558" s="149"/>
      <c r="M558" s="149"/>
      <c r="N558" s="142"/>
      <c r="O558" s="33"/>
    </row>
    <row r="559" ht="15.75" customHeight="1">
      <c r="A559" s="142"/>
      <c r="B559" s="143"/>
      <c r="C559" s="144"/>
      <c r="D559" s="145"/>
      <c r="E559" s="142"/>
      <c r="F559" s="146"/>
      <c r="G559" s="147"/>
      <c r="H559" s="148"/>
      <c r="I559" s="148"/>
      <c r="J559" s="149"/>
      <c r="K559" s="149"/>
      <c r="L559" s="149"/>
      <c r="M559" s="149"/>
      <c r="N559" s="142"/>
      <c r="O559" s="33"/>
    </row>
    <row r="560" ht="15.75" customHeight="1">
      <c r="A560" s="142"/>
      <c r="B560" s="143"/>
      <c r="C560" s="144"/>
      <c r="D560" s="145"/>
      <c r="E560" s="142"/>
      <c r="F560" s="146"/>
      <c r="G560" s="147"/>
      <c r="H560" s="148"/>
      <c r="I560" s="148"/>
      <c r="J560" s="149"/>
      <c r="K560" s="149"/>
      <c r="L560" s="149"/>
      <c r="M560" s="149"/>
      <c r="N560" s="142"/>
      <c r="O560" s="33"/>
    </row>
    <row r="561" ht="15.75" customHeight="1">
      <c r="A561" s="142"/>
      <c r="B561" s="143"/>
      <c r="C561" s="144"/>
      <c r="D561" s="145"/>
      <c r="E561" s="142"/>
      <c r="F561" s="146"/>
      <c r="G561" s="147"/>
      <c r="H561" s="148"/>
      <c r="I561" s="148"/>
      <c r="J561" s="149"/>
      <c r="K561" s="149"/>
      <c r="L561" s="149"/>
      <c r="M561" s="149"/>
      <c r="N561" s="142"/>
      <c r="O561" s="33"/>
    </row>
    <row r="562" ht="15.75" customHeight="1">
      <c r="A562" s="142"/>
      <c r="B562" s="143"/>
      <c r="C562" s="144"/>
      <c r="D562" s="145"/>
      <c r="E562" s="142"/>
      <c r="F562" s="146"/>
      <c r="G562" s="147"/>
      <c r="H562" s="148"/>
      <c r="I562" s="148"/>
      <c r="J562" s="149"/>
      <c r="K562" s="149"/>
      <c r="L562" s="149"/>
      <c r="M562" s="149"/>
      <c r="N562" s="142"/>
      <c r="O562" s="33"/>
    </row>
    <row r="563" ht="15.75" customHeight="1">
      <c r="A563" s="142"/>
      <c r="B563" s="143"/>
      <c r="C563" s="144"/>
      <c r="D563" s="145"/>
      <c r="E563" s="142"/>
      <c r="F563" s="146"/>
      <c r="G563" s="147"/>
      <c r="H563" s="148"/>
      <c r="I563" s="148"/>
      <c r="J563" s="149"/>
      <c r="K563" s="149"/>
      <c r="L563" s="149"/>
      <c r="M563" s="149"/>
      <c r="N563" s="142"/>
      <c r="O563" s="33"/>
    </row>
    <row r="564" ht="15.75" customHeight="1">
      <c r="A564" s="142"/>
      <c r="B564" s="143"/>
      <c r="C564" s="144"/>
      <c r="D564" s="145"/>
      <c r="E564" s="142"/>
      <c r="F564" s="146"/>
      <c r="G564" s="147"/>
      <c r="H564" s="148"/>
      <c r="I564" s="148"/>
      <c r="J564" s="149"/>
      <c r="K564" s="149"/>
      <c r="L564" s="149"/>
      <c r="M564" s="149"/>
      <c r="N564" s="142"/>
      <c r="O564" s="33"/>
    </row>
    <row r="565" ht="15.75" customHeight="1">
      <c r="A565" s="142"/>
      <c r="B565" s="143"/>
      <c r="C565" s="144"/>
      <c r="D565" s="145"/>
      <c r="E565" s="142"/>
      <c r="F565" s="146"/>
      <c r="G565" s="147"/>
      <c r="H565" s="148"/>
      <c r="I565" s="148"/>
      <c r="J565" s="149"/>
      <c r="K565" s="149"/>
      <c r="L565" s="149"/>
      <c r="M565" s="149"/>
      <c r="N565" s="142"/>
      <c r="O565" s="33"/>
    </row>
    <row r="566" ht="15.75" customHeight="1">
      <c r="A566" s="142"/>
      <c r="B566" s="143"/>
      <c r="C566" s="144"/>
      <c r="D566" s="145"/>
      <c r="E566" s="142"/>
      <c r="F566" s="146"/>
      <c r="G566" s="147"/>
      <c r="H566" s="148"/>
      <c r="I566" s="148"/>
      <c r="J566" s="149"/>
      <c r="K566" s="149"/>
      <c r="L566" s="149"/>
      <c r="M566" s="149"/>
      <c r="N566" s="142"/>
      <c r="O566" s="33"/>
    </row>
    <row r="567" ht="15.75" customHeight="1">
      <c r="A567" s="142"/>
      <c r="B567" s="143"/>
      <c r="C567" s="144"/>
      <c r="D567" s="145"/>
      <c r="E567" s="142"/>
      <c r="F567" s="146"/>
      <c r="G567" s="147"/>
      <c r="H567" s="148"/>
      <c r="I567" s="148"/>
      <c r="J567" s="149"/>
      <c r="K567" s="149"/>
      <c r="L567" s="149"/>
      <c r="M567" s="149"/>
      <c r="N567" s="142"/>
      <c r="O567" s="33"/>
    </row>
    <row r="568" ht="15.75" customHeight="1">
      <c r="A568" s="142"/>
      <c r="B568" s="143"/>
      <c r="C568" s="144"/>
      <c r="D568" s="145"/>
      <c r="E568" s="142"/>
      <c r="F568" s="146"/>
      <c r="G568" s="147"/>
      <c r="H568" s="148"/>
      <c r="I568" s="148"/>
      <c r="J568" s="149"/>
      <c r="K568" s="149"/>
      <c r="L568" s="149"/>
      <c r="M568" s="149"/>
      <c r="N568" s="142"/>
      <c r="O568" s="33"/>
    </row>
    <row r="569" ht="15.75" customHeight="1">
      <c r="A569" s="142"/>
      <c r="B569" s="143"/>
      <c r="C569" s="144"/>
      <c r="D569" s="145"/>
      <c r="E569" s="142"/>
      <c r="F569" s="146"/>
      <c r="G569" s="147"/>
      <c r="H569" s="148"/>
      <c r="I569" s="148"/>
      <c r="J569" s="149"/>
      <c r="K569" s="149"/>
      <c r="L569" s="149"/>
      <c r="M569" s="149"/>
      <c r="N569" s="142"/>
      <c r="O569" s="33"/>
    </row>
    <row r="570" ht="15.75" customHeight="1">
      <c r="A570" s="142"/>
      <c r="B570" s="143"/>
      <c r="C570" s="144"/>
      <c r="D570" s="145"/>
      <c r="E570" s="142"/>
      <c r="F570" s="146"/>
      <c r="G570" s="147"/>
      <c r="H570" s="148"/>
      <c r="I570" s="148"/>
      <c r="J570" s="149"/>
      <c r="K570" s="149"/>
      <c r="L570" s="149"/>
      <c r="M570" s="149"/>
      <c r="N570" s="142"/>
      <c r="O570" s="33"/>
    </row>
    <row r="571" ht="15.75" customHeight="1">
      <c r="A571" s="142"/>
      <c r="B571" s="143"/>
      <c r="C571" s="144"/>
      <c r="D571" s="145"/>
      <c r="E571" s="142"/>
      <c r="F571" s="146"/>
      <c r="G571" s="147"/>
      <c r="H571" s="148"/>
      <c r="I571" s="148"/>
      <c r="J571" s="149"/>
      <c r="K571" s="149"/>
      <c r="L571" s="149"/>
      <c r="M571" s="149"/>
      <c r="N571" s="142"/>
      <c r="O571" s="33"/>
    </row>
    <row r="572" ht="15.75" customHeight="1">
      <c r="A572" s="142"/>
      <c r="B572" s="143"/>
      <c r="C572" s="144"/>
      <c r="D572" s="145"/>
      <c r="E572" s="142"/>
      <c r="F572" s="146"/>
      <c r="G572" s="147"/>
      <c r="H572" s="148"/>
      <c r="I572" s="148"/>
      <c r="J572" s="149"/>
      <c r="K572" s="149"/>
      <c r="L572" s="149"/>
      <c r="M572" s="149"/>
      <c r="N572" s="142"/>
      <c r="O572" s="33"/>
    </row>
    <row r="573" ht="15.75" customHeight="1">
      <c r="A573" s="142"/>
      <c r="B573" s="143"/>
      <c r="C573" s="144"/>
      <c r="D573" s="145"/>
      <c r="E573" s="142"/>
      <c r="F573" s="146"/>
      <c r="G573" s="147"/>
      <c r="H573" s="148"/>
      <c r="I573" s="148"/>
      <c r="J573" s="149"/>
      <c r="K573" s="149"/>
      <c r="L573" s="149"/>
      <c r="M573" s="149"/>
      <c r="N573" s="142"/>
      <c r="O573" s="33"/>
    </row>
    <row r="574" ht="15.75" customHeight="1">
      <c r="A574" s="142"/>
      <c r="B574" s="143"/>
      <c r="C574" s="144"/>
      <c r="D574" s="145"/>
      <c r="E574" s="142"/>
      <c r="F574" s="146"/>
      <c r="G574" s="147"/>
      <c r="H574" s="148"/>
      <c r="I574" s="148"/>
      <c r="J574" s="149"/>
      <c r="K574" s="149"/>
      <c r="L574" s="149"/>
      <c r="M574" s="149"/>
      <c r="N574" s="142"/>
      <c r="O574" s="33"/>
    </row>
    <row r="575" ht="15.75" customHeight="1">
      <c r="A575" s="142"/>
      <c r="B575" s="143"/>
      <c r="C575" s="144"/>
      <c r="D575" s="145"/>
      <c r="E575" s="142"/>
      <c r="F575" s="146"/>
      <c r="G575" s="147"/>
      <c r="H575" s="148"/>
      <c r="I575" s="148"/>
      <c r="J575" s="149"/>
      <c r="K575" s="149"/>
      <c r="L575" s="149"/>
      <c r="M575" s="149"/>
      <c r="N575" s="142"/>
      <c r="O575" s="33"/>
    </row>
    <row r="576" ht="15.75" customHeight="1">
      <c r="A576" s="142"/>
      <c r="B576" s="143"/>
      <c r="C576" s="144"/>
      <c r="D576" s="145"/>
      <c r="E576" s="142"/>
      <c r="F576" s="146"/>
      <c r="G576" s="147"/>
      <c r="H576" s="148"/>
      <c r="I576" s="148"/>
      <c r="J576" s="149"/>
      <c r="K576" s="149"/>
      <c r="L576" s="149"/>
      <c r="M576" s="149"/>
      <c r="N576" s="142"/>
      <c r="O576" s="33"/>
    </row>
    <row r="577" ht="15.75" customHeight="1">
      <c r="A577" s="142"/>
      <c r="B577" s="143"/>
      <c r="C577" s="144"/>
      <c r="D577" s="145"/>
      <c r="E577" s="142"/>
      <c r="F577" s="146"/>
      <c r="G577" s="147"/>
      <c r="H577" s="148"/>
      <c r="I577" s="148"/>
      <c r="J577" s="149"/>
      <c r="K577" s="149"/>
      <c r="L577" s="149"/>
      <c r="M577" s="149"/>
      <c r="N577" s="142"/>
      <c r="O577" s="33"/>
    </row>
    <row r="578" ht="15.75" customHeight="1">
      <c r="A578" s="142"/>
      <c r="B578" s="143"/>
      <c r="C578" s="144"/>
      <c r="D578" s="145"/>
      <c r="E578" s="142"/>
      <c r="F578" s="146"/>
      <c r="G578" s="147"/>
      <c r="H578" s="148"/>
      <c r="I578" s="148"/>
      <c r="J578" s="149"/>
      <c r="K578" s="149"/>
      <c r="L578" s="149"/>
      <c r="M578" s="149"/>
      <c r="N578" s="142"/>
      <c r="O578" s="33"/>
    </row>
    <row r="579" ht="15.75" customHeight="1">
      <c r="A579" s="142"/>
      <c r="B579" s="143"/>
      <c r="C579" s="144"/>
      <c r="D579" s="145"/>
      <c r="E579" s="142"/>
      <c r="F579" s="146"/>
      <c r="G579" s="147"/>
      <c r="H579" s="148"/>
      <c r="I579" s="148"/>
      <c r="J579" s="149"/>
      <c r="K579" s="149"/>
      <c r="L579" s="149"/>
      <c r="M579" s="149"/>
      <c r="N579" s="142"/>
      <c r="O579" s="33"/>
    </row>
    <row r="580" ht="15.75" customHeight="1">
      <c r="A580" s="142"/>
      <c r="B580" s="143"/>
      <c r="C580" s="144"/>
      <c r="D580" s="145"/>
      <c r="E580" s="142"/>
      <c r="F580" s="146"/>
      <c r="G580" s="147"/>
      <c r="H580" s="148"/>
      <c r="I580" s="148"/>
      <c r="J580" s="149"/>
      <c r="K580" s="149"/>
      <c r="L580" s="149"/>
      <c r="M580" s="149"/>
      <c r="N580" s="142"/>
      <c r="O580" s="33"/>
    </row>
    <row r="581" ht="15.75" customHeight="1">
      <c r="A581" s="142"/>
      <c r="B581" s="143"/>
      <c r="C581" s="144"/>
      <c r="D581" s="145"/>
      <c r="E581" s="142"/>
      <c r="F581" s="146"/>
      <c r="G581" s="147"/>
      <c r="H581" s="148"/>
      <c r="I581" s="148"/>
      <c r="J581" s="149"/>
      <c r="K581" s="149"/>
      <c r="L581" s="149"/>
      <c r="M581" s="149"/>
      <c r="N581" s="142"/>
      <c r="O581" s="33"/>
    </row>
    <row r="582" ht="15.75" customHeight="1">
      <c r="A582" s="142"/>
      <c r="B582" s="143"/>
      <c r="C582" s="144"/>
      <c r="D582" s="145"/>
      <c r="E582" s="142"/>
      <c r="F582" s="146"/>
      <c r="G582" s="147"/>
      <c r="H582" s="148"/>
      <c r="I582" s="148"/>
      <c r="J582" s="149"/>
      <c r="K582" s="149"/>
      <c r="L582" s="149"/>
      <c r="M582" s="149"/>
      <c r="N582" s="142"/>
      <c r="O582" s="33"/>
    </row>
    <row r="583" ht="15.75" customHeight="1">
      <c r="A583" s="142"/>
      <c r="B583" s="143"/>
      <c r="C583" s="144"/>
      <c r="D583" s="145"/>
      <c r="E583" s="142"/>
      <c r="F583" s="146"/>
      <c r="G583" s="147"/>
      <c r="H583" s="148"/>
      <c r="I583" s="148"/>
      <c r="J583" s="149"/>
      <c r="K583" s="149"/>
      <c r="L583" s="149"/>
      <c r="M583" s="149"/>
      <c r="N583" s="142"/>
      <c r="O583" s="33"/>
    </row>
    <row r="584" ht="15.75" customHeight="1">
      <c r="A584" s="142"/>
      <c r="B584" s="143"/>
      <c r="C584" s="144"/>
      <c r="D584" s="145"/>
      <c r="E584" s="142"/>
      <c r="F584" s="146"/>
      <c r="G584" s="147"/>
      <c r="H584" s="148"/>
      <c r="I584" s="148"/>
      <c r="J584" s="149"/>
      <c r="K584" s="149"/>
      <c r="L584" s="149"/>
      <c r="M584" s="149"/>
      <c r="N584" s="142"/>
      <c r="O584" s="33"/>
    </row>
    <row r="585" ht="15.75" customHeight="1">
      <c r="A585" s="142"/>
      <c r="B585" s="143"/>
      <c r="C585" s="144"/>
      <c r="D585" s="145"/>
      <c r="E585" s="142"/>
      <c r="F585" s="146"/>
      <c r="G585" s="147"/>
      <c r="H585" s="148"/>
      <c r="I585" s="148"/>
      <c r="J585" s="149"/>
      <c r="K585" s="149"/>
      <c r="L585" s="149"/>
      <c r="M585" s="149"/>
      <c r="N585" s="142"/>
      <c r="O585" s="33"/>
    </row>
    <row r="586" ht="15.75" customHeight="1">
      <c r="A586" s="142"/>
      <c r="B586" s="143"/>
      <c r="C586" s="144"/>
      <c r="D586" s="145"/>
      <c r="E586" s="142"/>
      <c r="F586" s="146"/>
      <c r="G586" s="147"/>
      <c r="H586" s="148"/>
      <c r="I586" s="148"/>
      <c r="J586" s="149"/>
      <c r="K586" s="149"/>
      <c r="L586" s="149"/>
      <c r="M586" s="149"/>
      <c r="N586" s="142"/>
      <c r="O586" s="33"/>
    </row>
    <row r="587" ht="15.75" customHeight="1">
      <c r="A587" s="142"/>
      <c r="B587" s="143"/>
      <c r="C587" s="144"/>
      <c r="D587" s="145"/>
      <c r="E587" s="142"/>
      <c r="F587" s="146"/>
      <c r="G587" s="147"/>
      <c r="H587" s="148"/>
      <c r="I587" s="148"/>
      <c r="J587" s="149"/>
      <c r="K587" s="149"/>
      <c r="L587" s="149"/>
      <c r="M587" s="149"/>
      <c r="N587" s="142"/>
      <c r="O587" s="33"/>
    </row>
    <row r="588" ht="15.75" customHeight="1">
      <c r="A588" s="142"/>
      <c r="B588" s="143"/>
      <c r="C588" s="144"/>
      <c r="D588" s="145"/>
      <c r="E588" s="142"/>
      <c r="F588" s="146"/>
      <c r="G588" s="147"/>
      <c r="H588" s="148"/>
      <c r="I588" s="148"/>
      <c r="J588" s="149"/>
      <c r="K588" s="149"/>
      <c r="L588" s="149"/>
      <c r="M588" s="149"/>
      <c r="N588" s="142"/>
      <c r="O588" s="33"/>
    </row>
    <row r="589" ht="15.75" customHeight="1">
      <c r="A589" s="142"/>
      <c r="B589" s="143"/>
      <c r="C589" s="144"/>
      <c r="D589" s="145"/>
      <c r="E589" s="142"/>
      <c r="F589" s="146"/>
      <c r="G589" s="147"/>
      <c r="H589" s="148"/>
      <c r="I589" s="148"/>
      <c r="J589" s="149"/>
      <c r="K589" s="149"/>
      <c r="L589" s="149"/>
      <c r="M589" s="149"/>
      <c r="N589" s="142"/>
      <c r="O589" s="33"/>
    </row>
    <row r="590" ht="15.75" customHeight="1">
      <c r="A590" s="142"/>
      <c r="B590" s="143"/>
      <c r="C590" s="144"/>
      <c r="D590" s="145"/>
      <c r="E590" s="142"/>
      <c r="F590" s="146"/>
      <c r="G590" s="147"/>
      <c r="H590" s="148"/>
      <c r="I590" s="148"/>
      <c r="J590" s="149"/>
      <c r="K590" s="149"/>
      <c r="L590" s="149"/>
      <c r="M590" s="149"/>
      <c r="N590" s="142"/>
      <c r="O590" s="33"/>
    </row>
    <row r="591" ht="15.75" customHeight="1">
      <c r="A591" s="142"/>
      <c r="B591" s="143"/>
      <c r="C591" s="144"/>
      <c r="D591" s="145"/>
      <c r="E591" s="142"/>
      <c r="F591" s="146"/>
      <c r="G591" s="147"/>
      <c r="H591" s="148"/>
      <c r="I591" s="148"/>
      <c r="J591" s="149"/>
      <c r="K591" s="149"/>
      <c r="L591" s="149"/>
      <c r="M591" s="149"/>
      <c r="N591" s="142"/>
      <c r="O591" s="33"/>
    </row>
    <row r="592" ht="15.75" customHeight="1">
      <c r="A592" s="142"/>
      <c r="B592" s="143"/>
      <c r="C592" s="144"/>
      <c r="D592" s="145"/>
      <c r="E592" s="142"/>
      <c r="F592" s="146"/>
      <c r="G592" s="147"/>
      <c r="H592" s="148"/>
      <c r="I592" s="148"/>
      <c r="J592" s="149"/>
      <c r="K592" s="149"/>
      <c r="L592" s="149"/>
      <c r="M592" s="149"/>
      <c r="N592" s="142"/>
      <c r="O592" s="33"/>
    </row>
    <row r="593" ht="15.75" customHeight="1">
      <c r="A593" s="142"/>
      <c r="B593" s="143"/>
      <c r="C593" s="144"/>
      <c r="D593" s="145"/>
      <c r="E593" s="142"/>
      <c r="F593" s="146"/>
      <c r="G593" s="147"/>
      <c r="H593" s="148"/>
      <c r="I593" s="148"/>
      <c r="J593" s="149"/>
      <c r="K593" s="149"/>
      <c r="L593" s="149"/>
      <c r="M593" s="149"/>
      <c r="N593" s="142"/>
      <c r="O593" s="33"/>
    </row>
    <row r="594" ht="15.75" customHeight="1">
      <c r="A594" s="142"/>
      <c r="B594" s="143"/>
      <c r="C594" s="144"/>
      <c r="D594" s="145"/>
      <c r="E594" s="142"/>
      <c r="F594" s="146"/>
      <c r="G594" s="147"/>
      <c r="H594" s="148"/>
      <c r="I594" s="148"/>
      <c r="J594" s="149"/>
      <c r="K594" s="149"/>
      <c r="L594" s="149"/>
      <c r="M594" s="149"/>
      <c r="N594" s="142"/>
      <c r="O594" s="33"/>
    </row>
    <row r="595" ht="15.75" customHeight="1">
      <c r="A595" s="142"/>
      <c r="B595" s="143"/>
      <c r="C595" s="144"/>
      <c r="D595" s="145"/>
      <c r="E595" s="142"/>
      <c r="F595" s="146"/>
      <c r="G595" s="147"/>
      <c r="H595" s="148"/>
      <c r="I595" s="148"/>
      <c r="J595" s="149"/>
      <c r="K595" s="149"/>
      <c r="L595" s="149"/>
      <c r="M595" s="149"/>
      <c r="N595" s="142"/>
      <c r="O595" s="33"/>
    </row>
    <row r="596" ht="15.75" customHeight="1">
      <c r="A596" s="142"/>
      <c r="B596" s="143"/>
      <c r="C596" s="144"/>
      <c r="D596" s="145"/>
      <c r="E596" s="142"/>
      <c r="F596" s="146"/>
      <c r="G596" s="147"/>
      <c r="H596" s="148"/>
      <c r="I596" s="148"/>
      <c r="J596" s="149"/>
      <c r="K596" s="149"/>
      <c r="L596" s="149"/>
      <c r="M596" s="149"/>
      <c r="N596" s="142"/>
      <c r="O596" s="33"/>
    </row>
    <row r="597" ht="15.75" customHeight="1">
      <c r="A597" s="142"/>
      <c r="B597" s="143"/>
      <c r="C597" s="144"/>
      <c r="D597" s="145"/>
      <c r="E597" s="142"/>
      <c r="F597" s="146"/>
      <c r="G597" s="147"/>
      <c r="H597" s="148"/>
      <c r="I597" s="148"/>
      <c r="J597" s="149"/>
      <c r="K597" s="149"/>
      <c r="L597" s="149"/>
      <c r="M597" s="149"/>
      <c r="N597" s="142"/>
      <c r="O597" s="33"/>
    </row>
    <row r="598" ht="15.75" customHeight="1">
      <c r="A598" s="142"/>
      <c r="B598" s="143"/>
      <c r="C598" s="144"/>
      <c r="D598" s="145"/>
      <c r="E598" s="142"/>
      <c r="F598" s="146"/>
      <c r="G598" s="147"/>
      <c r="H598" s="148"/>
      <c r="I598" s="148"/>
      <c r="J598" s="149"/>
      <c r="K598" s="149"/>
      <c r="L598" s="149"/>
      <c r="M598" s="149"/>
      <c r="N598" s="142"/>
      <c r="O598" s="33"/>
    </row>
    <row r="599" ht="15.75" customHeight="1">
      <c r="A599" s="142"/>
      <c r="B599" s="143"/>
      <c r="C599" s="144"/>
      <c r="D599" s="145"/>
      <c r="E599" s="142"/>
      <c r="F599" s="146"/>
      <c r="G599" s="147"/>
      <c r="H599" s="148"/>
      <c r="I599" s="148"/>
      <c r="J599" s="149"/>
      <c r="K599" s="149"/>
      <c r="L599" s="149"/>
      <c r="M599" s="149"/>
      <c r="N599" s="142"/>
      <c r="O599" s="33"/>
    </row>
    <row r="600" ht="15.75" customHeight="1">
      <c r="A600" s="142"/>
      <c r="B600" s="143"/>
      <c r="C600" s="144"/>
      <c r="D600" s="145"/>
      <c r="E600" s="142"/>
      <c r="F600" s="146"/>
      <c r="G600" s="147"/>
      <c r="H600" s="148"/>
      <c r="I600" s="148"/>
      <c r="J600" s="149"/>
      <c r="K600" s="149"/>
      <c r="L600" s="149"/>
      <c r="M600" s="149"/>
      <c r="N600" s="142"/>
      <c r="O600" s="33"/>
    </row>
    <row r="601" ht="15.75" customHeight="1">
      <c r="A601" s="142"/>
      <c r="B601" s="143"/>
      <c r="C601" s="144"/>
      <c r="D601" s="145"/>
      <c r="E601" s="142"/>
      <c r="F601" s="146"/>
      <c r="G601" s="147"/>
      <c r="H601" s="148"/>
      <c r="I601" s="148"/>
      <c r="J601" s="149"/>
      <c r="K601" s="149"/>
      <c r="L601" s="149"/>
      <c r="M601" s="149"/>
      <c r="N601" s="142"/>
      <c r="O601" s="33"/>
    </row>
    <row r="602" ht="15.75" customHeight="1">
      <c r="A602" s="142"/>
      <c r="B602" s="143"/>
      <c r="C602" s="144"/>
      <c r="D602" s="145"/>
      <c r="E602" s="142"/>
      <c r="F602" s="146"/>
      <c r="G602" s="147"/>
      <c r="H602" s="148"/>
      <c r="I602" s="148"/>
      <c r="J602" s="149"/>
      <c r="K602" s="149"/>
      <c r="L602" s="149"/>
      <c r="M602" s="149"/>
      <c r="N602" s="142"/>
      <c r="O602" s="33"/>
    </row>
    <row r="603" ht="15.75" customHeight="1">
      <c r="A603" s="142"/>
      <c r="B603" s="143"/>
      <c r="C603" s="144"/>
      <c r="D603" s="145"/>
      <c r="E603" s="142"/>
      <c r="F603" s="146"/>
      <c r="G603" s="147"/>
      <c r="H603" s="148"/>
      <c r="I603" s="148"/>
      <c r="J603" s="149"/>
      <c r="K603" s="149"/>
      <c r="L603" s="149"/>
      <c r="M603" s="149"/>
      <c r="N603" s="142"/>
      <c r="O603" s="33"/>
    </row>
    <row r="604" ht="15.75" customHeight="1">
      <c r="A604" s="142"/>
      <c r="B604" s="143"/>
      <c r="C604" s="144"/>
      <c r="D604" s="145"/>
      <c r="E604" s="142"/>
      <c r="F604" s="146"/>
      <c r="G604" s="147"/>
      <c r="H604" s="148"/>
      <c r="I604" s="148"/>
      <c r="J604" s="149"/>
      <c r="K604" s="149"/>
      <c r="L604" s="149"/>
      <c r="M604" s="149"/>
      <c r="N604" s="142"/>
      <c r="O604" s="33"/>
    </row>
    <row r="605" ht="15.75" customHeight="1">
      <c r="A605" s="142"/>
      <c r="B605" s="143"/>
      <c r="C605" s="144"/>
      <c r="D605" s="145"/>
      <c r="E605" s="142"/>
      <c r="F605" s="146"/>
      <c r="G605" s="147"/>
      <c r="H605" s="148"/>
      <c r="I605" s="148"/>
      <c r="J605" s="149"/>
      <c r="K605" s="149"/>
      <c r="L605" s="149"/>
      <c r="M605" s="149"/>
      <c r="N605" s="142"/>
      <c r="O605" s="33"/>
    </row>
    <row r="606" ht="15.75" customHeight="1">
      <c r="A606" s="142"/>
      <c r="B606" s="143"/>
      <c r="C606" s="144"/>
      <c r="D606" s="145"/>
      <c r="E606" s="142"/>
      <c r="F606" s="146"/>
      <c r="G606" s="147"/>
      <c r="H606" s="148"/>
      <c r="I606" s="148"/>
      <c r="J606" s="149"/>
      <c r="K606" s="149"/>
      <c r="L606" s="149"/>
      <c r="M606" s="149"/>
      <c r="N606" s="142"/>
      <c r="O606" s="33"/>
    </row>
    <row r="607" ht="15.75" customHeight="1">
      <c r="A607" s="142"/>
      <c r="B607" s="143"/>
      <c r="C607" s="144"/>
      <c r="D607" s="145"/>
      <c r="E607" s="142"/>
      <c r="F607" s="146"/>
      <c r="G607" s="147"/>
      <c r="H607" s="148"/>
      <c r="I607" s="148"/>
      <c r="J607" s="149"/>
      <c r="K607" s="149"/>
      <c r="L607" s="149"/>
      <c r="M607" s="149"/>
      <c r="N607" s="142"/>
      <c r="O607" s="33"/>
    </row>
    <row r="608" ht="15.75" customHeight="1">
      <c r="A608" s="142"/>
      <c r="B608" s="143"/>
      <c r="C608" s="144"/>
      <c r="D608" s="145"/>
      <c r="E608" s="142"/>
      <c r="F608" s="146"/>
      <c r="G608" s="147"/>
      <c r="H608" s="148"/>
      <c r="I608" s="148"/>
      <c r="J608" s="149"/>
      <c r="K608" s="149"/>
      <c r="L608" s="149"/>
      <c r="M608" s="149"/>
      <c r="N608" s="142"/>
      <c r="O608" s="33"/>
    </row>
    <row r="609" ht="15.75" customHeight="1">
      <c r="A609" s="142"/>
      <c r="B609" s="143"/>
      <c r="C609" s="144"/>
      <c r="D609" s="145"/>
      <c r="E609" s="142"/>
      <c r="F609" s="146"/>
      <c r="G609" s="147"/>
      <c r="H609" s="148"/>
      <c r="I609" s="148"/>
      <c r="J609" s="149"/>
      <c r="K609" s="149"/>
      <c r="L609" s="149"/>
      <c r="M609" s="149"/>
      <c r="N609" s="142"/>
      <c r="O609" s="33"/>
    </row>
    <row r="610" ht="15.75" customHeight="1">
      <c r="A610" s="142"/>
      <c r="B610" s="143"/>
      <c r="C610" s="144"/>
      <c r="D610" s="145"/>
      <c r="E610" s="142"/>
      <c r="F610" s="146"/>
      <c r="G610" s="147"/>
      <c r="H610" s="148"/>
      <c r="I610" s="148"/>
      <c r="J610" s="149"/>
      <c r="K610" s="149"/>
      <c r="L610" s="149"/>
      <c r="M610" s="149"/>
      <c r="N610" s="142"/>
      <c r="O610" s="33"/>
    </row>
    <row r="611" ht="15.75" customHeight="1">
      <c r="A611" s="142"/>
      <c r="B611" s="143"/>
      <c r="C611" s="144"/>
      <c r="D611" s="145"/>
      <c r="E611" s="142"/>
      <c r="F611" s="146"/>
      <c r="G611" s="147"/>
      <c r="H611" s="148"/>
      <c r="I611" s="148"/>
      <c r="J611" s="149"/>
      <c r="K611" s="149"/>
      <c r="L611" s="149"/>
      <c r="M611" s="149"/>
      <c r="N611" s="142"/>
      <c r="O611" s="33"/>
    </row>
    <row r="612" ht="15.75" customHeight="1">
      <c r="A612" s="142"/>
      <c r="B612" s="143"/>
      <c r="C612" s="144"/>
      <c r="D612" s="145"/>
      <c r="E612" s="142"/>
      <c r="F612" s="146"/>
      <c r="G612" s="147"/>
      <c r="H612" s="148"/>
      <c r="I612" s="148"/>
      <c r="J612" s="149"/>
      <c r="K612" s="149"/>
      <c r="L612" s="149"/>
      <c r="M612" s="149"/>
      <c r="N612" s="142"/>
      <c r="O612" s="33"/>
    </row>
    <row r="613" ht="15.75" customHeight="1">
      <c r="A613" s="142"/>
      <c r="B613" s="143"/>
      <c r="C613" s="144"/>
      <c r="D613" s="145"/>
      <c r="E613" s="142"/>
      <c r="F613" s="146"/>
      <c r="G613" s="147"/>
      <c r="H613" s="148"/>
      <c r="I613" s="148"/>
      <c r="J613" s="149"/>
      <c r="K613" s="149"/>
      <c r="L613" s="149"/>
      <c r="M613" s="149"/>
      <c r="N613" s="142"/>
      <c r="O613" s="33"/>
    </row>
    <row r="614" ht="15.75" customHeight="1">
      <c r="A614" s="142"/>
      <c r="B614" s="143"/>
      <c r="C614" s="144"/>
      <c r="D614" s="145"/>
      <c r="E614" s="142"/>
      <c r="F614" s="146"/>
      <c r="G614" s="147"/>
      <c r="H614" s="148"/>
      <c r="I614" s="148"/>
      <c r="J614" s="149"/>
      <c r="K614" s="149"/>
      <c r="L614" s="149"/>
      <c r="M614" s="149"/>
      <c r="N614" s="142"/>
      <c r="O614" s="33"/>
    </row>
    <row r="615" ht="15.75" customHeight="1">
      <c r="A615" s="142"/>
      <c r="B615" s="143"/>
      <c r="C615" s="144"/>
      <c r="D615" s="145"/>
      <c r="E615" s="142"/>
      <c r="F615" s="146"/>
      <c r="G615" s="147"/>
      <c r="H615" s="148"/>
      <c r="I615" s="148"/>
      <c r="J615" s="149"/>
      <c r="K615" s="149"/>
      <c r="L615" s="149"/>
      <c r="M615" s="149"/>
      <c r="N615" s="142"/>
      <c r="O615" s="33"/>
    </row>
    <row r="616" ht="15.75" customHeight="1">
      <c r="A616" s="142"/>
      <c r="B616" s="143"/>
      <c r="C616" s="144"/>
      <c r="D616" s="145"/>
      <c r="E616" s="142"/>
      <c r="F616" s="146"/>
      <c r="G616" s="147"/>
      <c r="H616" s="148"/>
      <c r="I616" s="148"/>
      <c r="J616" s="149"/>
      <c r="K616" s="149"/>
      <c r="L616" s="149"/>
      <c r="M616" s="149"/>
      <c r="N616" s="142"/>
      <c r="O616" s="33"/>
    </row>
    <row r="617" ht="15.75" customHeight="1">
      <c r="A617" s="142"/>
      <c r="B617" s="143"/>
      <c r="C617" s="144"/>
      <c r="D617" s="145"/>
      <c r="E617" s="142"/>
      <c r="F617" s="146"/>
      <c r="G617" s="147"/>
      <c r="H617" s="148"/>
      <c r="I617" s="148"/>
      <c r="J617" s="149"/>
      <c r="K617" s="149"/>
      <c r="L617" s="149"/>
      <c r="M617" s="149"/>
      <c r="N617" s="142"/>
      <c r="O617" s="33"/>
    </row>
    <row r="618" ht="15.75" customHeight="1">
      <c r="A618" s="142"/>
      <c r="B618" s="143"/>
      <c r="C618" s="144"/>
      <c r="D618" s="145"/>
      <c r="E618" s="142"/>
      <c r="F618" s="146"/>
      <c r="G618" s="147"/>
      <c r="H618" s="148"/>
      <c r="I618" s="148"/>
      <c r="J618" s="149"/>
      <c r="K618" s="149"/>
      <c r="L618" s="149"/>
      <c r="M618" s="149"/>
      <c r="N618" s="142"/>
      <c r="O618" s="33"/>
    </row>
    <row r="619" ht="15.75" customHeight="1">
      <c r="A619" s="142"/>
      <c r="B619" s="143"/>
      <c r="C619" s="144"/>
      <c r="D619" s="145"/>
      <c r="E619" s="142"/>
      <c r="F619" s="146"/>
      <c r="G619" s="147"/>
      <c r="H619" s="148"/>
      <c r="I619" s="148"/>
      <c r="J619" s="149"/>
      <c r="K619" s="149"/>
      <c r="L619" s="149"/>
      <c r="M619" s="149"/>
      <c r="N619" s="142"/>
      <c r="O619" s="33"/>
    </row>
    <row r="620" ht="15.75" customHeight="1">
      <c r="A620" s="142"/>
      <c r="B620" s="143"/>
      <c r="C620" s="144"/>
      <c r="D620" s="145"/>
      <c r="E620" s="142"/>
      <c r="F620" s="146"/>
      <c r="G620" s="147"/>
      <c r="H620" s="148"/>
      <c r="I620" s="148"/>
      <c r="J620" s="149"/>
      <c r="K620" s="149"/>
      <c r="L620" s="149"/>
      <c r="M620" s="149"/>
      <c r="N620" s="142"/>
      <c r="O620" s="33"/>
    </row>
    <row r="621" ht="15.75" customHeight="1">
      <c r="A621" s="142"/>
      <c r="B621" s="143"/>
      <c r="C621" s="144"/>
      <c r="D621" s="145"/>
      <c r="E621" s="142"/>
      <c r="F621" s="146"/>
      <c r="G621" s="147"/>
      <c r="H621" s="148"/>
      <c r="I621" s="148"/>
      <c r="J621" s="149"/>
      <c r="K621" s="149"/>
      <c r="L621" s="149"/>
      <c r="M621" s="149"/>
      <c r="N621" s="142"/>
      <c r="O621" s="33"/>
    </row>
    <row r="622" ht="15.75" customHeight="1">
      <c r="A622" s="142"/>
      <c r="B622" s="143"/>
      <c r="C622" s="144"/>
      <c r="D622" s="145"/>
      <c r="E622" s="142"/>
      <c r="F622" s="146"/>
      <c r="G622" s="147"/>
      <c r="H622" s="148"/>
      <c r="I622" s="148"/>
      <c r="J622" s="149"/>
      <c r="K622" s="149"/>
      <c r="L622" s="149"/>
      <c r="M622" s="149"/>
      <c r="N622" s="142"/>
      <c r="O622" s="33"/>
    </row>
    <row r="623" ht="15.75" customHeight="1">
      <c r="A623" s="142"/>
      <c r="B623" s="143"/>
      <c r="C623" s="144"/>
      <c r="D623" s="145"/>
      <c r="E623" s="142"/>
      <c r="F623" s="146"/>
      <c r="G623" s="147"/>
      <c r="H623" s="148"/>
      <c r="I623" s="148"/>
      <c r="J623" s="149"/>
      <c r="K623" s="149"/>
      <c r="L623" s="149"/>
      <c r="M623" s="149"/>
      <c r="N623" s="142"/>
      <c r="O623" s="33"/>
    </row>
    <row r="624" ht="15.75" customHeight="1">
      <c r="A624" s="142"/>
      <c r="B624" s="143"/>
      <c r="C624" s="144"/>
      <c r="D624" s="145"/>
      <c r="E624" s="142"/>
      <c r="F624" s="146"/>
      <c r="G624" s="147"/>
      <c r="H624" s="148"/>
      <c r="I624" s="148"/>
      <c r="J624" s="149"/>
      <c r="K624" s="149"/>
      <c r="L624" s="149"/>
      <c r="M624" s="149"/>
      <c r="N624" s="142"/>
      <c r="O624" s="33"/>
    </row>
    <row r="625" ht="15.75" customHeight="1">
      <c r="A625" s="142"/>
      <c r="B625" s="143"/>
      <c r="C625" s="144"/>
      <c r="D625" s="145"/>
      <c r="E625" s="142"/>
      <c r="F625" s="146"/>
      <c r="G625" s="147"/>
      <c r="H625" s="148"/>
      <c r="I625" s="148"/>
      <c r="J625" s="149"/>
      <c r="K625" s="149"/>
      <c r="L625" s="149"/>
      <c r="M625" s="149"/>
      <c r="N625" s="142"/>
      <c r="O625" s="33"/>
    </row>
    <row r="626" ht="15.75" customHeight="1">
      <c r="A626" s="142"/>
      <c r="B626" s="143"/>
      <c r="C626" s="144"/>
      <c r="D626" s="145"/>
      <c r="E626" s="142"/>
      <c r="F626" s="146"/>
      <c r="G626" s="147"/>
      <c r="H626" s="148"/>
      <c r="I626" s="148"/>
      <c r="J626" s="149"/>
      <c r="K626" s="149"/>
      <c r="L626" s="149"/>
      <c r="M626" s="149"/>
      <c r="N626" s="142"/>
      <c r="O626" s="33"/>
    </row>
    <row r="627" ht="15.75" customHeight="1">
      <c r="A627" s="142"/>
      <c r="B627" s="143"/>
      <c r="C627" s="144"/>
      <c r="D627" s="145"/>
      <c r="E627" s="142"/>
      <c r="F627" s="146"/>
      <c r="G627" s="147"/>
      <c r="H627" s="148"/>
      <c r="I627" s="148"/>
      <c r="J627" s="149"/>
      <c r="K627" s="149"/>
      <c r="L627" s="149"/>
      <c r="M627" s="149"/>
      <c r="N627" s="142"/>
      <c r="O627" s="33"/>
    </row>
    <row r="628" ht="15.75" customHeight="1">
      <c r="A628" s="142"/>
      <c r="B628" s="143"/>
      <c r="C628" s="144"/>
      <c r="D628" s="145"/>
      <c r="E628" s="142"/>
      <c r="F628" s="146"/>
      <c r="G628" s="147"/>
      <c r="H628" s="148"/>
      <c r="I628" s="148"/>
      <c r="J628" s="149"/>
      <c r="K628" s="149"/>
      <c r="L628" s="149"/>
      <c r="M628" s="149"/>
      <c r="N628" s="142"/>
      <c r="O628" s="33"/>
    </row>
    <row r="629" ht="15.75" customHeight="1">
      <c r="A629" s="142"/>
      <c r="B629" s="143"/>
      <c r="C629" s="144"/>
      <c r="D629" s="145"/>
      <c r="E629" s="142"/>
      <c r="F629" s="146"/>
      <c r="G629" s="147"/>
      <c r="H629" s="148"/>
      <c r="I629" s="148"/>
      <c r="J629" s="149"/>
      <c r="K629" s="149"/>
      <c r="L629" s="149"/>
      <c r="M629" s="149"/>
      <c r="N629" s="142"/>
      <c r="O629" s="33"/>
    </row>
    <row r="630" ht="15.75" customHeight="1">
      <c r="A630" s="142"/>
      <c r="B630" s="143"/>
      <c r="C630" s="144"/>
      <c r="D630" s="145"/>
      <c r="E630" s="142"/>
      <c r="F630" s="146"/>
      <c r="G630" s="147"/>
      <c r="H630" s="148"/>
      <c r="I630" s="148"/>
      <c r="J630" s="149"/>
      <c r="K630" s="149"/>
      <c r="L630" s="149"/>
      <c r="M630" s="149"/>
      <c r="N630" s="142"/>
      <c r="O630" s="33"/>
    </row>
    <row r="631" ht="15.75" customHeight="1">
      <c r="A631" s="142"/>
      <c r="B631" s="143"/>
      <c r="C631" s="144"/>
      <c r="D631" s="145"/>
      <c r="E631" s="142"/>
      <c r="F631" s="146"/>
      <c r="G631" s="147"/>
      <c r="H631" s="148"/>
      <c r="I631" s="148"/>
      <c r="J631" s="149"/>
      <c r="K631" s="149"/>
      <c r="L631" s="149"/>
      <c r="M631" s="149"/>
      <c r="N631" s="142"/>
      <c r="O631" s="33"/>
    </row>
    <row r="632" ht="15.75" customHeight="1">
      <c r="A632" s="142"/>
      <c r="B632" s="143"/>
      <c r="C632" s="144"/>
      <c r="D632" s="145"/>
      <c r="E632" s="142"/>
      <c r="F632" s="146"/>
      <c r="G632" s="147"/>
      <c r="H632" s="148"/>
      <c r="I632" s="148"/>
      <c r="J632" s="149"/>
      <c r="K632" s="149"/>
      <c r="L632" s="149"/>
      <c r="M632" s="149"/>
      <c r="N632" s="142"/>
      <c r="O632" s="33"/>
    </row>
    <row r="633" ht="15.75" customHeight="1">
      <c r="A633" s="142"/>
      <c r="B633" s="143"/>
      <c r="C633" s="144"/>
      <c r="D633" s="145"/>
      <c r="E633" s="142"/>
      <c r="F633" s="146"/>
      <c r="G633" s="147"/>
      <c r="H633" s="148"/>
      <c r="I633" s="148"/>
      <c r="J633" s="149"/>
      <c r="K633" s="149"/>
      <c r="L633" s="149"/>
      <c r="M633" s="149"/>
      <c r="N633" s="142"/>
      <c r="O633" s="33"/>
    </row>
    <row r="634" ht="15.75" customHeight="1">
      <c r="A634" s="142"/>
      <c r="B634" s="143"/>
      <c r="C634" s="144"/>
      <c r="D634" s="145"/>
      <c r="E634" s="142"/>
      <c r="F634" s="146"/>
      <c r="G634" s="147"/>
      <c r="H634" s="148"/>
      <c r="I634" s="148"/>
      <c r="J634" s="149"/>
      <c r="K634" s="149"/>
      <c r="L634" s="149"/>
      <c r="M634" s="149"/>
      <c r="N634" s="142"/>
      <c r="O634" s="33"/>
    </row>
    <row r="635" ht="15.75" customHeight="1">
      <c r="A635" s="142"/>
      <c r="B635" s="143"/>
      <c r="C635" s="144"/>
      <c r="D635" s="145"/>
      <c r="E635" s="142"/>
      <c r="F635" s="146"/>
      <c r="G635" s="147"/>
      <c r="H635" s="148"/>
      <c r="I635" s="148"/>
      <c r="J635" s="149"/>
      <c r="K635" s="149"/>
      <c r="L635" s="149"/>
      <c r="M635" s="149"/>
      <c r="N635" s="142"/>
      <c r="O635" s="33"/>
    </row>
    <row r="636" ht="15.75" customHeight="1">
      <c r="A636" s="142"/>
      <c r="B636" s="143"/>
      <c r="C636" s="144"/>
      <c r="D636" s="145"/>
      <c r="E636" s="142"/>
      <c r="F636" s="146"/>
      <c r="G636" s="147"/>
      <c r="H636" s="148"/>
      <c r="I636" s="148"/>
      <c r="J636" s="149"/>
      <c r="K636" s="149"/>
      <c r="L636" s="149"/>
      <c r="M636" s="149"/>
      <c r="N636" s="142"/>
      <c r="O636" s="33"/>
    </row>
    <row r="637" ht="15.75" customHeight="1">
      <c r="A637" s="142"/>
      <c r="B637" s="143"/>
      <c r="C637" s="144"/>
      <c r="D637" s="145"/>
      <c r="E637" s="142"/>
      <c r="F637" s="146"/>
      <c r="G637" s="147"/>
      <c r="H637" s="148"/>
      <c r="I637" s="148"/>
      <c r="J637" s="149"/>
      <c r="K637" s="149"/>
      <c r="L637" s="149"/>
      <c r="M637" s="149"/>
      <c r="N637" s="142"/>
      <c r="O637" s="33"/>
    </row>
    <row r="638" ht="15.75" customHeight="1">
      <c r="A638" s="142"/>
      <c r="B638" s="143"/>
      <c r="C638" s="144"/>
      <c r="D638" s="145"/>
      <c r="E638" s="142"/>
      <c r="F638" s="146"/>
      <c r="G638" s="147"/>
      <c r="H638" s="148"/>
      <c r="I638" s="148"/>
      <c r="J638" s="149"/>
      <c r="K638" s="149"/>
      <c r="L638" s="149"/>
      <c r="M638" s="149"/>
      <c r="N638" s="142"/>
      <c r="O638" s="33"/>
    </row>
    <row r="639" ht="15.75" customHeight="1">
      <c r="A639" s="142"/>
      <c r="B639" s="143"/>
      <c r="C639" s="144"/>
      <c r="D639" s="145"/>
      <c r="E639" s="142"/>
      <c r="F639" s="146"/>
      <c r="G639" s="147"/>
      <c r="H639" s="148"/>
      <c r="I639" s="148"/>
      <c r="J639" s="149"/>
      <c r="K639" s="149"/>
      <c r="L639" s="149"/>
      <c r="M639" s="149"/>
      <c r="N639" s="142"/>
      <c r="O639" s="33"/>
    </row>
    <row r="640" ht="15.75" customHeight="1">
      <c r="A640" s="142"/>
      <c r="B640" s="143"/>
      <c r="C640" s="144"/>
      <c r="D640" s="145"/>
      <c r="E640" s="142"/>
      <c r="F640" s="146"/>
      <c r="G640" s="147"/>
      <c r="H640" s="148"/>
      <c r="I640" s="148"/>
      <c r="J640" s="149"/>
      <c r="K640" s="149"/>
      <c r="L640" s="149"/>
      <c r="M640" s="149"/>
      <c r="N640" s="142"/>
      <c r="O640" s="33"/>
    </row>
    <row r="641" ht="15.75" customHeight="1">
      <c r="A641" s="142"/>
      <c r="B641" s="143"/>
      <c r="C641" s="144"/>
      <c r="D641" s="145"/>
      <c r="E641" s="142"/>
      <c r="F641" s="146"/>
      <c r="G641" s="147"/>
      <c r="H641" s="148"/>
      <c r="I641" s="148"/>
      <c r="J641" s="149"/>
      <c r="K641" s="149"/>
      <c r="L641" s="149"/>
      <c r="M641" s="149"/>
      <c r="N641" s="142"/>
      <c r="O641" s="33"/>
    </row>
    <row r="642" ht="15.75" customHeight="1">
      <c r="A642" s="142"/>
      <c r="B642" s="143"/>
      <c r="C642" s="144"/>
      <c r="D642" s="145"/>
      <c r="E642" s="142"/>
      <c r="F642" s="146"/>
      <c r="G642" s="147"/>
      <c r="H642" s="148"/>
      <c r="I642" s="148"/>
      <c r="J642" s="149"/>
      <c r="K642" s="149"/>
      <c r="L642" s="149"/>
      <c r="M642" s="149"/>
      <c r="N642" s="142"/>
      <c r="O642" s="33"/>
    </row>
    <row r="643" ht="15.75" customHeight="1">
      <c r="A643" s="142"/>
      <c r="B643" s="143"/>
      <c r="C643" s="144"/>
      <c r="D643" s="145"/>
      <c r="E643" s="142"/>
      <c r="F643" s="146"/>
      <c r="G643" s="147"/>
      <c r="H643" s="148"/>
      <c r="I643" s="148"/>
      <c r="J643" s="149"/>
      <c r="K643" s="149"/>
      <c r="L643" s="149"/>
      <c r="M643" s="149"/>
      <c r="N643" s="142"/>
      <c r="O643" s="33"/>
    </row>
    <row r="644" ht="15.75" customHeight="1">
      <c r="A644" s="142"/>
      <c r="B644" s="143"/>
      <c r="C644" s="144"/>
      <c r="D644" s="145"/>
      <c r="E644" s="142"/>
      <c r="F644" s="146"/>
      <c r="G644" s="147"/>
      <c r="H644" s="148"/>
      <c r="I644" s="148"/>
      <c r="J644" s="149"/>
      <c r="K644" s="149"/>
      <c r="L644" s="149"/>
      <c r="M644" s="149"/>
      <c r="N644" s="142"/>
      <c r="O644" s="33"/>
    </row>
    <row r="645" ht="15.75" customHeight="1">
      <c r="A645" s="142"/>
      <c r="B645" s="143"/>
      <c r="C645" s="144"/>
      <c r="D645" s="145"/>
      <c r="E645" s="142"/>
      <c r="F645" s="146"/>
      <c r="G645" s="147"/>
      <c r="H645" s="148"/>
      <c r="I645" s="148"/>
      <c r="J645" s="149"/>
      <c r="K645" s="149"/>
      <c r="L645" s="149"/>
      <c r="M645" s="149"/>
      <c r="N645" s="142"/>
      <c r="O645" s="33"/>
    </row>
    <row r="646" ht="15.75" customHeight="1">
      <c r="A646" s="142"/>
      <c r="B646" s="143"/>
      <c r="C646" s="144"/>
      <c r="D646" s="145"/>
      <c r="E646" s="142"/>
      <c r="F646" s="146"/>
      <c r="G646" s="147"/>
      <c r="H646" s="148"/>
      <c r="I646" s="148"/>
      <c r="J646" s="149"/>
      <c r="K646" s="149"/>
      <c r="L646" s="149"/>
      <c r="M646" s="149"/>
      <c r="N646" s="142"/>
      <c r="O646" s="33"/>
    </row>
    <row r="647" ht="15.75" customHeight="1">
      <c r="A647" s="142"/>
      <c r="B647" s="143"/>
      <c r="C647" s="144"/>
      <c r="D647" s="145"/>
      <c r="E647" s="142"/>
      <c r="F647" s="146"/>
      <c r="G647" s="147"/>
      <c r="H647" s="148"/>
      <c r="I647" s="148"/>
      <c r="J647" s="149"/>
      <c r="K647" s="149"/>
      <c r="L647" s="149"/>
      <c r="M647" s="149"/>
      <c r="N647" s="142"/>
      <c r="O647" s="33"/>
    </row>
    <row r="648" ht="15.75" customHeight="1">
      <c r="A648" s="142"/>
      <c r="B648" s="143"/>
      <c r="C648" s="144"/>
      <c r="D648" s="145"/>
      <c r="E648" s="142"/>
      <c r="F648" s="146"/>
      <c r="G648" s="147"/>
      <c r="H648" s="148"/>
      <c r="I648" s="148"/>
      <c r="J648" s="149"/>
      <c r="K648" s="149"/>
      <c r="L648" s="149"/>
      <c r="M648" s="149"/>
      <c r="N648" s="142"/>
      <c r="O648" s="33"/>
    </row>
    <row r="649" ht="15.75" customHeight="1">
      <c r="A649" s="142"/>
      <c r="B649" s="143"/>
      <c r="C649" s="144"/>
      <c r="D649" s="145"/>
      <c r="E649" s="142"/>
      <c r="F649" s="146"/>
      <c r="G649" s="147"/>
      <c r="H649" s="148"/>
      <c r="I649" s="148"/>
      <c r="J649" s="149"/>
      <c r="K649" s="149"/>
      <c r="L649" s="149"/>
      <c r="M649" s="149"/>
      <c r="N649" s="142"/>
      <c r="O649" s="33"/>
    </row>
    <row r="650" ht="15.75" customHeight="1">
      <c r="A650" s="142"/>
      <c r="B650" s="143"/>
      <c r="C650" s="144"/>
      <c r="D650" s="145"/>
      <c r="E650" s="142"/>
      <c r="F650" s="146"/>
      <c r="G650" s="147"/>
      <c r="H650" s="148"/>
      <c r="I650" s="148"/>
      <c r="J650" s="149"/>
      <c r="K650" s="149"/>
      <c r="L650" s="149"/>
      <c r="M650" s="149"/>
      <c r="N650" s="142"/>
      <c r="O650" s="33"/>
    </row>
    <row r="651" ht="15.75" customHeight="1">
      <c r="A651" s="142"/>
      <c r="B651" s="143"/>
      <c r="C651" s="144"/>
      <c r="D651" s="145"/>
      <c r="E651" s="142"/>
      <c r="F651" s="146"/>
      <c r="G651" s="147"/>
      <c r="H651" s="148"/>
      <c r="I651" s="148"/>
      <c r="J651" s="149"/>
      <c r="K651" s="149"/>
      <c r="L651" s="149"/>
      <c r="M651" s="149"/>
      <c r="N651" s="142"/>
      <c r="O651" s="33"/>
    </row>
    <row r="652" ht="15.75" customHeight="1">
      <c r="A652" s="142"/>
      <c r="B652" s="143"/>
      <c r="C652" s="144"/>
      <c r="D652" s="145"/>
      <c r="E652" s="142"/>
      <c r="F652" s="146"/>
      <c r="G652" s="147"/>
      <c r="H652" s="148"/>
      <c r="I652" s="148"/>
      <c r="J652" s="149"/>
      <c r="K652" s="149"/>
      <c r="L652" s="149"/>
      <c r="M652" s="149"/>
      <c r="N652" s="142"/>
      <c r="O652" s="33"/>
    </row>
    <row r="653" ht="15.75" customHeight="1">
      <c r="A653" s="142"/>
      <c r="B653" s="143"/>
      <c r="C653" s="144"/>
      <c r="D653" s="145"/>
      <c r="E653" s="142"/>
      <c r="F653" s="146"/>
      <c r="G653" s="147"/>
      <c r="H653" s="148"/>
      <c r="I653" s="148"/>
      <c r="J653" s="149"/>
      <c r="K653" s="149"/>
      <c r="L653" s="149"/>
      <c r="M653" s="149"/>
      <c r="N653" s="142"/>
      <c r="O653" s="33"/>
    </row>
    <row r="654" ht="15.75" customHeight="1">
      <c r="A654" s="142"/>
      <c r="B654" s="143"/>
      <c r="C654" s="144"/>
      <c r="D654" s="145"/>
      <c r="E654" s="142"/>
      <c r="F654" s="146"/>
      <c r="G654" s="147"/>
      <c r="H654" s="148"/>
      <c r="I654" s="148"/>
      <c r="J654" s="149"/>
      <c r="K654" s="149"/>
      <c r="L654" s="149"/>
      <c r="M654" s="149"/>
      <c r="N654" s="142"/>
      <c r="O654" s="33"/>
    </row>
    <row r="655" ht="15.75" customHeight="1">
      <c r="A655" s="142"/>
      <c r="B655" s="143"/>
      <c r="C655" s="144"/>
      <c r="D655" s="145"/>
      <c r="E655" s="142"/>
      <c r="F655" s="146"/>
      <c r="G655" s="147"/>
      <c r="H655" s="148"/>
      <c r="I655" s="148"/>
      <c r="J655" s="149"/>
      <c r="K655" s="149"/>
      <c r="L655" s="149"/>
      <c r="M655" s="149"/>
      <c r="N655" s="142"/>
      <c r="O655" s="33"/>
    </row>
    <row r="656" ht="15.75" customHeight="1">
      <c r="A656" s="142"/>
      <c r="B656" s="143"/>
      <c r="C656" s="144"/>
      <c r="D656" s="145"/>
      <c r="E656" s="142"/>
      <c r="F656" s="146"/>
      <c r="G656" s="147"/>
      <c r="H656" s="148"/>
      <c r="I656" s="148"/>
      <c r="J656" s="149"/>
      <c r="K656" s="149"/>
      <c r="L656" s="149"/>
      <c r="M656" s="149"/>
      <c r="N656" s="142"/>
      <c r="O656" s="33"/>
    </row>
    <row r="657" ht="15.75" customHeight="1">
      <c r="A657" s="142"/>
      <c r="B657" s="143"/>
      <c r="C657" s="144"/>
      <c r="D657" s="145"/>
      <c r="E657" s="142"/>
      <c r="F657" s="146"/>
      <c r="G657" s="147"/>
      <c r="H657" s="148"/>
      <c r="I657" s="148"/>
      <c r="J657" s="149"/>
      <c r="K657" s="149"/>
      <c r="L657" s="149"/>
      <c r="M657" s="149"/>
      <c r="N657" s="142"/>
      <c r="O657" s="33"/>
    </row>
    <row r="658" ht="15.75" customHeight="1">
      <c r="A658" s="142"/>
      <c r="B658" s="143"/>
      <c r="C658" s="144"/>
      <c r="D658" s="145"/>
      <c r="E658" s="142"/>
      <c r="F658" s="146"/>
      <c r="G658" s="147"/>
      <c r="H658" s="148"/>
      <c r="I658" s="148"/>
      <c r="J658" s="149"/>
      <c r="K658" s="149"/>
      <c r="L658" s="149"/>
      <c r="M658" s="149"/>
      <c r="N658" s="142"/>
      <c r="O658" s="33"/>
    </row>
    <row r="659" ht="15.75" customHeight="1">
      <c r="A659" s="142"/>
      <c r="B659" s="143"/>
      <c r="C659" s="144"/>
      <c r="D659" s="145"/>
      <c r="E659" s="142"/>
      <c r="F659" s="146"/>
      <c r="G659" s="147"/>
      <c r="H659" s="148"/>
      <c r="I659" s="148"/>
      <c r="J659" s="149"/>
      <c r="K659" s="149"/>
      <c r="L659" s="149"/>
      <c r="M659" s="149"/>
      <c r="N659" s="142"/>
      <c r="O659" s="33"/>
    </row>
    <row r="660" ht="15.75" customHeight="1">
      <c r="A660" s="142"/>
      <c r="B660" s="143"/>
      <c r="C660" s="144"/>
      <c r="D660" s="145"/>
      <c r="E660" s="142"/>
      <c r="F660" s="146"/>
      <c r="G660" s="147"/>
      <c r="H660" s="148"/>
      <c r="I660" s="148"/>
      <c r="J660" s="149"/>
      <c r="K660" s="149"/>
      <c r="L660" s="149"/>
      <c r="M660" s="149"/>
      <c r="N660" s="142"/>
      <c r="O660" s="33"/>
    </row>
    <row r="661" ht="15.75" customHeight="1">
      <c r="A661" s="142"/>
      <c r="B661" s="143"/>
      <c r="C661" s="144"/>
      <c r="D661" s="145"/>
      <c r="E661" s="142"/>
      <c r="F661" s="146"/>
      <c r="G661" s="147"/>
      <c r="H661" s="148"/>
      <c r="I661" s="148"/>
      <c r="J661" s="149"/>
      <c r="K661" s="149"/>
      <c r="L661" s="149"/>
      <c r="M661" s="149"/>
      <c r="N661" s="142"/>
      <c r="O661" s="33"/>
    </row>
    <row r="662" ht="15.75" customHeight="1">
      <c r="A662" s="142"/>
      <c r="B662" s="143"/>
      <c r="C662" s="144"/>
      <c r="D662" s="145"/>
      <c r="E662" s="142"/>
      <c r="F662" s="146"/>
      <c r="G662" s="147"/>
      <c r="H662" s="148"/>
      <c r="I662" s="148"/>
      <c r="J662" s="149"/>
      <c r="K662" s="149"/>
      <c r="L662" s="149"/>
      <c r="M662" s="149"/>
      <c r="N662" s="142"/>
      <c r="O662" s="33"/>
    </row>
    <row r="663" ht="15.75" customHeight="1">
      <c r="A663" s="142"/>
      <c r="B663" s="143"/>
      <c r="C663" s="144"/>
      <c r="D663" s="145"/>
      <c r="E663" s="142"/>
      <c r="F663" s="146"/>
      <c r="G663" s="147"/>
      <c r="H663" s="148"/>
      <c r="I663" s="148"/>
      <c r="J663" s="149"/>
      <c r="K663" s="149"/>
      <c r="L663" s="149"/>
      <c r="M663" s="149"/>
      <c r="N663" s="142"/>
      <c r="O663" s="33"/>
    </row>
    <row r="664" ht="15.75" customHeight="1">
      <c r="A664" s="142"/>
      <c r="B664" s="143"/>
      <c r="C664" s="144"/>
      <c r="D664" s="145"/>
      <c r="E664" s="142"/>
      <c r="F664" s="146"/>
      <c r="G664" s="147"/>
      <c r="H664" s="148"/>
      <c r="I664" s="148"/>
      <c r="J664" s="149"/>
      <c r="K664" s="149"/>
      <c r="L664" s="149"/>
      <c r="M664" s="149"/>
      <c r="N664" s="142"/>
      <c r="O664" s="33"/>
    </row>
    <row r="665" ht="15.75" customHeight="1">
      <c r="A665" s="142"/>
      <c r="B665" s="143"/>
      <c r="C665" s="144"/>
      <c r="D665" s="145"/>
      <c r="E665" s="142"/>
      <c r="F665" s="146"/>
      <c r="G665" s="147"/>
      <c r="H665" s="148"/>
      <c r="I665" s="148"/>
      <c r="J665" s="149"/>
      <c r="K665" s="149"/>
      <c r="L665" s="149"/>
      <c r="M665" s="149"/>
      <c r="N665" s="142"/>
      <c r="O665" s="33"/>
    </row>
    <row r="666" ht="15.75" customHeight="1">
      <c r="A666" s="142"/>
      <c r="B666" s="143"/>
      <c r="C666" s="144"/>
      <c r="D666" s="145"/>
      <c r="E666" s="142"/>
      <c r="F666" s="146"/>
      <c r="G666" s="147"/>
      <c r="H666" s="148"/>
      <c r="I666" s="148"/>
      <c r="J666" s="149"/>
      <c r="K666" s="149"/>
      <c r="L666" s="149"/>
      <c r="M666" s="149"/>
      <c r="N666" s="142"/>
      <c r="O666" s="33"/>
    </row>
    <row r="667" ht="15.75" customHeight="1">
      <c r="A667" s="142"/>
      <c r="B667" s="143"/>
      <c r="C667" s="144"/>
      <c r="D667" s="145"/>
      <c r="E667" s="142"/>
      <c r="F667" s="146"/>
      <c r="G667" s="147"/>
      <c r="H667" s="148"/>
      <c r="I667" s="148"/>
      <c r="J667" s="149"/>
      <c r="K667" s="149"/>
      <c r="L667" s="149"/>
      <c r="M667" s="149"/>
      <c r="N667" s="142"/>
      <c r="O667" s="33"/>
    </row>
    <row r="668" ht="15.75" customHeight="1">
      <c r="A668" s="142"/>
      <c r="B668" s="143"/>
      <c r="C668" s="144"/>
      <c r="D668" s="145"/>
      <c r="E668" s="142"/>
      <c r="F668" s="146"/>
      <c r="G668" s="147"/>
      <c r="H668" s="148"/>
      <c r="I668" s="148"/>
      <c r="J668" s="149"/>
      <c r="K668" s="149"/>
      <c r="L668" s="149"/>
      <c r="M668" s="149"/>
      <c r="N668" s="142"/>
      <c r="O668" s="33"/>
    </row>
    <row r="669" ht="15.75" customHeight="1">
      <c r="A669" s="142"/>
      <c r="B669" s="143"/>
      <c r="C669" s="144"/>
      <c r="D669" s="145"/>
      <c r="E669" s="142"/>
      <c r="F669" s="146"/>
      <c r="G669" s="147"/>
      <c r="H669" s="148"/>
      <c r="I669" s="148"/>
      <c r="J669" s="149"/>
      <c r="K669" s="149"/>
      <c r="L669" s="149"/>
      <c r="M669" s="149"/>
      <c r="N669" s="142"/>
      <c r="O669" s="33"/>
    </row>
    <row r="670" ht="15.75" customHeight="1">
      <c r="A670" s="142"/>
      <c r="B670" s="143"/>
      <c r="C670" s="144"/>
      <c r="D670" s="145"/>
      <c r="E670" s="142"/>
      <c r="F670" s="146"/>
      <c r="G670" s="147"/>
      <c r="H670" s="148"/>
      <c r="I670" s="148"/>
      <c r="J670" s="149"/>
      <c r="K670" s="149"/>
      <c r="L670" s="149"/>
      <c r="M670" s="149"/>
      <c r="N670" s="142"/>
      <c r="O670" s="33"/>
    </row>
    <row r="671" ht="15.75" customHeight="1">
      <c r="A671" s="142"/>
      <c r="B671" s="143"/>
      <c r="C671" s="144"/>
      <c r="D671" s="145"/>
      <c r="E671" s="142"/>
      <c r="F671" s="146"/>
      <c r="G671" s="147"/>
      <c r="H671" s="148"/>
      <c r="I671" s="148"/>
      <c r="J671" s="149"/>
      <c r="K671" s="149"/>
      <c r="L671" s="149"/>
      <c r="M671" s="149"/>
      <c r="N671" s="142"/>
      <c r="O671" s="33"/>
    </row>
    <row r="672" ht="15.75" customHeight="1">
      <c r="A672" s="142"/>
      <c r="B672" s="143"/>
      <c r="C672" s="144"/>
      <c r="D672" s="145"/>
      <c r="E672" s="142"/>
      <c r="F672" s="146"/>
      <c r="G672" s="147"/>
      <c r="H672" s="148"/>
      <c r="I672" s="148"/>
      <c r="J672" s="149"/>
      <c r="K672" s="149"/>
      <c r="L672" s="149"/>
      <c r="M672" s="149"/>
      <c r="N672" s="142"/>
      <c r="O672" s="33"/>
    </row>
    <row r="673" ht="15.75" customHeight="1">
      <c r="A673" s="142"/>
      <c r="B673" s="143"/>
      <c r="C673" s="144"/>
      <c r="D673" s="145"/>
      <c r="E673" s="142"/>
      <c r="F673" s="146"/>
      <c r="G673" s="147"/>
      <c r="H673" s="148"/>
      <c r="I673" s="148"/>
      <c r="J673" s="149"/>
      <c r="K673" s="149"/>
      <c r="L673" s="149"/>
      <c r="M673" s="149"/>
      <c r="N673" s="142"/>
      <c r="O673" s="33"/>
    </row>
    <row r="674" ht="15.75" customHeight="1">
      <c r="A674" s="142"/>
      <c r="B674" s="143"/>
      <c r="C674" s="144"/>
      <c r="D674" s="145"/>
      <c r="E674" s="142"/>
      <c r="F674" s="146"/>
      <c r="G674" s="147"/>
      <c r="H674" s="148"/>
      <c r="I674" s="148"/>
      <c r="J674" s="149"/>
      <c r="K674" s="149"/>
      <c r="L674" s="149"/>
      <c r="M674" s="149"/>
      <c r="N674" s="142"/>
      <c r="O674" s="33"/>
    </row>
    <row r="675" ht="15.75" customHeight="1">
      <c r="A675" s="142"/>
      <c r="B675" s="143"/>
      <c r="C675" s="144"/>
      <c r="D675" s="145"/>
      <c r="E675" s="142"/>
      <c r="F675" s="146"/>
      <c r="G675" s="147"/>
      <c r="H675" s="148"/>
      <c r="I675" s="148"/>
      <c r="J675" s="149"/>
      <c r="K675" s="149"/>
      <c r="L675" s="149"/>
      <c r="M675" s="149"/>
      <c r="N675" s="142"/>
      <c r="O675" s="33"/>
    </row>
    <row r="676" ht="15.75" customHeight="1">
      <c r="A676" s="142"/>
      <c r="B676" s="143"/>
      <c r="C676" s="144"/>
      <c r="D676" s="145"/>
      <c r="E676" s="142"/>
      <c r="F676" s="146"/>
      <c r="G676" s="147"/>
      <c r="H676" s="148"/>
      <c r="I676" s="148"/>
      <c r="J676" s="149"/>
      <c r="K676" s="149"/>
      <c r="L676" s="149"/>
      <c r="M676" s="149"/>
      <c r="N676" s="142"/>
      <c r="O676" s="33"/>
    </row>
    <row r="677" ht="15.75" customHeight="1">
      <c r="A677" s="142"/>
      <c r="B677" s="143"/>
      <c r="C677" s="144"/>
      <c r="D677" s="145"/>
      <c r="E677" s="142"/>
      <c r="F677" s="146"/>
      <c r="G677" s="147"/>
      <c r="H677" s="148"/>
      <c r="I677" s="148"/>
      <c r="J677" s="149"/>
      <c r="K677" s="149"/>
      <c r="L677" s="149"/>
      <c r="M677" s="149"/>
      <c r="N677" s="142"/>
      <c r="O677" s="33"/>
    </row>
    <row r="678" ht="15.75" customHeight="1">
      <c r="A678" s="142"/>
      <c r="B678" s="143"/>
      <c r="C678" s="144"/>
      <c r="D678" s="145"/>
      <c r="E678" s="142"/>
      <c r="F678" s="146"/>
      <c r="G678" s="147"/>
      <c r="H678" s="148"/>
      <c r="I678" s="148"/>
      <c r="J678" s="149"/>
      <c r="K678" s="149"/>
      <c r="L678" s="149"/>
      <c r="M678" s="149"/>
      <c r="N678" s="142"/>
      <c r="O678" s="33"/>
    </row>
    <row r="679" ht="15.75" customHeight="1">
      <c r="A679" s="142"/>
      <c r="B679" s="143"/>
      <c r="C679" s="144"/>
      <c r="D679" s="145"/>
      <c r="E679" s="142"/>
      <c r="F679" s="146"/>
      <c r="G679" s="147"/>
      <c r="H679" s="148"/>
      <c r="I679" s="148"/>
      <c r="J679" s="149"/>
      <c r="K679" s="149"/>
      <c r="L679" s="149"/>
      <c r="M679" s="149"/>
      <c r="N679" s="142"/>
      <c r="O679" s="33"/>
    </row>
    <row r="680" ht="15.75" customHeight="1">
      <c r="A680" s="142"/>
      <c r="B680" s="143"/>
      <c r="C680" s="144"/>
      <c r="D680" s="145"/>
      <c r="E680" s="142"/>
      <c r="F680" s="146"/>
      <c r="G680" s="147"/>
      <c r="H680" s="148"/>
      <c r="I680" s="148"/>
      <c r="J680" s="149"/>
      <c r="K680" s="149"/>
      <c r="L680" s="149"/>
      <c r="M680" s="149"/>
      <c r="N680" s="142"/>
      <c r="O680" s="33"/>
    </row>
    <row r="681" ht="15.75" customHeight="1">
      <c r="A681" s="142"/>
      <c r="B681" s="143"/>
      <c r="C681" s="144"/>
      <c r="D681" s="145"/>
      <c r="E681" s="142"/>
      <c r="F681" s="146"/>
      <c r="G681" s="147"/>
      <c r="H681" s="148"/>
      <c r="I681" s="148"/>
      <c r="J681" s="149"/>
      <c r="K681" s="149"/>
      <c r="L681" s="149"/>
      <c r="M681" s="149"/>
      <c r="N681" s="142"/>
      <c r="O681" s="33"/>
    </row>
    <row r="682" ht="15.75" customHeight="1">
      <c r="A682" s="142"/>
      <c r="B682" s="143"/>
      <c r="C682" s="144"/>
      <c r="D682" s="145"/>
      <c r="E682" s="142"/>
      <c r="F682" s="146"/>
      <c r="G682" s="147"/>
      <c r="H682" s="148"/>
      <c r="I682" s="148"/>
      <c r="J682" s="149"/>
      <c r="K682" s="149"/>
      <c r="L682" s="149"/>
      <c r="M682" s="149"/>
      <c r="N682" s="142"/>
      <c r="O682" s="33"/>
    </row>
    <row r="683" ht="15.75" customHeight="1">
      <c r="A683" s="142"/>
      <c r="B683" s="143"/>
      <c r="C683" s="144"/>
      <c r="D683" s="145"/>
      <c r="E683" s="142"/>
      <c r="F683" s="146"/>
      <c r="G683" s="147"/>
      <c r="H683" s="148"/>
      <c r="I683" s="148"/>
      <c r="J683" s="149"/>
      <c r="K683" s="149"/>
      <c r="L683" s="149"/>
      <c r="M683" s="149"/>
      <c r="N683" s="142"/>
      <c r="O683" s="33"/>
    </row>
    <row r="684" ht="15.75" customHeight="1">
      <c r="A684" s="142"/>
      <c r="B684" s="143"/>
      <c r="C684" s="144"/>
      <c r="D684" s="145"/>
      <c r="E684" s="142"/>
      <c r="F684" s="146"/>
      <c r="G684" s="147"/>
      <c r="H684" s="148"/>
      <c r="I684" s="148"/>
      <c r="J684" s="149"/>
      <c r="K684" s="149"/>
      <c r="L684" s="149"/>
      <c r="M684" s="149"/>
      <c r="N684" s="142"/>
      <c r="O684" s="33"/>
    </row>
    <row r="685" ht="15.75" customHeight="1">
      <c r="A685" s="142"/>
      <c r="B685" s="143"/>
      <c r="C685" s="144"/>
      <c r="D685" s="145"/>
      <c r="E685" s="142"/>
      <c r="F685" s="146"/>
      <c r="G685" s="147"/>
      <c r="H685" s="148"/>
      <c r="I685" s="148"/>
      <c r="J685" s="149"/>
      <c r="K685" s="149"/>
      <c r="L685" s="149"/>
      <c r="M685" s="149"/>
      <c r="N685" s="142"/>
      <c r="O685" s="33"/>
    </row>
    <row r="686" ht="15.75" customHeight="1">
      <c r="A686" s="142"/>
      <c r="B686" s="143"/>
      <c r="C686" s="144"/>
      <c r="D686" s="145"/>
      <c r="E686" s="142"/>
      <c r="F686" s="146"/>
      <c r="G686" s="147"/>
      <c r="H686" s="148"/>
      <c r="I686" s="148"/>
      <c r="J686" s="149"/>
      <c r="K686" s="149"/>
      <c r="L686" s="149"/>
      <c r="M686" s="149"/>
      <c r="N686" s="142"/>
      <c r="O686" s="33"/>
    </row>
    <row r="687" ht="15.75" customHeight="1">
      <c r="A687" s="142"/>
      <c r="B687" s="143"/>
      <c r="C687" s="144"/>
      <c r="D687" s="145"/>
      <c r="E687" s="142"/>
      <c r="F687" s="146"/>
      <c r="G687" s="147"/>
      <c r="H687" s="148"/>
      <c r="I687" s="148"/>
      <c r="J687" s="149"/>
      <c r="K687" s="149"/>
      <c r="L687" s="149"/>
      <c r="M687" s="149"/>
      <c r="N687" s="142"/>
      <c r="O687" s="33"/>
    </row>
    <row r="688" ht="15.75" customHeight="1">
      <c r="A688" s="142"/>
      <c r="B688" s="143"/>
      <c r="C688" s="144"/>
      <c r="D688" s="145"/>
      <c r="E688" s="142"/>
      <c r="F688" s="146"/>
      <c r="G688" s="147"/>
      <c r="H688" s="148"/>
      <c r="I688" s="148"/>
      <c r="J688" s="149"/>
      <c r="K688" s="149"/>
      <c r="L688" s="149"/>
      <c r="M688" s="149"/>
      <c r="N688" s="142"/>
      <c r="O688" s="33"/>
    </row>
    <row r="689" ht="15.75" customHeight="1">
      <c r="A689" s="142"/>
      <c r="B689" s="143"/>
      <c r="C689" s="144"/>
      <c r="D689" s="145"/>
      <c r="E689" s="142"/>
      <c r="F689" s="146"/>
      <c r="G689" s="147"/>
      <c r="H689" s="148"/>
      <c r="I689" s="148"/>
      <c r="J689" s="149"/>
      <c r="K689" s="149"/>
      <c r="L689" s="149"/>
      <c r="M689" s="149"/>
      <c r="N689" s="142"/>
      <c r="O689" s="33"/>
    </row>
    <row r="690" ht="15.75" customHeight="1">
      <c r="A690" s="142"/>
      <c r="B690" s="143"/>
      <c r="C690" s="144"/>
      <c r="D690" s="145"/>
      <c r="E690" s="142"/>
      <c r="F690" s="146"/>
      <c r="G690" s="147"/>
      <c r="H690" s="148"/>
      <c r="I690" s="148"/>
      <c r="J690" s="149"/>
      <c r="K690" s="149"/>
      <c r="L690" s="149"/>
      <c r="M690" s="149"/>
      <c r="N690" s="142"/>
      <c r="O690" s="33"/>
    </row>
    <row r="691" ht="15.75" customHeight="1">
      <c r="A691" s="142"/>
      <c r="B691" s="143"/>
      <c r="C691" s="144"/>
      <c r="D691" s="145"/>
      <c r="E691" s="142"/>
      <c r="F691" s="146"/>
      <c r="G691" s="147"/>
      <c r="H691" s="148"/>
      <c r="I691" s="148"/>
      <c r="J691" s="149"/>
      <c r="K691" s="149"/>
      <c r="L691" s="149"/>
      <c r="M691" s="149"/>
      <c r="N691" s="142"/>
      <c r="O691" s="33"/>
    </row>
    <row r="692" ht="15.75" customHeight="1">
      <c r="A692" s="142"/>
      <c r="B692" s="143"/>
      <c r="C692" s="144"/>
      <c r="D692" s="145"/>
      <c r="E692" s="142"/>
      <c r="F692" s="146"/>
      <c r="G692" s="147"/>
      <c r="H692" s="148"/>
      <c r="I692" s="148"/>
      <c r="J692" s="149"/>
      <c r="K692" s="149"/>
      <c r="L692" s="149"/>
      <c r="M692" s="149"/>
      <c r="N692" s="142"/>
      <c r="O692" s="33"/>
    </row>
    <row r="693" ht="15.75" customHeight="1">
      <c r="A693" s="142"/>
      <c r="B693" s="143"/>
      <c r="C693" s="144"/>
      <c r="D693" s="145"/>
      <c r="E693" s="142"/>
      <c r="F693" s="146"/>
      <c r="G693" s="147"/>
      <c r="H693" s="148"/>
      <c r="I693" s="148"/>
      <c r="J693" s="149"/>
      <c r="K693" s="149"/>
      <c r="L693" s="149"/>
      <c r="M693" s="149"/>
      <c r="N693" s="142"/>
      <c r="O693" s="33"/>
    </row>
    <row r="694" ht="15.75" customHeight="1">
      <c r="A694" s="142"/>
      <c r="B694" s="143"/>
      <c r="C694" s="144"/>
      <c r="D694" s="145"/>
      <c r="E694" s="142"/>
      <c r="F694" s="146"/>
      <c r="G694" s="147"/>
      <c r="H694" s="148"/>
      <c r="I694" s="148"/>
      <c r="J694" s="149"/>
      <c r="K694" s="149"/>
      <c r="L694" s="149"/>
      <c r="M694" s="149"/>
      <c r="N694" s="142"/>
      <c r="O694" s="33"/>
    </row>
    <row r="695" ht="15.75" customHeight="1">
      <c r="A695" s="142"/>
      <c r="B695" s="143"/>
      <c r="C695" s="144"/>
      <c r="D695" s="145"/>
      <c r="E695" s="142"/>
      <c r="F695" s="146"/>
      <c r="G695" s="147"/>
      <c r="H695" s="148"/>
      <c r="I695" s="148"/>
      <c r="J695" s="149"/>
      <c r="K695" s="149"/>
      <c r="L695" s="149"/>
      <c r="M695" s="149"/>
      <c r="N695" s="142"/>
      <c r="O695" s="33"/>
    </row>
    <row r="696" ht="15.75" customHeight="1">
      <c r="A696" s="142"/>
      <c r="B696" s="143"/>
      <c r="C696" s="144"/>
      <c r="D696" s="145"/>
      <c r="E696" s="142"/>
      <c r="F696" s="146"/>
      <c r="G696" s="147"/>
      <c r="H696" s="148"/>
      <c r="I696" s="148"/>
      <c r="J696" s="149"/>
      <c r="K696" s="149"/>
      <c r="L696" s="149"/>
      <c r="M696" s="149"/>
      <c r="N696" s="142"/>
      <c r="O696" s="33"/>
    </row>
    <row r="697" ht="15.75" customHeight="1">
      <c r="A697" s="142"/>
      <c r="B697" s="143"/>
      <c r="C697" s="144"/>
      <c r="D697" s="145"/>
      <c r="E697" s="142"/>
      <c r="F697" s="146"/>
      <c r="G697" s="147"/>
      <c r="H697" s="148"/>
      <c r="I697" s="148"/>
      <c r="J697" s="149"/>
      <c r="K697" s="149"/>
      <c r="L697" s="149"/>
      <c r="M697" s="149"/>
      <c r="N697" s="142"/>
      <c r="O697" s="33"/>
    </row>
    <row r="698" ht="15.75" customHeight="1">
      <c r="A698" s="142"/>
      <c r="B698" s="143"/>
      <c r="C698" s="144"/>
      <c r="D698" s="145"/>
      <c r="E698" s="142"/>
      <c r="F698" s="146"/>
      <c r="G698" s="147"/>
      <c r="H698" s="148"/>
      <c r="I698" s="148"/>
      <c r="J698" s="149"/>
      <c r="K698" s="149"/>
      <c r="L698" s="149"/>
      <c r="M698" s="149"/>
      <c r="N698" s="142"/>
      <c r="O698" s="33"/>
    </row>
    <row r="699" ht="15.75" customHeight="1">
      <c r="A699" s="142"/>
      <c r="B699" s="143"/>
      <c r="C699" s="144"/>
      <c r="D699" s="145"/>
      <c r="E699" s="142"/>
      <c r="F699" s="146"/>
      <c r="G699" s="147"/>
      <c r="H699" s="148"/>
      <c r="I699" s="148"/>
      <c r="J699" s="149"/>
      <c r="K699" s="149"/>
      <c r="L699" s="149"/>
      <c r="M699" s="149"/>
      <c r="N699" s="142"/>
      <c r="O699" s="33"/>
    </row>
    <row r="700" ht="15.75" customHeight="1">
      <c r="A700" s="142"/>
      <c r="B700" s="143"/>
      <c r="C700" s="144"/>
      <c r="D700" s="145"/>
      <c r="E700" s="142"/>
      <c r="F700" s="146"/>
      <c r="G700" s="147"/>
      <c r="H700" s="148"/>
      <c r="I700" s="148"/>
      <c r="J700" s="149"/>
      <c r="K700" s="149"/>
      <c r="L700" s="149"/>
      <c r="M700" s="149"/>
      <c r="N700" s="142"/>
      <c r="O700" s="33"/>
    </row>
    <row r="701" ht="15.75" customHeight="1">
      <c r="A701" s="142"/>
      <c r="B701" s="143"/>
      <c r="C701" s="144"/>
      <c r="D701" s="145"/>
      <c r="E701" s="142"/>
      <c r="F701" s="146"/>
      <c r="G701" s="147"/>
      <c r="H701" s="148"/>
      <c r="I701" s="148"/>
      <c r="J701" s="149"/>
      <c r="K701" s="149"/>
      <c r="L701" s="149"/>
      <c r="M701" s="149"/>
      <c r="N701" s="142"/>
      <c r="O701" s="33"/>
    </row>
    <row r="702" ht="15.75" customHeight="1">
      <c r="A702" s="142"/>
      <c r="B702" s="143"/>
      <c r="C702" s="144"/>
      <c r="D702" s="145"/>
      <c r="E702" s="142"/>
      <c r="F702" s="146"/>
      <c r="G702" s="147"/>
      <c r="H702" s="148"/>
      <c r="I702" s="148"/>
      <c r="J702" s="149"/>
      <c r="K702" s="149"/>
      <c r="L702" s="149"/>
      <c r="M702" s="149"/>
      <c r="N702" s="142"/>
      <c r="O702" s="33"/>
    </row>
    <row r="703" ht="15.75" customHeight="1">
      <c r="A703" s="142"/>
      <c r="B703" s="143"/>
      <c r="C703" s="144"/>
      <c r="D703" s="145"/>
      <c r="E703" s="142"/>
      <c r="F703" s="146"/>
      <c r="G703" s="147"/>
      <c r="H703" s="148"/>
      <c r="I703" s="148"/>
      <c r="J703" s="149"/>
      <c r="K703" s="149"/>
      <c r="L703" s="149"/>
      <c r="M703" s="149"/>
      <c r="N703" s="142"/>
      <c r="O703" s="33"/>
    </row>
    <row r="704" ht="15.75" customHeight="1">
      <c r="A704" s="142"/>
      <c r="B704" s="143"/>
      <c r="C704" s="144"/>
      <c r="D704" s="145"/>
      <c r="E704" s="142"/>
      <c r="F704" s="146"/>
      <c r="G704" s="147"/>
      <c r="H704" s="148"/>
      <c r="I704" s="148"/>
      <c r="J704" s="149"/>
      <c r="K704" s="149"/>
      <c r="L704" s="149"/>
      <c r="M704" s="149"/>
      <c r="N704" s="142"/>
      <c r="O704" s="33"/>
    </row>
    <row r="705" ht="15.75" customHeight="1">
      <c r="A705" s="142"/>
      <c r="B705" s="143"/>
      <c r="C705" s="144"/>
      <c r="D705" s="145"/>
      <c r="E705" s="142"/>
      <c r="F705" s="146"/>
      <c r="G705" s="147"/>
      <c r="H705" s="148"/>
      <c r="I705" s="148"/>
      <c r="J705" s="149"/>
      <c r="K705" s="149"/>
      <c r="L705" s="149"/>
      <c r="M705" s="149"/>
      <c r="N705" s="142"/>
      <c r="O705" s="33"/>
    </row>
    <row r="706" ht="15.75" customHeight="1">
      <c r="A706" s="142"/>
      <c r="B706" s="143"/>
      <c r="C706" s="144"/>
      <c r="D706" s="145"/>
      <c r="E706" s="142"/>
      <c r="F706" s="146"/>
      <c r="G706" s="147"/>
      <c r="H706" s="148"/>
      <c r="I706" s="148"/>
      <c r="J706" s="149"/>
      <c r="K706" s="149"/>
      <c r="L706" s="149"/>
      <c r="M706" s="149"/>
      <c r="N706" s="142"/>
      <c r="O706" s="33"/>
    </row>
    <row r="707" ht="15.75" customHeight="1">
      <c r="A707" s="142"/>
      <c r="B707" s="143"/>
      <c r="C707" s="144"/>
      <c r="D707" s="145"/>
      <c r="E707" s="142"/>
      <c r="F707" s="146"/>
      <c r="G707" s="147"/>
      <c r="H707" s="148"/>
      <c r="I707" s="148"/>
      <c r="J707" s="149"/>
      <c r="K707" s="149"/>
      <c r="L707" s="149"/>
      <c r="M707" s="149"/>
      <c r="N707" s="142"/>
      <c r="O707" s="33"/>
    </row>
    <row r="708" ht="15.75" customHeight="1">
      <c r="A708" s="142"/>
      <c r="B708" s="143"/>
      <c r="C708" s="144"/>
      <c r="D708" s="145"/>
      <c r="E708" s="142"/>
      <c r="F708" s="146"/>
      <c r="G708" s="147"/>
      <c r="H708" s="148"/>
      <c r="I708" s="148"/>
      <c r="J708" s="149"/>
      <c r="K708" s="149"/>
      <c r="L708" s="149"/>
      <c r="M708" s="149"/>
      <c r="N708" s="142"/>
      <c r="O708" s="33"/>
    </row>
    <row r="709" ht="15.75" customHeight="1">
      <c r="A709" s="142"/>
      <c r="B709" s="143"/>
      <c r="C709" s="144"/>
      <c r="D709" s="145"/>
      <c r="E709" s="142"/>
      <c r="F709" s="146"/>
      <c r="G709" s="147"/>
      <c r="H709" s="148"/>
      <c r="I709" s="148"/>
      <c r="J709" s="149"/>
      <c r="K709" s="149"/>
      <c r="L709" s="149"/>
      <c r="M709" s="149"/>
      <c r="N709" s="142"/>
      <c r="O709" s="33"/>
    </row>
    <row r="710" ht="15.75" customHeight="1">
      <c r="A710" s="142"/>
      <c r="B710" s="143"/>
      <c r="C710" s="144"/>
      <c r="D710" s="145"/>
      <c r="E710" s="142"/>
      <c r="F710" s="146"/>
      <c r="G710" s="147"/>
      <c r="H710" s="148"/>
      <c r="I710" s="148"/>
      <c r="J710" s="149"/>
      <c r="K710" s="149"/>
      <c r="L710" s="149"/>
      <c r="M710" s="149"/>
      <c r="N710" s="142"/>
      <c r="O710" s="33"/>
    </row>
    <row r="711" ht="15.75" customHeight="1">
      <c r="A711" s="142"/>
      <c r="B711" s="143"/>
      <c r="C711" s="144"/>
      <c r="D711" s="145"/>
      <c r="E711" s="142"/>
      <c r="F711" s="146"/>
      <c r="G711" s="147"/>
      <c r="H711" s="148"/>
      <c r="I711" s="148"/>
      <c r="J711" s="149"/>
      <c r="K711" s="149"/>
      <c r="L711" s="149"/>
      <c r="M711" s="149"/>
      <c r="N711" s="142"/>
      <c r="O711" s="33"/>
    </row>
    <row r="712" ht="15.75" customHeight="1">
      <c r="A712" s="142"/>
      <c r="B712" s="143"/>
      <c r="C712" s="144"/>
      <c r="D712" s="145"/>
      <c r="E712" s="142"/>
      <c r="F712" s="146"/>
      <c r="G712" s="147"/>
      <c r="H712" s="148"/>
      <c r="I712" s="148"/>
      <c r="J712" s="149"/>
      <c r="K712" s="149"/>
      <c r="L712" s="149"/>
      <c r="M712" s="149"/>
      <c r="N712" s="142"/>
      <c r="O712" s="33"/>
    </row>
    <row r="713" ht="15.75" customHeight="1">
      <c r="A713" s="142"/>
      <c r="B713" s="143"/>
      <c r="C713" s="144"/>
      <c r="D713" s="145"/>
      <c r="E713" s="142"/>
      <c r="F713" s="146"/>
      <c r="G713" s="147"/>
      <c r="H713" s="148"/>
      <c r="I713" s="148"/>
      <c r="J713" s="149"/>
      <c r="K713" s="149"/>
      <c r="L713" s="149"/>
      <c r="M713" s="149"/>
      <c r="N713" s="142"/>
      <c r="O713" s="33"/>
    </row>
    <row r="714" ht="15.75" customHeight="1">
      <c r="A714" s="142"/>
      <c r="B714" s="143"/>
      <c r="C714" s="144"/>
      <c r="D714" s="145"/>
      <c r="E714" s="142"/>
      <c r="F714" s="146"/>
      <c r="G714" s="147"/>
      <c r="H714" s="148"/>
      <c r="I714" s="148"/>
      <c r="J714" s="149"/>
      <c r="K714" s="149"/>
      <c r="L714" s="149"/>
      <c r="M714" s="149"/>
      <c r="N714" s="142"/>
      <c r="O714" s="33"/>
    </row>
    <row r="715" ht="15.75" customHeight="1">
      <c r="A715" s="142"/>
      <c r="B715" s="143"/>
      <c r="C715" s="144"/>
      <c r="D715" s="145"/>
      <c r="E715" s="142"/>
      <c r="F715" s="146"/>
      <c r="G715" s="147"/>
      <c r="H715" s="148"/>
      <c r="I715" s="148"/>
      <c r="J715" s="149"/>
      <c r="K715" s="149"/>
      <c r="L715" s="149"/>
      <c r="M715" s="149"/>
      <c r="N715" s="142"/>
      <c r="O715" s="33"/>
    </row>
    <row r="716" ht="15.75" customHeight="1">
      <c r="A716" s="142"/>
      <c r="B716" s="143"/>
      <c r="C716" s="144"/>
      <c r="D716" s="145"/>
      <c r="E716" s="142"/>
      <c r="F716" s="146"/>
      <c r="G716" s="147"/>
      <c r="H716" s="148"/>
      <c r="I716" s="148"/>
      <c r="J716" s="149"/>
      <c r="K716" s="149"/>
      <c r="L716" s="149"/>
      <c r="M716" s="149"/>
      <c r="N716" s="142"/>
      <c r="O716" s="33"/>
    </row>
    <row r="717" ht="15.75" customHeight="1">
      <c r="A717" s="142"/>
      <c r="B717" s="143"/>
      <c r="C717" s="144"/>
      <c r="D717" s="145"/>
      <c r="E717" s="142"/>
      <c r="F717" s="146"/>
      <c r="G717" s="147"/>
      <c r="H717" s="148"/>
      <c r="I717" s="148"/>
      <c r="J717" s="149"/>
      <c r="K717" s="149"/>
      <c r="L717" s="149"/>
      <c r="M717" s="149"/>
      <c r="N717" s="142"/>
      <c r="O717" s="33"/>
    </row>
    <row r="718" ht="15.75" customHeight="1">
      <c r="A718" s="142"/>
      <c r="B718" s="143"/>
      <c r="C718" s="144"/>
      <c r="D718" s="145"/>
      <c r="E718" s="142"/>
      <c r="F718" s="146"/>
      <c r="G718" s="147"/>
      <c r="H718" s="148"/>
      <c r="I718" s="148"/>
      <c r="J718" s="149"/>
      <c r="K718" s="149"/>
      <c r="L718" s="149"/>
      <c r="M718" s="149"/>
      <c r="N718" s="142"/>
      <c r="O718" s="33"/>
    </row>
    <row r="719" ht="15.75" customHeight="1">
      <c r="A719" s="142"/>
      <c r="B719" s="143"/>
      <c r="C719" s="144"/>
      <c r="D719" s="145"/>
      <c r="E719" s="142"/>
      <c r="F719" s="146"/>
      <c r="G719" s="147"/>
      <c r="H719" s="148"/>
      <c r="I719" s="148"/>
      <c r="J719" s="149"/>
      <c r="K719" s="149"/>
      <c r="L719" s="149"/>
      <c r="M719" s="149"/>
      <c r="N719" s="142"/>
      <c r="O719" s="33"/>
    </row>
    <row r="720" ht="15.75" customHeight="1">
      <c r="A720" s="142"/>
      <c r="B720" s="143"/>
      <c r="C720" s="144"/>
      <c r="D720" s="145"/>
      <c r="E720" s="142"/>
      <c r="F720" s="146"/>
      <c r="G720" s="147"/>
      <c r="H720" s="148"/>
      <c r="I720" s="148"/>
      <c r="J720" s="149"/>
      <c r="K720" s="149"/>
      <c r="L720" s="149"/>
      <c r="M720" s="149"/>
      <c r="N720" s="142"/>
      <c r="O720" s="33"/>
    </row>
    <row r="721" ht="15.75" customHeight="1">
      <c r="A721" s="142"/>
      <c r="B721" s="143"/>
      <c r="C721" s="144"/>
      <c r="D721" s="145"/>
      <c r="E721" s="142"/>
      <c r="F721" s="146"/>
      <c r="G721" s="147"/>
      <c r="H721" s="148"/>
      <c r="I721" s="148"/>
      <c r="J721" s="149"/>
      <c r="K721" s="149"/>
      <c r="L721" s="149"/>
      <c r="M721" s="149"/>
      <c r="N721" s="142"/>
      <c r="O721" s="33"/>
    </row>
    <row r="722" ht="15.75" customHeight="1">
      <c r="A722" s="142"/>
      <c r="B722" s="143"/>
      <c r="C722" s="144"/>
      <c r="D722" s="145"/>
      <c r="E722" s="142"/>
      <c r="F722" s="146"/>
      <c r="G722" s="147"/>
      <c r="H722" s="148"/>
      <c r="I722" s="148"/>
      <c r="J722" s="149"/>
      <c r="K722" s="149"/>
      <c r="L722" s="149"/>
      <c r="M722" s="149"/>
      <c r="N722" s="142"/>
      <c r="O722" s="33"/>
    </row>
    <row r="723" ht="15.75" customHeight="1">
      <c r="A723" s="142"/>
      <c r="B723" s="143"/>
      <c r="C723" s="144"/>
      <c r="D723" s="145"/>
      <c r="E723" s="142"/>
      <c r="F723" s="146"/>
      <c r="G723" s="147"/>
      <c r="H723" s="148"/>
      <c r="I723" s="148"/>
      <c r="J723" s="149"/>
      <c r="K723" s="149"/>
      <c r="L723" s="149"/>
      <c r="M723" s="149"/>
      <c r="N723" s="142"/>
      <c r="O723" s="33"/>
    </row>
    <row r="724" ht="15.75" customHeight="1">
      <c r="A724" s="142"/>
      <c r="B724" s="143"/>
      <c r="C724" s="144"/>
      <c r="D724" s="145"/>
      <c r="E724" s="142"/>
      <c r="F724" s="146"/>
      <c r="G724" s="147"/>
      <c r="H724" s="148"/>
      <c r="I724" s="148"/>
      <c r="J724" s="149"/>
      <c r="K724" s="149"/>
      <c r="L724" s="149"/>
      <c r="M724" s="149"/>
      <c r="N724" s="142"/>
      <c r="O724" s="33"/>
    </row>
    <row r="725" ht="15.75" customHeight="1">
      <c r="A725" s="142"/>
      <c r="B725" s="143"/>
      <c r="C725" s="144"/>
      <c r="D725" s="145"/>
      <c r="E725" s="142"/>
      <c r="F725" s="146"/>
      <c r="G725" s="147"/>
      <c r="H725" s="148"/>
      <c r="I725" s="148"/>
      <c r="J725" s="149"/>
      <c r="K725" s="149"/>
      <c r="L725" s="149"/>
      <c r="M725" s="149"/>
      <c r="N725" s="142"/>
      <c r="O725" s="33"/>
    </row>
    <row r="726" ht="15.75" customHeight="1">
      <c r="A726" s="142"/>
      <c r="B726" s="143"/>
      <c r="C726" s="144"/>
      <c r="D726" s="145"/>
      <c r="E726" s="142"/>
      <c r="F726" s="146"/>
      <c r="G726" s="147"/>
      <c r="H726" s="148"/>
      <c r="I726" s="148"/>
      <c r="J726" s="149"/>
      <c r="K726" s="149"/>
      <c r="L726" s="149"/>
      <c r="M726" s="149"/>
      <c r="N726" s="142"/>
      <c r="O726" s="33"/>
    </row>
    <row r="727" ht="15.75" customHeight="1">
      <c r="A727" s="142"/>
      <c r="B727" s="143"/>
      <c r="C727" s="144"/>
      <c r="D727" s="145"/>
      <c r="E727" s="142"/>
      <c r="F727" s="146"/>
      <c r="G727" s="147"/>
      <c r="H727" s="148"/>
      <c r="I727" s="148"/>
      <c r="J727" s="149"/>
      <c r="K727" s="149"/>
      <c r="L727" s="149"/>
      <c r="M727" s="149"/>
      <c r="N727" s="142"/>
      <c r="O727" s="33"/>
    </row>
    <row r="728" ht="15.75" customHeight="1">
      <c r="A728" s="142"/>
      <c r="B728" s="143"/>
      <c r="C728" s="144"/>
      <c r="D728" s="145"/>
      <c r="E728" s="142"/>
      <c r="F728" s="146"/>
      <c r="G728" s="147"/>
      <c r="H728" s="148"/>
      <c r="I728" s="148"/>
      <c r="J728" s="149"/>
      <c r="K728" s="149"/>
      <c r="L728" s="149"/>
      <c r="M728" s="149"/>
      <c r="N728" s="142"/>
      <c r="O728" s="33"/>
    </row>
    <row r="729" ht="15.75" customHeight="1">
      <c r="A729" s="142"/>
      <c r="B729" s="143"/>
      <c r="C729" s="144"/>
      <c r="D729" s="145"/>
      <c r="E729" s="142"/>
      <c r="F729" s="146"/>
      <c r="G729" s="147"/>
      <c r="H729" s="148"/>
      <c r="I729" s="148"/>
      <c r="J729" s="149"/>
      <c r="K729" s="149"/>
      <c r="L729" s="149"/>
      <c r="M729" s="149"/>
      <c r="N729" s="142"/>
      <c r="O729" s="33"/>
    </row>
    <row r="730" ht="15.75" customHeight="1">
      <c r="A730" s="142"/>
      <c r="B730" s="143"/>
      <c r="C730" s="144"/>
      <c r="D730" s="145"/>
      <c r="E730" s="142"/>
      <c r="F730" s="146"/>
      <c r="G730" s="147"/>
      <c r="H730" s="148"/>
      <c r="I730" s="148"/>
      <c r="J730" s="149"/>
      <c r="K730" s="149"/>
      <c r="L730" s="149"/>
      <c r="M730" s="149"/>
      <c r="N730" s="142"/>
      <c r="O730" s="33"/>
    </row>
    <row r="731" ht="15.75" customHeight="1">
      <c r="A731" s="142"/>
      <c r="B731" s="143"/>
      <c r="C731" s="144"/>
      <c r="D731" s="145"/>
      <c r="E731" s="142"/>
      <c r="F731" s="146"/>
      <c r="G731" s="147"/>
      <c r="H731" s="148"/>
      <c r="I731" s="148"/>
      <c r="J731" s="149"/>
      <c r="K731" s="149"/>
      <c r="L731" s="149"/>
      <c r="M731" s="149"/>
      <c r="N731" s="142"/>
      <c r="O731" s="33"/>
    </row>
    <row r="732" ht="15.75" customHeight="1">
      <c r="A732" s="142"/>
      <c r="B732" s="143"/>
      <c r="C732" s="144"/>
      <c r="D732" s="145"/>
      <c r="E732" s="142"/>
      <c r="F732" s="146"/>
      <c r="G732" s="147"/>
      <c r="H732" s="148"/>
      <c r="I732" s="148"/>
      <c r="J732" s="149"/>
      <c r="K732" s="149"/>
      <c r="L732" s="149"/>
      <c r="M732" s="149"/>
      <c r="N732" s="142"/>
      <c r="O732" s="33"/>
    </row>
    <row r="733" ht="15.75" customHeight="1">
      <c r="A733" s="142"/>
      <c r="B733" s="143"/>
      <c r="C733" s="144"/>
      <c r="D733" s="145"/>
      <c r="E733" s="142"/>
      <c r="F733" s="146"/>
      <c r="G733" s="147"/>
      <c r="H733" s="148"/>
      <c r="I733" s="148"/>
      <c r="J733" s="149"/>
      <c r="K733" s="149"/>
      <c r="L733" s="149"/>
      <c r="M733" s="149"/>
      <c r="N733" s="142"/>
      <c r="O733" s="33"/>
    </row>
    <row r="734" ht="15.75" customHeight="1">
      <c r="A734" s="142"/>
      <c r="B734" s="143"/>
      <c r="C734" s="144"/>
      <c r="D734" s="145"/>
      <c r="E734" s="142"/>
      <c r="F734" s="146"/>
      <c r="G734" s="147"/>
      <c r="H734" s="148"/>
      <c r="I734" s="148"/>
      <c r="J734" s="149"/>
      <c r="K734" s="149"/>
      <c r="L734" s="149"/>
      <c r="M734" s="149"/>
      <c r="N734" s="142"/>
      <c r="O734" s="33"/>
    </row>
    <row r="735" ht="15.75" customHeight="1">
      <c r="A735" s="142"/>
      <c r="B735" s="143"/>
      <c r="C735" s="144"/>
      <c r="D735" s="145"/>
      <c r="E735" s="142"/>
      <c r="F735" s="146"/>
      <c r="G735" s="147"/>
      <c r="H735" s="148"/>
      <c r="I735" s="148"/>
      <c r="J735" s="149"/>
      <c r="K735" s="149"/>
      <c r="L735" s="149"/>
      <c r="M735" s="149"/>
      <c r="N735" s="142"/>
      <c r="O735" s="33"/>
    </row>
    <row r="736" ht="15.75" customHeight="1">
      <c r="A736" s="142"/>
      <c r="B736" s="143"/>
      <c r="C736" s="144"/>
      <c r="D736" s="145"/>
      <c r="E736" s="142"/>
      <c r="F736" s="146"/>
      <c r="G736" s="147"/>
      <c r="H736" s="148"/>
      <c r="I736" s="148"/>
      <c r="J736" s="149"/>
      <c r="K736" s="149"/>
      <c r="L736" s="149"/>
      <c r="M736" s="149"/>
      <c r="N736" s="142"/>
      <c r="O736" s="33"/>
    </row>
    <row r="737" ht="15.75" customHeight="1">
      <c r="A737" s="142"/>
      <c r="B737" s="143"/>
      <c r="C737" s="144"/>
      <c r="D737" s="145"/>
      <c r="E737" s="142"/>
      <c r="F737" s="146"/>
      <c r="G737" s="147"/>
      <c r="H737" s="148"/>
      <c r="I737" s="148"/>
      <c r="J737" s="149"/>
      <c r="K737" s="149"/>
      <c r="L737" s="149"/>
      <c r="M737" s="149"/>
      <c r="N737" s="142"/>
      <c r="O737" s="33"/>
    </row>
    <row r="738" ht="15.75" customHeight="1">
      <c r="A738" s="142"/>
      <c r="B738" s="143"/>
      <c r="C738" s="144"/>
      <c r="D738" s="145"/>
      <c r="E738" s="142"/>
      <c r="F738" s="146"/>
      <c r="G738" s="147"/>
      <c r="H738" s="148"/>
      <c r="I738" s="148"/>
      <c r="J738" s="149"/>
      <c r="K738" s="149"/>
      <c r="L738" s="149"/>
      <c r="M738" s="149"/>
      <c r="N738" s="142"/>
      <c r="O738" s="33"/>
    </row>
    <row r="739" ht="15.75" customHeight="1">
      <c r="A739" s="142"/>
      <c r="B739" s="143"/>
      <c r="C739" s="144"/>
      <c r="D739" s="145"/>
      <c r="E739" s="142"/>
      <c r="F739" s="146"/>
      <c r="G739" s="147"/>
      <c r="H739" s="148"/>
      <c r="I739" s="148"/>
      <c r="J739" s="149"/>
      <c r="K739" s="149"/>
      <c r="L739" s="149"/>
      <c r="M739" s="149"/>
      <c r="N739" s="142"/>
      <c r="O739" s="33"/>
    </row>
    <row r="740" ht="15.75" customHeight="1">
      <c r="A740" s="142"/>
      <c r="B740" s="143"/>
      <c r="C740" s="144"/>
      <c r="D740" s="145"/>
      <c r="E740" s="142"/>
      <c r="F740" s="146"/>
      <c r="G740" s="147"/>
      <c r="H740" s="148"/>
      <c r="I740" s="148"/>
      <c r="J740" s="149"/>
      <c r="K740" s="149"/>
      <c r="L740" s="149"/>
      <c r="M740" s="149"/>
      <c r="N740" s="142"/>
      <c r="O740" s="33"/>
    </row>
    <row r="741" ht="15.75" customHeight="1">
      <c r="A741" s="142"/>
      <c r="B741" s="143"/>
      <c r="C741" s="144"/>
      <c r="D741" s="145"/>
      <c r="E741" s="142"/>
      <c r="F741" s="146"/>
      <c r="G741" s="147"/>
      <c r="H741" s="148"/>
      <c r="I741" s="148"/>
      <c r="J741" s="149"/>
      <c r="K741" s="149"/>
      <c r="L741" s="149"/>
      <c r="M741" s="149"/>
      <c r="N741" s="142"/>
      <c r="O741" s="33"/>
    </row>
    <row r="742" ht="15.75" customHeight="1">
      <c r="A742" s="142"/>
      <c r="B742" s="143"/>
      <c r="C742" s="144"/>
      <c r="D742" s="145"/>
      <c r="E742" s="142"/>
      <c r="F742" s="146"/>
      <c r="G742" s="147"/>
      <c r="H742" s="148"/>
      <c r="I742" s="148"/>
      <c r="J742" s="149"/>
      <c r="K742" s="149"/>
      <c r="L742" s="149"/>
      <c r="M742" s="149"/>
      <c r="N742" s="142"/>
      <c r="O742" s="33"/>
    </row>
    <row r="743" ht="15.75" customHeight="1">
      <c r="A743" s="142"/>
      <c r="B743" s="143"/>
      <c r="C743" s="144"/>
      <c r="D743" s="145"/>
      <c r="E743" s="142"/>
      <c r="F743" s="146"/>
      <c r="G743" s="147"/>
      <c r="H743" s="148"/>
      <c r="I743" s="148"/>
      <c r="J743" s="149"/>
      <c r="K743" s="149"/>
      <c r="L743" s="149"/>
      <c r="M743" s="149"/>
      <c r="N743" s="142"/>
      <c r="O743" s="33"/>
    </row>
    <row r="744" ht="15.75" customHeight="1">
      <c r="A744" s="142"/>
      <c r="B744" s="143"/>
      <c r="C744" s="144"/>
      <c r="D744" s="145"/>
      <c r="E744" s="142"/>
      <c r="F744" s="146"/>
      <c r="G744" s="147"/>
      <c r="H744" s="148"/>
      <c r="I744" s="148"/>
      <c r="J744" s="149"/>
      <c r="K744" s="149"/>
      <c r="L744" s="149"/>
      <c r="M744" s="149"/>
      <c r="N744" s="142"/>
      <c r="O744" s="33"/>
    </row>
    <row r="745" ht="15.75" customHeight="1">
      <c r="A745" s="142"/>
      <c r="B745" s="143"/>
      <c r="C745" s="144"/>
      <c r="D745" s="145"/>
      <c r="E745" s="142"/>
      <c r="F745" s="146"/>
      <c r="G745" s="147"/>
      <c r="H745" s="148"/>
      <c r="I745" s="148"/>
      <c r="J745" s="149"/>
      <c r="K745" s="149"/>
      <c r="L745" s="149"/>
      <c r="M745" s="149"/>
      <c r="N745" s="142"/>
      <c r="O745" s="33"/>
    </row>
    <row r="746" ht="15.75" customHeight="1">
      <c r="A746" s="142"/>
      <c r="B746" s="143"/>
      <c r="C746" s="144"/>
      <c r="D746" s="145"/>
      <c r="E746" s="142"/>
      <c r="F746" s="146"/>
      <c r="G746" s="147"/>
      <c r="H746" s="148"/>
      <c r="I746" s="148"/>
      <c r="J746" s="149"/>
      <c r="K746" s="149"/>
      <c r="L746" s="149"/>
      <c r="M746" s="149"/>
      <c r="N746" s="142"/>
      <c r="O746" s="33"/>
    </row>
    <row r="747" ht="15.75" customHeight="1">
      <c r="A747" s="142"/>
      <c r="B747" s="143"/>
      <c r="C747" s="144"/>
      <c r="D747" s="145"/>
      <c r="E747" s="142"/>
      <c r="F747" s="146"/>
      <c r="G747" s="147"/>
      <c r="H747" s="148"/>
      <c r="I747" s="148"/>
      <c r="J747" s="149"/>
      <c r="K747" s="149"/>
      <c r="L747" s="149"/>
      <c r="M747" s="149"/>
      <c r="N747" s="142"/>
      <c r="O747" s="33"/>
    </row>
    <row r="748" ht="15.75" customHeight="1">
      <c r="A748" s="142"/>
      <c r="B748" s="143"/>
      <c r="C748" s="144"/>
      <c r="D748" s="145"/>
      <c r="E748" s="142"/>
      <c r="F748" s="146"/>
      <c r="G748" s="147"/>
      <c r="H748" s="148"/>
      <c r="I748" s="148"/>
      <c r="J748" s="149"/>
      <c r="K748" s="149"/>
      <c r="L748" s="149"/>
      <c r="M748" s="149"/>
      <c r="N748" s="142"/>
      <c r="O748" s="33"/>
    </row>
    <row r="749" ht="15.75" customHeight="1">
      <c r="A749" s="142"/>
      <c r="B749" s="143"/>
      <c r="C749" s="144"/>
      <c r="D749" s="145"/>
      <c r="E749" s="142"/>
      <c r="F749" s="146"/>
      <c r="G749" s="147"/>
      <c r="H749" s="148"/>
      <c r="I749" s="148"/>
      <c r="J749" s="149"/>
      <c r="K749" s="149"/>
      <c r="L749" s="149"/>
      <c r="M749" s="149"/>
      <c r="N749" s="142"/>
      <c r="O749" s="33"/>
    </row>
    <row r="750" ht="15.75" customHeight="1">
      <c r="A750" s="142"/>
      <c r="B750" s="143"/>
      <c r="C750" s="144"/>
      <c r="D750" s="145"/>
      <c r="E750" s="142"/>
      <c r="F750" s="146"/>
      <c r="G750" s="147"/>
      <c r="H750" s="148"/>
      <c r="I750" s="148"/>
      <c r="J750" s="149"/>
      <c r="K750" s="149"/>
      <c r="L750" s="149"/>
      <c r="M750" s="149"/>
      <c r="N750" s="142"/>
      <c r="O750" s="33"/>
    </row>
    <row r="751" ht="15.75" customHeight="1">
      <c r="A751" s="142"/>
      <c r="B751" s="143"/>
      <c r="C751" s="144"/>
      <c r="D751" s="145"/>
      <c r="E751" s="142"/>
      <c r="F751" s="146"/>
      <c r="G751" s="147"/>
      <c r="H751" s="148"/>
      <c r="I751" s="148"/>
      <c r="J751" s="149"/>
      <c r="K751" s="149"/>
      <c r="L751" s="149"/>
      <c r="M751" s="149"/>
      <c r="N751" s="142"/>
      <c r="O751" s="33"/>
    </row>
    <row r="752" ht="15.75" customHeight="1">
      <c r="A752" s="142"/>
      <c r="B752" s="143"/>
      <c r="C752" s="144"/>
      <c r="D752" s="145"/>
      <c r="E752" s="142"/>
      <c r="F752" s="146"/>
      <c r="G752" s="147"/>
      <c r="H752" s="148"/>
      <c r="I752" s="148"/>
      <c r="J752" s="149"/>
      <c r="K752" s="149"/>
      <c r="L752" s="149"/>
      <c r="M752" s="149"/>
      <c r="N752" s="142"/>
      <c r="O752" s="33"/>
    </row>
    <row r="753" ht="15.75" customHeight="1">
      <c r="A753" s="142"/>
      <c r="B753" s="143"/>
      <c r="C753" s="144"/>
      <c r="D753" s="145"/>
      <c r="E753" s="142"/>
      <c r="F753" s="146"/>
      <c r="G753" s="147"/>
      <c r="H753" s="148"/>
      <c r="I753" s="148"/>
      <c r="J753" s="149"/>
      <c r="K753" s="149"/>
      <c r="L753" s="149"/>
      <c r="M753" s="149"/>
      <c r="N753" s="142"/>
      <c r="O753" s="33"/>
    </row>
    <row r="754" ht="15.75" customHeight="1">
      <c r="A754" s="142"/>
      <c r="B754" s="143"/>
      <c r="C754" s="144"/>
      <c r="D754" s="145"/>
      <c r="E754" s="142"/>
      <c r="F754" s="146"/>
      <c r="G754" s="147"/>
      <c r="H754" s="148"/>
      <c r="I754" s="148"/>
      <c r="J754" s="149"/>
      <c r="K754" s="149"/>
      <c r="L754" s="149"/>
      <c r="M754" s="149"/>
      <c r="N754" s="142"/>
      <c r="O754" s="33"/>
    </row>
    <row r="755" ht="15.75" customHeight="1">
      <c r="A755" s="142"/>
      <c r="B755" s="143"/>
      <c r="C755" s="144"/>
      <c r="D755" s="145"/>
      <c r="E755" s="142"/>
      <c r="F755" s="146"/>
      <c r="G755" s="147"/>
      <c r="H755" s="148"/>
      <c r="I755" s="148"/>
      <c r="J755" s="149"/>
      <c r="K755" s="149"/>
      <c r="L755" s="149"/>
      <c r="M755" s="149"/>
      <c r="N755" s="142"/>
      <c r="O755" s="33"/>
    </row>
    <row r="756" ht="15.75" customHeight="1">
      <c r="A756" s="142"/>
      <c r="B756" s="143"/>
      <c r="C756" s="144"/>
      <c r="D756" s="145"/>
      <c r="E756" s="142"/>
      <c r="F756" s="146"/>
      <c r="G756" s="147"/>
      <c r="H756" s="148"/>
      <c r="I756" s="148"/>
      <c r="J756" s="149"/>
      <c r="K756" s="149"/>
      <c r="L756" s="149"/>
      <c r="M756" s="149"/>
      <c r="N756" s="142"/>
      <c r="O756" s="33"/>
    </row>
    <row r="757" ht="15.75" customHeight="1">
      <c r="A757" s="142"/>
      <c r="B757" s="143"/>
      <c r="C757" s="144"/>
      <c r="D757" s="145"/>
      <c r="E757" s="142"/>
      <c r="F757" s="146"/>
      <c r="G757" s="147"/>
      <c r="H757" s="148"/>
      <c r="I757" s="148"/>
      <c r="J757" s="149"/>
      <c r="K757" s="149"/>
      <c r="L757" s="149"/>
      <c r="M757" s="149"/>
      <c r="N757" s="142"/>
      <c r="O757" s="33"/>
    </row>
    <row r="758" ht="15.75" customHeight="1">
      <c r="A758" s="142"/>
      <c r="B758" s="143"/>
      <c r="C758" s="144"/>
      <c r="D758" s="145"/>
      <c r="E758" s="142"/>
      <c r="F758" s="146"/>
      <c r="G758" s="147"/>
      <c r="H758" s="148"/>
      <c r="I758" s="148"/>
      <c r="J758" s="149"/>
      <c r="K758" s="149"/>
      <c r="L758" s="149"/>
      <c r="M758" s="149"/>
      <c r="N758" s="142"/>
      <c r="O758" s="33"/>
    </row>
    <row r="759" ht="15.75" customHeight="1">
      <c r="A759" s="142"/>
      <c r="B759" s="143"/>
      <c r="C759" s="144"/>
      <c r="D759" s="145"/>
      <c r="E759" s="142"/>
      <c r="F759" s="146"/>
      <c r="G759" s="147"/>
      <c r="H759" s="148"/>
      <c r="I759" s="148"/>
      <c r="J759" s="149"/>
      <c r="K759" s="149"/>
      <c r="L759" s="149"/>
      <c r="M759" s="149"/>
      <c r="N759" s="142"/>
      <c r="O759" s="33"/>
    </row>
    <row r="760" ht="15.75" customHeight="1">
      <c r="A760" s="142"/>
      <c r="B760" s="143"/>
      <c r="C760" s="144"/>
      <c r="D760" s="145"/>
      <c r="E760" s="142"/>
      <c r="F760" s="146"/>
      <c r="G760" s="147"/>
      <c r="H760" s="148"/>
      <c r="I760" s="148"/>
      <c r="J760" s="149"/>
      <c r="K760" s="149"/>
      <c r="L760" s="149"/>
      <c r="M760" s="149"/>
      <c r="N760" s="142"/>
      <c r="O760" s="33"/>
    </row>
    <row r="761" ht="15.75" customHeight="1">
      <c r="A761" s="142"/>
      <c r="B761" s="143"/>
      <c r="C761" s="144"/>
      <c r="D761" s="145"/>
      <c r="E761" s="142"/>
      <c r="F761" s="146"/>
      <c r="G761" s="147"/>
      <c r="H761" s="148"/>
      <c r="I761" s="148"/>
      <c r="J761" s="149"/>
      <c r="K761" s="149"/>
      <c r="L761" s="149"/>
      <c r="M761" s="149"/>
      <c r="N761" s="142"/>
      <c r="O761" s="33"/>
    </row>
    <row r="762" ht="15.75" customHeight="1">
      <c r="A762" s="142"/>
      <c r="B762" s="143"/>
      <c r="C762" s="144"/>
      <c r="D762" s="145"/>
      <c r="E762" s="142"/>
      <c r="F762" s="146"/>
      <c r="G762" s="147"/>
      <c r="H762" s="148"/>
      <c r="I762" s="148"/>
      <c r="J762" s="149"/>
      <c r="K762" s="149"/>
      <c r="L762" s="149"/>
      <c r="M762" s="149"/>
      <c r="N762" s="142"/>
      <c r="O762" s="33"/>
    </row>
    <row r="763" ht="15.75" customHeight="1">
      <c r="A763" s="142"/>
      <c r="B763" s="143"/>
      <c r="C763" s="144"/>
      <c r="D763" s="145"/>
      <c r="E763" s="142"/>
      <c r="F763" s="146"/>
      <c r="G763" s="147"/>
      <c r="H763" s="148"/>
      <c r="I763" s="148"/>
      <c r="J763" s="149"/>
      <c r="K763" s="149"/>
      <c r="L763" s="149"/>
      <c r="M763" s="149"/>
      <c r="N763" s="142"/>
      <c r="O763" s="33"/>
    </row>
    <row r="764" ht="15.75" customHeight="1">
      <c r="A764" s="142"/>
      <c r="B764" s="143"/>
      <c r="C764" s="144"/>
      <c r="D764" s="145"/>
      <c r="E764" s="142"/>
      <c r="F764" s="146"/>
      <c r="G764" s="147"/>
      <c r="H764" s="148"/>
      <c r="I764" s="148"/>
      <c r="J764" s="149"/>
      <c r="K764" s="149"/>
      <c r="L764" s="149"/>
      <c r="M764" s="149"/>
      <c r="N764" s="142"/>
      <c r="O764" s="33"/>
    </row>
    <row r="765" ht="15.75" customHeight="1">
      <c r="A765" s="142"/>
      <c r="B765" s="143"/>
      <c r="C765" s="144"/>
      <c r="D765" s="145"/>
      <c r="E765" s="142"/>
      <c r="F765" s="146"/>
      <c r="G765" s="147"/>
      <c r="H765" s="148"/>
      <c r="I765" s="148"/>
      <c r="J765" s="149"/>
      <c r="K765" s="149"/>
      <c r="L765" s="149"/>
      <c r="M765" s="149"/>
      <c r="N765" s="142"/>
      <c r="O765" s="33"/>
    </row>
    <row r="766" ht="15.75" customHeight="1">
      <c r="A766" s="142"/>
      <c r="B766" s="143"/>
      <c r="C766" s="144"/>
      <c r="D766" s="145"/>
      <c r="E766" s="142"/>
      <c r="F766" s="146"/>
      <c r="G766" s="147"/>
      <c r="H766" s="148"/>
      <c r="I766" s="148"/>
      <c r="J766" s="149"/>
      <c r="K766" s="149"/>
      <c r="L766" s="149"/>
      <c r="M766" s="149"/>
      <c r="N766" s="142"/>
      <c r="O766" s="33"/>
    </row>
    <row r="767" ht="15.75" customHeight="1">
      <c r="A767" s="142"/>
      <c r="B767" s="143"/>
      <c r="C767" s="144"/>
      <c r="D767" s="145"/>
      <c r="E767" s="142"/>
      <c r="F767" s="146"/>
      <c r="G767" s="147"/>
      <c r="H767" s="148"/>
      <c r="I767" s="148"/>
      <c r="J767" s="149"/>
      <c r="K767" s="149"/>
      <c r="L767" s="149"/>
      <c r="M767" s="149"/>
      <c r="N767" s="142"/>
      <c r="O767" s="33"/>
    </row>
    <row r="768" ht="15.75" customHeight="1">
      <c r="A768" s="142"/>
      <c r="B768" s="143"/>
      <c r="C768" s="144"/>
      <c r="D768" s="145"/>
      <c r="E768" s="142"/>
      <c r="F768" s="146"/>
      <c r="G768" s="147"/>
      <c r="H768" s="148"/>
      <c r="I768" s="148"/>
      <c r="J768" s="149"/>
      <c r="K768" s="149"/>
      <c r="L768" s="149"/>
      <c r="M768" s="149"/>
      <c r="N768" s="142"/>
      <c r="O768" s="33"/>
    </row>
    <row r="769" ht="15.75" customHeight="1">
      <c r="A769" s="142"/>
      <c r="B769" s="143"/>
      <c r="C769" s="144"/>
      <c r="D769" s="145"/>
      <c r="E769" s="142"/>
      <c r="F769" s="146"/>
      <c r="G769" s="147"/>
      <c r="H769" s="148"/>
      <c r="I769" s="148"/>
      <c r="J769" s="149"/>
      <c r="K769" s="149"/>
      <c r="L769" s="149"/>
      <c r="M769" s="149"/>
      <c r="N769" s="142"/>
      <c r="O769" s="33"/>
    </row>
    <row r="770" ht="15.75" customHeight="1">
      <c r="A770" s="142"/>
      <c r="B770" s="143"/>
      <c r="C770" s="144"/>
      <c r="D770" s="145"/>
      <c r="E770" s="142"/>
      <c r="F770" s="146"/>
      <c r="G770" s="147"/>
      <c r="H770" s="148"/>
      <c r="I770" s="148"/>
      <c r="J770" s="149"/>
      <c r="K770" s="149"/>
      <c r="L770" s="149"/>
      <c r="M770" s="149"/>
      <c r="N770" s="142"/>
      <c r="O770" s="33"/>
    </row>
    <row r="771" ht="15.75" customHeight="1">
      <c r="A771" s="142"/>
      <c r="B771" s="143"/>
      <c r="C771" s="144"/>
      <c r="D771" s="145"/>
      <c r="E771" s="142"/>
      <c r="F771" s="146"/>
      <c r="G771" s="147"/>
      <c r="H771" s="148"/>
      <c r="I771" s="148"/>
      <c r="J771" s="149"/>
      <c r="K771" s="149"/>
      <c r="L771" s="149"/>
      <c r="M771" s="149"/>
      <c r="N771" s="142"/>
      <c r="O771" s="33"/>
    </row>
    <row r="772" ht="15.75" customHeight="1">
      <c r="A772" s="142"/>
      <c r="B772" s="143"/>
      <c r="C772" s="144"/>
      <c r="D772" s="145"/>
      <c r="E772" s="142"/>
      <c r="F772" s="146"/>
      <c r="G772" s="147"/>
      <c r="H772" s="148"/>
      <c r="I772" s="148"/>
      <c r="J772" s="149"/>
      <c r="K772" s="149"/>
      <c r="L772" s="149"/>
      <c r="M772" s="149"/>
      <c r="N772" s="142"/>
      <c r="O772" s="33"/>
    </row>
    <row r="773" ht="15.75" customHeight="1">
      <c r="A773" s="142"/>
      <c r="B773" s="143"/>
      <c r="C773" s="144"/>
      <c r="D773" s="145"/>
      <c r="E773" s="142"/>
      <c r="F773" s="146"/>
      <c r="G773" s="147"/>
      <c r="H773" s="148"/>
      <c r="I773" s="148"/>
      <c r="J773" s="149"/>
      <c r="K773" s="149"/>
      <c r="L773" s="149"/>
      <c r="M773" s="149"/>
      <c r="N773" s="142"/>
      <c r="O773" s="33"/>
    </row>
    <row r="774" ht="15.75" customHeight="1">
      <c r="A774" s="142"/>
      <c r="B774" s="143"/>
      <c r="C774" s="144"/>
      <c r="D774" s="145"/>
      <c r="E774" s="142"/>
      <c r="F774" s="146"/>
      <c r="G774" s="147"/>
      <c r="H774" s="148"/>
      <c r="I774" s="148"/>
      <c r="J774" s="149"/>
      <c r="K774" s="149"/>
      <c r="L774" s="149"/>
      <c r="M774" s="149"/>
      <c r="N774" s="142"/>
      <c r="O774" s="33"/>
    </row>
    <row r="775" ht="15.75" customHeight="1">
      <c r="A775" s="142"/>
      <c r="B775" s="143"/>
      <c r="C775" s="144"/>
      <c r="D775" s="145"/>
      <c r="E775" s="142"/>
      <c r="F775" s="146"/>
      <c r="G775" s="147"/>
      <c r="H775" s="148"/>
      <c r="I775" s="148"/>
      <c r="J775" s="149"/>
      <c r="K775" s="149"/>
      <c r="L775" s="149"/>
      <c r="M775" s="149"/>
      <c r="N775" s="142"/>
      <c r="O775" s="33"/>
    </row>
    <row r="776" ht="15.75" customHeight="1">
      <c r="A776" s="142"/>
      <c r="B776" s="143"/>
      <c r="C776" s="144"/>
      <c r="D776" s="145"/>
      <c r="E776" s="142"/>
      <c r="F776" s="146"/>
      <c r="G776" s="147"/>
      <c r="H776" s="148"/>
      <c r="I776" s="148"/>
      <c r="J776" s="149"/>
      <c r="K776" s="149"/>
      <c r="L776" s="149"/>
      <c r="M776" s="149"/>
      <c r="N776" s="142"/>
      <c r="O776" s="33"/>
    </row>
    <row r="777" ht="15.75" customHeight="1">
      <c r="A777" s="142"/>
      <c r="B777" s="143"/>
      <c r="C777" s="144"/>
      <c r="D777" s="145"/>
      <c r="E777" s="142"/>
      <c r="F777" s="146"/>
      <c r="G777" s="147"/>
      <c r="H777" s="148"/>
      <c r="I777" s="148"/>
      <c r="J777" s="149"/>
      <c r="K777" s="149"/>
      <c r="L777" s="149"/>
      <c r="M777" s="149"/>
      <c r="N777" s="142"/>
      <c r="O777" s="33"/>
    </row>
    <row r="778" ht="15.75" customHeight="1">
      <c r="A778" s="142"/>
      <c r="B778" s="143"/>
      <c r="C778" s="144"/>
      <c r="D778" s="145"/>
      <c r="E778" s="142"/>
      <c r="F778" s="146"/>
      <c r="G778" s="147"/>
      <c r="H778" s="148"/>
      <c r="I778" s="148"/>
      <c r="J778" s="149"/>
      <c r="K778" s="149"/>
      <c r="L778" s="149"/>
      <c r="M778" s="149"/>
      <c r="N778" s="142"/>
      <c r="O778" s="33"/>
    </row>
    <row r="779" ht="15.75" customHeight="1">
      <c r="A779" s="142"/>
      <c r="B779" s="143"/>
      <c r="C779" s="144"/>
      <c r="D779" s="145"/>
      <c r="E779" s="142"/>
      <c r="F779" s="146"/>
      <c r="G779" s="147"/>
      <c r="H779" s="148"/>
      <c r="I779" s="148"/>
      <c r="J779" s="149"/>
      <c r="K779" s="149"/>
      <c r="L779" s="149"/>
      <c r="M779" s="149"/>
      <c r="N779" s="142"/>
      <c r="O779" s="33"/>
    </row>
    <row r="780" ht="15.75" customHeight="1">
      <c r="A780" s="142"/>
      <c r="B780" s="143"/>
      <c r="C780" s="144"/>
      <c r="D780" s="145"/>
      <c r="E780" s="142"/>
      <c r="F780" s="146"/>
      <c r="G780" s="147"/>
      <c r="H780" s="148"/>
      <c r="I780" s="148"/>
      <c r="J780" s="149"/>
      <c r="K780" s="149"/>
      <c r="L780" s="149"/>
      <c r="M780" s="149"/>
      <c r="N780" s="142"/>
      <c r="O780" s="33"/>
    </row>
    <row r="781" ht="15.75" customHeight="1">
      <c r="A781" s="142"/>
      <c r="B781" s="143"/>
      <c r="C781" s="144"/>
      <c r="D781" s="145"/>
      <c r="E781" s="142"/>
      <c r="F781" s="146"/>
      <c r="G781" s="147"/>
      <c r="H781" s="148"/>
      <c r="I781" s="148"/>
      <c r="J781" s="149"/>
      <c r="K781" s="149"/>
      <c r="L781" s="149"/>
      <c r="M781" s="149"/>
      <c r="N781" s="142"/>
      <c r="O781" s="33"/>
    </row>
    <row r="782" ht="15.75" customHeight="1">
      <c r="A782" s="142"/>
      <c r="B782" s="143"/>
      <c r="C782" s="144"/>
      <c r="D782" s="145"/>
      <c r="E782" s="142"/>
      <c r="F782" s="146"/>
      <c r="G782" s="147"/>
      <c r="H782" s="148"/>
      <c r="I782" s="148"/>
      <c r="J782" s="149"/>
      <c r="K782" s="149"/>
      <c r="L782" s="149"/>
      <c r="M782" s="149"/>
      <c r="N782" s="142"/>
      <c r="O782" s="33"/>
    </row>
    <row r="783" ht="15.75" customHeight="1">
      <c r="A783" s="142"/>
      <c r="B783" s="143"/>
      <c r="C783" s="144"/>
      <c r="D783" s="145"/>
      <c r="E783" s="142"/>
      <c r="F783" s="146"/>
      <c r="G783" s="147"/>
      <c r="H783" s="148"/>
      <c r="I783" s="148"/>
      <c r="J783" s="149"/>
      <c r="K783" s="149"/>
      <c r="L783" s="149"/>
      <c r="M783" s="149"/>
      <c r="N783" s="142"/>
      <c r="O783" s="33"/>
    </row>
    <row r="784" ht="15.75" customHeight="1">
      <c r="A784" s="142"/>
      <c r="B784" s="143"/>
      <c r="C784" s="144"/>
      <c r="D784" s="145"/>
      <c r="E784" s="142"/>
      <c r="F784" s="146"/>
      <c r="G784" s="147"/>
      <c r="H784" s="148"/>
      <c r="I784" s="148"/>
      <c r="J784" s="149"/>
      <c r="K784" s="149"/>
      <c r="L784" s="149"/>
      <c r="M784" s="149"/>
      <c r="N784" s="142"/>
      <c r="O784" s="33"/>
    </row>
    <row r="785" ht="15.75" customHeight="1">
      <c r="A785" s="142"/>
      <c r="B785" s="143"/>
      <c r="C785" s="144"/>
      <c r="D785" s="145"/>
      <c r="E785" s="142"/>
      <c r="F785" s="146"/>
      <c r="G785" s="147"/>
      <c r="H785" s="148"/>
      <c r="I785" s="148"/>
      <c r="J785" s="149"/>
      <c r="K785" s="149"/>
      <c r="L785" s="149"/>
      <c r="M785" s="149"/>
      <c r="N785" s="142"/>
      <c r="O785" s="33"/>
    </row>
    <row r="786" ht="15.75" customHeight="1">
      <c r="A786" s="142"/>
      <c r="B786" s="143"/>
      <c r="C786" s="144"/>
      <c r="D786" s="145"/>
      <c r="E786" s="142"/>
      <c r="F786" s="146"/>
      <c r="G786" s="147"/>
      <c r="H786" s="148"/>
      <c r="I786" s="148"/>
      <c r="J786" s="149"/>
      <c r="K786" s="149"/>
      <c r="L786" s="149"/>
      <c r="M786" s="149"/>
      <c r="N786" s="142"/>
      <c r="O786" s="33"/>
    </row>
    <row r="787" ht="15.75" customHeight="1">
      <c r="A787" s="142"/>
      <c r="B787" s="143"/>
      <c r="C787" s="144"/>
      <c r="D787" s="145"/>
      <c r="E787" s="142"/>
      <c r="F787" s="146"/>
      <c r="G787" s="147"/>
      <c r="H787" s="148"/>
      <c r="I787" s="148"/>
      <c r="J787" s="149"/>
      <c r="K787" s="149"/>
      <c r="L787" s="149"/>
      <c r="M787" s="149"/>
      <c r="N787" s="142"/>
      <c r="O787" s="33"/>
    </row>
    <row r="788" ht="15.75" customHeight="1">
      <c r="A788" s="142"/>
      <c r="B788" s="143"/>
      <c r="C788" s="144"/>
      <c r="D788" s="145"/>
      <c r="E788" s="142"/>
      <c r="F788" s="146"/>
      <c r="G788" s="147"/>
      <c r="H788" s="148"/>
      <c r="I788" s="148"/>
      <c r="J788" s="149"/>
      <c r="K788" s="149"/>
      <c r="L788" s="149"/>
      <c r="M788" s="149"/>
      <c r="N788" s="142"/>
      <c r="O788" s="33"/>
    </row>
    <row r="789" ht="15.75" customHeight="1">
      <c r="A789" s="142"/>
      <c r="B789" s="143"/>
      <c r="C789" s="144"/>
      <c r="D789" s="145"/>
      <c r="E789" s="142"/>
      <c r="F789" s="146"/>
      <c r="G789" s="147"/>
      <c r="H789" s="148"/>
      <c r="I789" s="148"/>
      <c r="J789" s="149"/>
      <c r="K789" s="149"/>
      <c r="L789" s="149"/>
      <c r="M789" s="149"/>
      <c r="N789" s="142"/>
      <c r="O789" s="33"/>
    </row>
    <row r="790" ht="15.75" customHeight="1">
      <c r="A790" s="142"/>
      <c r="B790" s="143"/>
      <c r="C790" s="144"/>
      <c r="D790" s="145"/>
      <c r="E790" s="142"/>
      <c r="F790" s="146"/>
      <c r="G790" s="147"/>
      <c r="H790" s="148"/>
      <c r="I790" s="148"/>
      <c r="J790" s="149"/>
      <c r="K790" s="149"/>
      <c r="L790" s="149"/>
      <c r="M790" s="149"/>
      <c r="N790" s="142"/>
      <c r="O790" s="33"/>
    </row>
    <row r="791" ht="15.75" customHeight="1">
      <c r="A791" s="142"/>
      <c r="B791" s="143"/>
      <c r="C791" s="144"/>
      <c r="D791" s="145"/>
      <c r="E791" s="142"/>
      <c r="F791" s="146"/>
      <c r="G791" s="147"/>
      <c r="H791" s="148"/>
      <c r="I791" s="148"/>
      <c r="J791" s="149"/>
      <c r="K791" s="149"/>
      <c r="L791" s="149"/>
      <c r="M791" s="149"/>
      <c r="N791" s="142"/>
      <c r="O791" s="33"/>
    </row>
    <row r="792" ht="15.75" customHeight="1">
      <c r="A792" s="142"/>
      <c r="B792" s="143"/>
      <c r="C792" s="144"/>
      <c r="D792" s="145"/>
      <c r="E792" s="142"/>
      <c r="F792" s="146"/>
      <c r="G792" s="147"/>
      <c r="H792" s="148"/>
      <c r="I792" s="148"/>
      <c r="J792" s="149"/>
      <c r="K792" s="149"/>
      <c r="L792" s="149"/>
      <c r="M792" s="149"/>
      <c r="N792" s="142"/>
      <c r="O792" s="33"/>
    </row>
    <row r="793" ht="15.75" customHeight="1">
      <c r="A793" s="142"/>
      <c r="B793" s="143"/>
      <c r="C793" s="144"/>
      <c r="D793" s="145"/>
      <c r="E793" s="142"/>
      <c r="F793" s="146"/>
      <c r="G793" s="147"/>
      <c r="H793" s="148"/>
      <c r="I793" s="148"/>
      <c r="J793" s="149"/>
      <c r="K793" s="149"/>
      <c r="L793" s="149"/>
      <c r="M793" s="149"/>
      <c r="N793" s="142"/>
      <c r="O793" s="33"/>
    </row>
    <row r="794" ht="15.75" customHeight="1">
      <c r="A794" s="142"/>
      <c r="B794" s="143"/>
      <c r="C794" s="144"/>
      <c r="D794" s="145"/>
      <c r="E794" s="142"/>
      <c r="F794" s="146"/>
      <c r="G794" s="147"/>
      <c r="H794" s="148"/>
      <c r="I794" s="148"/>
      <c r="J794" s="149"/>
      <c r="K794" s="149"/>
      <c r="L794" s="149"/>
      <c r="M794" s="149"/>
      <c r="N794" s="142"/>
      <c r="O794" s="33"/>
    </row>
    <row r="795" ht="15.75" customHeight="1">
      <c r="A795" s="142"/>
      <c r="B795" s="143"/>
      <c r="C795" s="144"/>
      <c r="D795" s="145"/>
      <c r="E795" s="142"/>
      <c r="F795" s="146"/>
      <c r="G795" s="147"/>
      <c r="H795" s="148"/>
      <c r="I795" s="148"/>
      <c r="J795" s="149"/>
      <c r="K795" s="149"/>
      <c r="L795" s="149"/>
      <c r="M795" s="149"/>
      <c r="N795" s="142"/>
      <c r="O795" s="33"/>
    </row>
    <row r="796" ht="15.75" customHeight="1">
      <c r="A796" s="142"/>
      <c r="B796" s="143"/>
      <c r="C796" s="144"/>
      <c r="D796" s="145"/>
      <c r="E796" s="142"/>
      <c r="F796" s="146"/>
      <c r="G796" s="147"/>
      <c r="H796" s="148"/>
      <c r="I796" s="148"/>
      <c r="J796" s="149"/>
      <c r="K796" s="149"/>
      <c r="L796" s="149"/>
      <c r="M796" s="149"/>
      <c r="N796" s="142"/>
      <c r="O796" s="33"/>
    </row>
    <row r="797" ht="15.75" customHeight="1">
      <c r="A797" s="142"/>
      <c r="B797" s="143"/>
      <c r="C797" s="144"/>
      <c r="D797" s="145"/>
      <c r="E797" s="142"/>
      <c r="F797" s="146"/>
      <c r="G797" s="147"/>
      <c r="H797" s="148"/>
      <c r="I797" s="148"/>
      <c r="J797" s="149"/>
      <c r="K797" s="149"/>
      <c r="L797" s="149"/>
      <c r="M797" s="149"/>
      <c r="N797" s="142"/>
      <c r="O797" s="33"/>
    </row>
    <row r="798" ht="15.75" customHeight="1">
      <c r="A798" s="142"/>
      <c r="B798" s="143"/>
      <c r="C798" s="144"/>
      <c r="D798" s="145"/>
      <c r="E798" s="142"/>
      <c r="F798" s="146"/>
      <c r="G798" s="147"/>
      <c r="H798" s="148"/>
      <c r="I798" s="148"/>
      <c r="J798" s="149"/>
      <c r="K798" s="149"/>
      <c r="L798" s="149"/>
      <c r="M798" s="149"/>
      <c r="N798" s="142"/>
      <c r="O798" s="33"/>
    </row>
    <row r="799" ht="15.75" customHeight="1">
      <c r="A799" s="142"/>
      <c r="B799" s="143"/>
      <c r="C799" s="144"/>
      <c r="D799" s="145"/>
      <c r="E799" s="142"/>
      <c r="F799" s="146"/>
      <c r="G799" s="147"/>
      <c r="H799" s="148"/>
      <c r="I799" s="148"/>
      <c r="J799" s="149"/>
      <c r="K799" s="149"/>
      <c r="L799" s="149"/>
      <c r="M799" s="149"/>
      <c r="N799" s="142"/>
      <c r="O799" s="33"/>
    </row>
    <row r="800" ht="15.75" customHeight="1">
      <c r="A800" s="142"/>
      <c r="B800" s="143"/>
      <c r="C800" s="144"/>
      <c r="D800" s="145"/>
      <c r="E800" s="142"/>
      <c r="F800" s="146"/>
      <c r="G800" s="147"/>
      <c r="H800" s="148"/>
      <c r="I800" s="148"/>
      <c r="J800" s="149"/>
      <c r="K800" s="149"/>
      <c r="L800" s="149"/>
      <c r="M800" s="149"/>
      <c r="N800" s="142"/>
      <c r="O800" s="33"/>
    </row>
    <row r="801" ht="15.75" customHeight="1">
      <c r="A801" s="142"/>
      <c r="B801" s="143"/>
      <c r="C801" s="144"/>
      <c r="D801" s="145"/>
      <c r="E801" s="142"/>
      <c r="F801" s="146"/>
      <c r="G801" s="147"/>
      <c r="H801" s="148"/>
      <c r="I801" s="148"/>
      <c r="J801" s="149"/>
      <c r="K801" s="149"/>
      <c r="L801" s="149"/>
      <c r="M801" s="149"/>
      <c r="N801" s="142"/>
      <c r="O801" s="33"/>
    </row>
    <row r="802" ht="15.75" customHeight="1">
      <c r="A802" s="142"/>
      <c r="B802" s="143"/>
      <c r="C802" s="144"/>
      <c r="D802" s="145"/>
      <c r="E802" s="142"/>
      <c r="F802" s="146"/>
      <c r="G802" s="147"/>
      <c r="H802" s="148"/>
      <c r="I802" s="148"/>
      <c r="J802" s="149"/>
      <c r="K802" s="149"/>
      <c r="L802" s="149"/>
      <c r="M802" s="149"/>
      <c r="N802" s="142"/>
      <c r="O802" s="33"/>
    </row>
    <row r="803" ht="15.75" customHeight="1">
      <c r="A803" s="142"/>
      <c r="B803" s="143"/>
      <c r="C803" s="144"/>
      <c r="D803" s="145"/>
      <c r="E803" s="142"/>
      <c r="F803" s="146"/>
      <c r="G803" s="147"/>
      <c r="H803" s="148"/>
      <c r="I803" s="148"/>
      <c r="J803" s="149"/>
      <c r="K803" s="149"/>
      <c r="L803" s="149"/>
      <c r="M803" s="149"/>
      <c r="N803" s="142"/>
      <c r="O803" s="33"/>
    </row>
    <row r="804" ht="15.75" customHeight="1">
      <c r="A804" s="142"/>
      <c r="B804" s="143"/>
      <c r="C804" s="144"/>
      <c r="D804" s="145"/>
      <c r="E804" s="142"/>
      <c r="F804" s="146"/>
      <c r="G804" s="147"/>
      <c r="H804" s="148"/>
      <c r="I804" s="148"/>
      <c r="J804" s="149"/>
      <c r="K804" s="149"/>
      <c r="L804" s="149"/>
      <c r="M804" s="149"/>
      <c r="N804" s="142"/>
      <c r="O804" s="33"/>
    </row>
    <row r="805" ht="15.75" customHeight="1">
      <c r="A805" s="142"/>
      <c r="B805" s="143"/>
      <c r="C805" s="144"/>
      <c r="D805" s="145"/>
      <c r="E805" s="142"/>
      <c r="F805" s="146"/>
      <c r="G805" s="147"/>
      <c r="H805" s="148"/>
      <c r="I805" s="148"/>
      <c r="J805" s="149"/>
      <c r="K805" s="149"/>
      <c r="L805" s="149"/>
      <c r="M805" s="149"/>
      <c r="N805" s="142"/>
      <c r="O805" s="33"/>
    </row>
    <row r="806" ht="15.75" customHeight="1">
      <c r="A806" s="142"/>
      <c r="B806" s="143"/>
      <c r="C806" s="144"/>
      <c r="D806" s="145"/>
      <c r="E806" s="142"/>
      <c r="F806" s="146"/>
      <c r="G806" s="147"/>
      <c r="H806" s="148"/>
      <c r="I806" s="148"/>
      <c r="J806" s="149"/>
      <c r="K806" s="149"/>
      <c r="L806" s="149"/>
      <c r="M806" s="149"/>
      <c r="N806" s="142"/>
      <c r="O806" s="33"/>
    </row>
    <row r="807" ht="15.75" customHeight="1">
      <c r="A807" s="142"/>
      <c r="B807" s="143"/>
      <c r="C807" s="144"/>
      <c r="D807" s="145"/>
      <c r="E807" s="142"/>
      <c r="F807" s="146"/>
      <c r="G807" s="147"/>
      <c r="H807" s="148"/>
      <c r="I807" s="148"/>
      <c r="J807" s="149"/>
      <c r="K807" s="149"/>
      <c r="L807" s="149"/>
      <c r="M807" s="149"/>
      <c r="N807" s="142"/>
      <c r="O807" s="33"/>
    </row>
    <row r="808" ht="15.75" customHeight="1">
      <c r="A808" s="142"/>
      <c r="B808" s="143"/>
      <c r="C808" s="144"/>
      <c r="D808" s="145"/>
      <c r="E808" s="142"/>
      <c r="F808" s="146"/>
      <c r="G808" s="147"/>
      <c r="H808" s="148"/>
      <c r="I808" s="148"/>
      <c r="J808" s="149"/>
      <c r="K808" s="149"/>
      <c r="L808" s="149"/>
      <c r="M808" s="149"/>
      <c r="N808" s="142"/>
      <c r="O808" s="33"/>
    </row>
    <row r="809" ht="15.75" customHeight="1">
      <c r="A809" s="142"/>
      <c r="B809" s="143"/>
      <c r="C809" s="144"/>
      <c r="D809" s="145"/>
      <c r="E809" s="142"/>
      <c r="F809" s="146"/>
      <c r="G809" s="147"/>
      <c r="H809" s="148"/>
      <c r="I809" s="148"/>
      <c r="J809" s="149"/>
      <c r="K809" s="149"/>
      <c r="L809" s="149"/>
      <c r="M809" s="149"/>
      <c r="N809" s="142"/>
      <c r="O809" s="33"/>
    </row>
    <row r="810" ht="15.75" customHeight="1">
      <c r="A810" s="142"/>
      <c r="B810" s="143"/>
      <c r="C810" s="144"/>
      <c r="D810" s="145"/>
      <c r="E810" s="142"/>
      <c r="F810" s="146"/>
      <c r="G810" s="147"/>
      <c r="H810" s="148"/>
      <c r="I810" s="148"/>
      <c r="J810" s="149"/>
      <c r="K810" s="149"/>
      <c r="L810" s="149"/>
      <c r="M810" s="149"/>
      <c r="N810" s="142"/>
      <c r="O810" s="33"/>
    </row>
    <row r="811" ht="15.75" customHeight="1">
      <c r="A811" s="142"/>
      <c r="B811" s="143"/>
      <c r="C811" s="144"/>
      <c r="D811" s="145"/>
      <c r="E811" s="142"/>
      <c r="F811" s="146"/>
      <c r="G811" s="147"/>
      <c r="H811" s="148"/>
      <c r="I811" s="148"/>
      <c r="J811" s="149"/>
      <c r="K811" s="149"/>
      <c r="L811" s="149"/>
      <c r="M811" s="149"/>
      <c r="N811" s="142"/>
      <c r="O811" s="33"/>
    </row>
    <row r="812" ht="15.75" customHeight="1">
      <c r="A812" s="142"/>
      <c r="B812" s="143"/>
      <c r="C812" s="144"/>
      <c r="D812" s="145"/>
      <c r="E812" s="142"/>
      <c r="F812" s="146"/>
      <c r="G812" s="147"/>
      <c r="H812" s="148"/>
      <c r="I812" s="148"/>
      <c r="J812" s="149"/>
      <c r="K812" s="149"/>
      <c r="L812" s="149"/>
      <c r="M812" s="149"/>
      <c r="N812" s="142"/>
      <c r="O812" s="33"/>
    </row>
    <row r="813" ht="15.75" customHeight="1">
      <c r="A813" s="142"/>
      <c r="B813" s="143"/>
      <c r="C813" s="144"/>
      <c r="D813" s="145"/>
      <c r="E813" s="142"/>
      <c r="F813" s="146"/>
      <c r="G813" s="147"/>
      <c r="H813" s="148"/>
      <c r="I813" s="148"/>
      <c r="J813" s="149"/>
      <c r="K813" s="149"/>
      <c r="L813" s="149"/>
      <c r="M813" s="149"/>
      <c r="N813" s="142"/>
      <c r="O813" s="33"/>
    </row>
    <row r="814" ht="15.75" customHeight="1">
      <c r="A814" s="142"/>
      <c r="B814" s="143"/>
      <c r="C814" s="144"/>
      <c r="D814" s="145"/>
      <c r="E814" s="142"/>
      <c r="F814" s="146"/>
      <c r="G814" s="147"/>
      <c r="H814" s="148"/>
      <c r="I814" s="148"/>
      <c r="J814" s="149"/>
      <c r="K814" s="149"/>
      <c r="L814" s="149"/>
      <c r="M814" s="149"/>
      <c r="N814" s="142"/>
      <c r="O814" s="33"/>
    </row>
    <row r="815" ht="15.75" customHeight="1">
      <c r="A815" s="142"/>
      <c r="B815" s="143"/>
      <c r="C815" s="144"/>
      <c r="D815" s="145"/>
      <c r="E815" s="142"/>
      <c r="F815" s="146"/>
      <c r="G815" s="147"/>
      <c r="H815" s="148"/>
      <c r="I815" s="148"/>
      <c r="J815" s="149"/>
      <c r="K815" s="149"/>
      <c r="L815" s="149"/>
      <c r="M815" s="149"/>
      <c r="N815" s="142"/>
      <c r="O815" s="33"/>
    </row>
    <row r="816" ht="15.75" customHeight="1">
      <c r="A816" s="142"/>
      <c r="B816" s="143"/>
      <c r="C816" s="144"/>
      <c r="D816" s="145"/>
      <c r="E816" s="142"/>
      <c r="F816" s="146"/>
      <c r="G816" s="147"/>
      <c r="H816" s="148"/>
      <c r="I816" s="148"/>
      <c r="J816" s="149"/>
      <c r="K816" s="149"/>
      <c r="L816" s="149"/>
      <c r="M816" s="149"/>
      <c r="N816" s="142"/>
      <c r="O816" s="33"/>
    </row>
    <row r="817" ht="15.75" customHeight="1">
      <c r="A817" s="142"/>
      <c r="B817" s="143"/>
      <c r="C817" s="144"/>
      <c r="D817" s="145"/>
      <c r="E817" s="142"/>
      <c r="F817" s="146"/>
      <c r="G817" s="147"/>
      <c r="H817" s="148"/>
      <c r="I817" s="148"/>
      <c r="J817" s="149"/>
      <c r="K817" s="149"/>
      <c r="L817" s="149"/>
      <c r="M817" s="149"/>
      <c r="N817" s="142"/>
      <c r="O817" s="33"/>
    </row>
    <row r="818" ht="15.75" customHeight="1">
      <c r="A818" s="142"/>
      <c r="B818" s="143"/>
      <c r="C818" s="144"/>
      <c r="D818" s="145"/>
      <c r="E818" s="142"/>
      <c r="F818" s="146"/>
      <c r="G818" s="147"/>
      <c r="H818" s="148"/>
      <c r="I818" s="148"/>
      <c r="J818" s="149"/>
      <c r="K818" s="149"/>
      <c r="L818" s="149"/>
      <c r="M818" s="149"/>
      <c r="N818" s="142"/>
      <c r="O818" s="33"/>
    </row>
    <row r="819" ht="15.75" customHeight="1">
      <c r="A819" s="142"/>
      <c r="B819" s="143"/>
      <c r="C819" s="144"/>
      <c r="D819" s="145"/>
      <c r="E819" s="142"/>
      <c r="F819" s="146"/>
      <c r="G819" s="147"/>
      <c r="H819" s="148"/>
      <c r="I819" s="148"/>
      <c r="J819" s="149"/>
      <c r="K819" s="149"/>
      <c r="L819" s="149"/>
      <c r="M819" s="149"/>
      <c r="N819" s="142"/>
      <c r="O819" s="33"/>
    </row>
    <row r="820" ht="15.75" customHeight="1">
      <c r="A820" s="142"/>
      <c r="B820" s="143"/>
      <c r="C820" s="144"/>
      <c r="D820" s="145"/>
      <c r="E820" s="142"/>
      <c r="F820" s="146"/>
      <c r="G820" s="147"/>
      <c r="H820" s="148"/>
      <c r="I820" s="148"/>
      <c r="J820" s="149"/>
      <c r="K820" s="149"/>
      <c r="L820" s="149"/>
      <c r="M820" s="149"/>
      <c r="N820" s="142"/>
      <c r="O820" s="33"/>
    </row>
    <row r="821" ht="15.75" customHeight="1">
      <c r="A821" s="142"/>
      <c r="B821" s="143"/>
      <c r="C821" s="144"/>
      <c r="D821" s="145"/>
      <c r="E821" s="142"/>
      <c r="F821" s="146"/>
      <c r="G821" s="147"/>
      <c r="H821" s="148"/>
      <c r="I821" s="148"/>
      <c r="J821" s="149"/>
      <c r="K821" s="149"/>
      <c r="L821" s="149"/>
      <c r="M821" s="149"/>
      <c r="N821" s="142"/>
      <c r="O821" s="33"/>
    </row>
    <row r="822" ht="15.75" customHeight="1">
      <c r="A822" s="142"/>
      <c r="B822" s="143"/>
      <c r="C822" s="144"/>
      <c r="D822" s="145"/>
      <c r="E822" s="142"/>
      <c r="F822" s="146"/>
      <c r="G822" s="147"/>
      <c r="H822" s="148"/>
      <c r="I822" s="148"/>
      <c r="J822" s="149"/>
      <c r="K822" s="149"/>
      <c r="L822" s="149"/>
      <c r="M822" s="149"/>
      <c r="N822" s="142"/>
      <c r="O822" s="33"/>
    </row>
    <row r="823" ht="15.75" customHeight="1">
      <c r="A823" s="142"/>
      <c r="B823" s="143"/>
      <c r="C823" s="144"/>
      <c r="D823" s="145"/>
      <c r="E823" s="142"/>
      <c r="F823" s="146"/>
      <c r="G823" s="147"/>
      <c r="H823" s="148"/>
      <c r="I823" s="148"/>
      <c r="J823" s="149"/>
      <c r="K823" s="149"/>
      <c r="L823" s="149"/>
      <c r="M823" s="149"/>
      <c r="N823" s="142"/>
      <c r="O823" s="33"/>
    </row>
    <row r="824" ht="15.75" customHeight="1">
      <c r="A824" s="142"/>
      <c r="B824" s="143"/>
      <c r="C824" s="144"/>
      <c r="D824" s="145"/>
      <c r="E824" s="142"/>
      <c r="F824" s="146"/>
      <c r="G824" s="147"/>
      <c r="H824" s="148"/>
      <c r="I824" s="148"/>
      <c r="J824" s="149"/>
      <c r="K824" s="149"/>
      <c r="L824" s="149"/>
      <c r="M824" s="149"/>
      <c r="N824" s="142"/>
      <c r="O824" s="33"/>
    </row>
    <row r="825" ht="15.75" customHeight="1">
      <c r="A825" s="142"/>
      <c r="B825" s="143"/>
      <c r="C825" s="144"/>
      <c r="D825" s="145"/>
      <c r="E825" s="142"/>
      <c r="F825" s="146"/>
      <c r="G825" s="147"/>
      <c r="H825" s="148"/>
      <c r="I825" s="148"/>
      <c r="J825" s="149"/>
      <c r="K825" s="149"/>
      <c r="L825" s="149"/>
      <c r="M825" s="149"/>
      <c r="N825" s="142"/>
      <c r="O825" s="33"/>
    </row>
    <row r="826" ht="15.75" customHeight="1">
      <c r="A826" s="142"/>
      <c r="B826" s="143"/>
      <c r="C826" s="144"/>
      <c r="D826" s="145"/>
      <c r="E826" s="142"/>
      <c r="F826" s="146"/>
      <c r="G826" s="147"/>
      <c r="H826" s="148"/>
      <c r="I826" s="148"/>
      <c r="J826" s="149"/>
      <c r="K826" s="149"/>
      <c r="L826" s="149"/>
      <c r="M826" s="149"/>
      <c r="N826" s="142"/>
      <c r="O826" s="33"/>
    </row>
    <row r="827" ht="15.75" customHeight="1">
      <c r="A827" s="142"/>
      <c r="B827" s="143"/>
      <c r="C827" s="144"/>
      <c r="D827" s="145"/>
      <c r="E827" s="142"/>
      <c r="F827" s="146"/>
      <c r="G827" s="147"/>
      <c r="H827" s="148"/>
      <c r="I827" s="148"/>
      <c r="J827" s="149"/>
      <c r="K827" s="149"/>
      <c r="L827" s="149"/>
      <c r="M827" s="149"/>
      <c r="N827" s="142"/>
      <c r="O827" s="33"/>
    </row>
    <row r="828" ht="15.75" customHeight="1">
      <c r="A828" s="142"/>
      <c r="B828" s="143"/>
      <c r="C828" s="144"/>
      <c r="D828" s="145"/>
      <c r="E828" s="142"/>
      <c r="F828" s="146"/>
      <c r="G828" s="147"/>
      <c r="H828" s="148"/>
      <c r="I828" s="148"/>
      <c r="J828" s="149"/>
      <c r="K828" s="149"/>
      <c r="L828" s="149"/>
      <c r="M828" s="149"/>
      <c r="N828" s="142"/>
      <c r="O828" s="33"/>
    </row>
    <row r="829" ht="15.75" customHeight="1">
      <c r="A829" s="142"/>
      <c r="B829" s="143"/>
      <c r="C829" s="144"/>
      <c r="D829" s="145"/>
      <c r="E829" s="142"/>
      <c r="F829" s="146"/>
      <c r="G829" s="147"/>
      <c r="H829" s="148"/>
      <c r="I829" s="148"/>
      <c r="J829" s="149"/>
      <c r="K829" s="149"/>
      <c r="L829" s="149"/>
      <c r="M829" s="149"/>
      <c r="N829" s="142"/>
      <c r="O829" s="33"/>
    </row>
    <row r="830" ht="15.75" customHeight="1">
      <c r="A830" s="142"/>
      <c r="B830" s="143"/>
      <c r="C830" s="144"/>
      <c r="D830" s="145"/>
      <c r="E830" s="142"/>
      <c r="F830" s="146"/>
      <c r="G830" s="147"/>
      <c r="H830" s="148"/>
      <c r="I830" s="148"/>
      <c r="J830" s="149"/>
      <c r="K830" s="149"/>
      <c r="L830" s="149"/>
      <c r="M830" s="149"/>
      <c r="N830" s="142"/>
      <c r="O830" s="33"/>
    </row>
    <row r="831" ht="15.75" customHeight="1">
      <c r="A831" s="142"/>
      <c r="B831" s="143"/>
      <c r="C831" s="144"/>
      <c r="D831" s="145"/>
      <c r="E831" s="142"/>
      <c r="F831" s="146"/>
      <c r="G831" s="147"/>
      <c r="H831" s="148"/>
      <c r="I831" s="148"/>
      <c r="J831" s="149"/>
      <c r="K831" s="149"/>
      <c r="L831" s="149"/>
      <c r="M831" s="149"/>
      <c r="N831" s="142"/>
      <c r="O831" s="33"/>
    </row>
    <row r="832" ht="15.75" customHeight="1">
      <c r="A832" s="142"/>
      <c r="B832" s="143"/>
      <c r="C832" s="144"/>
      <c r="D832" s="145"/>
      <c r="E832" s="142"/>
      <c r="F832" s="146"/>
      <c r="G832" s="147"/>
      <c r="H832" s="148"/>
      <c r="I832" s="148"/>
      <c r="J832" s="149"/>
      <c r="K832" s="149"/>
      <c r="L832" s="149"/>
      <c r="M832" s="149"/>
      <c r="N832" s="142"/>
      <c r="O832" s="33"/>
    </row>
    <row r="833" ht="15.75" customHeight="1">
      <c r="A833" s="142"/>
      <c r="B833" s="143"/>
      <c r="C833" s="144"/>
      <c r="D833" s="145"/>
      <c r="E833" s="142"/>
      <c r="F833" s="146"/>
      <c r="G833" s="147"/>
      <c r="H833" s="148"/>
      <c r="I833" s="148"/>
      <c r="J833" s="149"/>
      <c r="K833" s="149"/>
      <c r="L833" s="149"/>
      <c r="M833" s="149"/>
      <c r="N833" s="142"/>
      <c r="O833" s="33"/>
    </row>
    <row r="834" ht="15.75" customHeight="1">
      <c r="A834" s="142"/>
      <c r="B834" s="143"/>
      <c r="C834" s="144"/>
      <c r="D834" s="145"/>
      <c r="E834" s="142"/>
      <c r="F834" s="146"/>
      <c r="G834" s="147"/>
      <c r="H834" s="148"/>
      <c r="I834" s="148"/>
      <c r="J834" s="149"/>
      <c r="K834" s="149"/>
      <c r="L834" s="149"/>
      <c r="M834" s="149"/>
      <c r="N834" s="142"/>
      <c r="O834" s="33"/>
    </row>
    <row r="835" ht="15.75" customHeight="1">
      <c r="A835" s="142"/>
      <c r="B835" s="143"/>
      <c r="C835" s="144"/>
      <c r="D835" s="145"/>
      <c r="E835" s="142"/>
      <c r="F835" s="146"/>
      <c r="G835" s="147"/>
      <c r="H835" s="148"/>
      <c r="I835" s="148"/>
      <c r="J835" s="149"/>
      <c r="K835" s="149"/>
      <c r="L835" s="149"/>
      <c r="M835" s="149"/>
      <c r="N835" s="142"/>
      <c r="O835" s="33"/>
    </row>
    <row r="836" ht="15.75" customHeight="1">
      <c r="A836" s="142"/>
      <c r="B836" s="143"/>
      <c r="C836" s="144"/>
      <c r="D836" s="145"/>
      <c r="E836" s="142"/>
      <c r="F836" s="146"/>
      <c r="G836" s="147"/>
      <c r="H836" s="148"/>
      <c r="I836" s="148"/>
      <c r="J836" s="149"/>
      <c r="K836" s="149"/>
      <c r="L836" s="149"/>
      <c r="M836" s="149"/>
      <c r="N836" s="142"/>
      <c r="O836" s="33"/>
    </row>
    <row r="837" ht="15.75" customHeight="1">
      <c r="A837" s="142"/>
      <c r="B837" s="143"/>
      <c r="C837" s="144"/>
      <c r="D837" s="145"/>
      <c r="E837" s="142"/>
      <c r="F837" s="146"/>
      <c r="G837" s="147"/>
      <c r="H837" s="148"/>
      <c r="I837" s="148"/>
      <c r="J837" s="149"/>
      <c r="K837" s="149"/>
      <c r="L837" s="149"/>
      <c r="M837" s="149"/>
      <c r="N837" s="142"/>
      <c r="O837" s="33"/>
    </row>
    <row r="838" ht="15.75" customHeight="1">
      <c r="A838" s="142"/>
      <c r="B838" s="143"/>
      <c r="C838" s="144"/>
      <c r="D838" s="145"/>
      <c r="E838" s="142"/>
      <c r="F838" s="146"/>
      <c r="G838" s="147"/>
      <c r="H838" s="148"/>
      <c r="I838" s="148"/>
      <c r="J838" s="149"/>
      <c r="K838" s="149"/>
      <c r="L838" s="149"/>
      <c r="M838" s="149"/>
      <c r="N838" s="142"/>
      <c r="O838" s="33"/>
    </row>
    <row r="839" ht="15.75" customHeight="1">
      <c r="A839" s="142"/>
      <c r="B839" s="143"/>
      <c r="C839" s="144"/>
      <c r="D839" s="145"/>
      <c r="E839" s="142"/>
      <c r="F839" s="146"/>
      <c r="G839" s="147"/>
      <c r="H839" s="148"/>
      <c r="I839" s="148"/>
      <c r="J839" s="149"/>
      <c r="K839" s="149"/>
      <c r="L839" s="149"/>
      <c r="M839" s="149"/>
      <c r="N839" s="142"/>
      <c r="O839" s="33"/>
    </row>
    <row r="840" ht="15.75" customHeight="1">
      <c r="A840" s="142"/>
      <c r="B840" s="143"/>
      <c r="C840" s="144"/>
      <c r="D840" s="145"/>
      <c r="E840" s="142"/>
      <c r="F840" s="146"/>
      <c r="G840" s="147"/>
      <c r="H840" s="148"/>
      <c r="I840" s="148"/>
      <c r="J840" s="149"/>
      <c r="K840" s="149"/>
      <c r="L840" s="149"/>
      <c r="M840" s="149"/>
      <c r="N840" s="142"/>
      <c r="O840" s="33"/>
    </row>
    <row r="841" ht="15.75" customHeight="1">
      <c r="A841" s="142"/>
      <c r="B841" s="143"/>
      <c r="C841" s="144"/>
      <c r="D841" s="145"/>
      <c r="E841" s="142"/>
      <c r="F841" s="146"/>
      <c r="G841" s="147"/>
      <c r="H841" s="148"/>
      <c r="I841" s="148"/>
      <c r="J841" s="149"/>
      <c r="K841" s="149"/>
      <c r="L841" s="149"/>
      <c r="M841" s="149"/>
      <c r="N841" s="142"/>
      <c r="O841" s="33"/>
    </row>
    <row r="842" ht="15.75" customHeight="1">
      <c r="A842" s="142"/>
      <c r="B842" s="143"/>
      <c r="C842" s="144"/>
      <c r="D842" s="145"/>
      <c r="E842" s="142"/>
      <c r="F842" s="146"/>
      <c r="G842" s="147"/>
      <c r="H842" s="148"/>
      <c r="I842" s="148"/>
      <c r="J842" s="149"/>
      <c r="K842" s="149"/>
      <c r="L842" s="149"/>
      <c r="M842" s="149"/>
      <c r="N842" s="142"/>
      <c r="O842" s="33"/>
    </row>
    <row r="843" ht="15.75" customHeight="1">
      <c r="A843" s="142"/>
      <c r="B843" s="143"/>
      <c r="C843" s="144"/>
      <c r="D843" s="145"/>
      <c r="E843" s="142"/>
      <c r="F843" s="146"/>
      <c r="G843" s="147"/>
      <c r="H843" s="148"/>
      <c r="I843" s="148"/>
      <c r="J843" s="149"/>
      <c r="K843" s="149"/>
      <c r="L843" s="149"/>
      <c r="M843" s="149"/>
      <c r="N843" s="142"/>
      <c r="O843" s="33"/>
    </row>
    <row r="844" ht="15.75" customHeight="1">
      <c r="A844" s="142"/>
      <c r="B844" s="143"/>
      <c r="C844" s="144"/>
      <c r="D844" s="145"/>
      <c r="E844" s="142"/>
      <c r="F844" s="146"/>
      <c r="G844" s="147"/>
      <c r="H844" s="148"/>
      <c r="I844" s="148"/>
      <c r="J844" s="149"/>
      <c r="K844" s="149"/>
      <c r="L844" s="149"/>
      <c r="M844" s="149"/>
      <c r="N844" s="142"/>
      <c r="O844" s="33"/>
    </row>
    <row r="845" ht="15.75" customHeight="1">
      <c r="A845" s="142"/>
      <c r="B845" s="143"/>
      <c r="C845" s="144"/>
      <c r="D845" s="145"/>
      <c r="E845" s="142"/>
      <c r="F845" s="146"/>
      <c r="G845" s="147"/>
      <c r="H845" s="148"/>
      <c r="I845" s="148"/>
      <c r="J845" s="149"/>
      <c r="K845" s="149"/>
      <c r="L845" s="149"/>
      <c r="M845" s="149"/>
      <c r="N845" s="142"/>
      <c r="O845" s="33"/>
    </row>
    <row r="846" ht="15.75" customHeight="1">
      <c r="A846" s="142"/>
      <c r="B846" s="143"/>
      <c r="C846" s="144"/>
      <c r="D846" s="145"/>
      <c r="E846" s="142"/>
      <c r="F846" s="146"/>
      <c r="G846" s="147"/>
      <c r="H846" s="148"/>
      <c r="I846" s="148"/>
      <c r="J846" s="149"/>
      <c r="K846" s="149"/>
      <c r="L846" s="149"/>
      <c r="M846" s="149"/>
      <c r="N846" s="142"/>
      <c r="O846" s="33"/>
    </row>
    <row r="847" ht="15.75" customHeight="1">
      <c r="A847" s="142"/>
      <c r="B847" s="143"/>
      <c r="C847" s="144"/>
      <c r="D847" s="145"/>
      <c r="E847" s="142"/>
      <c r="F847" s="146"/>
      <c r="G847" s="147"/>
      <c r="H847" s="148"/>
      <c r="I847" s="148"/>
      <c r="J847" s="149"/>
      <c r="K847" s="149"/>
      <c r="L847" s="149"/>
      <c r="M847" s="149"/>
      <c r="N847" s="142"/>
      <c r="O847" s="33"/>
    </row>
    <row r="848" ht="15.75" customHeight="1">
      <c r="A848" s="142"/>
      <c r="B848" s="143"/>
      <c r="C848" s="144"/>
      <c r="D848" s="145"/>
      <c r="E848" s="142"/>
      <c r="F848" s="146"/>
      <c r="G848" s="147"/>
      <c r="H848" s="148"/>
      <c r="I848" s="148"/>
      <c r="J848" s="149"/>
      <c r="K848" s="149"/>
      <c r="L848" s="149"/>
      <c r="M848" s="149"/>
      <c r="N848" s="142"/>
      <c r="O848" s="33"/>
    </row>
    <row r="849" ht="15.75" customHeight="1">
      <c r="A849" s="142"/>
      <c r="B849" s="143"/>
      <c r="C849" s="144"/>
      <c r="D849" s="145"/>
      <c r="E849" s="142"/>
      <c r="F849" s="146"/>
      <c r="G849" s="147"/>
      <c r="H849" s="148"/>
      <c r="I849" s="148"/>
      <c r="J849" s="149"/>
      <c r="K849" s="149"/>
      <c r="L849" s="149"/>
      <c r="M849" s="149"/>
      <c r="N849" s="142"/>
      <c r="O849" s="33"/>
    </row>
    <row r="850" ht="15.75" customHeight="1">
      <c r="A850" s="142"/>
      <c r="B850" s="143"/>
      <c r="C850" s="144"/>
      <c r="D850" s="145"/>
      <c r="E850" s="142"/>
      <c r="F850" s="146"/>
      <c r="G850" s="147"/>
      <c r="H850" s="148"/>
      <c r="I850" s="148"/>
      <c r="J850" s="149"/>
      <c r="K850" s="149"/>
      <c r="L850" s="149"/>
      <c r="M850" s="149"/>
      <c r="N850" s="142"/>
      <c r="O850" s="33"/>
    </row>
    <row r="851" ht="15.75" customHeight="1">
      <c r="A851" s="142"/>
      <c r="B851" s="143"/>
      <c r="C851" s="144"/>
      <c r="D851" s="145"/>
      <c r="E851" s="142"/>
      <c r="F851" s="146"/>
      <c r="G851" s="147"/>
      <c r="H851" s="148"/>
      <c r="I851" s="148"/>
      <c r="J851" s="149"/>
      <c r="K851" s="149"/>
      <c r="L851" s="149"/>
      <c r="M851" s="149"/>
      <c r="N851" s="142"/>
      <c r="O851" s="33"/>
    </row>
    <row r="852" ht="15.75" customHeight="1">
      <c r="A852" s="142"/>
      <c r="B852" s="143"/>
      <c r="C852" s="144"/>
      <c r="D852" s="145"/>
      <c r="E852" s="142"/>
      <c r="F852" s="146"/>
      <c r="G852" s="147"/>
      <c r="H852" s="148"/>
      <c r="I852" s="148"/>
      <c r="J852" s="149"/>
      <c r="K852" s="149"/>
      <c r="L852" s="149"/>
      <c r="M852" s="149"/>
      <c r="N852" s="142"/>
      <c r="O852" s="33"/>
    </row>
    <row r="853" ht="15.75" customHeight="1">
      <c r="A853" s="142"/>
      <c r="B853" s="143"/>
      <c r="C853" s="144"/>
      <c r="D853" s="145"/>
      <c r="E853" s="142"/>
      <c r="F853" s="146"/>
      <c r="G853" s="147"/>
      <c r="H853" s="148"/>
      <c r="I853" s="148"/>
      <c r="J853" s="149"/>
      <c r="K853" s="149"/>
      <c r="L853" s="149"/>
      <c r="M853" s="149"/>
      <c r="N853" s="142"/>
      <c r="O853" s="33"/>
    </row>
    <row r="854" ht="15.75" customHeight="1">
      <c r="A854" s="142"/>
      <c r="B854" s="143"/>
      <c r="C854" s="144"/>
      <c r="D854" s="145"/>
      <c r="E854" s="142"/>
      <c r="F854" s="146"/>
      <c r="G854" s="147"/>
      <c r="H854" s="148"/>
      <c r="I854" s="148"/>
      <c r="J854" s="149"/>
      <c r="K854" s="149"/>
      <c r="L854" s="149"/>
      <c r="M854" s="149"/>
      <c r="N854" s="142"/>
      <c r="O854" s="33"/>
    </row>
    <row r="855" ht="15.75" customHeight="1">
      <c r="A855" s="142"/>
      <c r="B855" s="143"/>
      <c r="C855" s="144"/>
      <c r="D855" s="145"/>
      <c r="E855" s="142"/>
      <c r="F855" s="146"/>
      <c r="G855" s="147"/>
      <c r="H855" s="148"/>
      <c r="I855" s="148"/>
      <c r="J855" s="149"/>
      <c r="K855" s="149"/>
      <c r="L855" s="149"/>
      <c r="M855" s="149"/>
      <c r="N855" s="142"/>
      <c r="O855" s="33"/>
    </row>
    <row r="856" ht="15.75" customHeight="1">
      <c r="A856" s="142"/>
      <c r="B856" s="143"/>
      <c r="C856" s="144"/>
      <c r="D856" s="145"/>
      <c r="E856" s="142"/>
      <c r="F856" s="146"/>
      <c r="G856" s="147"/>
      <c r="H856" s="148"/>
      <c r="I856" s="148"/>
      <c r="J856" s="149"/>
      <c r="K856" s="149"/>
      <c r="L856" s="149"/>
      <c r="M856" s="149"/>
      <c r="N856" s="142"/>
      <c r="O856" s="33"/>
    </row>
    <row r="857" ht="15.75" customHeight="1">
      <c r="A857" s="142"/>
      <c r="B857" s="143"/>
      <c r="C857" s="144"/>
      <c r="D857" s="145"/>
      <c r="E857" s="142"/>
      <c r="F857" s="146"/>
      <c r="G857" s="147"/>
      <c r="H857" s="148"/>
      <c r="I857" s="148"/>
      <c r="J857" s="149"/>
      <c r="K857" s="149"/>
      <c r="L857" s="149"/>
      <c r="M857" s="149"/>
      <c r="N857" s="142"/>
      <c r="O857" s="33"/>
    </row>
    <row r="858" ht="15.75" customHeight="1">
      <c r="A858" s="142"/>
      <c r="B858" s="143"/>
      <c r="C858" s="144"/>
      <c r="D858" s="145"/>
      <c r="E858" s="142"/>
      <c r="F858" s="146"/>
      <c r="G858" s="147"/>
      <c r="H858" s="148"/>
      <c r="I858" s="148"/>
      <c r="J858" s="149"/>
      <c r="K858" s="149"/>
      <c r="L858" s="149"/>
      <c r="M858" s="149"/>
      <c r="N858" s="142"/>
      <c r="O858" s="33"/>
    </row>
    <row r="859" ht="15.75" customHeight="1">
      <c r="A859" s="142"/>
      <c r="B859" s="143"/>
      <c r="C859" s="144"/>
      <c r="D859" s="145"/>
      <c r="E859" s="142"/>
      <c r="F859" s="146"/>
      <c r="G859" s="147"/>
      <c r="H859" s="148"/>
      <c r="I859" s="148"/>
      <c r="J859" s="149"/>
      <c r="K859" s="149"/>
      <c r="L859" s="149"/>
      <c r="M859" s="149"/>
      <c r="N859" s="142"/>
      <c r="O859" s="33"/>
    </row>
    <row r="860" ht="15.75" customHeight="1">
      <c r="A860" s="142"/>
      <c r="B860" s="143"/>
      <c r="C860" s="144"/>
      <c r="D860" s="145"/>
      <c r="E860" s="142"/>
      <c r="F860" s="146"/>
      <c r="G860" s="147"/>
      <c r="H860" s="148"/>
      <c r="I860" s="148"/>
      <c r="J860" s="149"/>
      <c r="K860" s="149"/>
      <c r="L860" s="149"/>
      <c r="M860" s="149"/>
      <c r="N860" s="142"/>
      <c r="O860" s="33"/>
    </row>
    <row r="861" ht="15.75" customHeight="1">
      <c r="A861" s="142"/>
      <c r="B861" s="143"/>
      <c r="C861" s="144"/>
      <c r="D861" s="145"/>
      <c r="E861" s="142"/>
      <c r="F861" s="146"/>
      <c r="G861" s="147"/>
      <c r="H861" s="148"/>
      <c r="I861" s="148"/>
      <c r="J861" s="149"/>
      <c r="K861" s="149"/>
      <c r="L861" s="149"/>
      <c r="M861" s="149"/>
      <c r="N861" s="142"/>
      <c r="O861" s="33"/>
    </row>
    <row r="862" ht="15.75" customHeight="1">
      <c r="A862" s="142"/>
      <c r="B862" s="143"/>
      <c r="C862" s="144"/>
      <c r="D862" s="145"/>
      <c r="E862" s="142"/>
      <c r="F862" s="146"/>
      <c r="G862" s="147"/>
      <c r="H862" s="148"/>
      <c r="I862" s="148"/>
      <c r="J862" s="149"/>
      <c r="K862" s="149"/>
      <c r="L862" s="149"/>
      <c r="M862" s="149"/>
      <c r="N862" s="142"/>
      <c r="O862" s="33"/>
    </row>
    <row r="863" ht="15.75" customHeight="1">
      <c r="A863" s="142"/>
      <c r="B863" s="143"/>
      <c r="C863" s="144"/>
      <c r="D863" s="145"/>
      <c r="E863" s="142"/>
      <c r="F863" s="146"/>
      <c r="G863" s="147"/>
      <c r="H863" s="148"/>
      <c r="I863" s="148"/>
      <c r="J863" s="149"/>
      <c r="K863" s="149"/>
      <c r="L863" s="149"/>
      <c r="M863" s="149"/>
      <c r="N863" s="142"/>
      <c r="O863" s="33"/>
    </row>
    <row r="864" ht="15.75" customHeight="1">
      <c r="A864" s="142"/>
      <c r="B864" s="143"/>
      <c r="C864" s="144"/>
      <c r="D864" s="145"/>
      <c r="E864" s="142"/>
      <c r="F864" s="146"/>
      <c r="G864" s="147"/>
      <c r="H864" s="148"/>
      <c r="I864" s="148"/>
      <c r="J864" s="149"/>
      <c r="K864" s="149"/>
      <c r="L864" s="149"/>
      <c r="M864" s="149"/>
      <c r="N864" s="142"/>
      <c r="O864" s="33"/>
    </row>
    <row r="865" ht="15.75" customHeight="1">
      <c r="A865" s="142"/>
      <c r="B865" s="143"/>
      <c r="C865" s="144"/>
      <c r="D865" s="145"/>
      <c r="E865" s="142"/>
      <c r="F865" s="146"/>
      <c r="G865" s="147"/>
      <c r="H865" s="148"/>
      <c r="I865" s="148"/>
      <c r="J865" s="149"/>
      <c r="K865" s="149"/>
      <c r="L865" s="149"/>
      <c r="M865" s="149"/>
      <c r="N865" s="142"/>
      <c r="O865" s="33"/>
    </row>
    <row r="866" ht="15.75" customHeight="1">
      <c r="A866" s="142"/>
      <c r="B866" s="143"/>
      <c r="C866" s="144"/>
      <c r="D866" s="145"/>
      <c r="E866" s="142"/>
      <c r="F866" s="146"/>
      <c r="G866" s="147"/>
      <c r="H866" s="148"/>
      <c r="I866" s="148"/>
      <c r="J866" s="149"/>
      <c r="K866" s="149"/>
      <c r="L866" s="149"/>
      <c r="M866" s="149"/>
      <c r="N866" s="142"/>
      <c r="O866" s="33"/>
    </row>
    <row r="867" ht="15.75" customHeight="1">
      <c r="A867" s="142"/>
      <c r="B867" s="143"/>
      <c r="C867" s="144"/>
      <c r="D867" s="145"/>
      <c r="E867" s="142"/>
      <c r="F867" s="146"/>
      <c r="G867" s="147"/>
      <c r="H867" s="148"/>
      <c r="I867" s="148"/>
      <c r="J867" s="149"/>
      <c r="K867" s="149"/>
      <c r="L867" s="149"/>
      <c r="M867" s="149"/>
      <c r="N867" s="142"/>
      <c r="O867" s="33"/>
    </row>
    <row r="868" ht="15.75" customHeight="1">
      <c r="A868" s="142"/>
      <c r="B868" s="143"/>
      <c r="C868" s="144"/>
      <c r="D868" s="145"/>
      <c r="E868" s="142"/>
      <c r="F868" s="146"/>
      <c r="G868" s="147"/>
      <c r="H868" s="148"/>
      <c r="I868" s="148"/>
      <c r="J868" s="149"/>
      <c r="K868" s="149"/>
      <c r="L868" s="149"/>
      <c r="M868" s="149"/>
      <c r="N868" s="142"/>
      <c r="O868" s="33"/>
    </row>
    <row r="869" ht="15.75" customHeight="1">
      <c r="A869" s="142"/>
      <c r="B869" s="143"/>
      <c r="C869" s="144"/>
      <c r="D869" s="145"/>
      <c r="E869" s="142"/>
      <c r="F869" s="146"/>
      <c r="G869" s="147"/>
      <c r="H869" s="148"/>
      <c r="I869" s="148"/>
      <c r="J869" s="149"/>
      <c r="K869" s="149"/>
      <c r="L869" s="149"/>
      <c r="M869" s="149"/>
      <c r="N869" s="142"/>
      <c r="O869" s="33"/>
    </row>
    <row r="870" ht="15.75" customHeight="1">
      <c r="A870" s="142"/>
      <c r="B870" s="143"/>
      <c r="C870" s="144"/>
      <c r="D870" s="145"/>
      <c r="E870" s="142"/>
      <c r="F870" s="146"/>
      <c r="G870" s="147"/>
      <c r="H870" s="148"/>
      <c r="I870" s="148"/>
      <c r="J870" s="149"/>
      <c r="K870" s="149"/>
      <c r="L870" s="149"/>
      <c r="M870" s="149"/>
      <c r="N870" s="142"/>
      <c r="O870" s="33"/>
    </row>
    <row r="871" ht="15.75" customHeight="1">
      <c r="A871" s="142"/>
      <c r="B871" s="143"/>
      <c r="C871" s="144"/>
      <c r="D871" s="145"/>
      <c r="E871" s="142"/>
      <c r="F871" s="146"/>
      <c r="G871" s="147"/>
      <c r="H871" s="148"/>
      <c r="I871" s="148"/>
      <c r="J871" s="149"/>
      <c r="K871" s="149"/>
      <c r="L871" s="149"/>
      <c r="M871" s="149"/>
      <c r="N871" s="142"/>
      <c r="O871" s="33"/>
    </row>
    <row r="872" ht="15.75" customHeight="1">
      <c r="A872" s="142"/>
      <c r="B872" s="143"/>
      <c r="C872" s="144"/>
      <c r="D872" s="145"/>
      <c r="E872" s="142"/>
      <c r="F872" s="146"/>
      <c r="G872" s="147"/>
      <c r="H872" s="148"/>
      <c r="I872" s="148"/>
      <c r="J872" s="149"/>
      <c r="K872" s="149"/>
      <c r="L872" s="149"/>
      <c r="M872" s="149"/>
      <c r="N872" s="142"/>
      <c r="O872" s="33"/>
    </row>
    <row r="873" ht="15.75" customHeight="1">
      <c r="A873" s="142"/>
      <c r="B873" s="143"/>
      <c r="C873" s="144"/>
      <c r="D873" s="145"/>
      <c r="E873" s="142"/>
      <c r="F873" s="146"/>
      <c r="G873" s="147"/>
      <c r="H873" s="148"/>
      <c r="I873" s="148"/>
      <c r="J873" s="149"/>
      <c r="K873" s="149"/>
      <c r="L873" s="149"/>
      <c r="M873" s="149"/>
      <c r="N873" s="142"/>
      <c r="O873" s="33"/>
    </row>
    <row r="874" ht="15.75" customHeight="1">
      <c r="A874" s="142"/>
      <c r="B874" s="143"/>
      <c r="C874" s="144"/>
      <c r="D874" s="145"/>
      <c r="E874" s="142"/>
      <c r="F874" s="146"/>
      <c r="G874" s="147"/>
      <c r="H874" s="148"/>
      <c r="I874" s="148"/>
      <c r="J874" s="149"/>
      <c r="K874" s="149"/>
      <c r="L874" s="149"/>
      <c r="M874" s="149"/>
      <c r="N874" s="142"/>
      <c r="O874" s="33"/>
    </row>
    <row r="875" ht="15.75" customHeight="1">
      <c r="A875" s="142"/>
      <c r="B875" s="143"/>
      <c r="C875" s="144"/>
      <c r="D875" s="145"/>
      <c r="E875" s="142"/>
      <c r="F875" s="146"/>
      <c r="G875" s="147"/>
      <c r="H875" s="148"/>
      <c r="I875" s="148"/>
      <c r="J875" s="149"/>
      <c r="K875" s="149"/>
      <c r="L875" s="149"/>
      <c r="M875" s="149"/>
      <c r="N875" s="142"/>
      <c r="O875" s="33"/>
    </row>
    <row r="876" ht="15.75" customHeight="1">
      <c r="A876" s="142"/>
      <c r="B876" s="143"/>
      <c r="C876" s="144"/>
      <c r="D876" s="145"/>
      <c r="E876" s="142"/>
      <c r="F876" s="146"/>
      <c r="G876" s="147"/>
      <c r="H876" s="148"/>
      <c r="I876" s="148"/>
      <c r="J876" s="149"/>
      <c r="K876" s="149"/>
      <c r="L876" s="149"/>
      <c r="M876" s="149"/>
      <c r="N876" s="142"/>
      <c r="O876" s="33"/>
    </row>
    <row r="877" ht="15.75" customHeight="1">
      <c r="A877" s="142"/>
      <c r="B877" s="143"/>
      <c r="C877" s="144"/>
      <c r="D877" s="145"/>
      <c r="E877" s="142"/>
      <c r="F877" s="146"/>
      <c r="G877" s="147"/>
      <c r="H877" s="148"/>
      <c r="I877" s="148"/>
      <c r="J877" s="149"/>
      <c r="K877" s="149"/>
      <c r="L877" s="149"/>
      <c r="M877" s="149"/>
      <c r="N877" s="142"/>
      <c r="O877" s="33"/>
    </row>
    <row r="878" ht="15.75" customHeight="1">
      <c r="A878" s="142"/>
      <c r="B878" s="143"/>
      <c r="C878" s="144"/>
      <c r="D878" s="145"/>
      <c r="E878" s="142"/>
      <c r="F878" s="146"/>
      <c r="G878" s="147"/>
      <c r="H878" s="148"/>
      <c r="I878" s="148"/>
      <c r="J878" s="149"/>
      <c r="K878" s="149"/>
      <c r="L878" s="149"/>
      <c r="M878" s="149"/>
      <c r="N878" s="142"/>
      <c r="O878" s="33"/>
    </row>
    <row r="879" ht="15.75" customHeight="1">
      <c r="A879" s="142"/>
      <c r="B879" s="143"/>
      <c r="C879" s="144"/>
      <c r="D879" s="145"/>
      <c r="E879" s="142"/>
      <c r="F879" s="146"/>
      <c r="G879" s="147"/>
      <c r="H879" s="148"/>
      <c r="I879" s="148"/>
      <c r="J879" s="149"/>
      <c r="K879" s="149"/>
      <c r="L879" s="149"/>
      <c r="M879" s="149"/>
      <c r="N879" s="142"/>
      <c r="O879" s="33"/>
    </row>
    <row r="880" ht="15.75" customHeight="1">
      <c r="A880" s="142"/>
      <c r="B880" s="143"/>
      <c r="C880" s="144"/>
      <c r="D880" s="145"/>
      <c r="E880" s="142"/>
      <c r="F880" s="146"/>
      <c r="G880" s="147"/>
      <c r="H880" s="148"/>
      <c r="I880" s="148"/>
      <c r="J880" s="149"/>
      <c r="K880" s="149"/>
      <c r="L880" s="149"/>
      <c r="M880" s="149"/>
      <c r="N880" s="142"/>
      <c r="O880" s="33"/>
    </row>
    <row r="881" ht="15.75" customHeight="1">
      <c r="A881" s="142"/>
      <c r="B881" s="143"/>
      <c r="C881" s="144"/>
      <c r="D881" s="145"/>
      <c r="E881" s="142"/>
      <c r="F881" s="146"/>
      <c r="G881" s="147"/>
      <c r="H881" s="148"/>
      <c r="I881" s="148"/>
      <c r="J881" s="149"/>
      <c r="K881" s="149"/>
      <c r="L881" s="149"/>
      <c r="M881" s="149"/>
      <c r="N881" s="142"/>
      <c r="O881" s="33"/>
    </row>
    <row r="882" ht="15.75" customHeight="1">
      <c r="A882" s="142"/>
      <c r="B882" s="143"/>
      <c r="C882" s="144"/>
      <c r="D882" s="145"/>
      <c r="E882" s="142"/>
      <c r="F882" s="146"/>
      <c r="G882" s="147"/>
      <c r="H882" s="148"/>
      <c r="I882" s="148"/>
      <c r="J882" s="149"/>
      <c r="K882" s="149"/>
      <c r="L882" s="149"/>
      <c r="M882" s="149"/>
      <c r="N882" s="142"/>
      <c r="O882" s="33"/>
    </row>
    <row r="883" ht="15.75" customHeight="1">
      <c r="A883" s="142"/>
      <c r="B883" s="143"/>
      <c r="C883" s="144"/>
      <c r="D883" s="145"/>
      <c r="E883" s="142"/>
      <c r="F883" s="146"/>
      <c r="G883" s="147"/>
      <c r="H883" s="148"/>
      <c r="I883" s="148"/>
      <c r="J883" s="149"/>
      <c r="K883" s="149"/>
      <c r="L883" s="149"/>
      <c r="M883" s="149"/>
      <c r="N883" s="142"/>
      <c r="O883" s="33"/>
    </row>
    <row r="884" ht="15.75" customHeight="1">
      <c r="A884" s="142"/>
      <c r="B884" s="143"/>
      <c r="C884" s="144"/>
      <c r="D884" s="145"/>
      <c r="E884" s="142"/>
      <c r="F884" s="146"/>
      <c r="G884" s="147"/>
      <c r="H884" s="148"/>
      <c r="I884" s="148"/>
      <c r="J884" s="149"/>
      <c r="K884" s="149"/>
      <c r="L884" s="149"/>
      <c r="M884" s="149"/>
      <c r="N884" s="142"/>
      <c r="O884" s="33"/>
    </row>
    <row r="885" ht="15.75" customHeight="1">
      <c r="A885" s="142"/>
      <c r="B885" s="143"/>
      <c r="C885" s="144"/>
      <c r="D885" s="145"/>
      <c r="E885" s="142"/>
      <c r="F885" s="146"/>
      <c r="G885" s="147"/>
      <c r="H885" s="148"/>
      <c r="I885" s="148"/>
      <c r="J885" s="149"/>
      <c r="K885" s="149"/>
      <c r="L885" s="149"/>
      <c r="M885" s="149"/>
      <c r="N885" s="142"/>
      <c r="O885" s="33"/>
    </row>
    <row r="886" ht="15.75" customHeight="1">
      <c r="A886" s="142"/>
      <c r="B886" s="143"/>
      <c r="C886" s="144"/>
      <c r="D886" s="145"/>
      <c r="E886" s="142"/>
      <c r="F886" s="146"/>
      <c r="G886" s="147"/>
      <c r="H886" s="148"/>
      <c r="I886" s="148"/>
      <c r="J886" s="149"/>
      <c r="K886" s="149"/>
      <c r="L886" s="149"/>
      <c r="M886" s="149"/>
      <c r="N886" s="142"/>
      <c r="O886" s="33"/>
    </row>
    <row r="887" ht="15.75" customHeight="1">
      <c r="A887" s="142"/>
      <c r="B887" s="143"/>
      <c r="C887" s="144"/>
      <c r="D887" s="145"/>
      <c r="E887" s="142"/>
      <c r="F887" s="146"/>
      <c r="G887" s="147"/>
      <c r="H887" s="148"/>
      <c r="I887" s="148"/>
      <c r="J887" s="149"/>
      <c r="K887" s="149"/>
      <c r="L887" s="149"/>
      <c r="M887" s="149"/>
      <c r="N887" s="142"/>
      <c r="O887" s="33"/>
    </row>
    <row r="888" ht="15.75" customHeight="1">
      <c r="A888" s="142"/>
      <c r="B888" s="143"/>
      <c r="C888" s="144"/>
      <c r="D888" s="145"/>
      <c r="E888" s="142"/>
      <c r="F888" s="146"/>
      <c r="G888" s="147"/>
      <c r="H888" s="148"/>
      <c r="I888" s="148"/>
      <c r="J888" s="149"/>
      <c r="K888" s="149"/>
      <c r="L888" s="149"/>
      <c r="M888" s="149"/>
      <c r="N888" s="142"/>
      <c r="O888" s="33"/>
    </row>
    <row r="889" ht="15.75" customHeight="1">
      <c r="A889" s="142"/>
      <c r="B889" s="143"/>
      <c r="C889" s="144"/>
      <c r="D889" s="145"/>
      <c r="E889" s="142"/>
      <c r="F889" s="146"/>
      <c r="G889" s="147"/>
      <c r="H889" s="148"/>
      <c r="I889" s="148"/>
      <c r="J889" s="149"/>
      <c r="K889" s="149"/>
      <c r="L889" s="149"/>
      <c r="M889" s="149"/>
      <c r="N889" s="142"/>
      <c r="O889" s="33"/>
    </row>
    <row r="890" ht="15.75" customHeight="1">
      <c r="A890" s="142"/>
      <c r="B890" s="143"/>
      <c r="C890" s="144"/>
      <c r="D890" s="145"/>
      <c r="E890" s="142"/>
      <c r="F890" s="146"/>
      <c r="G890" s="147"/>
      <c r="H890" s="148"/>
      <c r="I890" s="148"/>
      <c r="J890" s="149"/>
      <c r="K890" s="149"/>
      <c r="L890" s="149"/>
      <c r="M890" s="149"/>
      <c r="N890" s="142"/>
      <c r="O890" s="33"/>
    </row>
    <row r="891" ht="15.75" customHeight="1">
      <c r="A891" s="142"/>
      <c r="B891" s="143"/>
      <c r="C891" s="144"/>
      <c r="D891" s="145"/>
      <c r="E891" s="142"/>
      <c r="F891" s="146"/>
      <c r="G891" s="147"/>
      <c r="H891" s="148"/>
      <c r="I891" s="148"/>
      <c r="J891" s="149"/>
      <c r="K891" s="149"/>
      <c r="L891" s="149"/>
      <c r="M891" s="149"/>
      <c r="N891" s="142"/>
      <c r="O891" s="33"/>
    </row>
    <row r="892" ht="15.75" customHeight="1">
      <c r="A892" s="142"/>
      <c r="B892" s="143"/>
      <c r="C892" s="144"/>
      <c r="D892" s="145"/>
      <c r="E892" s="142"/>
      <c r="F892" s="146"/>
      <c r="G892" s="147"/>
      <c r="H892" s="148"/>
      <c r="I892" s="148"/>
      <c r="J892" s="149"/>
      <c r="K892" s="149"/>
      <c r="L892" s="149"/>
      <c r="M892" s="149"/>
      <c r="N892" s="142"/>
      <c r="O892" s="33"/>
    </row>
    <row r="893" ht="15.75" customHeight="1">
      <c r="A893" s="142"/>
      <c r="B893" s="143"/>
      <c r="C893" s="144"/>
      <c r="D893" s="145"/>
      <c r="E893" s="142"/>
      <c r="F893" s="146"/>
      <c r="G893" s="147"/>
      <c r="H893" s="148"/>
      <c r="I893" s="148"/>
      <c r="J893" s="149"/>
      <c r="K893" s="149"/>
      <c r="L893" s="149"/>
      <c r="M893" s="149"/>
      <c r="N893" s="142"/>
      <c r="O893" s="33"/>
    </row>
    <row r="894" ht="15.75" customHeight="1">
      <c r="A894" s="142"/>
      <c r="B894" s="143"/>
      <c r="C894" s="144"/>
      <c r="D894" s="145"/>
      <c r="E894" s="142"/>
      <c r="F894" s="146"/>
      <c r="G894" s="147"/>
      <c r="H894" s="148"/>
      <c r="I894" s="148"/>
      <c r="J894" s="149"/>
      <c r="K894" s="149"/>
      <c r="L894" s="149"/>
      <c r="M894" s="149"/>
      <c r="N894" s="142"/>
      <c r="O894" s="33"/>
    </row>
    <row r="895" ht="15.75" customHeight="1">
      <c r="A895" s="142"/>
      <c r="B895" s="143"/>
      <c r="C895" s="144"/>
      <c r="D895" s="145"/>
      <c r="E895" s="142"/>
      <c r="F895" s="146"/>
      <c r="G895" s="147"/>
      <c r="H895" s="148"/>
      <c r="I895" s="148"/>
      <c r="J895" s="149"/>
      <c r="K895" s="149"/>
      <c r="L895" s="149"/>
      <c r="M895" s="149"/>
      <c r="N895" s="142"/>
      <c r="O895" s="33"/>
    </row>
    <row r="896" ht="15.75" customHeight="1">
      <c r="A896" s="142"/>
      <c r="B896" s="143"/>
      <c r="C896" s="144"/>
      <c r="D896" s="145"/>
      <c r="E896" s="142"/>
      <c r="F896" s="146"/>
      <c r="G896" s="147"/>
      <c r="H896" s="148"/>
      <c r="I896" s="148"/>
      <c r="J896" s="149"/>
      <c r="K896" s="149"/>
      <c r="L896" s="149"/>
      <c r="M896" s="149"/>
      <c r="N896" s="142"/>
      <c r="O896" s="33"/>
    </row>
    <row r="897" ht="15.75" customHeight="1">
      <c r="A897" s="142"/>
      <c r="B897" s="143"/>
      <c r="C897" s="144"/>
      <c r="D897" s="145"/>
      <c r="E897" s="142"/>
      <c r="F897" s="146"/>
      <c r="G897" s="147"/>
      <c r="H897" s="148"/>
      <c r="I897" s="148"/>
      <c r="J897" s="149"/>
      <c r="K897" s="149"/>
      <c r="L897" s="149"/>
      <c r="M897" s="149"/>
      <c r="N897" s="142"/>
      <c r="O897" s="33"/>
    </row>
    <row r="898" ht="15.75" customHeight="1">
      <c r="A898" s="142"/>
      <c r="B898" s="143"/>
      <c r="C898" s="144"/>
      <c r="D898" s="145"/>
      <c r="E898" s="142"/>
      <c r="F898" s="146"/>
      <c r="G898" s="147"/>
      <c r="H898" s="148"/>
      <c r="I898" s="148"/>
      <c r="J898" s="149"/>
      <c r="K898" s="149"/>
      <c r="L898" s="149"/>
      <c r="M898" s="149"/>
      <c r="N898" s="142"/>
      <c r="O898" s="33"/>
    </row>
    <row r="899" ht="15.75" customHeight="1">
      <c r="A899" s="142"/>
      <c r="B899" s="143"/>
      <c r="C899" s="144"/>
      <c r="D899" s="145"/>
      <c r="E899" s="142"/>
      <c r="F899" s="146"/>
      <c r="G899" s="147"/>
      <c r="H899" s="148"/>
      <c r="I899" s="148"/>
      <c r="J899" s="149"/>
      <c r="K899" s="149"/>
      <c r="L899" s="149"/>
      <c r="M899" s="149"/>
      <c r="N899" s="142"/>
      <c r="O899" s="33"/>
    </row>
    <row r="900" ht="15.75" customHeight="1">
      <c r="A900" s="142"/>
      <c r="B900" s="143"/>
      <c r="C900" s="144"/>
      <c r="D900" s="145"/>
      <c r="E900" s="142"/>
      <c r="F900" s="146"/>
      <c r="G900" s="147"/>
      <c r="H900" s="148"/>
      <c r="I900" s="148"/>
      <c r="J900" s="149"/>
      <c r="K900" s="149"/>
      <c r="L900" s="149"/>
      <c r="M900" s="149"/>
      <c r="N900" s="142"/>
      <c r="O900" s="33"/>
    </row>
    <row r="901" ht="15.75" customHeight="1">
      <c r="A901" s="142"/>
      <c r="B901" s="143"/>
      <c r="C901" s="144"/>
      <c r="D901" s="145"/>
      <c r="E901" s="142"/>
      <c r="F901" s="146"/>
      <c r="G901" s="147"/>
      <c r="H901" s="148"/>
      <c r="I901" s="148"/>
      <c r="J901" s="149"/>
      <c r="K901" s="149"/>
      <c r="L901" s="149"/>
      <c r="M901" s="149"/>
      <c r="N901" s="142"/>
      <c r="O901" s="33"/>
    </row>
    <row r="902" ht="15.75" customHeight="1">
      <c r="A902" s="142"/>
      <c r="B902" s="143"/>
      <c r="C902" s="144"/>
      <c r="D902" s="145"/>
      <c r="E902" s="142"/>
      <c r="F902" s="146"/>
      <c r="G902" s="147"/>
      <c r="H902" s="148"/>
      <c r="I902" s="148"/>
      <c r="J902" s="149"/>
      <c r="K902" s="149"/>
      <c r="L902" s="149"/>
      <c r="M902" s="149"/>
      <c r="N902" s="142"/>
      <c r="O902" s="33"/>
    </row>
    <row r="903" ht="15.75" customHeight="1">
      <c r="A903" s="142"/>
      <c r="B903" s="143"/>
      <c r="C903" s="144"/>
      <c r="D903" s="145"/>
      <c r="E903" s="142"/>
      <c r="F903" s="146"/>
      <c r="G903" s="147"/>
      <c r="H903" s="148"/>
      <c r="I903" s="148"/>
      <c r="J903" s="149"/>
      <c r="K903" s="149"/>
      <c r="L903" s="149"/>
      <c r="M903" s="149"/>
      <c r="N903" s="142"/>
      <c r="O903" s="33"/>
    </row>
    <row r="904" ht="15.75" customHeight="1">
      <c r="A904" s="142"/>
      <c r="B904" s="143"/>
      <c r="C904" s="144"/>
      <c r="D904" s="145"/>
      <c r="E904" s="142"/>
      <c r="F904" s="146"/>
      <c r="G904" s="147"/>
      <c r="H904" s="148"/>
      <c r="I904" s="148"/>
      <c r="J904" s="149"/>
      <c r="K904" s="149"/>
      <c r="L904" s="149"/>
      <c r="M904" s="149"/>
      <c r="N904" s="142"/>
      <c r="O904" s="33"/>
    </row>
    <row r="905" ht="15.75" customHeight="1">
      <c r="A905" s="142"/>
      <c r="B905" s="143"/>
      <c r="C905" s="144"/>
      <c r="D905" s="145"/>
      <c r="E905" s="142"/>
      <c r="F905" s="146"/>
      <c r="G905" s="147"/>
      <c r="H905" s="148"/>
      <c r="I905" s="148"/>
      <c r="J905" s="149"/>
      <c r="K905" s="149"/>
      <c r="L905" s="149"/>
      <c r="M905" s="149"/>
      <c r="N905" s="142"/>
      <c r="O905" s="33"/>
    </row>
    <row r="906" ht="15.75" customHeight="1">
      <c r="A906" s="142"/>
      <c r="B906" s="143"/>
      <c r="C906" s="144"/>
      <c r="D906" s="145"/>
      <c r="E906" s="142"/>
      <c r="F906" s="146"/>
      <c r="G906" s="147"/>
      <c r="H906" s="148"/>
      <c r="I906" s="148"/>
      <c r="J906" s="149"/>
      <c r="K906" s="149"/>
      <c r="L906" s="149"/>
      <c r="M906" s="149"/>
      <c r="N906" s="142"/>
      <c r="O906" s="33"/>
    </row>
    <row r="907" ht="15.75" customHeight="1">
      <c r="A907" s="142"/>
      <c r="B907" s="143"/>
      <c r="C907" s="144"/>
      <c r="D907" s="145"/>
      <c r="E907" s="142"/>
      <c r="F907" s="146"/>
      <c r="G907" s="147"/>
      <c r="H907" s="148"/>
      <c r="I907" s="148"/>
      <c r="J907" s="149"/>
      <c r="K907" s="149"/>
      <c r="L907" s="149"/>
      <c r="M907" s="149"/>
      <c r="N907" s="142"/>
      <c r="O907" s="33"/>
    </row>
    <row r="908" ht="15.75" customHeight="1">
      <c r="A908" s="142"/>
      <c r="B908" s="143"/>
      <c r="C908" s="144"/>
      <c r="D908" s="145"/>
      <c r="E908" s="142"/>
      <c r="F908" s="146"/>
      <c r="G908" s="147"/>
      <c r="H908" s="148"/>
      <c r="I908" s="148"/>
      <c r="J908" s="149"/>
      <c r="K908" s="149"/>
      <c r="L908" s="149"/>
      <c r="M908" s="149"/>
      <c r="N908" s="142"/>
      <c r="O908" s="33"/>
    </row>
    <row r="909" ht="15.75" customHeight="1">
      <c r="A909" s="142"/>
      <c r="B909" s="143"/>
      <c r="C909" s="144"/>
      <c r="D909" s="145"/>
      <c r="E909" s="142"/>
      <c r="F909" s="146"/>
      <c r="G909" s="147"/>
      <c r="H909" s="148"/>
      <c r="I909" s="148"/>
      <c r="J909" s="149"/>
      <c r="K909" s="149"/>
      <c r="L909" s="149"/>
      <c r="M909" s="149"/>
      <c r="N909" s="142"/>
      <c r="O909" s="33"/>
    </row>
    <row r="910" ht="15.75" customHeight="1">
      <c r="A910" s="142"/>
      <c r="B910" s="143"/>
      <c r="C910" s="144"/>
      <c r="D910" s="145"/>
      <c r="E910" s="142"/>
      <c r="F910" s="146"/>
      <c r="G910" s="147"/>
      <c r="H910" s="148"/>
      <c r="I910" s="148"/>
      <c r="J910" s="149"/>
      <c r="K910" s="149"/>
      <c r="L910" s="149"/>
      <c r="M910" s="149"/>
      <c r="N910" s="142"/>
      <c r="O910" s="33"/>
    </row>
    <row r="911" ht="15.75" customHeight="1">
      <c r="A911" s="142"/>
      <c r="B911" s="143"/>
      <c r="C911" s="144"/>
      <c r="D911" s="145"/>
      <c r="E911" s="142"/>
      <c r="F911" s="146"/>
      <c r="G911" s="147"/>
      <c r="H911" s="148"/>
      <c r="I911" s="148"/>
      <c r="J911" s="149"/>
      <c r="K911" s="149"/>
      <c r="L911" s="149"/>
      <c r="M911" s="149"/>
      <c r="N911" s="142"/>
      <c r="O911" s="33"/>
    </row>
    <row r="912" ht="15.75" customHeight="1">
      <c r="A912" s="142"/>
      <c r="B912" s="143"/>
      <c r="C912" s="144"/>
      <c r="D912" s="145"/>
      <c r="E912" s="142"/>
      <c r="F912" s="146"/>
      <c r="G912" s="147"/>
      <c r="H912" s="148"/>
      <c r="I912" s="148"/>
      <c r="J912" s="149"/>
      <c r="K912" s="149"/>
      <c r="L912" s="149"/>
      <c r="M912" s="149"/>
      <c r="N912" s="142"/>
      <c r="O912" s="33"/>
    </row>
    <row r="913" ht="15.75" customHeight="1">
      <c r="A913" s="142"/>
      <c r="B913" s="143"/>
      <c r="C913" s="144"/>
      <c r="D913" s="145"/>
      <c r="E913" s="142"/>
      <c r="F913" s="146"/>
      <c r="G913" s="147"/>
      <c r="H913" s="148"/>
      <c r="I913" s="148"/>
      <c r="J913" s="149"/>
      <c r="K913" s="149"/>
      <c r="L913" s="149"/>
      <c r="M913" s="149"/>
      <c r="N913" s="142"/>
      <c r="O913" s="33"/>
    </row>
    <row r="914" ht="15.75" customHeight="1">
      <c r="A914" s="142"/>
      <c r="B914" s="143"/>
      <c r="C914" s="144"/>
      <c r="D914" s="145"/>
      <c r="E914" s="142"/>
      <c r="F914" s="146"/>
      <c r="G914" s="147"/>
      <c r="H914" s="148"/>
      <c r="I914" s="148"/>
      <c r="J914" s="149"/>
      <c r="K914" s="149"/>
      <c r="L914" s="149"/>
      <c r="M914" s="149"/>
      <c r="N914" s="142"/>
      <c r="O914" s="33"/>
    </row>
    <row r="915" ht="15.75" customHeight="1">
      <c r="A915" s="142"/>
      <c r="B915" s="143"/>
      <c r="C915" s="144"/>
      <c r="D915" s="145"/>
      <c r="E915" s="142"/>
      <c r="F915" s="146"/>
      <c r="G915" s="147"/>
      <c r="H915" s="148"/>
      <c r="I915" s="148"/>
      <c r="J915" s="149"/>
      <c r="K915" s="149"/>
      <c r="L915" s="149"/>
      <c r="M915" s="149"/>
      <c r="N915" s="142"/>
      <c r="O915" s="33"/>
    </row>
    <row r="916" ht="15.75" customHeight="1">
      <c r="A916" s="142"/>
      <c r="B916" s="143"/>
      <c r="C916" s="144"/>
      <c r="D916" s="145"/>
      <c r="E916" s="142"/>
      <c r="F916" s="146"/>
      <c r="G916" s="147"/>
      <c r="H916" s="148"/>
      <c r="I916" s="148"/>
      <c r="J916" s="149"/>
      <c r="K916" s="149"/>
      <c r="L916" s="149"/>
      <c r="M916" s="149"/>
      <c r="N916" s="142"/>
      <c r="O916" s="33"/>
    </row>
    <row r="917" ht="15.75" customHeight="1">
      <c r="A917" s="142"/>
      <c r="B917" s="143"/>
      <c r="C917" s="144"/>
      <c r="D917" s="145"/>
      <c r="E917" s="142"/>
      <c r="F917" s="146"/>
      <c r="G917" s="147"/>
      <c r="H917" s="148"/>
      <c r="I917" s="148"/>
      <c r="J917" s="149"/>
      <c r="K917" s="149"/>
      <c r="L917" s="149"/>
      <c r="M917" s="149"/>
      <c r="N917" s="142"/>
      <c r="O917" s="33"/>
    </row>
    <row r="918" ht="15.75" customHeight="1">
      <c r="A918" s="142"/>
      <c r="B918" s="143"/>
      <c r="C918" s="144"/>
      <c r="D918" s="145"/>
      <c r="E918" s="142"/>
      <c r="F918" s="146"/>
      <c r="G918" s="147"/>
      <c r="H918" s="148"/>
      <c r="I918" s="148"/>
      <c r="J918" s="149"/>
      <c r="K918" s="149"/>
      <c r="L918" s="149"/>
      <c r="M918" s="149"/>
      <c r="N918" s="142"/>
      <c r="O918" s="33"/>
    </row>
    <row r="919" ht="15.75" customHeight="1">
      <c r="A919" s="142"/>
      <c r="B919" s="143"/>
      <c r="C919" s="144"/>
      <c r="D919" s="145"/>
      <c r="E919" s="142"/>
      <c r="F919" s="146"/>
      <c r="G919" s="147"/>
      <c r="H919" s="148"/>
      <c r="I919" s="148"/>
      <c r="J919" s="149"/>
      <c r="K919" s="149"/>
      <c r="L919" s="149"/>
      <c r="M919" s="149"/>
      <c r="N919" s="142"/>
      <c r="O919" s="33"/>
    </row>
    <row r="920" ht="15.75" customHeight="1">
      <c r="A920" s="142"/>
      <c r="B920" s="143"/>
      <c r="C920" s="144"/>
      <c r="D920" s="145"/>
      <c r="E920" s="142"/>
      <c r="F920" s="146"/>
      <c r="G920" s="147"/>
      <c r="H920" s="148"/>
      <c r="I920" s="148"/>
      <c r="J920" s="149"/>
      <c r="K920" s="149"/>
      <c r="L920" s="149"/>
      <c r="M920" s="149"/>
      <c r="N920" s="142"/>
      <c r="O920" s="33"/>
    </row>
    <row r="921" ht="15.75" customHeight="1">
      <c r="A921" s="142"/>
      <c r="B921" s="143"/>
      <c r="C921" s="144"/>
      <c r="D921" s="145"/>
      <c r="E921" s="142"/>
      <c r="F921" s="146"/>
      <c r="G921" s="147"/>
      <c r="H921" s="148"/>
      <c r="I921" s="148"/>
      <c r="J921" s="149"/>
      <c r="K921" s="149"/>
      <c r="L921" s="149"/>
      <c r="M921" s="149"/>
      <c r="N921" s="142"/>
      <c r="O921" s="33"/>
    </row>
    <row r="922" ht="15.75" customHeight="1">
      <c r="A922" s="142"/>
      <c r="B922" s="143"/>
      <c r="C922" s="144"/>
      <c r="D922" s="145"/>
      <c r="E922" s="142"/>
      <c r="F922" s="146"/>
      <c r="G922" s="147"/>
      <c r="H922" s="148"/>
      <c r="I922" s="148"/>
      <c r="J922" s="149"/>
      <c r="K922" s="149"/>
      <c r="L922" s="149"/>
      <c r="M922" s="149"/>
      <c r="N922" s="142"/>
      <c r="O922" s="33"/>
    </row>
    <row r="923" ht="15.75" customHeight="1">
      <c r="A923" s="142"/>
      <c r="B923" s="143"/>
      <c r="C923" s="144"/>
      <c r="D923" s="145"/>
      <c r="E923" s="142"/>
      <c r="F923" s="146"/>
      <c r="G923" s="147"/>
      <c r="H923" s="148"/>
      <c r="I923" s="148"/>
      <c r="J923" s="149"/>
      <c r="K923" s="149"/>
      <c r="L923" s="149"/>
      <c r="M923" s="149"/>
      <c r="N923" s="142"/>
      <c r="O923" s="33"/>
    </row>
    <row r="924" ht="15.75" customHeight="1">
      <c r="A924" s="142"/>
      <c r="B924" s="143"/>
      <c r="C924" s="144"/>
      <c r="D924" s="145"/>
      <c r="E924" s="142"/>
      <c r="F924" s="146"/>
      <c r="G924" s="147"/>
      <c r="H924" s="148"/>
      <c r="I924" s="148"/>
      <c r="J924" s="149"/>
      <c r="K924" s="149"/>
      <c r="L924" s="149"/>
      <c r="M924" s="149"/>
      <c r="N924" s="142"/>
      <c r="O924" s="33"/>
    </row>
    <row r="925" ht="15.75" customHeight="1">
      <c r="A925" s="142"/>
      <c r="B925" s="143"/>
      <c r="C925" s="144"/>
      <c r="D925" s="145"/>
      <c r="E925" s="142"/>
      <c r="F925" s="146"/>
      <c r="G925" s="147"/>
      <c r="H925" s="148"/>
      <c r="I925" s="148"/>
      <c r="J925" s="149"/>
      <c r="K925" s="149"/>
      <c r="L925" s="149"/>
      <c r="M925" s="149"/>
      <c r="N925" s="142"/>
      <c r="O925" s="33"/>
    </row>
    <row r="926" ht="15.75" customHeight="1">
      <c r="A926" s="142"/>
      <c r="B926" s="143"/>
      <c r="C926" s="144"/>
      <c r="D926" s="145"/>
      <c r="E926" s="142"/>
      <c r="F926" s="146"/>
      <c r="G926" s="147"/>
      <c r="H926" s="148"/>
      <c r="I926" s="148"/>
      <c r="J926" s="149"/>
      <c r="K926" s="149"/>
      <c r="L926" s="149"/>
      <c r="M926" s="149"/>
      <c r="N926" s="142"/>
      <c r="O926" s="33"/>
    </row>
    <row r="927" ht="15.75" customHeight="1">
      <c r="A927" s="142"/>
      <c r="B927" s="143"/>
      <c r="C927" s="144"/>
      <c r="D927" s="145"/>
      <c r="E927" s="142"/>
      <c r="F927" s="146"/>
      <c r="G927" s="147"/>
      <c r="H927" s="148"/>
      <c r="I927" s="148"/>
      <c r="J927" s="149"/>
      <c r="K927" s="149"/>
      <c r="L927" s="149"/>
      <c r="M927" s="149"/>
      <c r="N927" s="142"/>
      <c r="O927" s="33"/>
    </row>
    <row r="928" ht="15.75" customHeight="1">
      <c r="A928" s="142"/>
      <c r="B928" s="143"/>
      <c r="C928" s="144"/>
      <c r="D928" s="145"/>
      <c r="E928" s="142"/>
      <c r="F928" s="146"/>
      <c r="G928" s="147"/>
      <c r="H928" s="148"/>
      <c r="I928" s="148"/>
      <c r="J928" s="149"/>
      <c r="K928" s="149"/>
      <c r="L928" s="149"/>
      <c r="M928" s="149"/>
      <c r="N928" s="142"/>
      <c r="O928" s="33"/>
    </row>
    <row r="929" ht="15.75" customHeight="1">
      <c r="A929" s="142"/>
      <c r="B929" s="143"/>
      <c r="C929" s="144"/>
      <c r="D929" s="145"/>
      <c r="E929" s="142"/>
      <c r="F929" s="146"/>
      <c r="G929" s="147"/>
      <c r="H929" s="148"/>
      <c r="I929" s="148"/>
      <c r="J929" s="149"/>
      <c r="K929" s="149"/>
      <c r="L929" s="149"/>
      <c r="M929" s="149"/>
      <c r="N929" s="142"/>
      <c r="O929" s="33"/>
    </row>
    <row r="930" ht="15.75" customHeight="1">
      <c r="A930" s="142"/>
      <c r="B930" s="143"/>
      <c r="C930" s="144"/>
      <c r="D930" s="145"/>
      <c r="E930" s="142"/>
      <c r="F930" s="146"/>
      <c r="G930" s="147"/>
      <c r="H930" s="148"/>
      <c r="I930" s="148"/>
      <c r="J930" s="149"/>
      <c r="K930" s="149"/>
      <c r="L930" s="149"/>
      <c r="M930" s="149"/>
      <c r="N930" s="142"/>
      <c r="O930" s="33"/>
    </row>
    <row r="931" ht="15.75" customHeight="1">
      <c r="A931" s="142"/>
      <c r="B931" s="143"/>
      <c r="C931" s="144"/>
      <c r="D931" s="145"/>
      <c r="E931" s="142"/>
      <c r="F931" s="146"/>
      <c r="G931" s="147"/>
      <c r="H931" s="148"/>
      <c r="I931" s="148"/>
      <c r="J931" s="149"/>
      <c r="K931" s="149"/>
      <c r="L931" s="149"/>
      <c r="M931" s="149"/>
      <c r="N931" s="142"/>
      <c r="O931" s="33"/>
    </row>
    <row r="932" ht="15.75" customHeight="1">
      <c r="A932" s="142"/>
      <c r="B932" s="143"/>
      <c r="C932" s="144"/>
      <c r="D932" s="145"/>
      <c r="E932" s="142"/>
      <c r="F932" s="146"/>
      <c r="G932" s="147"/>
      <c r="H932" s="148"/>
      <c r="I932" s="148"/>
      <c r="J932" s="149"/>
      <c r="K932" s="149"/>
      <c r="L932" s="149"/>
      <c r="M932" s="149"/>
      <c r="N932" s="142"/>
      <c r="O932" s="33"/>
    </row>
    <row r="933" ht="15.75" customHeight="1">
      <c r="A933" s="142"/>
      <c r="B933" s="143"/>
      <c r="C933" s="144"/>
      <c r="D933" s="145"/>
      <c r="E933" s="142"/>
      <c r="F933" s="146"/>
      <c r="G933" s="147"/>
      <c r="H933" s="148"/>
      <c r="I933" s="148"/>
      <c r="J933" s="149"/>
      <c r="K933" s="149"/>
      <c r="L933" s="149"/>
      <c r="M933" s="149"/>
      <c r="N933" s="142"/>
      <c r="O933" s="33"/>
    </row>
    <row r="934" ht="15.75" customHeight="1">
      <c r="A934" s="142"/>
      <c r="B934" s="143"/>
      <c r="C934" s="144"/>
      <c r="D934" s="145"/>
      <c r="E934" s="142"/>
      <c r="F934" s="146"/>
      <c r="G934" s="147"/>
      <c r="H934" s="148"/>
      <c r="I934" s="148"/>
      <c r="J934" s="149"/>
      <c r="K934" s="149"/>
      <c r="L934" s="149"/>
      <c r="M934" s="149"/>
      <c r="N934" s="142"/>
      <c r="O934" s="33"/>
    </row>
    <row r="935" ht="15.75" customHeight="1">
      <c r="A935" s="142"/>
      <c r="B935" s="143"/>
      <c r="C935" s="144"/>
      <c r="D935" s="145"/>
      <c r="E935" s="142"/>
      <c r="F935" s="146"/>
      <c r="G935" s="147"/>
      <c r="H935" s="148"/>
      <c r="I935" s="148"/>
      <c r="J935" s="149"/>
      <c r="K935" s="149"/>
      <c r="L935" s="149"/>
      <c r="M935" s="149"/>
      <c r="N935" s="142"/>
      <c r="O935" s="33"/>
    </row>
    <row r="936" ht="15.75" customHeight="1">
      <c r="A936" s="142"/>
      <c r="B936" s="143"/>
      <c r="C936" s="144"/>
      <c r="D936" s="145"/>
      <c r="E936" s="142"/>
      <c r="F936" s="146"/>
      <c r="G936" s="147"/>
      <c r="H936" s="148"/>
      <c r="I936" s="148"/>
      <c r="J936" s="149"/>
      <c r="K936" s="149"/>
      <c r="L936" s="149"/>
      <c r="M936" s="149"/>
      <c r="N936" s="142"/>
      <c r="O936" s="33"/>
    </row>
    <row r="937" ht="15.75" customHeight="1">
      <c r="A937" s="142"/>
      <c r="B937" s="143"/>
      <c r="C937" s="144"/>
      <c r="D937" s="145"/>
      <c r="E937" s="142"/>
      <c r="F937" s="146"/>
      <c r="G937" s="147"/>
      <c r="H937" s="148"/>
      <c r="I937" s="148"/>
      <c r="J937" s="149"/>
      <c r="K937" s="149"/>
      <c r="L937" s="149"/>
      <c r="M937" s="149"/>
      <c r="N937" s="142"/>
      <c r="O937" s="33"/>
    </row>
    <row r="938" ht="15.75" customHeight="1">
      <c r="A938" s="142"/>
      <c r="B938" s="143"/>
      <c r="C938" s="144"/>
      <c r="D938" s="145"/>
      <c r="E938" s="142"/>
      <c r="F938" s="146"/>
      <c r="G938" s="147"/>
      <c r="H938" s="148"/>
      <c r="I938" s="148"/>
      <c r="J938" s="149"/>
      <c r="K938" s="149"/>
      <c r="L938" s="149"/>
      <c r="M938" s="149"/>
      <c r="N938" s="142"/>
      <c r="O938" s="33"/>
    </row>
    <row r="939" ht="15.75" customHeight="1">
      <c r="A939" s="142"/>
      <c r="B939" s="143"/>
      <c r="C939" s="144"/>
      <c r="D939" s="145"/>
      <c r="E939" s="142"/>
      <c r="F939" s="146"/>
      <c r="G939" s="147"/>
      <c r="H939" s="148"/>
      <c r="I939" s="148"/>
      <c r="J939" s="149"/>
      <c r="K939" s="149"/>
      <c r="L939" s="149"/>
      <c r="M939" s="149"/>
      <c r="N939" s="142"/>
      <c r="O939" s="33"/>
    </row>
    <row r="940" ht="15.75" customHeight="1">
      <c r="A940" s="142"/>
      <c r="B940" s="143"/>
      <c r="C940" s="144"/>
      <c r="D940" s="145"/>
      <c r="E940" s="142"/>
      <c r="F940" s="146"/>
      <c r="G940" s="147"/>
      <c r="H940" s="148"/>
      <c r="I940" s="148"/>
      <c r="J940" s="149"/>
      <c r="K940" s="149"/>
      <c r="L940" s="149"/>
      <c r="M940" s="149"/>
      <c r="N940" s="142"/>
      <c r="O940" s="33"/>
    </row>
    <row r="941" ht="15.75" customHeight="1">
      <c r="A941" s="142"/>
      <c r="B941" s="143"/>
      <c r="C941" s="144"/>
      <c r="D941" s="145"/>
      <c r="E941" s="142"/>
      <c r="F941" s="146"/>
      <c r="G941" s="147"/>
      <c r="H941" s="148"/>
      <c r="I941" s="148"/>
      <c r="J941" s="149"/>
      <c r="K941" s="149"/>
      <c r="L941" s="149"/>
      <c r="M941" s="149"/>
      <c r="N941" s="142"/>
      <c r="O941" s="33"/>
    </row>
    <row r="942" ht="15.75" customHeight="1">
      <c r="A942" s="142"/>
      <c r="B942" s="143"/>
      <c r="C942" s="144"/>
      <c r="D942" s="145"/>
      <c r="E942" s="142"/>
      <c r="F942" s="146"/>
      <c r="G942" s="147"/>
      <c r="H942" s="148"/>
      <c r="I942" s="148"/>
      <c r="J942" s="149"/>
      <c r="K942" s="149"/>
      <c r="L942" s="149"/>
      <c r="M942" s="149"/>
      <c r="N942" s="142"/>
      <c r="O942" s="33"/>
    </row>
    <row r="943" ht="15.75" customHeight="1">
      <c r="A943" s="142"/>
      <c r="B943" s="143"/>
      <c r="C943" s="144"/>
      <c r="D943" s="145"/>
      <c r="E943" s="142"/>
      <c r="F943" s="146"/>
      <c r="G943" s="147"/>
      <c r="H943" s="148"/>
      <c r="I943" s="148"/>
      <c r="J943" s="149"/>
      <c r="K943" s="149"/>
      <c r="L943" s="149"/>
      <c r="M943" s="149"/>
      <c r="N943" s="142"/>
      <c r="O943" s="33"/>
    </row>
    <row r="944" ht="15.75" customHeight="1">
      <c r="A944" s="142"/>
      <c r="B944" s="143"/>
      <c r="C944" s="144"/>
      <c r="D944" s="145"/>
      <c r="E944" s="142"/>
      <c r="F944" s="146"/>
      <c r="G944" s="147"/>
      <c r="H944" s="148"/>
      <c r="I944" s="148"/>
      <c r="J944" s="149"/>
      <c r="K944" s="149"/>
      <c r="L944" s="149"/>
      <c r="M944" s="149"/>
      <c r="N944" s="142"/>
      <c r="O944" s="33"/>
    </row>
    <row r="945" ht="15.75" customHeight="1">
      <c r="A945" s="142"/>
      <c r="B945" s="143"/>
      <c r="C945" s="144"/>
      <c r="D945" s="145"/>
      <c r="E945" s="142"/>
      <c r="F945" s="146"/>
      <c r="G945" s="147"/>
      <c r="H945" s="148"/>
      <c r="I945" s="148"/>
      <c r="J945" s="149"/>
      <c r="K945" s="149"/>
      <c r="L945" s="149"/>
      <c r="M945" s="149"/>
      <c r="N945" s="142"/>
      <c r="O945" s="33"/>
    </row>
    <row r="946" ht="15.75" customHeight="1">
      <c r="A946" s="142"/>
      <c r="B946" s="143"/>
      <c r="C946" s="144"/>
      <c r="D946" s="145"/>
      <c r="E946" s="142"/>
      <c r="F946" s="146"/>
      <c r="G946" s="147"/>
      <c r="H946" s="148"/>
      <c r="I946" s="148"/>
      <c r="J946" s="149"/>
      <c r="K946" s="149"/>
      <c r="L946" s="149"/>
      <c r="M946" s="149"/>
      <c r="N946" s="142"/>
      <c r="O946" s="33"/>
    </row>
    <row r="947" ht="15.75" customHeight="1">
      <c r="A947" s="142"/>
      <c r="B947" s="143"/>
      <c r="C947" s="144"/>
      <c r="D947" s="145"/>
      <c r="E947" s="142"/>
      <c r="F947" s="146"/>
      <c r="G947" s="147"/>
      <c r="H947" s="148"/>
      <c r="I947" s="148"/>
      <c r="J947" s="149"/>
      <c r="K947" s="149"/>
      <c r="L947" s="149"/>
      <c r="M947" s="149"/>
      <c r="N947" s="142"/>
      <c r="O947" s="33"/>
    </row>
    <row r="948" ht="15.75" customHeight="1">
      <c r="A948" s="142"/>
      <c r="B948" s="143"/>
      <c r="C948" s="144"/>
      <c r="D948" s="145"/>
      <c r="E948" s="142"/>
      <c r="F948" s="146"/>
      <c r="G948" s="147"/>
      <c r="H948" s="148"/>
      <c r="I948" s="148"/>
      <c r="J948" s="149"/>
      <c r="K948" s="149"/>
      <c r="L948" s="149"/>
      <c r="M948" s="149"/>
      <c r="N948" s="142"/>
      <c r="O948" s="33"/>
    </row>
    <row r="949" ht="15.75" customHeight="1">
      <c r="A949" s="142"/>
      <c r="B949" s="143"/>
      <c r="C949" s="144"/>
      <c r="D949" s="145"/>
      <c r="E949" s="142"/>
      <c r="F949" s="146"/>
      <c r="G949" s="147"/>
      <c r="H949" s="148"/>
      <c r="I949" s="148"/>
      <c r="J949" s="149"/>
      <c r="K949" s="149"/>
      <c r="L949" s="149"/>
      <c r="M949" s="149"/>
      <c r="N949" s="142"/>
      <c r="O949" s="33"/>
    </row>
    <row r="950" ht="15.75" customHeight="1">
      <c r="A950" s="142"/>
      <c r="B950" s="143"/>
      <c r="C950" s="144"/>
      <c r="D950" s="145"/>
      <c r="E950" s="142"/>
      <c r="F950" s="146"/>
      <c r="G950" s="147"/>
      <c r="H950" s="148"/>
      <c r="I950" s="148"/>
      <c r="J950" s="149"/>
      <c r="K950" s="149"/>
      <c r="L950" s="149"/>
      <c r="M950" s="149"/>
      <c r="N950" s="142"/>
      <c r="O950" s="33"/>
    </row>
    <row r="951" ht="15.75" customHeight="1">
      <c r="A951" s="142"/>
      <c r="B951" s="143"/>
      <c r="C951" s="144"/>
      <c r="D951" s="145"/>
      <c r="E951" s="142"/>
      <c r="F951" s="146"/>
      <c r="G951" s="147"/>
      <c r="H951" s="148"/>
      <c r="I951" s="148"/>
      <c r="J951" s="149"/>
      <c r="K951" s="149"/>
      <c r="L951" s="149"/>
      <c r="M951" s="149"/>
      <c r="N951" s="142"/>
      <c r="O951" s="33"/>
    </row>
    <row r="952" ht="15.75" customHeight="1">
      <c r="A952" s="142"/>
      <c r="B952" s="143"/>
      <c r="C952" s="144"/>
      <c r="D952" s="145"/>
      <c r="E952" s="142"/>
      <c r="F952" s="146"/>
      <c r="G952" s="147"/>
      <c r="H952" s="148"/>
      <c r="I952" s="148"/>
      <c r="J952" s="149"/>
      <c r="K952" s="149"/>
      <c r="L952" s="149"/>
      <c r="M952" s="149"/>
      <c r="N952" s="142"/>
      <c r="O952" s="33"/>
    </row>
    <row r="953" ht="15.75" customHeight="1">
      <c r="A953" s="142"/>
      <c r="B953" s="143"/>
      <c r="C953" s="144"/>
      <c r="D953" s="145"/>
      <c r="E953" s="142"/>
      <c r="F953" s="146"/>
      <c r="G953" s="147"/>
      <c r="H953" s="148"/>
      <c r="I953" s="148"/>
      <c r="J953" s="149"/>
      <c r="K953" s="149"/>
      <c r="L953" s="149"/>
      <c r="M953" s="149"/>
      <c r="N953" s="142"/>
      <c r="O953" s="33"/>
    </row>
    <row r="954" ht="15.75" customHeight="1">
      <c r="A954" s="142"/>
      <c r="B954" s="143"/>
      <c r="C954" s="144"/>
      <c r="D954" s="145"/>
      <c r="E954" s="142"/>
      <c r="F954" s="146"/>
      <c r="G954" s="147"/>
      <c r="H954" s="148"/>
      <c r="I954" s="148"/>
      <c r="J954" s="149"/>
      <c r="K954" s="149"/>
      <c r="L954" s="149"/>
      <c r="M954" s="149"/>
      <c r="N954" s="142"/>
      <c r="O954" s="33"/>
    </row>
    <row r="955" ht="15.75" customHeight="1">
      <c r="A955" s="142"/>
      <c r="B955" s="143"/>
      <c r="C955" s="144"/>
      <c r="D955" s="145"/>
      <c r="E955" s="142"/>
      <c r="F955" s="146"/>
      <c r="G955" s="147"/>
      <c r="H955" s="148"/>
      <c r="I955" s="148"/>
      <c r="J955" s="149"/>
      <c r="K955" s="149"/>
      <c r="L955" s="149"/>
      <c r="M955" s="149"/>
      <c r="N955" s="142"/>
      <c r="O955" s="33"/>
    </row>
    <row r="956" ht="15.75" customHeight="1">
      <c r="A956" s="142"/>
      <c r="B956" s="143"/>
      <c r="C956" s="144"/>
      <c r="D956" s="145"/>
      <c r="E956" s="142"/>
      <c r="F956" s="146"/>
      <c r="G956" s="147"/>
      <c r="H956" s="148"/>
      <c r="I956" s="148"/>
      <c r="J956" s="149"/>
      <c r="K956" s="149"/>
      <c r="L956" s="149"/>
      <c r="M956" s="149"/>
      <c r="N956" s="142"/>
      <c r="O956" s="33"/>
    </row>
    <row r="957" ht="15.75" customHeight="1">
      <c r="A957" s="142"/>
      <c r="B957" s="143"/>
      <c r="C957" s="144"/>
      <c r="D957" s="145"/>
      <c r="E957" s="142"/>
      <c r="F957" s="146"/>
      <c r="G957" s="147"/>
      <c r="H957" s="148"/>
      <c r="I957" s="148"/>
      <c r="J957" s="149"/>
      <c r="K957" s="149"/>
      <c r="L957" s="149"/>
      <c r="M957" s="149"/>
      <c r="N957" s="142"/>
      <c r="O957" s="33"/>
    </row>
    <row r="958" ht="15.75" customHeight="1">
      <c r="A958" s="142"/>
      <c r="B958" s="143"/>
      <c r="C958" s="144"/>
      <c r="D958" s="145"/>
      <c r="E958" s="142"/>
      <c r="F958" s="146"/>
      <c r="G958" s="147"/>
      <c r="H958" s="148"/>
      <c r="I958" s="148"/>
      <c r="J958" s="149"/>
      <c r="K958" s="149"/>
      <c r="L958" s="149"/>
      <c r="M958" s="149"/>
      <c r="N958" s="142"/>
      <c r="O958" s="33"/>
    </row>
    <row r="959" ht="15.75" customHeight="1">
      <c r="A959" s="142"/>
      <c r="B959" s="143"/>
      <c r="C959" s="144"/>
      <c r="D959" s="145"/>
      <c r="E959" s="142"/>
      <c r="F959" s="146"/>
      <c r="G959" s="147"/>
      <c r="H959" s="148"/>
      <c r="I959" s="148"/>
      <c r="J959" s="149"/>
      <c r="K959" s="149"/>
      <c r="L959" s="149"/>
      <c r="M959" s="149"/>
      <c r="N959" s="142"/>
      <c r="O959" s="33"/>
    </row>
    <row r="960" ht="15.75" customHeight="1">
      <c r="A960" s="142"/>
      <c r="B960" s="143"/>
      <c r="C960" s="144"/>
      <c r="D960" s="145"/>
      <c r="E960" s="142"/>
      <c r="F960" s="146"/>
      <c r="G960" s="147"/>
      <c r="H960" s="148"/>
      <c r="I960" s="148"/>
      <c r="J960" s="149"/>
      <c r="K960" s="149"/>
      <c r="L960" s="149"/>
      <c r="M960" s="149"/>
      <c r="N960" s="142"/>
      <c r="O960" s="33"/>
    </row>
    <row r="961" ht="15.75" customHeight="1">
      <c r="A961" s="142"/>
      <c r="B961" s="143"/>
      <c r="C961" s="144"/>
      <c r="D961" s="145"/>
      <c r="E961" s="142"/>
      <c r="F961" s="146"/>
      <c r="G961" s="147"/>
      <c r="H961" s="148"/>
      <c r="I961" s="148"/>
      <c r="J961" s="149"/>
      <c r="K961" s="149"/>
      <c r="L961" s="149"/>
      <c r="M961" s="149"/>
      <c r="N961" s="142"/>
      <c r="O961" s="33"/>
    </row>
    <row r="962" ht="15.75" customHeight="1">
      <c r="A962" s="142"/>
      <c r="B962" s="143"/>
      <c r="C962" s="144"/>
      <c r="D962" s="145"/>
      <c r="E962" s="142"/>
      <c r="F962" s="146"/>
      <c r="G962" s="147"/>
      <c r="H962" s="148"/>
      <c r="I962" s="148"/>
      <c r="J962" s="149"/>
      <c r="K962" s="149"/>
      <c r="L962" s="149"/>
      <c r="M962" s="149"/>
      <c r="N962" s="142"/>
      <c r="O962" s="33"/>
    </row>
    <row r="963" ht="15.75" customHeight="1">
      <c r="A963" s="142"/>
      <c r="B963" s="143"/>
      <c r="C963" s="144"/>
      <c r="D963" s="145"/>
      <c r="E963" s="142"/>
      <c r="F963" s="146"/>
      <c r="G963" s="147"/>
      <c r="H963" s="148"/>
      <c r="I963" s="148"/>
      <c r="J963" s="149"/>
      <c r="K963" s="149"/>
      <c r="L963" s="149"/>
      <c r="M963" s="149"/>
      <c r="N963" s="142"/>
      <c r="O963" s="33"/>
    </row>
    <row r="964" ht="15.75" customHeight="1">
      <c r="A964" s="142"/>
      <c r="B964" s="143"/>
      <c r="C964" s="144"/>
      <c r="D964" s="145"/>
      <c r="E964" s="142"/>
      <c r="F964" s="146"/>
      <c r="G964" s="147"/>
      <c r="H964" s="148"/>
      <c r="I964" s="148"/>
      <c r="J964" s="149"/>
      <c r="K964" s="149"/>
      <c r="L964" s="149"/>
      <c r="M964" s="149"/>
      <c r="N964" s="142"/>
      <c r="O964" s="33"/>
    </row>
    <row r="965" ht="15.75" customHeight="1">
      <c r="A965" s="142"/>
      <c r="B965" s="143"/>
      <c r="C965" s="144"/>
      <c r="D965" s="145"/>
      <c r="E965" s="142"/>
      <c r="F965" s="146"/>
      <c r="G965" s="147"/>
      <c r="H965" s="148"/>
      <c r="I965" s="148"/>
      <c r="J965" s="149"/>
      <c r="K965" s="149"/>
      <c r="L965" s="149"/>
      <c r="M965" s="149"/>
      <c r="N965" s="142"/>
      <c r="O965" s="33"/>
    </row>
    <row r="966" ht="15.75" customHeight="1">
      <c r="A966" s="142"/>
      <c r="B966" s="143"/>
      <c r="C966" s="144"/>
      <c r="D966" s="145"/>
      <c r="E966" s="142"/>
      <c r="F966" s="146"/>
      <c r="G966" s="147"/>
      <c r="H966" s="148"/>
      <c r="I966" s="148"/>
      <c r="J966" s="149"/>
      <c r="K966" s="149"/>
      <c r="L966" s="149"/>
      <c r="M966" s="149"/>
      <c r="N966" s="142"/>
      <c r="O966" s="33"/>
    </row>
  </sheetData>
  <mergeCells count="11">
    <mergeCell ref="H1:I1"/>
    <mergeCell ref="J1:K1"/>
    <mergeCell ref="L1:M1"/>
    <mergeCell ref="N1:N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14"/>
    <col customWidth="1" min="2" max="2" width="15.14"/>
    <col customWidth="1" min="3" max="3" width="13.86"/>
    <col customWidth="1" min="4" max="4" width="30.86"/>
    <col customWidth="1" min="5" max="5" width="34.14"/>
    <col customWidth="1" min="6" max="6" width="16.71"/>
    <col customWidth="1" min="7" max="7" width="11.14"/>
    <col customWidth="1" min="8" max="13" width="13.0"/>
    <col customWidth="1" min="14" max="14" width="29.14"/>
    <col customWidth="1" min="15" max="15" width="13.57"/>
    <col customWidth="1" min="16" max="16" width="15.14"/>
    <col customWidth="1" min="17" max="17" width="43.0"/>
    <col customWidth="1" min="18" max="26" width="9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58" t="s">
        <v>6</v>
      </c>
      <c r="H1" s="5" t="s">
        <v>7</v>
      </c>
      <c r="I1" s="6"/>
      <c r="J1" s="159" t="s">
        <v>233</v>
      </c>
      <c r="K1" s="6"/>
      <c r="L1" s="8" t="s">
        <v>9</v>
      </c>
      <c r="M1" s="6"/>
      <c r="N1" s="9" t="s">
        <v>10</v>
      </c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31.5" customHeight="1">
      <c r="A2" s="12"/>
      <c r="B2" s="13"/>
      <c r="C2" s="13"/>
      <c r="D2" s="13"/>
      <c r="E2" s="13"/>
      <c r="F2" s="13"/>
      <c r="G2" s="13"/>
      <c r="H2" s="14" t="s">
        <v>234</v>
      </c>
      <c r="I2" s="15" t="s">
        <v>235</v>
      </c>
      <c r="J2" s="16" t="s">
        <v>236</v>
      </c>
      <c r="K2" s="17" t="s">
        <v>237</v>
      </c>
      <c r="L2" s="18" t="s">
        <v>238</v>
      </c>
      <c r="M2" s="19" t="s">
        <v>239</v>
      </c>
      <c r="N2" s="20"/>
      <c r="O2" s="10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21"/>
      <c r="B3" s="44"/>
      <c r="C3" s="23"/>
      <c r="D3" s="46" t="s">
        <v>240</v>
      </c>
      <c r="E3" s="47"/>
      <c r="F3" s="160">
        <v>2870.0</v>
      </c>
      <c r="G3" s="161"/>
      <c r="H3" s="28">
        <f>F3*0.5+F3</f>
        <v>4305</v>
      </c>
      <c r="I3" s="29">
        <f>F3*0.3+F3</f>
        <v>3731</v>
      </c>
      <c r="J3" s="30">
        <f>F3*0.3+F3</f>
        <v>3731</v>
      </c>
      <c r="K3" s="31">
        <f>F3*0.2+F3</f>
        <v>3444</v>
      </c>
      <c r="L3" s="30">
        <f>F3*0.15+F3</f>
        <v>3300.5</v>
      </c>
      <c r="M3" s="31">
        <f>F3*0.1+F3</f>
        <v>3157</v>
      </c>
      <c r="N3" s="32"/>
      <c r="O3" s="33"/>
    </row>
    <row r="4" ht="15.75" customHeight="1">
      <c r="A4" s="21"/>
      <c r="B4" s="44"/>
      <c r="C4" s="23"/>
      <c r="D4" s="37" t="s">
        <v>241</v>
      </c>
      <c r="E4" s="42"/>
      <c r="F4" s="26">
        <v>3830.0</v>
      </c>
      <c r="G4" s="162">
        <v>44567.0</v>
      </c>
      <c r="H4" s="28"/>
      <c r="I4" s="29"/>
      <c r="J4" s="30"/>
      <c r="K4" s="31"/>
      <c r="L4" s="30"/>
      <c r="M4" s="31"/>
      <c r="N4" s="32"/>
      <c r="O4" s="33"/>
    </row>
    <row r="5" ht="15.75" customHeight="1">
      <c r="A5" s="21"/>
      <c r="B5" s="44"/>
      <c r="C5" s="23"/>
      <c r="D5" s="163" t="s">
        <v>242</v>
      </c>
      <c r="E5" s="87"/>
      <c r="F5" s="58">
        <v>20.0</v>
      </c>
      <c r="G5" s="161"/>
      <c r="H5" s="28">
        <f t="shared" ref="H5:H111" si="1">F5*0.5+F5</f>
        <v>30</v>
      </c>
      <c r="I5" s="29">
        <f t="shared" ref="I5:I111" si="2">F5*0.3+F5</f>
        <v>26</v>
      </c>
      <c r="J5" s="30">
        <f t="shared" ref="J5:J7" si="3">F5*0.3+F5</f>
        <v>26</v>
      </c>
      <c r="K5" s="31">
        <f t="shared" ref="K5:K7" si="4">F5*0.2+F5</f>
        <v>24</v>
      </c>
      <c r="L5" s="30">
        <f t="shared" ref="L5:L7" si="5">F5*0.15+F5</f>
        <v>23</v>
      </c>
      <c r="M5" s="31">
        <f t="shared" ref="M5:M7" si="6">F5*0.1+F5</f>
        <v>22</v>
      </c>
      <c r="N5" s="32"/>
      <c r="O5" s="33"/>
    </row>
    <row r="6" ht="15.75" customHeight="1">
      <c r="A6" s="21"/>
      <c r="B6" s="44"/>
      <c r="C6" s="23"/>
      <c r="D6" s="23" t="s">
        <v>243</v>
      </c>
      <c r="E6" s="42"/>
      <c r="F6" s="59">
        <v>2600.0</v>
      </c>
      <c r="G6" s="164">
        <v>44519.0</v>
      </c>
      <c r="H6" s="28">
        <f t="shared" si="1"/>
        <v>3900</v>
      </c>
      <c r="I6" s="29">
        <f t="shared" si="2"/>
        <v>3380</v>
      </c>
      <c r="J6" s="30">
        <f t="shared" si="3"/>
        <v>3380</v>
      </c>
      <c r="K6" s="31">
        <f t="shared" si="4"/>
        <v>3120</v>
      </c>
      <c r="L6" s="30">
        <f t="shared" si="5"/>
        <v>2990</v>
      </c>
      <c r="M6" s="31">
        <f t="shared" si="6"/>
        <v>2860</v>
      </c>
      <c r="N6" s="32"/>
      <c r="O6" s="33"/>
    </row>
    <row r="7" ht="15.75" customHeight="1">
      <c r="A7" s="21"/>
      <c r="B7" s="44"/>
      <c r="C7" s="23"/>
      <c r="D7" s="23" t="s">
        <v>244</v>
      </c>
      <c r="E7" s="42"/>
      <c r="F7" s="59">
        <v>2600.0</v>
      </c>
      <c r="G7" s="164">
        <v>44509.0</v>
      </c>
      <c r="H7" s="28">
        <f t="shared" si="1"/>
        <v>3900</v>
      </c>
      <c r="I7" s="29">
        <f t="shared" si="2"/>
        <v>3380</v>
      </c>
      <c r="J7" s="30">
        <f t="shared" si="3"/>
        <v>3380</v>
      </c>
      <c r="K7" s="31">
        <f t="shared" si="4"/>
        <v>3120</v>
      </c>
      <c r="L7" s="30">
        <f t="shared" si="5"/>
        <v>2990</v>
      </c>
      <c r="M7" s="31">
        <f t="shared" si="6"/>
        <v>2860</v>
      </c>
      <c r="N7" s="32"/>
      <c r="O7" s="33"/>
    </row>
    <row r="8" ht="15.75" customHeight="1">
      <c r="A8" s="21"/>
      <c r="B8" s="44"/>
      <c r="C8" s="23"/>
      <c r="D8" s="51" t="s">
        <v>245</v>
      </c>
      <c r="E8" s="42"/>
      <c r="F8" s="59">
        <v>2600.0</v>
      </c>
      <c r="G8" s="164">
        <v>44519.0</v>
      </c>
      <c r="H8" s="28">
        <f t="shared" si="1"/>
        <v>3900</v>
      </c>
      <c r="I8" s="29">
        <f t="shared" si="2"/>
        <v>3380</v>
      </c>
      <c r="J8" s="30"/>
      <c r="K8" s="31"/>
      <c r="L8" s="30"/>
      <c r="M8" s="31"/>
      <c r="N8" s="32"/>
      <c r="O8" s="33"/>
    </row>
    <row r="9" ht="15.75" customHeight="1">
      <c r="A9" s="21"/>
      <c r="B9" s="44"/>
      <c r="C9" s="23"/>
      <c r="D9" s="23" t="s">
        <v>246</v>
      </c>
      <c r="E9" s="42"/>
      <c r="F9" s="58">
        <v>25.0</v>
      </c>
      <c r="G9" s="161"/>
      <c r="H9" s="28">
        <f t="shared" si="1"/>
        <v>37.5</v>
      </c>
      <c r="I9" s="29">
        <f t="shared" si="2"/>
        <v>32.5</v>
      </c>
      <c r="J9" s="30">
        <f t="shared" ref="J9:J111" si="7">F9*0.3+F9</f>
        <v>32.5</v>
      </c>
      <c r="K9" s="31">
        <f t="shared" ref="K9:K111" si="8">F9*0.2+F9</f>
        <v>30</v>
      </c>
      <c r="L9" s="30">
        <f t="shared" ref="L9:L111" si="9">F9*0.15+F9</f>
        <v>28.75</v>
      </c>
      <c r="M9" s="31">
        <f t="shared" ref="M9:M111" si="10">F9*0.1+F9</f>
        <v>27.5</v>
      </c>
      <c r="N9" s="32"/>
      <c r="O9" s="33"/>
    </row>
    <row r="10" ht="15.75" customHeight="1">
      <c r="A10" s="21"/>
      <c r="B10" s="44"/>
      <c r="C10" s="23"/>
      <c r="D10" s="163" t="s">
        <v>247</v>
      </c>
      <c r="E10" s="42"/>
      <c r="F10" s="58">
        <v>24.0</v>
      </c>
      <c r="G10" s="161">
        <v>44348.0</v>
      </c>
      <c r="H10" s="28">
        <f t="shared" si="1"/>
        <v>36</v>
      </c>
      <c r="I10" s="29">
        <f t="shared" si="2"/>
        <v>31.2</v>
      </c>
      <c r="J10" s="30">
        <f t="shared" si="7"/>
        <v>31.2</v>
      </c>
      <c r="K10" s="31">
        <f t="shared" si="8"/>
        <v>28.8</v>
      </c>
      <c r="L10" s="30">
        <f t="shared" si="9"/>
        <v>27.6</v>
      </c>
      <c r="M10" s="31">
        <f t="shared" si="10"/>
        <v>26.4</v>
      </c>
      <c r="N10" s="32"/>
      <c r="O10" s="33"/>
    </row>
    <row r="11" ht="15.75" customHeight="1">
      <c r="A11" s="21"/>
      <c r="B11" s="44"/>
      <c r="C11" s="23"/>
      <c r="D11" s="23" t="s">
        <v>248</v>
      </c>
      <c r="E11" s="42"/>
      <c r="F11" s="58">
        <v>3070.0</v>
      </c>
      <c r="G11" s="161"/>
      <c r="H11" s="28">
        <f t="shared" si="1"/>
        <v>4605</v>
      </c>
      <c r="I11" s="29">
        <f t="shared" si="2"/>
        <v>3991</v>
      </c>
      <c r="J11" s="30">
        <f t="shared" si="7"/>
        <v>3991</v>
      </c>
      <c r="K11" s="31">
        <f t="shared" si="8"/>
        <v>3684</v>
      </c>
      <c r="L11" s="30">
        <f t="shared" si="9"/>
        <v>3530.5</v>
      </c>
      <c r="M11" s="31">
        <f t="shared" si="10"/>
        <v>3377</v>
      </c>
      <c r="N11" s="32"/>
      <c r="O11" s="33"/>
    </row>
    <row r="12" ht="15.75" customHeight="1">
      <c r="A12" s="21"/>
      <c r="B12" s="44"/>
      <c r="C12" s="23"/>
      <c r="D12" s="23" t="s">
        <v>249</v>
      </c>
      <c r="E12" s="42"/>
      <c r="F12" s="58">
        <v>3070.0</v>
      </c>
      <c r="G12" s="161"/>
      <c r="H12" s="28">
        <f t="shared" si="1"/>
        <v>4605</v>
      </c>
      <c r="I12" s="29">
        <f t="shared" si="2"/>
        <v>3991</v>
      </c>
      <c r="J12" s="30">
        <f t="shared" si="7"/>
        <v>3991</v>
      </c>
      <c r="K12" s="31">
        <f t="shared" si="8"/>
        <v>3684</v>
      </c>
      <c r="L12" s="30">
        <f t="shared" si="9"/>
        <v>3530.5</v>
      </c>
      <c r="M12" s="31">
        <f t="shared" si="10"/>
        <v>3377</v>
      </c>
      <c r="N12" s="32"/>
      <c r="O12" s="33"/>
    </row>
    <row r="13" ht="15.75" customHeight="1">
      <c r="A13" s="21"/>
      <c r="B13" s="44"/>
      <c r="C13" s="23"/>
      <c r="D13" s="23" t="s">
        <v>250</v>
      </c>
      <c r="E13" s="42"/>
      <c r="F13" s="58">
        <v>3070.0</v>
      </c>
      <c r="G13" s="161"/>
      <c r="H13" s="28">
        <f t="shared" si="1"/>
        <v>4605</v>
      </c>
      <c r="I13" s="29">
        <f t="shared" si="2"/>
        <v>3991</v>
      </c>
      <c r="J13" s="30">
        <f t="shared" si="7"/>
        <v>3991</v>
      </c>
      <c r="K13" s="31">
        <f t="shared" si="8"/>
        <v>3684</v>
      </c>
      <c r="L13" s="30">
        <f t="shared" si="9"/>
        <v>3530.5</v>
      </c>
      <c r="M13" s="31">
        <f t="shared" si="10"/>
        <v>3377</v>
      </c>
      <c r="N13" s="32"/>
      <c r="O13" s="33"/>
    </row>
    <row r="14" ht="17.25" customHeight="1">
      <c r="A14" s="21"/>
      <c r="B14" s="60" t="s">
        <v>100</v>
      </c>
      <c r="C14" s="61"/>
      <c r="D14" s="62" t="s">
        <v>101</v>
      </c>
      <c r="E14" s="42"/>
      <c r="F14" s="59">
        <v>2000.0</v>
      </c>
      <c r="G14" s="165" t="s">
        <v>251</v>
      </c>
      <c r="H14" s="28">
        <f t="shared" si="1"/>
        <v>3000</v>
      </c>
      <c r="I14" s="29">
        <f t="shared" si="2"/>
        <v>2600</v>
      </c>
      <c r="J14" s="30">
        <f t="shared" si="7"/>
        <v>2600</v>
      </c>
      <c r="K14" s="31">
        <f t="shared" si="8"/>
        <v>2400</v>
      </c>
      <c r="L14" s="30">
        <f t="shared" si="9"/>
        <v>2300</v>
      </c>
      <c r="M14" s="31">
        <f t="shared" si="10"/>
        <v>2200</v>
      </c>
      <c r="N14" s="32"/>
      <c r="O14" s="33"/>
    </row>
    <row r="15" ht="15.75" customHeight="1">
      <c r="A15" s="21"/>
      <c r="B15" s="60" t="s">
        <v>100</v>
      </c>
      <c r="C15" s="61"/>
      <c r="D15" s="37" t="s">
        <v>102</v>
      </c>
      <c r="E15" s="166"/>
      <c r="F15" s="59">
        <v>1800.0</v>
      </c>
      <c r="G15" s="165" t="s">
        <v>251</v>
      </c>
      <c r="H15" s="28">
        <f t="shared" si="1"/>
        <v>2700</v>
      </c>
      <c r="I15" s="29">
        <f t="shared" si="2"/>
        <v>2340</v>
      </c>
      <c r="J15" s="30">
        <f t="shared" si="7"/>
        <v>2340</v>
      </c>
      <c r="K15" s="31">
        <f t="shared" si="8"/>
        <v>2160</v>
      </c>
      <c r="L15" s="30">
        <f t="shared" si="9"/>
        <v>2070</v>
      </c>
      <c r="M15" s="31">
        <f t="shared" si="10"/>
        <v>1980</v>
      </c>
      <c r="N15" s="32"/>
      <c r="O15" s="33"/>
    </row>
    <row r="16" ht="15.75" customHeight="1">
      <c r="A16" s="21"/>
      <c r="B16" s="60" t="s">
        <v>252</v>
      </c>
      <c r="C16" s="61"/>
      <c r="D16" s="37" t="s">
        <v>101</v>
      </c>
      <c r="E16" s="167" t="s">
        <v>253</v>
      </c>
      <c r="F16" s="59">
        <v>6800.0</v>
      </c>
      <c r="G16" s="162">
        <v>44515.0</v>
      </c>
      <c r="H16" s="28">
        <f t="shared" si="1"/>
        <v>10200</v>
      </c>
      <c r="I16" s="29">
        <f t="shared" si="2"/>
        <v>8840</v>
      </c>
      <c r="J16" s="30">
        <f t="shared" si="7"/>
        <v>8840</v>
      </c>
      <c r="K16" s="31">
        <f t="shared" si="8"/>
        <v>8160</v>
      </c>
      <c r="L16" s="30">
        <f t="shared" si="9"/>
        <v>7820</v>
      </c>
      <c r="M16" s="31">
        <f t="shared" si="10"/>
        <v>7480</v>
      </c>
      <c r="N16" s="32"/>
      <c r="O16" s="33"/>
    </row>
    <row r="17" ht="15.75" customHeight="1">
      <c r="A17" s="21"/>
      <c r="B17" s="44"/>
      <c r="C17" s="61"/>
      <c r="D17" s="63" t="s">
        <v>254</v>
      </c>
      <c r="E17" s="42"/>
      <c r="F17" s="59">
        <v>5910.0</v>
      </c>
      <c r="G17" s="162">
        <v>44213.0</v>
      </c>
      <c r="H17" s="28">
        <f t="shared" si="1"/>
        <v>8865</v>
      </c>
      <c r="I17" s="29">
        <f t="shared" si="2"/>
        <v>7683</v>
      </c>
      <c r="J17" s="30">
        <f t="shared" si="7"/>
        <v>7683</v>
      </c>
      <c r="K17" s="31">
        <f t="shared" si="8"/>
        <v>7092</v>
      </c>
      <c r="L17" s="30">
        <f t="shared" si="9"/>
        <v>6796.5</v>
      </c>
      <c r="M17" s="31">
        <f t="shared" si="10"/>
        <v>6501</v>
      </c>
      <c r="N17" s="32"/>
      <c r="O17" s="33"/>
    </row>
    <row r="18" ht="15.75" customHeight="1">
      <c r="A18" s="21"/>
      <c r="B18" s="44"/>
      <c r="C18" s="61"/>
      <c r="D18" s="35" t="s">
        <v>255</v>
      </c>
      <c r="E18" s="65"/>
      <c r="F18" s="168">
        <v>2970.0</v>
      </c>
      <c r="G18" s="162">
        <v>44727.0</v>
      </c>
      <c r="H18" s="28">
        <f t="shared" si="1"/>
        <v>4455</v>
      </c>
      <c r="I18" s="29">
        <f t="shared" si="2"/>
        <v>3861</v>
      </c>
      <c r="J18" s="30">
        <f t="shared" si="7"/>
        <v>3861</v>
      </c>
      <c r="K18" s="31">
        <f t="shared" si="8"/>
        <v>3564</v>
      </c>
      <c r="L18" s="30">
        <f t="shared" si="9"/>
        <v>3415.5</v>
      </c>
      <c r="M18" s="31">
        <f t="shared" si="10"/>
        <v>3267</v>
      </c>
      <c r="N18" s="32"/>
      <c r="O18" s="33"/>
    </row>
    <row r="19" ht="15.75" customHeight="1">
      <c r="A19" s="21"/>
      <c r="B19" s="44"/>
      <c r="C19" s="61"/>
      <c r="D19" s="169"/>
      <c r="E19" s="42"/>
      <c r="F19" s="58"/>
      <c r="G19" s="161"/>
      <c r="H19" s="28">
        <f t="shared" si="1"/>
        <v>0</v>
      </c>
      <c r="I19" s="29">
        <f t="shared" si="2"/>
        <v>0</v>
      </c>
      <c r="J19" s="30">
        <f t="shared" si="7"/>
        <v>0</v>
      </c>
      <c r="K19" s="31">
        <f t="shared" si="8"/>
        <v>0</v>
      </c>
      <c r="L19" s="30">
        <f t="shared" si="9"/>
        <v>0</v>
      </c>
      <c r="M19" s="31">
        <f t="shared" si="10"/>
        <v>0</v>
      </c>
      <c r="N19" s="32"/>
      <c r="O19" s="33"/>
    </row>
    <row r="20" ht="15.75" customHeight="1">
      <c r="A20" s="21"/>
      <c r="B20" s="67"/>
      <c r="C20" s="61"/>
      <c r="D20" s="101"/>
      <c r="E20" s="68"/>
      <c r="F20" s="170"/>
      <c r="G20" s="171"/>
      <c r="H20" s="28">
        <f t="shared" si="1"/>
        <v>0</v>
      </c>
      <c r="I20" s="29">
        <f t="shared" si="2"/>
        <v>0</v>
      </c>
      <c r="J20" s="30">
        <f t="shared" si="7"/>
        <v>0</v>
      </c>
      <c r="K20" s="31">
        <f t="shared" si="8"/>
        <v>0</v>
      </c>
      <c r="L20" s="30">
        <f t="shared" si="9"/>
        <v>0</v>
      </c>
      <c r="M20" s="31">
        <f t="shared" si="10"/>
        <v>0</v>
      </c>
      <c r="N20" s="32"/>
      <c r="O20" s="33"/>
    </row>
    <row r="21" ht="15.75" customHeight="1">
      <c r="A21" s="21"/>
      <c r="B21" s="70"/>
      <c r="C21" s="61"/>
      <c r="D21" s="101"/>
      <c r="E21" s="71"/>
      <c r="F21" s="93"/>
      <c r="G21" s="172"/>
      <c r="H21" s="28">
        <f t="shared" si="1"/>
        <v>0</v>
      </c>
      <c r="I21" s="29">
        <f t="shared" si="2"/>
        <v>0</v>
      </c>
      <c r="J21" s="30">
        <f t="shared" si="7"/>
        <v>0</v>
      </c>
      <c r="K21" s="31">
        <f t="shared" si="8"/>
        <v>0</v>
      </c>
      <c r="L21" s="30">
        <f t="shared" si="9"/>
        <v>0</v>
      </c>
      <c r="M21" s="31">
        <f t="shared" si="10"/>
        <v>0</v>
      </c>
      <c r="N21" s="32"/>
      <c r="O21" s="33"/>
    </row>
    <row r="22" ht="15.75" customHeight="1">
      <c r="A22" s="21"/>
      <c r="B22" s="70"/>
      <c r="C22" s="61"/>
      <c r="D22" s="101"/>
      <c r="E22" s="71"/>
      <c r="F22" s="93"/>
      <c r="G22" s="172"/>
      <c r="H22" s="28">
        <f t="shared" si="1"/>
        <v>0</v>
      </c>
      <c r="I22" s="29">
        <f t="shared" si="2"/>
        <v>0</v>
      </c>
      <c r="J22" s="30">
        <f t="shared" si="7"/>
        <v>0</v>
      </c>
      <c r="K22" s="31">
        <f t="shared" si="8"/>
        <v>0</v>
      </c>
      <c r="L22" s="30">
        <f t="shared" si="9"/>
        <v>0</v>
      </c>
      <c r="M22" s="31">
        <f t="shared" si="10"/>
        <v>0</v>
      </c>
      <c r="N22" s="32"/>
      <c r="O22" s="33"/>
    </row>
    <row r="23" ht="15.75" customHeight="1">
      <c r="A23" s="21"/>
      <c r="B23" s="70"/>
      <c r="C23" s="61"/>
      <c r="D23" s="101"/>
      <c r="E23" s="71"/>
      <c r="F23" s="93"/>
      <c r="G23" s="172"/>
      <c r="H23" s="28">
        <f t="shared" si="1"/>
        <v>0</v>
      </c>
      <c r="I23" s="29">
        <f t="shared" si="2"/>
        <v>0</v>
      </c>
      <c r="J23" s="30">
        <f t="shared" si="7"/>
        <v>0</v>
      </c>
      <c r="K23" s="31">
        <f t="shared" si="8"/>
        <v>0</v>
      </c>
      <c r="L23" s="30">
        <f t="shared" si="9"/>
        <v>0</v>
      </c>
      <c r="M23" s="31">
        <f t="shared" si="10"/>
        <v>0</v>
      </c>
      <c r="N23" s="32"/>
      <c r="O23" s="33"/>
    </row>
    <row r="24" ht="15.75" customHeight="1">
      <c r="A24" s="21"/>
      <c r="B24" s="70"/>
      <c r="C24" s="61"/>
      <c r="D24" s="101"/>
      <c r="E24" s="71"/>
      <c r="F24" s="93"/>
      <c r="G24" s="173"/>
      <c r="H24" s="28">
        <f t="shared" si="1"/>
        <v>0</v>
      </c>
      <c r="I24" s="29">
        <f t="shared" si="2"/>
        <v>0</v>
      </c>
      <c r="J24" s="30">
        <f t="shared" si="7"/>
        <v>0</v>
      </c>
      <c r="K24" s="31">
        <f t="shared" si="8"/>
        <v>0</v>
      </c>
      <c r="L24" s="30">
        <f t="shared" si="9"/>
        <v>0</v>
      </c>
      <c r="M24" s="31">
        <f t="shared" si="10"/>
        <v>0</v>
      </c>
      <c r="N24" s="32"/>
      <c r="O24" s="33"/>
    </row>
    <row r="25" ht="15.75" customHeight="1">
      <c r="A25" s="21"/>
      <c r="B25" s="70"/>
      <c r="C25" s="61"/>
      <c r="D25" s="101"/>
      <c r="E25" s="71"/>
      <c r="F25" s="93"/>
      <c r="G25" s="173"/>
      <c r="H25" s="28">
        <f t="shared" si="1"/>
        <v>0</v>
      </c>
      <c r="I25" s="29">
        <f t="shared" si="2"/>
        <v>0</v>
      </c>
      <c r="J25" s="30">
        <f t="shared" si="7"/>
        <v>0</v>
      </c>
      <c r="K25" s="31">
        <f t="shared" si="8"/>
        <v>0</v>
      </c>
      <c r="L25" s="30">
        <f t="shared" si="9"/>
        <v>0</v>
      </c>
      <c r="M25" s="31">
        <f t="shared" si="10"/>
        <v>0</v>
      </c>
      <c r="N25" s="32"/>
      <c r="O25" s="33"/>
    </row>
    <row r="26" ht="15.75" customHeight="1">
      <c r="A26" s="21"/>
      <c r="B26" s="70"/>
      <c r="C26" s="61"/>
      <c r="D26" s="101"/>
      <c r="E26" s="71"/>
      <c r="F26" s="93"/>
      <c r="G26" s="173"/>
      <c r="H26" s="28">
        <f t="shared" si="1"/>
        <v>0</v>
      </c>
      <c r="I26" s="29">
        <f t="shared" si="2"/>
        <v>0</v>
      </c>
      <c r="J26" s="30">
        <f t="shared" si="7"/>
        <v>0</v>
      </c>
      <c r="K26" s="31">
        <f t="shared" si="8"/>
        <v>0</v>
      </c>
      <c r="L26" s="30">
        <f t="shared" si="9"/>
        <v>0</v>
      </c>
      <c r="M26" s="31">
        <f t="shared" si="10"/>
        <v>0</v>
      </c>
      <c r="N26" s="32"/>
      <c r="O26" s="33"/>
    </row>
    <row r="27" ht="15.75" customHeight="1">
      <c r="A27" s="21"/>
      <c r="B27" s="70"/>
      <c r="C27" s="61"/>
      <c r="D27" s="101"/>
      <c r="E27" s="71"/>
      <c r="F27" s="93"/>
      <c r="G27" s="173"/>
      <c r="H27" s="28">
        <f t="shared" si="1"/>
        <v>0</v>
      </c>
      <c r="I27" s="29">
        <f t="shared" si="2"/>
        <v>0</v>
      </c>
      <c r="J27" s="30">
        <f t="shared" si="7"/>
        <v>0</v>
      </c>
      <c r="K27" s="31">
        <f t="shared" si="8"/>
        <v>0</v>
      </c>
      <c r="L27" s="30">
        <f t="shared" si="9"/>
        <v>0</v>
      </c>
      <c r="M27" s="31">
        <f t="shared" si="10"/>
        <v>0</v>
      </c>
      <c r="N27" s="32"/>
      <c r="O27" s="33"/>
    </row>
    <row r="28" ht="15.75" customHeight="1">
      <c r="A28" s="21"/>
      <c r="B28" s="70"/>
      <c r="C28" s="61"/>
      <c r="D28" s="101"/>
      <c r="E28" s="71"/>
      <c r="F28" s="93"/>
      <c r="G28" s="173"/>
      <c r="H28" s="28">
        <f t="shared" si="1"/>
        <v>0</v>
      </c>
      <c r="I28" s="29">
        <f t="shared" si="2"/>
        <v>0</v>
      </c>
      <c r="J28" s="30">
        <f t="shared" si="7"/>
        <v>0</v>
      </c>
      <c r="K28" s="31">
        <f t="shared" si="8"/>
        <v>0</v>
      </c>
      <c r="L28" s="30">
        <f t="shared" si="9"/>
        <v>0</v>
      </c>
      <c r="M28" s="31">
        <f t="shared" si="10"/>
        <v>0</v>
      </c>
      <c r="N28" s="32"/>
      <c r="O28" s="33"/>
    </row>
    <row r="29" ht="15.75" customHeight="1">
      <c r="A29" s="21"/>
      <c r="B29" s="70"/>
      <c r="C29" s="61"/>
      <c r="D29" s="101"/>
      <c r="E29" s="71"/>
      <c r="F29" s="93"/>
      <c r="G29" s="173"/>
      <c r="H29" s="28">
        <f t="shared" si="1"/>
        <v>0</v>
      </c>
      <c r="I29" s="29">
        <f t="shared" si="2"/>
        <v>0</v>
      </c>
      <c r="J29" s="30">
        <f t="shared" si="7"/>
        <v>0</v>
      </c>
      <c r="K29" s="31">
        <f t="shared" si="8"/>
        <v>0</v>
      </c>
      <c r="L29" s="30">
        <f t="shared" si="9"/>
        <v>0</v>
      </c>
      <c r="M29" s="31">
        <f t="shared" si="10"/>
        <v>0</v>
      </c>
      <c r="N29" s="32"/>
      <c r="O29" s="33"/>
    </row>
    <row r="30" ht="15.75" customHeight="1">
      <c r="A30" s="21"/>
      <c r="B30" s="70"/>
      <c r="C30" s="61"/>
      <c r="D30" s="101"/>
      <c r="E30" s="71"/>
      <c r="F30" s="93"/>
      <c r="G30" s="173"/>
      <c r="H30" s="28">
        <f t="shared" si="1"/>
        <v>0</v>
      </c>
      <c r="I30" s="29">
        <f t="shared" si="2"/>
        <v>0</v>
      </c>
      <c r="J30" s="30">
        <f t="shared" si="7"/>
        <v>0</v>
      </c>
      <c r="K30" s="31">
        <f t="shared" si="8"/>
        <v>0</v>
      </c>
      <c r="L30" s="30">
        <f t="shared" si="9"/>
        <v>0</v>
      </c>
      <c r="M30" s="31">
        <f t="shared" si="10"/>
        <v>0</v>
      </c>
      <c r="N30" s="32"/>
      <c r="O30" s="33"/>
    </row>
    <row r="31" ht="15.75" customHeight="1">
      <c r="A31" s="21"/>
      <c r="B31" s="70"/>
      <c r="C31" s="61"/>
      <c r="D31" s="101"/>
      <c r="E31" s="71"/>
      <c r="F31" s="93"/>
      <c r="G31" s="173"/>
      <c r="H31" s="28">
        <f t="shared" si="1"/>
        <v>0</v>
      </c>
      <c r="I31" s="29">
        <f t="shared" si="2"/>
        <v>0</v>
      </c>
      <c r="J31" s="30">
        <f t="shared" si="7"/>
        <v>0</v>
      </c>
      <c r="K31" s="31">
        <f t="shared" si="8"/>
        <v>0</v>
      </c>
      <c r="L31" s="30">
        <f t="shared" si="9"/>
        <v>0</v>
      </c>
      <c r="M31" s="31">
        <f t="shared" si="10"/>
        <v>0</v>
      </c>
      <c r="N31" s="32"/>
      <c r="O31" s="33"/>
    </row>
    <row r="32" ht="15.75" customHeight="1">
      <c r="A32" s="21"/>
      <c r="B32" s="70"/>
      <c r="C32" s="61"/>
      <c r="D32" s="101"/>
      <c r="E32" s="71"/>
      <c r="F32" s="93"/>
      <c r="G32" s="173"/>
      <c r="H32" s="28">
        <f t="shared" si="1"/>
        <v>0</v>
      </c>
      <c r="I32" s="29">
        <f t="shared" si="2"/>
        <v>0</v>
      </c>
      <c r="J32" s="30">
        <f t="shared" si="7"/>
        <v>0</v>
      </c>
      <c r="K32" s="31">
        <f t="shared" si="8"/>
        <v>0</v>
      </c>
      <c r="L32" s="30">
        <f t="shared" si="9"/>
        <v>0</v>
      </c>
      <c r="M32" s="31">
        <f t="shared" si="10"/>
        <v>0</v>
      </c>
      <c r="N32" s="32"/>
      <c r="O32" s="33"/>
    </row>
    <row r="33" ht="15.75" customHeight="1">
      <c r="A33" s="21"/>
      <c r="B33" s="70"/>
      <c r="C33" s="61"/>
      <c r="D33" s="101"/>
      <c r="E33" s="71"/>
      <c r="F33" s="93"/>
      <c r="G33" s="173"/>
      <c r="H33" s="28">
        <f t="shared" si="1"/>
        <v>0</v>
      </c>
      <c r="I33" s="29">
        <f t="shared" si="2"/>
        <v>0</v>
      </c>
      <c r="J33" s="30">
        <f t="shared" si="7"/>
        <v>0</v>
      </c>
      <c r="K33" s="31">
        <f t="shared" si="8"/>
        <v>0</v>
      </c>
      <c r="L33" s="30">
        <f t="shared" si="9"/>
        <v>0</v>
      </c>
      <c r="M33" s="31">
        <f t="shared" si="10"/>
        <v>0</v>
      </c>
      <c r="N33" s="32"/>
      <c r="O33" s="33"/>
    </row>
    <row r="34" ht="15.75" customHeight="1">
      <c r="A34" s="21"/>
      <c r="B34" s="70"/>
      <c r="C34" s="81"/>
      <c r="D34" s="101"/>
      <c r="E34" s="71"/>
      <c r="F34" s="93"/>
      <c r="G34" s="173"/>
      <c r="H34" s="28">
        <f t="shared" si="1"/>
        <v>0</v>
      </c>
      <c r="I34" s="29">
        <f t="shared" si="2"/>
        <v>0</v>
      </c>
      <c r="J34" s="30">
        <f t="shared" si="7"/>
        <v>0</v>
      </c>
      <c r="K34" s="31">
        <f t="shared" si="8"/>
        <v>0</v>
      </c>
      <c r="L34" s="30">
        <f t="shared" si="9"/>
        <v>0</v>
      </c>
      <c r="M34" s="31">
        <f t="shared" si="10"/>
        <v>0</v>
      </c>
      <c r="N34" s="32"/>
      <c r="O34" s="86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ht="15.75" customHeight="1">
      <c r="A35" s="21"/>
      <c r="B35" s="70"/>
      <c r="C35" s="61"/>
      <c r="D35" s="101"/>
      <c r="E35" s="71"/>
      <c r="F35" s="93"/>
      <c r="G35" s="173"/>
      <c r="H35" s="28">
        <f t="shared" si="1"/>
        <v>0</v>
      </c>
      <c r="I35" s="29">
        <f t="shared" si="2"/>
        <v>0</v>
      </c>
      <c r="J35" s="30">
        <f t="shared" si="7"/>
        <v>0</v>
      </c>
      <c r="K35" s="31">
        <f t="shared" si="8"/>
        <v>0</v>
      </c>
      <c r="L35" s="30">
        <f t="shared" si="9"/>
        <v>0</v>
      </c>
      <c r="M35" s="31">
        <f t="shared" si="10"/>
        <v>0</v>
      </c>
      <c r="N35" s="32"/>
      <c r="O35" s="86"/>
    </row>
    <row r="36" ht="15.75" customHeight="1">
      <c r="A36" s="21"/>
      <c r="B36" s="70"/>
      <c r="C36" s="61"/>
      <c r="D36" s="101"/>
      <c r="E36" s="71"/>
      <c r="F36" s="93"/>
      <c r="G36" s="173"/>
      <c r="H36" s="28">
        <f t="shared" si="1"/>
        <v>0</v>
      </c>
      <c r="I36" s="29">
        <f t="shared" si="2"/>
        <v>0</v>
      </c>
      <c r="J36" s="30">
        <f t="shared" si="7"/>
        <v>0</v>
      </c>
      <c r="K36" s="31">
        <f t="shared" si="8"/>
        <v>0</v>
      </c>
      <c r="L36" s="30">
        <f t="shared" si="9"/>
        <v>0</v>
      </c>
      <c r="M36" s="31">
        <f t="shared" si="10"/>
        <v>0</v>
      </c>
      <c r="N36" s="32"/>
      <c r="O36" s="86"/>
    </row>
    <row r="37" ht="15.75" customHeight="1">
      <c r="A37" s="21"/>
      <c r="B37" s="70"/>
      <c r="C37" s="61"/>
      <c r="D37" s="101"/>
      <c r="E37" s="71"/>
      <c r="F37" s="93"/>
      <c r="G37" s="173"/>
      <c r="H37" s="28">
        <f t="shared" si="1"/>
        <v>0</v>
      </c>
      <c r="I37" s="29">
        <f t="shared" si="2"/>
        <v>0</v>
      </c>
      <c r="J37" s="30">
        <f t="shared" si="7"/>
        <v>0</v>
      </c>
      <c r="K37" s="31">
        <f t="shared" si="8"/>
        <v>0</v>
      </c>
      <c r="L37" s="30">
        <f t="shared" si="9"/>
        <v>0</v>
      </c>
      <c r="M37" s="31">
        <f t="shared" si="10"/>
        <v>0</v>
      </c>
      <c r="N37" s="32"/>
      <c r="O37" s="33"/>
    </row>
    <row r="38" ht="15.75" customHeight="1">
      <c r="A38" s="21"/>
      <c r="B38" s="70"/>
      <c r="C38" s="61"/>
      <c r="D38" s="101"/>
      <c r="E38" s="71"/>
      <c r="F38" s="93"/>
      <c r="G38" s="173"/>
      <c r="H38" s="28">
        <f t="shared" si="1"/>
        <v>0</v>
      </c>
      <c r="I38" s="29">
        <f t="shared" si="2"/>
        <v>0</v>
      </c>
      <c r="J38" s="30">
        <f t="shared" si="7"/>
        <v>0</v>
      </c>
      <c r="K38" s="31">
        <f t="shared" si="8"/>
        <v>0</v>
      </c>
      <c r="L38" s="30">
        <f t="shared" si="9"/>
        <v>0</v>
      </c>
      <c r="M38" s="31">
        <f t="shared" si="10"/>
        <v>0</v>
      </c>
      <c r="N38" s="32"/>
      <c r="O38" s="86"/>
    </row>
    <row r="39" ht="15.75" customHeight="1">
      <c r="A39" s="21"/>
      <c r="B39" s="70"/>
      <c r="C39" s="61"/>
      <c r="D39" s="101"/>
      <c r="E39" s="71"/>
      <c r="F39" s="93"/>
      <c r="G39" s="173"/>
      <c r="H39" s="28">
        <f t="shared" si="1"/>
        <v>0</v>
      </c>
      <c r="I39" s="29">
        <f t="shared" si="2"/>
        <v>0</v>
      </c>
      <c r="J39" s="30">
        <f t="shared" si="7"/>
        <v>0</v>
      </c>
      <c r="K39" s="31">
        <f t="shared" si="8"/>
        <v>0</v>
      </c>
      <c r="L39" s="30">
        <f t="shared" si="9"/>
        <v>0</v>
      </c>
      <c r="M39" s="31">
        <f t="shared" si="10"/>
        <v>0</v>
      </c>
      <c r="N39" s="32"/>
      <c r="O39" s="33"/>
    </row>
    <row r="40" ht="15.75" customHeight="1">
      <c r="A40" s="21"/>
      <c r="B40" s="70"/>
      <c r="C40" s="61"/>
      <c r="D40" s="101"/>
      <c r="E40" s="71"/>
      <c r="F40" s="93"/>
      <c r="G40" s="173"/>
      <c r="H40" s="28">
        <f t="shared" si="1"/>
        <v>0</v>
      </c>
      <c r="I40" s="29">
        <f t="shared" si="2"/>
        <v>0</v>
      </c>
      <c r="J40" s="30">
        <f t="shared" si="7"/>
        <v>0</v>
      </c>
      <c r="K40" s="31">
        <f t="shared" si="8"/>
        <v>0</v>
      </c>
      <c r="L40" s="30">
        <f t="shared" si="9"/>
        <v>0</v>
      </c>
      <c r="M40" s="31">
        <f t="shared" si="10"/>
        <v>0</v>
      </c>
      <c r="N40" s="32"/>
      <c r="O40" s="86"/>
    </row>
    <row r="41" ht="15.75" customHeight="1">
      <c r="A41" s="21"/>
      <c r="B41" s="70"/>
      <c r="C41" s="61"/>
      <c r="D41" s="101"/>
      <c r="E41" s="71"/>
      <c r="F41" s="93"/>
      <c r="G41" s="173"/>
      <c r="H41" s="28">
        <f t="shared" si="1"/>
        <v>0</v>
      </c>
      <c r="I41" s="29">
        <f t="shared" si="2"/>
        <v>0</v>
      </c>
      <c r="J41" s="30">
        <f t="shared" si="7"/>
        <v>0</v>
      </c>
      <c r="K41" s="31">
        <f t="shared" si="8"/>
        <v>0</v>
      </c>
      <c r="L41" s="30">
        <f t="shared" si="9"/>
        <v>0</v>
      </c>
      <c r="M41" s="31">
        <f t="shared" si="10"/>
        <v>0</v>
      </c>
      <c r="N41" s="32"/>
      <c r="O41" s="86"/>
    </row>
    <row r="42" ht="15.75" customHeight="1">
      <c r="A42" s="21"/>
      <c r="B42" s="70"/>
      <c r="C42" s="61"/>
      <c r="D42" s="101"/>
      <c r="E42" s="71"/>
      <c r="F42" s="93"/>
      <c r="G42" s="173"/>
      <c r="H42" s="28">
        <f t="shared" si="1"/>
        <v>0</v>
      </c>
      <c r="I42" s="29">
        <f t="shared" si="2"/>
        <v>0</v>
      </c>
      <c r="J42" s="30">
        <f t="shared" si="7"/>
        <v>0</v>
      </c>
      <c r="K42" s="31">
        <f t="shared" si="8"/>
        <v>0</v>
      </c>
      <c r="L42" s="30">
        <f t="shared" si="9"/>
        <v>0</v>
      </c>
      <c r="M42" s="31">
        <f t="shared" si="10"/>
        <v>0</v>
      </c>
      <c r="N42" s="32"/>
      <c r="O42" s="86"/>
    </row>
    <row r="43" ht="15.75" customHeight="1">
      <c r="A43" s="21"/>
      <c r="B43" s="70"/>
      <c r="C43" s="61"/>
      <c r="D43" s="101"/>
      <c r="E43" s="71"/>
      <c r="F43" s="93"/>
      <c r="G43" s="173"/>
      <c r="H43" s="28">
        <f t="shared" si="1"/>
        <v>0</v>
      </c>
      <c r="I43" s="29">
        <f t="shared" si="2"/>
        <v>0</v>
      </c>
      <c r="J43" s="30">
        <f t="shared" si="7"/>
        <v>0</v>
      </c>
      <c r="K43" s="31">
        <f t="shared" si="8"/>
        <v>0</v>
      </c>
      <c r="L43" s="30">
        <f t="shared" si="9"/>
        <v>0</v>
      </c>
      <c r="M43" s="31">
        <f t="shared" si="10"/>
        <v>0</v>
      </c>
      <c r="N43" s="32"/>
      <c r="O43" s="33"/>
    </row>
    <row r="44" ht="15.75" customHeight="1">
      <c r="A44" s="21"/>
      <c r="B44" s="70"/>
      <c r="C44" s="61"/>
      <c r="D44" s="101"/>
      <c r="E44" s="71"/>
      <c r="F44" s="93"/>
      <c r="G44" s="173"/>
      <c r="H44" s="28">
        <f t="shared" si="1"/>
        <v>0</v>
      </c>
      <c r="I44" s="29">
        <f t="shared" si="2"/>
        <v>0</v>
      </c>
      <c r="J44" s="30">
        <f t="shared" si="7"/>
        <v>0</v>
      </c>
      <c r="K44" s="31">
        <f t="shared" si="8"/>
        <v>0</v>
      </c>
      <c r="L44" s="30">
        <f t="shared" si="9"/>
        <v>0</v>
      </c>
      <c r="M44" s="31">
        <f t="shared" si="10"/>
        <v>0</v>
      </c>
      <c r="N44" s="32"/>
      <c r="O44" s="33"/>
    </row>
    <row r="45" ht="15.75" customHeight="1">
      <c r="A45" s="21"/>
      <c r="B45" s="70"/>
      <c r="C45" s="61"/>
      <c r="D45" s="101"/>
      <c r="E45" s="71"/>
      <c r="F45" s="93"/>
      <c r="G45" s="173"/>
      <c r="H45" s="28">
        <f t="shared" si="1"/>
        <v>0</v>
      </c>
      <c r="I45" s="29">
        <f t="shared" si="2"/>
        <v>0</v>
      </c>
      <c r="J45" s="30">
        <f t="shared" si="7"/>
        <v>0</v>
      </c>
      <c r="K45" s="31">
        <f t="shared" si="8"/>
        <v>0</v>
      </c>
      <c r="L45" s="30">
        <f t="shared" si="9"/>
        <v>0</v>
      </c>
      <c r="M45" s="31">
        <f t="shared" si="10"/>
        <v>0</v>
      </c>
      <c r="N45" s="32"/>
      <c r="O45" s="33"/>
    </row>
    <row r="46" ht="15.75" customHeight="1">
      <c r="A46" s="21"/>
      <c r="B46" s="70"/>
      <c r="C46" s="61"/>
      <c r="D46" s="101"/>
      <c r="E46" s="71"/>
      <c r="F46" s="93"/>
      <c r="G46" s="173"/>
      <c r="H46" s="28">
        <f t="shared" si="1"/>
        <v>0</v>
      </c>
      <c r="I46" s="29">
        <f t="shared" si="2"/>
        <v>0</v>
      </c>
      <c r="J46" s="30">
        <f t="shared" si="7"/>
        <v>0</v>
      </c>
      <c r="K46" s="31">
        <f t="shared" si="8"/>
        <v>0</v>
      </c>
      <c r="L46" s="30">
        <f t="shared" si="9"/>
        <v>0</v>
      </c>
      <c r="M46" s="31">
        <f t="shared" si="10"/>
        <v>0</v>
      </c>
      <c r="N46" s="32"/>
      <c r="O46" s="33"/>
    </row>
    <row r="47" ht="15.75" customHeight="1">
      <c r="A47" s="21"/>
      <c r="B47" s="70"/>
      <c r="C47" s="61"/>
      <c r="D47" s="101"/>
      <c r="E47" s="71"/>
      <c r="F47" s="93"/>
      <c r="G47" s="173"/>
      <c r="H47" s="28">
        <f t="shared" si="1"/>
        <v>0</v>
      </c>
      <c r="I47" s="29">
        <f t="shared" si="2"/>
        <v>0</v>
      </c>
      <c r="J47" s="30">
        <f t="shared" si="7"/>
        <v>0</v>
      </c>
      <c r="K47" s="31">
        <f t="shared" si="8"/>
        <v>0</v>
      </c>
      <c r="L47" s="30">
        <f t="shared" si="9"/>
        <v>0</v>
      </c>
      <c r="M47" s="31">
        <f t="shared" si="10"/>
        <v>0</v>
      </c>
      <c r="N47" s="32"/>
      <c r="O47" s="33"/>
    </row>
    <row r="48" ht="15.75" customHeight="1">
      <c r="A48" s="21"/>
      <c r="B48" s="70"/>
      <c r="C48" s="61"/>
      <c r="D48" s="101"/>
      <c r="E48" s="71"/>
      <c r="F48" s="93"/>
      <c r="G48" s="173"/>
      <c r="H48" s="28">
        <f t="shared" si="1"/>
        <v>0</v>
      </c>
      <c r="I48" s="29">
        <f t="shared" si="2"/>
        <v>0</v>
      </c>
      <c r="J48" s="30">
        <f t="shared" si="7"/>
        <v>0</v>
      </c>
      <c r="K48" s="31">
        <f t="shared" si="8"/>
        <v>0</v>
      </c>
      <c r="L48" s="30">
        <f t="shared" si="9"/>
        <v>0</v>
      </c>
      <c r="M48" s="31">
        <f t="shared" si="10"/>
        <v>0</v>
      </c>
      <c r="N48" s="32"/>
      <c r="O48" s="33"/>
    </row>
    <row r="49" ht="15.75" customHeight="1">
      <c r="A49" s="21"/>
      <c r="B49" s="70"/>
      <c r="C49" s="61"/>
      <c r="D49" s="101"/>
      <c r="E49" s="71"/>
      <c r="F49" s="93"/>
      <c r="G49" s="173"/>
      <c r="H49" s="28">
        <f t="shared" si="1"/>
        <v>0</v>
      </c>
      <c r="I49" s="29">
        <f t="shared" si="2"/>
        <v>0</v>
      </c>
      <c r="J49" s="30">
        <f t="shared" si="7"/>
        <v>0</v>
      </c>
      <c r="K49" s="31">
        <f t="shared" si="8"/>
        <v>0</v>
      </c>
      <c r="L49" s="30">
        <f t="shared" si="9"/>
        <v>0</v>
      </c>
      <c r="M49" s="31">
        <f t="shared" si="10"/>
        <v>0</v>
      </c>
      <c r="N49" s="32"/>
      <c r="O49" s="33"/>
    </row>
    <row r="50" ht="15.75" customHeight="1">
      <c r="A50" s="21"/>
      <c r="B50" s="70"/>
      <c r="C50" s="61"/>
      <c r="D50" s="101"/>
      <c r="E50" s="71"/>
      <c r="F50" s="93"/>
      <c r="G50" s="173"/>
      <c r="H50" s="28">
        <f t="shared" si="1"/>
        <v>0</v>
      </c>
      <c r="I50" s="29">
        <f t="shared" si="2"/>
        <v>0</v>
      </c>
      <c r="J50" s="30">
        <f t="shared" si="7"/>
        <v>0</v>
      </c>
      <c r="K50" s="31">
        <f t="shared" si="8"/>
        <v>0</v>
      </c>
      <c r="L50" s="30">
        <f t="shared" si="9"/>
        <v>0</v>
      </c>
      <c r="M50" s="31">
        <f t="shared" si="10"/>
        <v>0</v>
      </c>
      <c r="N50" s="32"/>
      <c r="O50" s="86"/>
    </row>
    <row r="51" ht="15.75" customHeight="1">
      <c r="A51" s="21"/>
      <c r="B51" s="70"/>
      <c r="C51" s="61"/>
      <c r="D51" s="101"/>
      <c r="E51" s="71"/>
      <c r="F51" s="93"/>
      <c r="G51" s="173"/>
      <c r="H51" s="28">
        <f t="shared" si="1"/>
        <v>0</v>
      </c>
      <c r="I51" s="29">
        <f t="shared" si="2"/>
        <v>0</v>
      </c>
      <c r="J51" s="30">
        <f t="shared" si="7"/>
        <v>0</v>
      </c>
      <c r="K51" s="31">
        <f t="shared" si="8"/>
        <v>0</v>
      </c>
      <c r="L51" s="30">
        <f t="shared" si="9"/>
        <v>0</v>
      </c>
      <c r="M51" s="31">
        <f t="shared" si="10"/>
        <v>0</v>
      </c>
      <c r="N51" s="32"/>
      <c r="O51" s="86"/>
    </row>
    <row r="52" ht="15.75" customHeight="1">
      <c r="A52" s="21"/>
      <c r="B52" s="70"/>
      <c r="C52" s="61"/>
      <c r="D52" s="101"/>
      <c r="E52" s="71"/>
      <c r="F52" s="93"/>
      <c r="G52" s="173"/>
      <c r="H52" s="28">
        <f t="shared" si="1"/>
        <v>0</v>
      </c>
      <c r="I52" s="29">
        <f t="shared" si="2"/>
        <v>0</v>
      </c>
      <c r="J52" s="30">
        <f t="shared" si="7"/>
        <v>0</v>
      </c>
      <c r="K52" s="31">
        <f t="shared" si="8"/>
        <v>0</v>
      </c>
      <c r="L52" s="30">
        <f t="shared" si="9"/>
        <v>0</v>
      </c>
      <c r="M52" s="31">
        <f t="shared" si="10"/>
        <v>0</v>
      </c>
      <c r="N52" s="32"/>
      <c r="O52" s="86"/>
    </row>
    <row r="53" ht="15.75" customHeight="1">
      <c r="A53" s="21"/>
      <c r="B53" s="70"/>
      <c r="C53" s="61"/>
      <c r="D53" s="101"/>
      <c r="E53" s="71"/>
      <c r="F53" s="93"/>
      <c r="G53" s="173"/>
      <c r="H53" s="28">
        <f t="shared" si="1"/>
        <v>0</v>
      </c>
      <c r="I53" s="29">
        <f t="shared" si="2"/>
        <v>0</v>
      </c>
      <c r="J53" s="30">
        <f t="shared" si="7"/>
        <v>0</v>
      </c>
      <c r="K53" s="31">
        <f t="shared" si="8"/>
        <v>0</v>
      </c>
      <c r="L53" s="30">
        <f t="shared" si="9"/>
        <v>0</v>
      </c>
      <c r="M53" s="31">
        <f t="shared" si="10"/>
        <v>0</v>
      </c>
      <c r="N53" s="32"/>
      <c r="O53" s="86"/>
    </row>
    <row r="54" ht="15.75" customHeight="1">
      <c r="A54" s="21"/>
      <c r="B54" s="70"/>
      <c r="C54" s="61"/>
      <c r="D54" s="101"/>
      <c r="E54" s="71"/>
      <c r="F54" s="93"/>
      <c r="G54" s="173"/>
      <c r="H54" s="28">
        <f t="shared" si="1"/>
        <v>0</v>
      </c>
      <c r="I54" s="29">
        <f t="shared" si="2"/>
        <v>0</v>
      </c>
      <c r="J54" s="30">
        <f t="shared" si="7"/>
        <v>0</v>
      </c>
      <c r="K54" s="31">
        <f t="shared" si="8"/>
        <v>0</v>
      </c>
      <c r="L54" s="30">
        <f t="shared" si="9"/>
        <v>0</v>
      </c>
      <c r="M54" s="31">
        <f t="shared" si="10"/>
        <v>0</v>
      </c>
      <c r="N54" s="32"/>
      <c r="O54" s="86"/>
    </row>
    <row r="55" ht="15.75" customHeight="1">
      <c r="A55" s="21"/>
      <c r="B55" s="70"/>
      <c r="C55" s="61"/>
      <c r="D55" s="101"/>
      <c r="E55" s="71"/>
      <c r="F55" s="93"/>
      <c r="G55" s="173"/>
      <c r="H55" s="28">
        <f t="shared" si="1"/>
        <v>0</v>
      </c>
      <c r="I55" s="29">
        <f t="shared" si="2"/>
        <v>0</v>
      </c>
      <c r="J55" s="30">
        <f t="shared" si="7"/>
        <v>0</v>
      </c>
      <c r="K55" s="31">
        <f t="shared" si="8"/>
        <v>0</v>
      </c>
      <c r="L55" s="30">
        <f t="shared" si="9"/>
        <v>0</v>
      </c>
      <c r="M55" s="31">
        <f t="shared" si="10"/>
        <v>0</v>
      </c>
      <c r="N55" s="32"/>
      <c r="O55" s="86"/>
    </row>
    <row r="56" ht="15.75" customHeight="1">
      <c r="A56" s="21"/>
      <c r="B56" s="70"/>
      <c r="C56" s="61"/>
      <c r="D56" s="101"/>
      <c r="E56" s="71"/>
      <c r="F56" s="93"/>
      <c r="G56" s="173"/>
      <c r="H56" s="28">
        <f t="shared" si="1"/>
        <v>0</v>
      </c>
      <c r="I56" s="29">
        <f t="shared" si="2"/>
        <v>0</v>
      </c>
      <c r="J56" s="30">
        <f t="shared" si="7"/>
        <v>0</v>
      </c>
      <c r="K56" s="31">
        <f t="shared" si="8"/>
        <v>0</v>
      </c>
      <c r="L56" s="30">
        <f t="shared" si="9"/>
        <v>0</v>
      </c>
      <c r="M56" s="31">
        <f t="shared" si="10"/>
        <v>0</v>
      </c>
      <c r="N56" s="32"/>
      <c r="O56" s="86"/>
    </row>
    <row r="57" ht="15.75" customHeight="1">
      <c r="A57" s="21"/>
      <c r="B57" s="70"/>
      <c r="C57" s="61"/>
      <c r="D57" s="101"/>
      <c r="E57" s="71"/>
      <c r="F57" s="93"/>
      <c r="G57" s="173"/>
      <c r="H57" s="28">
        <f t="shared" si="1"/>
        <v>0</v>
      </c>
      <c r="I57" s="29">
        <f t="shared" si="2"/>
        <v>0</v>
      </c>
      <c r="J57" s="30">
        <f t="shared" si="7"/>
        <v>0</v>
      </c>
      <c r="K57" s="31">
        <f t="shared" si="8"/>
        <v>0</v>
      </c>
      <c r="L57" s="30">
        <f t="shared" si="9"/>
        <v>0</v>
      </c>
      <c r="M57" s="31">
        <f t="shared" si="10"/>
        <v>0</v>
      </c>
      <c r="N57" s="32"/>
      <c r="O57" s="86"/>
    </row>
    <row r="58" ht="15.75" customHeight="1">
      <c r="A58" s="21"/>
      <c r="B58" s="70"/>
      <c r="C58" s="61"/>
      <c r="D58" s="101"/>
      <c r="E58" s="71"/>
      <c r="F58" s="93"/>
      <c r="G58" s="173"/>
      <c r="H58" s="28">
        <f t="shared" si="1"/>
        <v>0</v>
      </c>
      <c r="I58" s="29">
        <f t="shared" si="2"/>
        <v>0</v>
      </c>
      <c r="J58" s="30">
        <f t="shared" si="7"/>
        <v>0</v>
      </c>
      <c r="K58" s="31">
        <f t="shared" si="8"/>
        <v>0</v>
      </c>
      <c r="L58" s="30">
        <f t="shared" si="9"/>
        <v>0</v>
      </c>
      <c r="M58" s="31">
        <f t="shared" si="10"/>
        <v>0</v>
      </c>
      <c r="N58" s="32"/>
      <c r="O58" s="86"/>
    </row>
    <row r="59" ht="15.75" customHeight="1">
      <c r="A59" s="21"/>
      <c r="B59" s="70"/>
      <c r="C59" s="61"/>
      <c r="D59" s="101"/>
      <c r="E59" s="71"/>
      <c r="F59" s="93"/>
      <c r="G59" s="173"/>
      <c r="H59" s="28">
        <f t="shared" si="1"/>
        <v>0</v>
      </c>
      <c r="I59" s="29">
        <f t="shared" si="2"/>
        <v>0</v>
      </c>
      <c r="J59" s="30">
        <f t="shared" si="7"/>
        <v>0</v>
      </c>
      <c r="K59" s="31">
        <f t="shared" si="8"/>
        <v>0</v>
      </c>
      <c r="L59" s="30">
        <f t="shared" si="9"/>
        <v>0</v>
      </c>
      <c r="M59" s="31">
        <f t="shared" si="10"/>
        <v>0</v>
      </c>
      <c r="N59" s="32"/>
      <c r="O59" s="86"/>
    </row>
    <row r="60" ht="15.75" customHeight="1">
      <c r="A60" s="21"/>
      <c r="B60" s="70"/>
      <c r="C60" s="61"/>
      <c r="D60" s="101"/>
      <c r="E60" s="71"/>
      <c r="F60" s="93"/>
      <c r="G60" s="173"/>
      <c r="H60" s="28">
        <f t="shared" si="1"/>
        <v>0</v>
      </c>
      <c r="I60" s="29">
        <f t="shared" si="2"/>
        <v>0</v>
      </c>
      <c r="J60" s="30">
        <f t="shared" si="7"/>
        <v>0</v>
      </c>
      <c r="K60" s="31">
        <f t="shared" si="8"/>
        <v>0</v>
      </c>
      <c r="L60" s="30">
        <f t="shared" si="9"/>
        <v>0</v>
      </c>
      <c r="M60" s="31">
        <f t="shared" si="10"/>
        <v>0</v>
      </c>
      <c r="N60" s="32"/>
      <c r="O60" s="86"/>
    </row>
    <row r="61" ht="15.75" customHeight="1">
      <c r="A61" s="21"/>
      <c r="B61" s="70"/>
      <c r="C61" s="61"/>
      <c r="D61" s="101"/>
      <c r="E61" s="71"/>
      <c r="F61" s="93"/>
      <c r="G61" s="173"/>
      <c r="H61" s="28">
        <f t="shared" si="1"/>
        <v>0</v>
      </c>
      <c r="I61" s="29">
        <f t="shared" si="2"/>
        <v>0</v>
      </c>
      <c r="J61" s="30">
        <f t="shared" si="7"/>
        <v>0</v>
      </c>
      <c r="K61" s="31">
        <f t="shared" si="8"/>
        <v>0</v>
      </c>
      <c r="L61" s="30">
        <f t="shared" si="9"/>
        <v>0</v>
      </c>
      <c r="M61" s="31">
        <f t="shared" si="10"/>
        <v>0</v>
      </c>
      <c r="N61" s="32"/>
      <c r="O61" s="86"/>
    </row>
    <row r="62" ht="15.75" customHeight="1">
      <c r="A62" s="21"/>
      <c r="B62" s="70"/>
      <c r="C62" s="61"/>
      <c r="D62" s="101"/>
      <c r="E62" s="71"/>
      <c r="F62" s="93"/>
      <c r="G62" s="173"/>
      <c r="H62" s="28">
        <f t="shared" si="1"/>
        <v>0</v>
      </c>
      <c r="I62" s="29">
        <f t="shared" si="2"/>
        <v>0</v>
      </c>
      <c r="J62" s="30">
        <f t="shared" si="7"/>
        <v>0</v>
      </c>
      <c r="K62" s="31">
        <f t="shared" si="8"/>
        <v>0</v>
      </c>
      <c r="L62" s="30">
        <f t="shared" si="9"/>
        <v>0</v>
      </c>
      <c r="M62" s="31">
        <f t="shared" si="10"/>
        <v>0</v>
      </c>
      <c r="N62" s="32"/>
      <c r="O62" s="86"/>
    </row>
    <row r="63" ht="15.75" customHeight="1">
      <c r="A63" s="21"/>
      <c r="B63" s="70"/>
      <c r="C63" s="61"/>
      <c r="D63" s="101"/>
      <c r="E63" s="71"/>
      <c r="F63" s="93"/>
      <c r="G63" s="173"/>
      <c r="H63" s="28">
        <f t="shared" si="1"/>
        <v>0</v>
      </c>
      <c r="I63" s="29">
        <f t="shared" si="2"/>
        <v>0</v>
      </c>
      <c r="J63" s="30">
        <f t="shared" si="7"/>
        <v>0</v>
      </c>
      <c r="K63" s="31">
        <f t="shared" si="8"/>
        <v>0</v>
      </c>
      <c r="L63" s="30">
        <f t="shared" si="9"/>
        <v>0</v>
      </c>
      <c r="M63" s="31">
        <f t="shared" si="10"/>
        <v>0</v>
      </c>
      <c r="N63" s="32"/>
      <c r="O63" s="86"/>
    </row>
    <row r="64" ht="15.75" customHeight="1">
      <c r="A64" s="21"/>
      <c r="B64" s="70"/>
      <c r="C64" s="61"/>
      <c r="D64" s="101"/>
      <c r="E64" s="71"/>
      <c r="F64" s="93"/>
      <c r="G64" s="173"/>
      <c r="H64" s="28">
        <f t="shared" si="1"/>
        <v>0</v>
      </c>
      <c r="I64" s="29">
        <f t="shared" si="2"/>
        <v>0</v>
      </c>
      <c r="J64" s="30">
        <f t="shared" si="7"/>
        <v>0</v>
      </c>
      <c r="K64" s="31">
        <f t="shared" si="8"/>
        <v>0</v>
      </c>
      <c r="L64" s="30">
        <f t="shared" si="9"/>
        <v>0</v>
      </c>
      <c r="M64" s="31">
        <f t="shared" si="10"/>
        <v>0</v>
      </c>
      <c r="N64" s="32"/>
      <c r="O64" s="86"/>
    </row>
    <row r="65" ht="15.75" customHeight="1">
      <c r="A65" s="21"/>
      <c r="B65" s="70"/>
      <c r="C65" s="61"/>
      <c r="D65" s="101"/>
      <c r="E65" s="71"/>
      <c r="F65" s="93"/>
      <c r="G65" s="173"/>
      <c r="H65" s="28">
        <f t="shared" si="1"/>
        <v>0</v>
      </c>
      <c r="I65" s="29">
        <f t="shared" si="2"/>
        <v>0</v>
      </c>
      <c r="J65" s="30">
        <f t="shared" si="7"/>
        <v>0</v>
      </c>
      <c r="K65" s="31">
        <f t="shared" si="8"/>
        <v>0</v>
      </c>
      <c r="L65" s="30">
        <f t="shared" si="9"/>
        <v>0</v>
      </c>
      <c r="M65" s="31">
        <f t="shared" si="10"/>
        <v>0</v>
      </c>
      <c r="N65" s="32"/>
      <c r="O65" s="86"/>
    </row>
    <row r="66" ht="15.75" customHeight="1">
      <c r="A66" s="21"/>
      <c r="B66" s="70"/>
      <c r="C66" s="61"/>
      <c r="D66" s="101"/>
      <c r="E66" s="71"/>
      <c r="F66" s="93"/>
      <c r="G66" s="173"/>
      <c r="H66" s="28">
        <f t="shared" si="1"/>
        <v>0</v>
      </c>
      <c r="I66" s="29">
        <f t="shared" si="2"/>
        <v>0</v>
      </c>
      <c r="J66" s="30">
        <f t="shared" si="7"/>
        <v>0</v>
      </c>
      <c r="K66" s="31">
        <f t="shared" si="8"/>
        <v>0</v>
      </c>
      <c r="L66" s="30">
        <f t="shared" si="9"/>
        <v>0</v>
      </c>
      <c r="M66" s="31">
        <f t="shared" si="10"/>
        <v>0</v>
      </c>
      <c r="N66" s="32"/>
      <c r="O66" s="86"/>
    </row>
    <row r="67" ht="15.75" customHeight="1">
      <c r="A67" s="21"/>
      <c r="B67" s="70"/>
      <c r="C67" s="61"/>
      <c r="D67" s="101"/>
      <c r="E67" s="71"/>
      <c r="F67" s="93"/>
      <c r="G67" s="173"/>
      <c r="H67" s="28">
        <f t="shared" si="1"/>
        <v>0</v>
      </c>
      <c r="I67" s="29">
        <f t="shared" si="2"/>
        <v>0</v>
      </c>
      <c r="J67" s="30">
        <f t="shared" si="7"/>
        <v>0</v>
      </c>
      <c r="K67" s="31">
        <f t="shared" si="8"/>
        <v>0</v>
      </c>
      <c r="L67" s="30">
        <f t="shared" si="9"/>
        <v>0</v>
      </c>
      <c r="M67" s="31">
        <f t="shared" si="10"/>
        <v>0</v>
      </c>
      <c r="N67" s="32"/>
      <c r="O67" s="86"/>
    </row>
    <row r="68" ht="15.75" customHeight="1">
      <c r="A68" s="21"/>
      <c r="B68" s="70"/>
      <c r="C68" s="61"/>
      <c r="D68" s="101"/>
      <c r="E68" s="71"/>
      <c r="F68" s="93"/>
      <c r="G68" s="173"/>
      <c r="H68" s="28">
        <f t="shared" si="1"/>
        <v>0</v>
      </c>
      <c r="I68" s="29">
        <f t="shared" si="2"/>
        <v>0</v>
      </c>
      <c r="J68" s="30">
        <f t="shared" si="7"/>
        <v>0</v>
      </c>
      <c r="K68" s="31">
        <f t="shared" si="8"/>
        <v>0</v>
      </c>
      <c r="L68" s="30">
        <f t="shared" si="9"/>
        <v>0</v>
      </c>
      <c r="M68" s="31">
        <f t="shared" si="10"/>
        <v>0</v>
      </c>
      <c r="N68" s="32"/>
      <c r="O68" s="86"/>
    </row>
    <row r="69" ht="15.75" customHeight="1">
      <c r="A69" s="21"/>
      <c r="B69" s="70"/>
      <c r="C69" s="61"/>
      <c r="D69" s="101"/>
      <c r="E69" s="71"/>
      <c r="F69" s="93"/>
      <c r="G69" s="173"/>
      <c r="H69" s="28">
        <f t="shared" si="1"/>
        <v>0</v>
      </c>
      <c r="I69" s="29">
        <f t="shared" si="2"/>
        <v>0</v>
      </c>
      <c r="J69" s="30">
        <f t="shared" si="7"/>
        <v>0</v>
      </c>
      <c r="K69" s="31">
        <f t="shared" si="8"/>
        <v>0</v>
      </c>
      <c r="L69" s="30">
        <f t="shared" si="9"/>
        <v>0</v>
      </c>
      <c r="M69" s="31">
        <f t="shared" si="10"/>
        <v>0</v>
      </c>
      <c r="N69" s="32"/>
      <c r="O69" s="86"/>
    </row>
    <row r="70" ht="15.75" customHeight="1">
      <c r="A70" s="21"/>
      <c r="B70" s="70"/>
      <c r="C70" s="61"/>
      <c r="D70" s="101"/>
      <c r="E70" s="71"/>
      <c r="F70" s="93"/>
      <c r="G70" s="173"/>
      <c r="H70" s="28">
        <f t="shared" si="1"/>
        <v>0</v>
      </c>
      <c r="I70" s="29">
        <f t="shared" si="2"/>
        <v>0</v>
      </c>
      <c r="J70" s="30">
        <f t="shared" si="7"/>
        <v>0</v>
      </c>
      <c r="K70" s="31">
        <f t="shared" si="8"/>
        <v>0</v>
      </c>
      <c r="L70" s="30">
        <f t="shared" si="9"/>
        <v>0</v>
      </c>
      <c r="M70" s="31">
        <f t="shared" si="10"/>
        <v>0</v>
      </c>
      <c r="N70" s="32"/>
      <c r="O70" s="86"/>
    </row>
    <row r="71" ht="15.75" customHeight="1">
      <c r="A71" s="21"/>
      <c r="B71" s="70"/>
      <c r="C71" s="61"/>
      <c r="D71" s="101"/>
      <c r="E71" s="71"/>
      <c r="F71" s="93"/>
      <c r="G71" s="173"/>
      <c r="H71" s="28">
        <f t="shared" si="1"/>
        <v>0</v>
      </c>
      <c r="I71" s="29">
        <f t="shared" si="2"/>
        <v>0</v>
      </c>
      <c r="J71" s="30">
        <f t="shared" si="7"/>
        <v>0</v>
      </c>
      <c r="K71" s="31">
        <f t="shared" si="8"/>
        <v>0</v>
      </c>
      <c r="L71" s="30">
        <f t="shared" si="9"/>
        <v>0</v>
      </c>
      <c r="M71" s="31">
        <f t="shared" si="10"/>
        <v>0</v>
      </c>
      <c r="N71" s="32"/>
      <c r="O71" s="86"/>
    </row>
    <row r="72" ht="15.75" customHeight="1">
      <c r="A72" s="21"/>
      <c r="B72" s="70"/>
      <c r="C72" s="61"/>
      <c r="D72" s="101"/>
      <c r="E72" s="71"/>
      <c r="F72" s="93"/>
      <c r="G72" s="173"/>
      <c r="H72" s="28">
        <f t="shared" si="1"/>
        <v>0</v>
      </c>
      <c r="I72" s="29">
        <f t="shared" si="2"/>
        <v>0</v>
      </c>
      <c r="J72" s="30">
        <f t="shared" si="7"/>
        <v>0</v>
      </c>
      <c r="K72" s="31">
        <f t="shared" si="8"/>
        <v>0</v>
      </c>
      <c r="L72" s="30">
        <f t="shared" si="9"/>
        <v>0</v>
      </c>
      <c r="M72" s="31">
        <f t="shared" si="10"/>
        <v>0</v>
      </c>
      <c r="N72" s="32"/>
      <c r="O72" s="86"/>
    </row>
    <row r="73" ht="15.75" customHeight="1">
      <c r="A73" s="21"/>
      <c r="B73" s="70"/>
      <c r="C73" s="61"/>
      <c r="D73" s="101"/>
      <c r="E73" s="71"/>
      <c r="F73" s="93"/>
      <c r="G73" s="173"/>
      <c r="H73" s="28">
        <f t="shared" si="1"/>
        <v>0</v>
      </c>
      <c r="I73" s="29">
        <f t="shared" si="2"/>
        <v>0</v>
      </c>
      <c r="J73" s="30">
        <f t="shared" si="7"/>
        <v>0</v>
      </c>
      <c r="K73" s="31">
        <f t="shared" si="8"/>
        <v>0</v>
      </c>
      <c r="L73" s="30">
        <f t="shared" si="9"/>
        <v>0</v>
      </c>
      <c r="M73" s="31">
        <f t="shared" si="10"/>
        <v>0</v>
      </c>
      <c r="N73" s="32"/>
      <c r="O73" s="86"/>
    </row>
    <row r="74" ht="15.75" customHeight="1">
      <c r="A74" s="21"/>
      <c r="B74" s="70"/>
      <c r="C74" s="61"/>
      <c r="D74" s="101"/>
      <c r="E74" s="71"/>
      <c r="F74" s="93"/>
      <c r="G74" s="173"/>
      <c r="H74" s="28">
        <f t="shared" si="1"/>
        <v>0</v>
      </c>
      <c r="I74" s="29">
        <f t="shared" si="2"/>
        <v>0</v>
      </c>
      <c r="J74" s="30">
        <f t="shared" si="7"/>
        <v>0</v>
      </c>
      <c r="K74" s="31">
        <f t="shared" si="8"/>
        <v>0</v>
      </c>
      <c r="L74" s="30">
        <f t="shared" si="9"/>
        <v>0</v>
      </c>
      <c r="M74" s="31">
        <f t="shared" si="10"/>
        <v>0</v>
      </c>
      <c r="N74" s="32"/>
      <c r="O74" s="86"/>
    </row>
    <row r="75" ht="15.75" customHeight="1">
      <c r="A75" s="21"/>
      <c r="B75" s="70"/>
      <c r="C75" s="61"/>
      <c r="D75" s="101"/>
      <c r="E75" s="71"/>
      <c r="F75" s="93"/>
      <c r="G75" s="173"/>
      <c r="H75" s="28">
        <f t="shared" si="1"/>
        <v>0</v>
      </c>
      <c r="I75" s="29">
        <f t="shared" si="2"/>
        <v>0</v>
      </c>
      <c r="J75" s="30">
        <f t="shared" si="7"/>
        <v>0</v>
      </c>
      <c r="K75" s="31">
        <f t="shared" si="8"/>
        <v>0</v>
      </c>
      <c r="L75" s="30">
        <f t="shared" si="9"/>
        <v>0</v>
      </c>
      <c r="M75" s="31">
        <f t="shared" si="10"/>
        <v>0</v>
      </c>
      <c r="N75" s="32"/>
      <c r="O75" s="86"/>
    </row>
    <row r="76" ht="15.75" customHeight="1">
      <c r="A76" s="21"/>
      <c r="B76" s="70"/>
      <c r="C76" s="61"/>
      <c r="D76" s="101"/>
      <c r="E76" s="71"/>
      <c r="F76" s="93"/>
      <c r="G76" s="173"/>
      <c r="H76" s="28">
        <f t="shared" si="1"/>
        <v>0</v>
      </c>
      <c r="I76" s="29">
        <f t="shared" si="2"/>
        <v>0</v>
      </c>
      <c r="J76" s="30">
        <f t="shared" si="7"/>
        <v>0</v>
      </c>
      <c r="K76" s="31">
        <f t="shared" si="8"/>
        <v>0</v>
      </c>
      <c r="L76" s="30">
        <f t="shared" si="9"/>
        <v>0</v>
      </c>
      <c r="M76" s="31">
        <f t="shared" si="10"/>
        <v>0</v>
      </c>
      <c r="N76" s="32"/>
      <c r="O76" s="86"/>
    </row>
    <row r="77" ht="15.75" customHeight="1">
      <c r="A77" s="21"/>
      <c r="B77" s="70"/>
      <c r="C77" s="61"/>
      <c r="D77" s="101"/>
      <c r="E77" s="71"/>
      <c r="F77" s="93"/>
      <c r="G77" s="173"/>
      <c r="H77" s="28">
        <f t="shared" si="1"/>
        <v>0</v>
      </c>
      <c r="I77" s="29">
        <f t="shared" si="2"/>
        <v>0</v>
      </c>
      <c r="J77" s="30">
        <f t="shared" si="7"/>
        <v>0</v>
      </c>
      <c r="K77" s="31">
        <f t="shared" si="8"/>
        <v>0</v>
      </c>
      <c r="L77" s="30">
        <f t="shared" si="9"/>
        <v>0</v>
      </c>
      <c r="M77" s="31">
        <f t="shared" si="10"/>
        <v>0</v>
      </c>
      <c r="N77" s="32"/>
      <c r="O77" s="86"/>
    </row>
    <row r="78" ht="15.75" customHeight="1">
      <c r="A78" s="21"/>
      <c r="B78" s="70"/>
      <c r="C78" s="61"/>
      <c r="D78" s="101"/>
      <c r="E78" s="71"/>
      <c r="F78" s="93"/>
      <c r="G78" s="173"/>
      <c r="H78" s="28">
        <f t="shared" si="1"/>
        <v>0</v>
      </c>
      <c r="I78" s="29">
        <f t="shared" si="2"/>
        <v>0</v>
      </c>
      <c r="J78" s="30">
        <f t="shared" si="7"/>
        <v>0</v>
      </c>
      <c r="K78" s="31">
        <f t="shared" si="8"/>
        <v>0</v>
      </c>
      <c r="L78" s="30">
        <f t="shared" si="9"/>
        <v>0</v>
      </c>
      <c r="M78" s="31">
        <f t="shared" si="10"/>
        <v>0</v>
      </c>
      <c r="N78" s="32"/>
      <c r="O78" s="86"/>
    </row>
    <row r="79" ht="15.75" customHeight="1">
      <c r="A79" s="21"/>
      <c r="B79" s="70"/>
      <c r="C79" s="61"/>
      <c r="D79" s="101"/>
      <c r="E79" s="71"/>
      <c r="F79" s="93"/>
      <c r="G79" s="173"/>
      <c r="H79" s="28">
        <f t="shared" si="1"/>
        <v>0</v>
      </c>
      <c r="I79" s="29">
        <f t="shared" si="2"/>
        <v>0</v>
      </c>
      <c r="J79" s="30">
        <f t="shared" si="7"/>
        <v>0</v>
      </c>
      <c r="K79" s="31">
        <f t="shared" si="8"/>
        <v>0</v>
      </c>
      <c r="L79" s="30">
        <f t="shared" si="9"/>
        <v>0</v>
      </c>
      <c r="M79" s="31">
        <f t="shared" si="10"/>
        <v>0</v>
      </c>
      <c r="N79" s="32"/>
      <c r="O79" s="86"/>
    </row>
    <row r="80" ht="15.75" customHeight="1">
      <c r="A80" s="21"/>
      <c r="B80" s="70"/>
      <c r="C80" s="61"/>
      <c r="D80" s="101"/>
      <c r="E80" s="71"/>
      <c r="F80" s="93"/>
      <c r="G80" s="173"/>
      <c r="H80" s="28">
        <f t="shared" si="1"/>
        <v>0</v>
      </c>
      <c r="I80" s="29">
        <f t="shared" si="2"/>
        <v>0</v>
      </c>
      <c r="J80" s="30">
        <f t="shared" si="7"/>
        <v>0</v>
      </c>
      <c r="K80" s="31">
        <f t="shared" si="8"/>
        <v>0</v>
      </c>
      <c r="L80" s="30">
        <f t="shared" si="9"/>
        <v>0</v>
      </c>
      <c r="M80" s="31">
        <f t="shared" si="10"/>
        <v>0</v>
      </c>
      <c r="N80" s="32"/>
      <c r="O80" s="86"/>
    </row>
    <row r="81" ht="15.75" customHeight="1">
      <c r="A81" s="21"/>
      <c r="B81" s="70"/>
      <c r="C81" s="61"/>
      <c r="D81" s="101"/>
      <c r="E81" s="71"/>
      <c r="F81" s="93"/>
      <c r="G81" s="173"/>
      <c r="H81" s="28">
        <f t="shared" si="1"/>
        <v>0</v>
      </c>
      <c r="I81" s="29">
        <f t="shared" si="2"/>
        <v>0</v>
      </c>
      <c r="J81" s="30">
        <f t="shared" si="7"/>
        <v>0</v>
      </c>
      <c r="K81" s="31">
        <f t="shared" si="8"/>
        <v>0</v>
      </c>
      <c r="L81" s="30">
        <f t="shared" si="9"/>
        <v>0</v>
      </c>
      <c r="M81" s="31">
        <f t="shared" si="10"/>
        <v>0</v>
      </c>
      <c r="N81" s="32"/>
      <c r="O81" s="86"/>
    </row>
    <row r="82" ht="15.75" customHeight="1">
      <c r="A82" s="21"/>
      <c r="B82" s="70"/>
      <c r="C82" s="61"/>
      <c r="D82" s="101"/>
      <c r="E82" s="71"/>
      <c r="F82" s="93"/>
      <c r="G82" s="173"/>
      <c r="H82" s="28">
        <f t="shared" si="1"/>
        <v>0</v>
      </c>
      <c r="I82" s="29">
        <f t="shared" si="2"/>
        <v>0</v>
      </c>
      <c r="J82" s="30">
        <f t="shared" si="7"/>
        <v>0</v>
      </c>
      <c r="K82" s="31">
        <f t="shared" si="8"/>
        <v>0</v>
      </c>
      <c r="L82" s="30">
        <f t="shared" si="9"/>
        <v>0</v>
      </c>
      <c r="M82" s="31">
        <f t="shared" si="10"/>
        <v>0</v>
      </c>
      <c r="N82" s="32"/>
      <c r="O82" s="86"/>
    </row>
    <row r="83" ht="15.75" customHeight="1">
      <c r="A83" s="21"/>
      <c r="B83" s="70"/>
      <c r="C83" s="61"/>
      <c r="D83" s="101"/>
      <c r="E83" s="71"/>
      <c r="F83" s="93"/>
      <c r="G83" s="173"/>
      <c r="H83" s="28">
        <f t="shared" si="1"/>
        <v>0</v>
      </c>
      <c r="I83" s="29">
        <f t="shared" si="2"/>
        <v>0</v>
      </c>
      <c r="J83" s="30">
        <f t="shared" si="7"/>
        <v>0</v>
      </c>
      <c r="K83" s="31">
        <f t="shared" si="8"/>
        <v>0</v>
      </c>
      <c r="L83" s="30">
        <f t="shared" si="9"/>
        <v>0</v>
      </c>
      <c r="M83" s="31">
        <f t="shared" si="10"/>
        <v>0</v>
      </c>
      <c r="N83" s="32"/>
      <c r="O83" s="86"/>
    </row>
    <row r="84" ht="15.75" customHeight="1">
      <c r="A84" s="21"/>
      <c r="B84" s="70"/>
      <c r="C84" s="61"/>
      <c r="D84" s="101"/>
      <c r="E84" s="71"/>
      <c r="F84" s="93"/>
      <c r="G84" s="173"/>
      <c r="H84" s="28">
        <f t="shared" si="1"/>
        <v>0</v>
      </c>
      <c r="I84" s="29">
        <f t="shared" si="2"/>
        <v>0</v>
      </c>
      <c r="J84" s="30">
        <f t="shared" si="7"/>
        <v>0</v>
      </c>
      <c r="K84" s="31">
        <f t="shared" si="8"/>
        <v>0</v>
      </c>
      <c r="L84" s="30">
        <f t="shared" si="9"/>
        <v>0</v>
      </c>
      <c r="M84" s="31">
        <f t="shared" si="10"/>
        <v>0</v>
      </c>
      <c r="N84" s="32"/>
      <c r="O84" s="86"/>
    </row>
    <row r="85" ht="15.75" customHeight="1">
      <c r="A85" s="21"/>
      <c r="B85" s="70"/>
      <c r="C85" s="61"/>
      <c r="D85" s="101"/>
      <c r="E85" s="71"/>
      <c r="F85" s="93"/>
      <c r="G85" s="173"/>
      <c r="H85" s="28">
        <f t="shared" si="1"/>
        <v>0</v>
      </c>
      <c r="I85" s="29">
        <f t="shared" si="2"/>
        <v>0</v>
      </c>
      <c r="J85" s="30">
        <f t="shared" si="7"/>
        <v>0</v>
      </c>
      <c r="K85" s="31">
        <f t="shared" si="8"/>
        <v>0</v>
      </c>
      <c r="L85" s="30">
        <f t="shared" si="9"/>
        <v>0</v>
      </c>
      <c r="M85" s="31">
        <f t="shared" si="10"/>
        <v>0</v>
      </c>
      <c r="N85" s="32"/>
      <c r="O85" s="86"/>
    </row>
    <row r="86" ht="15.75" customHeight="1">
      <c r="A86" s="21"/>
      <c r="B86" s="70"/>
      <c r="C86" s="61"/>
      <c r="D86" s="101"/>
      <c r="E86" s="71"/>
      <c r="F86" s="93"/>
      <c r="G86" s="173"/>
      <c r="H86" s="28">
        <f t="shared" si="1"/>
        <v>0</v>
      </c>
      <c r="I86" s="29">
        <f t="shared" si="2"/>
        <v>0</v>
      </c>
      <c r="J86" s="30">
        <f t="shared" si="7"/>
        <v>0</v>
      </c>
      <c r="K86" s="31">
        <f t="shared" si="8"/>
        <v>0</v>
      </c>
      <c r="L86" s="30">
        <f t="shared" si="9"/>
        <v>0</v>
      </c>
      <c r="M86" s="31">
        <f t="shared" si="10"/>
        <v>0</v>
      </c>
      <c r="N86" s="32"/>
      <c r="O86" s="86"/>
    </row>
    <row r="87" ht="15.75" customHeight="1">
      <c r="A87" s="21"/>
      <c r="B87" s="70"/>
      <c r="C87" s="61"/>
      <c r="D87" s="101"/>
      <c r="E87" s="71"/>
      <c r="F87" s="93"/>
      <c r="G87" s="173"/>
      <c r="H87" s="28">
        <f t="shared" si="1"/>
        <v>0</v>
      </c>
      <c r="I87" s="29">
        <f t="shared" si="2"/>
        <v>0</v>
      </c>
      <c r="J87" s="30">
        <f t="shared" si="7"/>
        <v>0</v>
      </c>
      <c r="K87" s="31">
        <f t="shared" si="8"/>
        <v>0</v>
      </c>
      <c r="L87" s="30">
        <f t="shared" si="9"/>
        <v>0</v>
      </c>
      <c r="M87" s="31">
        <f t="shared" si="10"/>
        <v>0</v>
      </c>
      <c r="N87" s="32"/>
      <c r="O87" s="86"/>
    </row>
    <row r="88" ht="15.75" customHeight="1">
      <c r="A88" s="21"/>
      <c r="B88" s="70"/>
      <c r="C88" s="61"/>
      <c r="D88" s="101"/>
      <c r="E88" s="71"/>
      <c r="F88" s="93"/>
      <c r="G88" s="173"/>
      <c r="H88" s="28">
        <f t="shared" si="1"/>
        <v>0</v>
      </c>
      <c r="I88" s="29">
        <f t="shared" si="2"/>
        <v>0</v>
      </c>
      <c r="J88" s="30">
        <f t="shared" si="7"/>
        <v>0</v>
      </c>
      <c r="K88" s="31">
        <f t="shared" si="8"/>
        <v>0</v>
      </c>
      <c r="L88" s="30">
        <f t="shared" si="9"/>
        <v>0</v>
      </c>
      <c r="M88" s="31">
        <f t="shared" si="10"/>
        <v>0</v>
      </c>
      <c r="N88" s="32"/>
      <c r="O88" s="86"/>
    </row>
    <row r="89" ht="15.75" customHeight="1">
      <c r="A89" s="21"/>
      <c r="B89" s="70"/>
      <c r="C89" s="61"/>
      <c r="D89" s="101"/>
      <c r="E89" s="71"/>
      <c r="F89" s="93"/>
      <c r="G89" s="173"/>
      <c r="H89" s="28">
        <f t="shared" si="1"/>
        <v>0</v>
      </c>
      <c r="I89" s="29">
        <f t="shared" si="2"/>
        <v>0</v>
      </c>
      <c r="J89" s="30">
        <f t="shared" si="7"/>
        <v>0</v>
      </c>
      <c r="K89" s="31">
        <f t="shared" si="8"/>
        <v>0</v>
      </c>
      <c r="L89" s="30">
        <f t="shared" si="9"/>
        <v>0</v>
      </c>
      <c r="M89" s="31">
        <f t="shared" si="10"/>
        <v>0</v>
      </c>
      <c r="N89" s="32"/>
      <c r="O89" s="86"/>
    </row>
    <row r="90" ht="15.75" customHeight="1">
      <c r="A90" s="21"/>
      <c r="B90" s="70"/>
      <c r="C90" s="61"/>
      <c r="D90" s="101"/>
      <c r="E90" s="71"/>
      <c r="F90" s="93"/>
      <c r="G90" s="173"/>
      <c r="H90" s="28">
        <f t="shared" si="1"/>
        <v>0</v>
      </c>
      <c r="I90" s="29">
        <f t="shared" si="2"/>
        <v>0</v>
      </c>
      <c r="J90" s="30">
        <f t="shared" si="7"/>
        <v>0</v>
      </c>
      <c r="K90" s="31">
        <f t="shared" si="8"/>
        <v>0</v>
      </c>
      <c r="L90" s="30">
        <f t="shared" si="9"/>
        <v>0</v>
      </c>
      <c r="M90" s="31">
        <f t="shared" si="10"/>
        <v>0</v>
      </c>
      <c r="N90" s="32"/>
      <c r="O90" s="86"/>
    </row>
    <row r="91" ht="15.75" customHeight="1">
      <c r="A91" s="21"/>
      <c r="B91" s="70"/>
      <c r="C91" s="61"/>
      <c r="D91" s="101"/>
      <c r="E91" s="71"/>
      <c r="F91" s="93"/>
      <c r="G91" s="173"/>
      <c r="H91" s="28">
        <f t="shared" si="1"/>
        <v>0</v>
      </c>
      <c r="I91" s="29">
        <f t="shared" si="2"/>
        <v>0</v>
      </c>
      <c r="J91" s="30">
        <f t="shared" si="7"/>
        <v>0</v>
      </c>
      <c r="K91" s="31">
        <f t="shared" si="8"/>
        <v>0</v>
      </c>
      <c r="L91" s="30">
        <f t="shared" si="9"/>
        <v>0</v>
      </c>
      <c r="M91" s="31">
        <f t="shared" si="10"/>
        <v>0</v>
      </c>
      <c r="N91" s="32"/>
      <c r="O91" s="86"/>
    </row>
    <row r="92" ht="15.75" customHeight="1">
      <c r="A92" s="21"/>
      <c r="B92" s="70"/>
      <c r="C92" s="61"/>
      <c r="D92" s="101"/>
      <c r="E92" s="71"/>
      <c r="F92" s="93"/>
      <c r="G92" s="173"/>
      <c r="H92" s="28">
        <f t="shared" si="1"/>
        <v>0</v>
      </c>
      <c r="I92" s="29">
        <f t="shared" si="2"/>
        <v>0</v>
      </c>
      <c r="J92" s="30">
        <f t="shared" si="7"/>
        <v>0</v>
      </c>
      <c r="K92" s="31">
        <f t="shared" si="8"/>
        <v>0</v>
      </c>
      <c r="L92" s="30">
        <f t="shared" si="9"/>
        <v>0</v>
      </c>
      <c r="M92" s="31">
        <f t="shared" si="10"/>
        <v>0</v>
      </c>
      <c r="N92" s="32"/>
      <c r="O92" s="86"/>
    </row>
    <row r="93" ht="15.75" customHeight="1">
      <c r="A93" s="21"/>
      <c r="B93" s="70"/>
      <c r="C93" s="61"/>
      <c r="D93" s="101"/>
      <c r="E93" s="71"/>
      <c r="F93" s="93"/>
      <c r="G93" s="173"/>
      <c r="H93" s="28">
        <f t="shared" si="1"/>
        <v>0</v>
      </c>
      <c r="I93" s="29">
        <f t="shared" si="2"/>
        <v>0</v>
      </c>
      <c r="J93" s="30">
        <f t="shared" si="7"/>
        <v>0</v>
      </c>
      <c r="K93" s="31">
        <f t="shared" si="8"/>
        <v>0</v>
      </c>
      <c r="L93" s="30">
        <f t="shared" si="9"/>
        <v>0</v>
      </c>
      <c r="M93" s="31">
        <f t="shared" si="10"/>
        <v>0</v>
      </c>
      <c r="N93" s="32"/>
      <c r="O93" s="33"/>
    </row>
    <row r="94" ht="15.75" customHeight="1">
      <c r="A94" s="21"/>
      <c r="B94" s="70"/>
      <c r="C94" s="61"/>
      <c r="D94" s="101"/>
      <c r="E94" s="71"/>
      <c r="F94" s="93"/>
      <c r="G94" s="173"/>
      <c r="H94" s="28">
        <f t="shared" si="1"/>
        <v>0</v>
      </c>
      <c r="I94" s="29">
        <f t="shared" si="2"/>
        <v>0</v>
      </c>
      <c r="J94" s="30">
        <f t="shared" si="7"/>
        <v>0</v>
      </c>
      <c r="K94" s="31">
        <f t="shared" si="8"/>
        <v>0</v>
      </c>
      <c r="L94" s="30">
        <f t="shared" si="9"/>
        <v>0</v>
      </c>
      <c r="M94" s="31">
        <f t="shared" si="10"/>
        <v>0</v>
      </c>
      <c r="N94" s="32"/>
      <c r="O94" s="33"/>
    </row>
    <row r="95" ht="15.75" customHeight="1">
      <c r="A95" s="21"/>
      <c r="B95" s="70"/>
      <c r="C95" s="61"/>
      <c r="D95" s="101"/>
      <c r="E95" s="71"/>
      <c r="F95" s="93"/>
      <c r="G95" s="173"/>
      <c r="H95" s="28">
        <f t="shared" si="1"/>
        <v>0</v>
      </c>
      <c r="I95" s="29">
        <f t="shared" si="2"/>
        <v>0</v>
      </c>
      <c r="J95" s="30">
        <f t="shared" si="7"/>
        <v>0</v>
      </c>
      <c r="K95" s="31">
        <f t="shared" si="8"/>
        <v>0</v>
      </c>
      <c r="L95" s="30">
        <f t="shared" si="9"/>
        <v>0</v>
      </c>
      <c r="M95" s="31">
        <f t="shared" si="10"/>
        <v>0</v>
      </c>
      <c r="N95" s="32"/>
      <c r="O95" s="33"/>
    </row>
    <row r="96" ht="15.75" customHeight="1">
      <c r="A96" s="21"/>
      <c r="B96" s="70"/>
      <c r="C96" s="61"/>
      <c r="D96" s="101"/>
      <c r="E96" s="71"/>
      <c r="F96" s="93"/>
      <c r="G96" s="173"/>
      <c r="H96" s="96">
        <f t="shared" si="1"/>
        <v>0</v>
      </c>
      <c r="I96" s="97">
        <f t="shared" si="2"/>
        <v>0</v>
      </c>
      <c r="J96" s="98">
        <f t="shared" si="7"/>
        <v>0</v>
      </c>
      <c r="K96" s="99">
        <f t="shared" si="8"/>
        <v>0</v>
      </c>
      <c r="L96" s="98">
        <f t="shared" si="9"/>
        <v>0</v>
      </c>
      <c r="M96" s="99">
        <f t="shared" si="10"/>
        <v>0</v>
      </c>
      <c r="N96" s="32"/>
      <c r="O96" s="33"/>
    </row>
    <row r="97" ht="15.75" customHeight="1">
      <c r="A97" s="21"/>
      <c r="B97" s="70"/>
      <c r="C97" s="61"/>
      <c r="D97" s="101"/>
      <c r="E97" s="71"/>
      <c r="F97" s="93"/>
      <c r="G97" s="173"/>
      <c r="H97" s="96">
        <f t="shared" si="1"/>
        <v>0</v>
      </c>
      <c r="I97" s="97">
        <f t="shared" si="2"/>
        <v>0</v>
      </c>
      <c r="J97" s="98">
        <f t="shared" si="7"/>
        <v>0</v>
      </c>
      <c r="K97" s="99">
        <f t="shared" si="8"/>
        <v>0</v>
      </c>
      <c r="L97" s="98">
        <f t="shared" si="9"/>
        <v>0</v>
      </c>
      <c r="M97" s="99">
        <f t="shared" si="10"/>
        <v>0</v>
      </c>
      <c r="N97" s="32"/>
      <c r="O97" s="33"/>
    </row>
    <row r="98" ht="15.75" customHeight="1">
      <c r="A98" s="21"/>
      <c r="B98" s="70"/>
      <c r="C98" s="61"/>
      <c r="D98" s="101"/>
      <c r="E98" s="71"/>
      <c r="F98" s="93"/>
      <c r="G98" s="173"/>
      <c r="H98" s="28">
        <f t="shared" si="1"/>
        <v>0</v>
      </c>
      <c r="I98" s="29">
        <f t="shared" si="2"/>
        <v>0</v>
      </c>
      <c r="J98" s="30">
        <f t="shared" si="7"/>
        <v>0</v>
      </c>
      <c r="K98" s="31">
        <f t="shared" si="8"/>
        <v>0</v>
      </c>
      <c r="L98" s="30">
        <f t="shared" si="9"/>
        <v>0</v>
      </c>
      <c r="M98" s="31">
        <f t="shared" si="10"/>
        <v>0</v>
      </c>
      <c r="N98" s="32"/>
      <c r="O98" s="33"/>
    </row>
    <row r="99" ht="15.75" customHeight="1">
      <c r="A99" s="21"/>
      <c r="B99" s="70"/>
      <c r="C99" s="61"/>
      <c r="D99" s="101"/>
      <c r="E99" s="71"/>
      <c r="F99" s="93"/>
      <c r="G99" s="173"/>
      <c r="H99" s="28">
        <f t="shared" si="1"/>
        <v>0</v>
      </c>
      <c r="I99" s="29">
        <f t="shared" si="2"/>
        <v>0</v>
      </c>
      <c r="J99" s="30">
        <f t="shared" si="7"/>
        <v>0</v>
      </c>
      <c r="K99" s="31">
        <f t="shared" si="8"/>
        <v>0</v>
      </c>
      <c r="L99" s="30">
        <f t="shared" si="9"/>
        <v>0</v>
      </c>
      <c r="M99" s="31">
        <f t="shared" si="10"/>
        <v>0</v>
      </c>
      <c r="N99" s="32"/>
      <c r="O99" s="86"/>
    </row>
    <row r="100" ht="15.75" customHeight="1">
      <c r="A100" s="21"/>
      <c r="B100" s="70"/>
      <c r="C100" s="61"/>
      <c r="D100" s="101"/>
      <c r="E100" s="71"/>
      <c r="F100" s="93"/>
      <c r="G100" s="173"/>
      <c r="H100" s="28">
        <f t="shared" si="1"/>
        <v>0</v>
      </c>
      <c r="I100" s="29">
        <f t="shared" si="2"/>
        <v>0</v>
      </c>
      <c r="J100" s="30">
        <f t="shared" si="7"/>
        <v>0</v>
      </c>
      <c r="K100" s="31">
        <f t="shared" si="8"/>
        <v>0</v>
      </c>
      <c r="L100" s="30">
        <f t="shared" si="9"/>
        <v>0</v>
      </c>
      <c r="M100" s="31">
        <f t="shared" si="10"/>
        <v>0</v>
      </c>
      <c r="N100" s="32"/>
      <c r="O100" s="86"/>
    </row>
    <row r="101" ht="15.75" customHeight="1">
      <c r="A101" s="21"/>
      <c r="B101" s="70"/>
      <c r="C101" s="61"/>
      <c r="D101" s="101"/>
      <c r="E101" s="71"/>
      <c r="F101" s="93"/>
      <c r="G101" s="173"/>
      <c r="H101" s="96">
        <f t="shared" si="1"/>
        <v>0</v>
      </c>
      <c r="I101" s="97">
        <f t="shared" si="2"/>
        <v>0</v>
      </c>
      <c r="J101" s="98">
        <f t="shared" si="7"/>
        <v>0</v>
      </c>
      <c r="K101" s="99">
        <f t="shared" si="8"/>
        <v>0</v>
      </c>
      <c r="L101" s="98">
        <f t="shared" si="9"/>
        <v>0</v>
      </c>
      <c r="M101" s="99">
        <f t="shared" si="10"/>
        <v>0</v>
      </c>
      <c r="N101" s="32"/>
      <c r="O101" s="86"/>
    </row>
    <row r="102" ht="15.75" customHeight="1">
      <c r="A102" s="21"/>
      <c r="B102" s="70"/>
      <c r="C102" s="61"/>
      <c r="D102" s="101"/>
      <c r="E102" s="71"/>
      <c r="F102" s="93"/>
      <c r="G102" s="173"/>
      <c r="H102" s="96">
        <f t="shared" si="1"/>
        <v>0</v>
      </c>
      <c r="I102" s="97">
        <f t="shared" si="2"/>
        <v>0</v>
      </c>
      <c r="J102" s="98">
        <f t="shared" si="7"/>
        <v>0</v>
      </c>
      <c r="K102" s="99">
        <f t="shared" si="8"/>
        <v>0</v>
      </c>
      <c r="L102" s="98">
        <f t="shared" si="9"/>
        <v>0</v>
      </c>
      <c r="M102" s="99">
        <f t="shared" si="10"/>
        <v>0</v>
      </c>
      <c r="N102" s="32"/>
      <c r="O102" s="86"/>
    </row>
    <row r="103" ht="15.75" customHeight="1">
      <c r="A103" s="21"/>
      <c r="B103" s="70"/>
      <c r="C103" s="61"/>
      <c r="D103" s="101"/>
      <c r="E103" s="71"/>
      <c r="F103" s="93"/>
      <c r="G103" s="173"/>
      <c r="H103" s="28">
        <f t="shared" si="1"/>
        <v>0</v>
      </c>
      <c r="I103" s="29">
        <f t="shared" si="2"/>
        <v>0</v>
      </c>
      <c r="J103" s="30">
        <f t="shared" si="7"/>
        <v>0</v>
      </c>
      <c r="K103" s="31">
        <f t="shared" si="8"/>
        <v>0</v>
      </c>
      <c r="L103" s="30">
        <f t="shared" si="9"/>
        <v>0</v>
      </c>
      <c r="M103" s="31">
        <f t="shared" si="10"/>
        <v>0</v>
      </c>
      <c r="N103" s="32"/>
      <c r="O103" s="86"/>
    </row>
    <row r="104" ht="15.75" customHeight="1">
      <c r="A104" s="21"/>
      <c r="B104" s="70"/>
      <c r="C104" s="61"/>
      <c r="D104" s="101"/>
      <c r="E104" s="71"/>
      <c r="F104" s="93"/>
      <c r="G104" s="173"/>
      <c r="H104" s="28">
        <f t="shared" si="1"/>
        <v>0</v>
      </c>
      <c r="I104" s="29">
        <f t="shared" si="2"/>
        <v>0</v>
      </c>
      <c r="J104" s="30">
        <f t="shared" si="7"/>
        <v>0</v>
      </c>
      <c r="K104" s="31">
        <f t="shared" si="8"/>
        <v>0</v>
      </c>
      <c r="L104" s="30">
        <f t="shared" si="9"/>
        <v>0</v>
      </c>
      <c r="M104" s="31">
        <f t="shared" si="10"/>
        <v>0</v>
      </c>
      <c r="N104" s="32"/>
      <c r="O104" s="86"/>
    </row>
    <row r="105" ht="15.75" customHeight="1">
      <c r="A105" s="21"/>
      <c r="B105" s="70"/>
      <c r="C105" s="61"/>
      <c r="D105" s="101"/>
      <c r="E105" s="71"/>
      <c r="F105" s="93"/>
      <c r="G105" s="173"/>
      <c r="H105" s="28">
        <f t="shared" si="1"/>
        <v>0</v>
      </c>
      <c r="I105" s="29">
        <f t="shared" si="2"/>
        <v>0</v>
      </c>
      <c r="J105" s="30">
        <f t="shared" si="7"/>
        <v>0</v>
      </c>
      <c r="K105" s="31">
        <f t="shared" si="8"/>
        <v>0</v>
      </c>
      <c r="L105" s="30">
        <f t="shared" si="9"/>
        <v>0</v>
      </c>
      <c r="M105" s="31">
        <f t="shared" si="10"/>
        <v>0</v>
      </c>
      <c r="N105" s="32"/>
      <c r="O105" s="86"/>
    </row>
    <row r="106" ht="15.75" customHeight="1">
      <c r="A106" s="21"/>
      <c r="B106" s="70"/>
      <c r="C106" s="61"/>
      <c r="D106" s="101"/>
      <c r="E106" s="71"/>
      <c r="F106" s="93"/>
      <c r="G106" s="173"/>
      <c r="H106" s="96">
        <f t="shared" si="1"/>
        <v>0</v>
      </c>
      <c r="I106" s="97">
        <f t="shared" si="2"/>
        <v>0</v>
      </c>
      <c r="J106" s="98">
        <f t="shared" si="7"/>
        <v>0</v>
      </c>
      <c r="K106" s="99">
        <f t="shared" si="8"/>
        <v>0</v>
      </c>
      <c r="L106" s="98">
        <f t="shared" si="9"/>
        <v>0</v>
      </c>
      <c r="M106" s="99">
        <f t="shared" si="10"/>
        <v>0</v>
      </c>
      <c r="N106" s="32"/>
      <c r="O106" s="86"/>
    </row>
    <row r="107" ht="15.75" customHeight="1">
      <c r="A107" s="21"/>
      <c r="B107" s="70"/>
      <c r="C107" s="61"/>
      <c r="D107" s="101"/>
      <c r="E107" s="71"/>
      <c r="F107" s="93"/>
      <c r="G107" s="173"/>
      <c r="H107" s="96">
        <f t="shared" si="1"/>
        <v>0</v>
      </c>
      <c r="I107" s="97">
        <f t="shared" si="2"/>
        <v>0</v>
      </c>
      <c r="J107" s="98">
        <f t="shared" si="7"/>
        <v>0</v>
      </c>
      <c r="K107" s="99">
        <f t="shared" si="8"/>
        <v>0</v>
      </c>
      <c r="L107" s="98">
        <f t="shared" si="9"/>
        <v>0</v>
      </c>
      <c r="M107" s="99">
        <f t="shared" si="10"/>
        <v>0</v>
      </c>
      <c r="N107" s="32"/>
      <c r="O107" s="86"/>
    </row>
    <row r="108" ht="15.75" customHeight="1">
      <c r="A108" s="21"/>
      <c r="B108" s="70"/>
      <c r="C108" s="61"/>
      <c r="D108" s="101"/>
      <c r="E108" s="71"/>
      <c r="F108" s="93"/>
      <c r="G108" s="173"/>
      <c r="H108" s="28">
        <f t="shared" si="1"/>
        <v>0</v>
      </c>
      <c r="I108" s="29">
        <f t="shared" si="2"/>
        <v>0</v>
      </c>
      <c r="J108" s="30">
        <f t="shared" si="7"/>
        <v>0</v>
      </c>
      <c r="K108" s="31">
        <f t="shared" si="8"/>
        <v>0</v>
      </c>
      <c r="L108" s="30">
        <f t="shared" si="9"/>
        <v>0</v>
      </c>
      <c r="M108" s="31">
        <f t="shared" si="10"/>
        <v>0</v>
      </c>
      <c r="N108" s="32"/>
      <c r="O108" s="86"/>
    </row>
    <row r="109" ht="15.75" customHeight="1">
      <c r="A109" s="21"/>
      <c r="B109" s="70"/>
      <c r="C109" s="61"/>
      <c r="D109" s="102"/>
      <c r="E109" s="103"/>
      <c r="F109" s="104"/>
      <c r="G109" s="173"/>
      <c r="H109" s="96">
        <f t="shared" si="1"/>
        <v>0</v>
      </c>
      <c r="I109" s="97">
        <f t="shared" si="2"/>
        <v>0</v>
      </c>
      <c r="J109" s="98">
        <f t="shared" si="7"/>
        <v>0</v>
      </c>
      <c r="K109" s="99">
        <f t="shared" si="8"/>
        <v>0</v>
      </c>
      <c r="L109" s="98">
        <f t="shared" si="9"/>
        <v>0</v>
      </c>
      <c r="M109" s="99">
        <f t="shared" si="10"/>
        <v>0</v>
      </c>
      <c r="N109" s="32"/>
      <c r="O109" s="86"/>
    </row>
    <row r="110" ht="15.75" customHeight="1">
      <c r="A110" s="21"/>
      <c r="B110" s="70"/>
      <c r="C110" s="61"/>
      <c r="D110" s="102"/>
      <c r="E110" s="103"/>
      <c r="F110" s="104"/>
      <c r="G110" s="173"/>
      <c r="H110" s="96">
        <f t="shared" si="1"/>
        <v>0</v>
      </c>
      <c r="I110" s="97">
        <f t="shared" si="2"/>
        <v>0</v>
      </c>
      <c r="J110" s="98">
        <f t="shared" si="7"/>
        <v>0</v>
      </c>
      <c r="K110" s="99">
        <f t="shared" si="8"/>
        <v>0</v>
      </c>
      <c r="L110" s="98">
        <f t="shared" si="9"/>
        <v>0</v>
      </c>
      <c r="M110" s="99">
        <f t="shared" si="10"/>
        <v>0</v>
      </c>
      <c r="N110" s="32"/>
      <c r="O110" s="86"/>
    </row>
    <row r="111" ht="15.75" customHeight="1">
      <c r="A111" s="21"/>
      <c r="B111" s="70"/>
      <c r="C111" s="61"/>
      <c r="D111" s="102"/>
      <c r="E111" s="103"/>
      <c r="F111" s="104"/>
      <c r="G111" s="173"/>
      <c r="H111" s="96">
        <f t="shared" si="1"/>
        <v>0</v>
      </c>
      <c r="I111" s="97">
        <f t="shared" si="2"/>
        <v>0</v>
      </c>
      <c r="J111" s="98">
        <f t="shared" si="7"/>
        <v>0</v>
      </c>
      <c r="K111" s="99">
        <f t="shared" si="8"/>
        <v>0</v>
      </c>
      <c r="L111" s="98">
        <f t="shared" si="9"/>
        <v>0</v>
      </c>
      <c r="M111" s="99">
        <f t="shared" si="10"/>
        <v>0</v>
      </c>
      <c r="N111" s="32"/>
      <c r="O111" s="86"/>
    </row>
    <row r="112" ht="15.75" customHeight="1">
      <c r="A112" s="21"/>
      <c r="B112" s="70"/>
      <c r="C112" s="61"/>
      <c r="D112" s="105"/>
      <c r="E112" s="106"/>
      <c r="F112" s="104"/>
      <c r="G112" s="173"/>
      <c r="H112" s="96">
        <f>F113*0.5+F113</f>
        <v>0</v>
      </c>
      <c r="I112" s="97">
        <f>F113*0.3+F113</f>
        <v>0</v>
      </c>
      <c r="J112" s="98">
        <f>F113*0.3+F113</f>
        <v>0</v>
      </c>
      <c r="K112" s="99">
        <f>F113*0.2+F113</f>
        <v>0</v>
      </c>
      <c r="L112" s="98">
        <f>F113*0.15+F113</f>
        <v>0</v>
      </c>
      <c r="M112" s="99">
        <f>F113*0.1+F113</f>
        <v>0</v>
      </c>
      <c r="N112" s="32"/>
      <c r="O112" s="86"/>
    </row>
    <row r="113" ht="15.75" customHeight="1">
      <c r="A113" s="21"/>
      <c r="B113" s="70"/>
      <c r="C113" s="61"/>
      <c r="D113" s="102"/>
      <c r="E113" s="103"/>
      <c r="F113" s="104"/>
      <c r="G113" s="173"/>
      <c r="H113" s="96">
        <f t="shared" ref="H113:H115" si="11">F113*0.5+F113</f>
        <v>0</v>
      </c>
      <c r="I113" s="97">
        <f t="shared" ref="I113:I115" si="12">F113*0.3+F113</f>
        <v>0</v>
      </c>
      <c r="J113" s="98">
        <f t="shared" ref="J113:J115" si="13">F113*0.3+F113</f>
        <v>0</v>
      </c>
      <c r="K113" s="99">
        <f t="shared" ref="K113:K115" si="14">F113*0.2+F113</f>
        <v>0</v>
      </c>
      <c r="L113" s="98">
        <f t="shared" ref="L113:L115" si="15">F113*0.15+F113</f>
        <v>0</v>
      </c>
      <c r="M113" s="99">
        <f t="shared" ref="M113:M115" si="16">F113*0.1+F113</f>
        <v>0</v>
      </c>
      <c r="N113" s="32"/>
      <c r="O113" s="86"/>
    </row>
    <row r="114" ht="15.75" customHeight="1">
      <c r="A114" s="21"/>
      <c r="B114" s="70"/>
      <c r="C114" s="61"/>
      <c r="D114" s="102"/>
      <c r="E114" s="103"/>
      <c r="F114" s="104"/>
      <c r="G114" s="173"/>
      <c r="H114" s="96">
        <f t="shared" si="11"/>
        <v>0</v>
      </c>
      <c r="I114" s="97">
        <f t="shared" si="12"/>
        <v>0</v>
      </c>
      <c r="J114" s="98">
        <f t="shared" si="13"/>
        <v>0</v>
      </c>
      <c r="K114" s="99">
        <f t="shared" si="14"/>
        <v>0</v>
      </c>
      <c r="L114" s="98">
        <f t="shared" si="15"/>
        <v>0</v>
      </c>
      <c r="M114" s="99">
        <f t="shared" si="16"/>
        <v>0</v>
      </c>
      <c r="N114" s="32"/>
      <c r="O114" s="86"/>
    </row>
    <row r="115" ht="15.75" customHeight="1">
      <c r="A115" s="21"/>
      <c r="B115" s="70"/>
      <c r="C115" s="61"/>
      <c r="D115" s="102"/>
      <c r="E115" s="103"/>
      <c r="F115" s="104"/>
      <c r="G115" s="173"/>
      <c r="H115" s="96">
        <f t="shared" si="11"/>
        <v>0</v>
      </c>
      <c r="I115" s="97">
        <f t="shared" si="12"/>
        <v>0</v>
      </c>
      <c r="J115" s="98">
        <f t="shared" si="13"/>
        <v>0</v>
      </c>
      <c r="K115" s="99">
        <f t="shared" si="14"/>
        <v>0</v>
      </c>
      <c r="L115" s="98">
        <f t="shared" si="15"/>
        <v>0</v>
      </c>
      <c r="M115" s="99">
        <f t="shared" si="16"/>
        <v>0</v>
      </c>
      <c r="N115" s="32"/>
      <c r="O115" s="86"/>
    </row>
    <row r="116" ht="15.75" customHeight="1">
      <c r="A116" s="21"/>
      <c r="B116" s="70"/>
      <c r="C116" s="61"/>
      <c r="D116" s="102"/>
      <c r="E116" s="103"/>
      <c r="F116" s="104"/>
      <c r="G116" s="173"/>
      <c r="H116" s="96">
        <f>F117*0.5+F117</f>
        <v>0</v>
      </c>
      <c r="I116" s="97">
        <f>F117*0.3+F117</f>
        <v>0</v>
      </c>
      <c r="J116" s="98">
        <f>F117*0.3+F117</f>
        <v>0</v>
      </c>
      <c r="K116" s="99">
        <f>F117*0.2+F117</f>
        <v>0</v>
      </c>
      <c r="L116" s="98">
        <f>F117*0.15+F117</f>
        <v>0</v>
      </c>
      <c r="M116" s="99">
        <f>F117*0.1+F117</f>
        <v>0</v>
      </c>
      <c r="N116" s="32"/>
      <c r="O116" s="86"/>
    </row>
    <row r="117" ht="15.75" customHeight="1">
      <c r="A117" s="21"/>
      <c r="B117" s="70"/>
      <c r="C117" s="61"/>
      <c r="D117" s="102"/>
      <c r="E117" s="107"/>
      <c r="F117" s="108"/>
      <c r="G117" s="173"/>
      <c r="H117" s="96">
        <f t="shared" ref="H117:H119" si="17">F117*0.5+F117</f>
        <v>0</v>
      </c>
      <c r="I117" s="97">
        <f t="shared" ref="I117:I119" si="18">F117*0.3+F117</f>
        <v>0</v>
      </c>
      <c r="J117" s="98">
        <f t="shared" ref="J117:J119" si="19">F117*0.3+F117</f>
        <v>0</v>
      </c>
      <c r="K117" s="99">
        <f t="shared" ref="K117:K119" si="20">F117*0.2+F117</f>
        <v>0</v>
      </c>
      <c r="L117" s="98">
        <f t="shared" ref="L117:L119" si="21">F117*0.15+F117</f>
        <v>0</v>
      </c>
      <c r="M117" s="99">
        <f t="shared" ref="M117:M119" si="22">F117*0.1+F117</f>
        <v>0</v>
      </c>
      <c r="N117" s="32"/>
      <c r="O117" s="33"/>
      <c r="P117" s="109"/>
      <c r="Q117" s="109"/>
    </row>
    <row r="118" ht="15.75" customHeight="1">
      <c r="A118" s="21"/>
      <c r="B118" s="70"/>
      <c r="C118" s="61"/>
      <c r="D118" s="102"/>
      <c r="E118" s="103"/>
      <c r="F118" s="104"/>
      <c r="G118" s="173"/>
      <c r="H118" s="96">
        <f t="shared" si="17"/>
        <v>0</v>
      </c>
      <c r="I118" s="97">
        <f t="shared" si="18"/>
        <v>0</v>
      </c>
      <c r="J118" s="98">
        <f t="shared" si="19"/>
        <v>0</v>
      </c>
      <c r="K118" s="99">
        <f t="shared" si="20"/>
        <v>0</v>
      </c>
      <c r="L118" s="98">
        <f t="shared" si="21"/>
        <v>0</v>
      </c>
      <c r="M118" s="99">
        <f t="shared" si="22"/>
        <v>0</v>
      </c>
      <c r="N118" s="32"/>
      <c r="O118" s="33"/>
      <c r="P118" s="109"/>
      <c r="Q118" s="109"/>
    </row>
    <row r="119" ht="15.75" customHeight="1">
      <c r="A119" s="21"/>
      <c r="B119" s="70"/>
      <c r="C119" s="61"/>
      <c r="D119" s="102"/>
      <c r="E119" s="103"/>
      <c r="F119" s="104"/>
      <c r="G119" s="173"/>
      <c r="H119" s="96">
        <f t="shared" si="17"/>
        <v>0</v>
      </c>
      <c r="I119" s="97">
        <f t="shared" si="18"/>
        <v>0</v>
      </c>
      <c r="J119" s="98">
        <f t="shared" si="19"/>
        <v>0</v>
      </c>
      <c r="K119" s="99">
        <f t="shared" si="20"/>
        <v>0</v>
      </c>
      <c r="L119" s="98">
        <f t="shared" si="21"/>
        <v>0</v>
      </c>
      <c r="M119" s="99">
        <f t="shared" si="22"/>
        <v>0</v>
      </c>
      <c r="N119" s="32"/>
      <c r="O119" s="33"/>
      <c r="P119" s="109"/>
      <c r="Q119" s="109"/>
    </row>
    <row r="120" ht="15.75" customHeight="1">
      <c r="A120" s="21"/>
      <c r="B120" s="70"/>
      <c r="C120" s="61"/>
      <c r="D120" s="102"/>
      <c r="E120" s="103"/>
      <c r="F120" s="104"/>
      <c r="G120" s="173"/>
      <c r="H120" s="96">
        <f>F121*0.5+F121</f>
        <v>0</v>
      </c>
      <c r="I120" s="97">
        <f>F121*0.3+F121</f>
        <v>0</v>
      </c>
      <c r="J120" s="98">
        <f>F121*0.3+F121</f>
        <v>0</v>
      </c>
      <c r="K120" s="99">
        <f>F121*0.2+F121</f>
        <v>0</v>
      </c>
      <c r="L120" s="98">
        <f>F121*0.15+F121</f>
        <v>0</v>
      </c>
      <c r="M120" s="99">
        <f>F121*0.1+F121</f>
        <v>0</v>
      </c>
      <c r="N120" s="32"/>
      <c r="O120" s="33"/>
      <c r="P120" s="109"/>
      <c r="Q120" s="109"/>
    </row>
    <row r="121" ht="15.75" customHeight="1">
      <c r="A121" s="21"/>
      <c r="B121" s="70"/>
      <c r="C121" s="61"/>
      <c r="D121" s="102"/>
      <c r="E121" s="103"/>
      <c r="F121" s="104"/>
      <c r="G121" s="173"/>
      <c r="H121" s="96">
        <f t="shared" ref="H121:H123" si="23">F121*0.5+F121</f>
        <v>0</v>
      </c>
      <c r="I121" s="97">
        <f t="shared" ref="I121:I123" si="24">F121*0.3+F121</f>
        <v>0</v>
      </c>
      <c r="J121" s="98">
        <f t="shared" ref="J121:J123" si="25">F121*0.3+F121</f>
        <v>0</v>
      </c>
      <c r="K121" s="99">
        <f t="shared" ref="K121:K123" si="26">F121*0.2+F121</f>
        <v>0</v>
      </c>
      <c r="L121" s="98">
        <f t="shared" ref="L121:L123" si="27">F121*0.15+F121</f>
        <v>0</v>
      </c>
      <c r="M121" s="99">
        <f t="shared" ref="M121:M123" si="28">F121*0.1+F121</f>
        <v>0</v>
      </c>
      <c r="N121" s="32"/>
      <c r="O121" s="33"/>
      <c r="P121" s="109"/>
      <c r="Q121" s="109"/>
    </row>
    <row r="122" ht="15.75" customHeight="1">
      <c r="A122" s="21"/>
      <c r="B122" s="70"/>
      <c r="C122" s="61"/>
      <c r="D122" s="102"/>
      <c r="E122" s="103"/>
      <c r="F122" s="104"/>
      <c r="G122" s="173"/>
      <c r="H122" s="96">
        <f t="shared" si="23"/>
        <v>0</v>
      </c>
      <c r="I122" s="97">
        <f t="shared" si="24"/>
        <v>0</v>
      </c>
      <c r="J122" s="98">
        <f t="shared" si="25"/>
        <v>0</v>
      </c>
      <c r="K122" s="99">
        <f t="shared" si="26"/>
        <v>0</v>
      </c>
      <c r="L122" s="98">
        <f t="shared" si="27"/>
        <v>0</v>
      </c>
      <c r="M122" s="99">
        <f t="shared" si="28"/>
        <v>0</v>
      </c>
      <c r="N122" s="32"/>
      <c r="O122" s="33"/>
      <c r="P122" s="109"/>
      <c r="Q122" s="109"/>
    </row>
    <row r="123" ht="15.75" customHeight="1">
      <c r="A123" s="21"/>
      <c r="B123" s="70"/>
      <c r="C123" s="61"/>
      <c r="D123" s="102"/>
      <c r="E123" s="110"/>
      <c r="F123" s="104"/>
      <c r="G123" s="173"/>
      <c r="H123" s="96">
        <f t="shared" si="23"/>
        <v>0</v>
      </c>
      <c r="I123" s="97">
        <f t="shared" si="24"/>
        <v>0</v>
      </c>
      <c r="J123" s="98">
        <f t="shared" si="25"/>
        <v>0</v>
      </c>
      <c r="K123" s="99">
        <f t="shared" si="26"/>
        <v>0</v>
      </c>
      <c r="L123" s="98">
        <f t="shared" si="27"/>
        <v>0</v>
      </c>
      <c r="M123" s="99">
        <f t="shared" si="28"/>
        <v>0</v>
      </c>
      <c r="N123" s="32"/>
      <c r="O123" s="33"/>
      <c r="P123" s="109"/>
      <c r="Q123" s="109"/>
    </row>
    <row r="124" ht="15.75" customHeight="1">
      <c r="A124" s="21"/>
      <c r="B124" s="70"/>
      <c r="C124" s="61"/>
      <c r="D124" s="102"/>
      <c r="E124" s="103"/>
      <c r="F124" s="104"/>
      <c r="G124" s="173"/>
      <c r="H124" s="96">
        <f>F125*0.5+F125</f>
        <v>0</v>
      </c>
      <c r="I124" s="97">
        <f>F125*0.3+F125</f>
        <v>0</v>
      </c>
      <c r="J124" s="98">
        <f>F125*0.3+F125</f>
        <v>0</v>
      </c>
      <c r="K124" s="99">
        <f>F125*0.2+F125</f>
        <v>0</v>
      </c>
      <c r="L124" s="98">
        <f>F125*0.15+F125</f>
        <v>0</v>
      </c>
      <c r="M124" s="99">
        <f>F125*0.1+F125</f>
        <v>0</v>
      </c>
      <c r="N124" s="32"/>
      <c r="O124" s="33"/>
      <c r="P124" s="109"/>
      <c r="Q124" s="109"/>
    </row>
    <row r="125" ht="15.75" customHeight="1">
      <c r="A125" s="21"/>
      <c r="B125" s="70"/>
      <c r="C125" s="61"/>
      <c r="D125" s="111"/>
      <c r="E125" s="103"/>
      <c r="F125" s="104"/>
      <c r="G125" s="173"/>
      <c r="H125" s="96">
        <f t="shared" ref="H125:H127" si="29">F125*0.5+F125</f>
        <v>0</v>
      </c>
      <c r="I125" s="97">
        <f t="shared" ref="I125:I127" si="30">F125*0.3+F125</f>
        <v>0</v>
      </c>
      <c r="J125" s="98">
        <f t="shared" ref="J125:J127" si="31">F125*0.3+F125</f>
        <v>0</v>
      </c>
      <c r="K125" s="99">
        <f t="shared" ref="K125:K127" si="32">F125*0.2+F125</f>
        <v>0</v>
      </c>
      <c r="L125" s="98">
        <f t="shared" ref="L125:L127" si="33">F125*0.15+F125</f>
        <v>0</v>
      </c>
      <c r="M125" s="99">
        <f t="shared" ref="M125:M127" si="34">F125*0.1+F125</f>
        <v>0</v>
      </c>
      <c r="N125" s="32"/>
      <c r="O125" s="33"/>
      <c r="P125" s="109"/>
      <c r="Q125" s="109"/>
    </row>
    <row r="126" ht="15.75" customHeight="1">
      <c r="A126" s="21"/>
      <c r="B126" s="70"/>
      <c r="C126" s="61"/>
      <c r="D126" s="102"/>
      <c r="E126" s="103"/>
      <c r="F126" s="112"/>
      <c r="G126" s="173"/>
      <c r="H126" s="96">
        <f t="shared" si="29"/>
        <v>0</v>
      </c>
      <c r="I126" s="97">
        <f t="shared" si="30"/>
        <v>0</v>
      </c>
      <c r="J126" s="98">
        <f t="shared" si="31"/>
        <v>0</v>
      </c>
      <c r="K126" s="99">
        <f t="shared" si="32"/>
        <v>0</v>
      </c>
      <c r="L126" s="98">
        <f t="shared" si="33"/>
        <v>0</v>
      </c>
      <c r="M126" s="99">
        <f t="shared" si="34"/>
        <v>0</v>
      </c>
      <c r="N126" s="32"/>
      <c r="O126" s="33"/>
      <c r="P126" s="109"/>
      <c r="Q126" s="109"/>
    </row>
    <row r="127" ht="15.75" customHeight="1">
      <c r="A127" s="21"/>
      <c r="B127" s="70"/>
      <c r="C127" s="61"/>
      <c r="D127" s="102"/>
      <c r="E127" s="103"/>
      <c r="F127" s="112"/>
      <c r="G127" s="173"/>
      <c r="H127" s="96">
        <f t="shared" si="29"/>
        <v>0</v>
      </c>
      <c r="I127" s="97">
        <f t="shared" si="30"/>
        <v>0</v>
      </c>
      <c r="J127" s="98">
        <f t="shared" si="31"/>
        <v>0</v>
      </c>
      <c r="K127" s="99">
        <f t="shared" si="32"/>
        <v>0</v>
      </c>
      <c r="L127" s="98">
        <f t="shared" si="33"/>
        <v>0</v>
      </c>
      <c r="M127" s="99">
        <f t="shared" si="34"/>
        <v>0</v>
      </c>
      <c r="N127" s="32"/>
      <c r="O127" s="33"/>
      <c r="P127" s="109"/>
      <c r="Q127" s="109"/>
    </row>
    <row r="128" ht="15.75" customHeight="1">
      <c r="A128" s="21"/>
      <c r="B128" s="70"/>
      <c r="C128" s="61"/>
      <c r="D128" s="102"/>
      <c r="E128" s="103"/>
      <c r="F128" s="112"/>
      <c r="G128" s="173"/>
      <c r="H128" s="96">
        <f>F129*0.5+F129</f>
        <v>0</v>
      </c>
      <c r="I128" s="97">
        <f>F129*0.3+F129</f>
        <v>0</v>
      </c>
      <c r="J128" s="98">
        <f>F129*0.3+F129</f>
        <v>0</v>
      </c>
      <c r="K128" s="99">
        <f>F129*0.2+F129</f>
        <v>0</v>
      </c>
      <c r="L128" s="98">
        <f>F129*0.15+F129</f>
        <v>0</v>
      </c>
      <c r="M128" s="99">
        <f>F129*0.1+F129</f>
        <v>0</v>
      </c>
      <c r="N128" s="32"/>
      <c r="O128" s="33"/>
      <c r="P128" s="109"/>
      <c r="Q128" s="109"/>
    </row>
    <row r="129" ht="15.75" customHeight="1">
      <c r="A129" s="21"/>
      <c r="B129" s="70"/>
      <c r="C129" s="61"/>
      <c r="D129" s="102"/>
      <c r="E129" s="103"/>
      <c r="F129" s="112"/>
      <c r="G129" s="173"/>
      <c r="H129" s="96">
        <f t="shared" ref="H129:H131" si="35">F129*0.5+F129</f>
        <v>0</v>
      </c>
      <c r="I129" s="97">
        <f t="shared" ref="I129:I131" si="36">F129*0.3+F129</f>
        <v>0</v>
      </c>
      <c r="J129" s="98">
        <f t="shared" ref="J129:J131" si="37">F129*0.3+F129</f>
        <v>0</v>
      </c>
      <c r="K129" s="99">
        <f t="shared" ref="K129:K131" si="38">F129*0.2+F129</f>
        <v>0</v>
      </c>
      <c r="L129" s="98">
        <f t="shared" ref="L129:L131" si="39">F129*0.15+F129</f>
        <v>0</v>
      </c>
      <c r="M129" s="99">
        <f t="shared" ref="M129:M131" si="40">F129*0.1+F129</f>
        <v>0</v>
      </c>
      <c r="N129" s="32"/>
      <c r="O129" s="33"/>
      <c r="P129" s="109"/>
      <c r="Q129" s="109"/>
    </row>
    <row r="130" ht="15.75" customHeight="1">
      <c r="A130" s="21"/>
      <c r="B130" s="70"/>
      <c r="C130" s="113"/>
      <c r="D130" s="102"/>
      <c r="E130" s="103"/>
      <c r="F130" s="112"/>
      <c r="G130" s="173"/>
      <c r="H130" s="96">
        <f t="shared" si="35"/>
        <v>0</v>
      </c>
      <c r="I130" s="97">
        <f t="shared" si="36"/>
        <v>0</v>
      </c>
      <c r="J130" s="98">
        <f t="shared" si="37"/>
        <v>0</v>
      </c>
      <c r="K130" s="99">
        <f t="shared" si="38"/>
        <v>0</v>
      </c>
      <c r="L130" s="98">
        <f t="shared" si="39"/>
        <v>0</v>
      </c>
      <c r="M130" s="99">
        <f t="shared" si="40"/>
        <v>0</v>
      </c>
      <c r="N130" s="32"/>
      <c r="O130" s="33"/>
      <c r="P130" s="109"/>
      <c r="Q130" s="109"/>
    </row>
    <row r="131" ht="15.75" customHeight="1">
      <c r="A131" s="21"/>
      <c r="B131" s="70"/>
      <c r="C131" s="113"/>
      <c r="D131" s="102"/>
      <c r="E131" s="103"/>
      <c r="F131" s="112"/>
      <c r="G131" s="173"/>
      <c r="H131" s="96">
        <f t="shared" si="35"/>
        <v>0</v>
      </c>
      <c r="I131" s="97">
        <f t="shared" si="36"/>
        <v>0</v>
      </c>
      <c r="J131" s="98">
        <f t="shared" si="37"/>
        <v>0</v>
      </c>
      <c r="K131" s="99">
        <f t="shared" si="38"/>
        <v>0</v>
      </c>
      <c r="L131" s="98">
        <f t="shared" si="39"/>
        <v>0</v>
      </c>
      <c r="M131" s="99">
        <f t="shared" si="40"/>
        <v>0</v>
      </c>
      <c r="N131" s="32"/>
      <c r="O131" s="33"/>
      <c r="P131" s="109"/>
      <c r="Q131" s="109"/>
    </row>
    <row r="132" ht="15.75" customHeight="1">
      <c r="A132" s="21"/>
      <c r="B132" s="70"/>
      <c r="C132" s="114"/>
      <c r="D132" s="102"/>
      <c r="E132" s="103"/>
      <c r="F132" s="112"/>
      <c r="G132" s="173"/>
      <c r="H132" s="96">
        <f>F133*0.5+F133</f>
        <v>0</v>
      </c>
      <c r="I132" s="97">
        <f>F133*0.3+F133</f>
        <v>0</v>
      </c>
      <c r="J132" s="98">
        <f>F133*0.3+F133</f>
        <v>0</v>
      </c>
      <c r="K132" s="99">
        <f>F133*0.2+F133</f>
        <v>0</v>
      </c>
      <c r="L132" s="98">
        <f>F133*0.15+F133</f>
        <v>0</v>
      </c>
      <c r="M132" s="99">
        <f>F133*0.1+F133</f>
        <v>0</v>
      </c>
      <c r="N132" s="32"/>
      <c r="O132" s="33"/>
      <c r="P132" s="109"/>
      <c r="Q132" s="109"/>
    </row>
    <row r="133" ht="15.75" customHeight="1">
      <c r="A133" s="21"/>
      <c r="B133" s="70"/>
      <c r="C133" s="113"/>
      <c r="D133" s="102"/>
      <c r="E133" s="103"/>
      <c r="F133" s="112"/>
      <c r="G133" s="173"/>
      <c r="H133" s="96">
        <f t="shared" ref="H133:H135" si="41">F133*0.5+F133</f>
        <v>0</v>
      </c>
      <c r="I133" s="97">
        <f t="shared" ref="I133:I135" si="42">F133*0.3+F133</f>
        <v>0</v>
      </c>
      <c r="J133" s="98">
        <f t="shared" ref="J133:J135" si="43">F133*0.3+F133</f>
        <v>0</v>
      </c>
      <c r="K133" s="99">
        <f t="shared" ref="K133:K135" si="44">F133*0.2+F133</f>
        <v>0</v>
      </c>
      <c r="L133" s="98">
        <f t="shared" ref="L133:L135" si="45">F133*0.15+F133</f>
        <v>0</v>
      </c>
      <c r="M133" s="99">
        <f t="shared" ref="M133:M135" si="46">F133*0.1+F133</f>
        <v>0</v>
      </c>
      <c r="N133" s="32"/>
      <c r="O133" s="33"/>
      <c r="P133" s="109"/>
      <c r="Q133" s="109"/>
    </row>
    <row r="134" ht="15.75" customHeight="1">
      <c r="A134" s="21"/>
      <c r="B134" s="70"/>
      <c r="C134" s="113"/>
      <c r="D134" s="102"/>
      <c r="E134" s="103"/>
      <c r="F134" s="112"/>
      <c r="G134" s="173"/>
      <c r="H134" s="96">
        <f t="shared" si="41"/>
        <v>0</v>
      </c>
      <c r="I134" s="97">
        <f t="shared" si="42"/>
        <v>0</v>
      </c>
      <c r="J134" s="98">
        <f t="shared" si="43"/>
        <v>0</v>
      </c>
      <c r="K134" s="99">
        <f t="shared" si="44"/>
        <v>0</v>
      </c>
      <c r="L134" s="98">
        <f t="shared" si="45"/>
        <v>0</v>
      </c>
      <c r="M134" s="99">
        <f t="shared" si="46"/>
        <v>0</v>
      </c>
      <c r="N134" s="32"/>
      <c r="O134" s="33"/>
      <c r="P134" s="109"/>
      <c r="Q134" s="109"/>
    </row>
    <row r="135" ht="15.75" customHeight="1">
      <c r="A135" s="21"/>
      <c r="B135" s="70"/>
      <c r="C135" s="113"/>
      <c r="D135" s="102"/>
      <c r="E135" s="103"/>
      <c r="F135" s="112"/>
      <c r="G135" s="173"/>
      <c r="H135" s="96">
        <f t="shared" si="41"/>
        <v>0</v>
      </c>
      <c r="I135" s="97">
        <f t="shared" si="42"/>
        <v>0</v>
      </c>
      <c r="J135" s="98">
        <f t="shared" si="43"/>
        <v>0</v>
      </c>
      <c r="K135" s="99">
        <f t="shared" si="44"/>
        <v>0</v>
      </c>
      <c r="L135" s="98">
        <f t="shared" si="45"/>
        <v>0</v>
      </c>
      <c r="M135" s="99">
        <f t="shared" si="46"/>
        <v>0</v>
      </c>
      <c r="N135" s="32"/>
      <c r="O135" s="33"/>
      <c r="P135" s="109"/>
      <c r="Q135" s="109"/>
    </row>
    <row r="136" ht="15.75" customHeight="1">
      <c r="A136" s="21"/>
      <c r="B136" s="70"/>
      <c r="C136" s="113"/>
      <c r="D136" s="102"/>
      <c r="E136" s="103"/>
      <c r="F136" s="112"/>
      <c r="G136" s="173"/>
      <c r="H136" s="96">
        <f>F137*0.5+F137</f>
        <v>0</v>
      </c>
      <c r="I136" s="97">
        <f>F137*0.3+F137</f>
        <v>0</v>
      </c>
      <c r="J136" s="98">
        <f>F137*0.3+F137</f>
        <v>0</v>
      </c>
      <c r="K136" s="99">
        <f>F137*0.2+F137</f>
        <v>0</v>
      </c>
      <c r="L136" s="98">
        <f>F137*0.15+F137</f>
        <v>0</v>
      </c>
      <c r="M136" s="99">
        <f>F137*0.1+F137</f>
        <v>0</v>
      </c>
      <c r="N136" s="32"/>
      <c r="O136" s="33"/>
      <c r="P136" s="109"/>
      <c r="Q136" s="109"/>
    </row>
    <row r="137" ht="15.75" customHeight="1">
      <c r="A137" s="21"/>
      <c r="B137" s="70"/>
      <c r="C137" s="113"/>
      <c r="D137" s="102"/>
      <c r="E137" s="103"/>
      <c r="F137" s="112"/>
      <c r="G137" s="173"/>
      <c r="H137" s="96">
        <f t="shared" ref="H137:H139" si="47">F137*0.5+F137</f>
        <v>0</v>
      </c>
      <c r="I137" s="97">
        <f t="shared" ref="I137:I139" si="48">F137*0.3+F137</f>
        <v>0</v>
      </c>
      <c r="J137" s="98">
        <f t="shared" ref="J137:J139" si="49">F137*0.3+F137</f>
        <v>0</v>
      </c>
      <c r="K137" s="99">
        <f t="shared" ref="K137:K139" si="50">F137*0.2+F137</f>
        <v>0</v>
      </c>
      <c r="L137" s="98">
        <f t="shared" ref="L137:L139" si="51">F137*0.15+F137</f>
        <v>0</v>
      </c>
      <c r="M137" s="99">
        <f t="shared" ref="M137:M139" si="52">F137*0.1+F137</f>
        <v>0</v>
      </c>
      <c r="N137" s="32"/>
      <c r="O137" s="33"/>
      <c r="P137" s="109"/>
      <c r="Q137" s="109"/>
    </row>
    <row r="138" ht="15.75" customHeight="1">
      <c r="A138" s="21"/>
      <c r="B138" s="70"/>
      <c r="C138" s="113"/>
      <c r="D138" s="102"/>
      <c r="E138" s="103"/>
      <c r="F138" s="112"/>
      <c r="G138" s="173"/>
      <c r="H138" s="96">
        <f t="shared" si="47"/>
        <v>0</v>
      </c>
      <c r="I138" s="97">
        <f t="shared" si="48"/>
        <v>0</v>
      </c>
      <c r="J138" s="98">
        <f t="shared" si="49"/>
        <v>0</v>
      </c>
      <c r="K138" s="99">
        <f t="shared" si="50"/>
        <v>0</v>
      </c>
      <c r="L138" s="98">
        <f t="shared" si="51"/>
        <v>0</v>
      </c>
      <c r="M138" s="99">
        <f t="shared" si="52"/>
        <v>0</v>
      </c>
      <c r="N138" s="32"/>
      <c r="O138" s="33"/>
      <c r="P138" s="109"/>
      <c r="Q138" s="109"/>
    </row>
    <row r="139" ht="15.75" customHeight="1">
      <c r="A139" s="21"/>
      <c r="B139" s="70"/>
      <c r="C139" s="113"/>
      <c r="D139" s="102"/>
      <c r="E139" s="103"/>
      <c r="F139" s="112"/>
      <c r="G139" s="173"/>
      <c r="H139" s="96">
        <f t="shared" si="47"/>
        <v>0</v>
      </c>
      <c r="I139" s="97">
        <f t="shared" si="48"/>
        <v>0</v>
      </c>
      <c r="J139" s="98">
        <f t="shared" si="49"/>
        <v>0</v>
      </c>
      <c r="K139" s="99">
        <f t="shared" si="50"/>
        <v>0</v>
      </c>
      <c r="L139" s="98">
        <f t="shared" si="51"/>
        <v>0</v>
      </c>
      <c r="M139" s="99">
        <f t="shared" si="52"/>
        <v>0</v>
      </c>
      <c r="N139" s="32"/>
      <c r="O139" s="33"/>
      <c r="P139" s="109"/>
      <c r="Q139" s="109"/>
    </row>
    <row r="140" ht="15.75" customHeight="1">
      <c r="A140" s="21"/>
      <c r="B140" s="70"/>
      <c r="C140" s="113"/>
      <c r="D140" s="102"/>
      <c r="E140" s="103"/>
      <c r="F140" s="112"/>
      <c r="G140" s="173"/>
      <c r="H140" s="96">
        <f>F141*0.5+F141</f>
        <v>0</v>
      </c>
      <c r="I140" s="97">
        <f>F141*0.3+F141</f>
        <v>0</v>
      </c>
      <c r="J140" s="98">
        <f>F141*0.3+F141</f>
        <v>0</v>
      </c>
      <c r="K140" s="99">
        <f>F141*0.2+F141</f>
        <v>0</v>
      </c>
      <c r="L140" s="98">
        <f>F141*0.15+F141</f>
        <v>0</v>
      </c>
      <c r="M140" s="99">
        <f>F141*0.1+F141</f>
        <v>0</v>
      </c>
      <c r="N140" s="32"/>
      <c r="O140" s="33"/>
      <c r="P140" s="109"/>
      <c r="Q140" s="109"/>
    </row>
    <row r="141" ht="15.75" customHeight="1">
      <c r="A141" s="21"/>
      <c r="B141" s="70"/>
      <c r="C141" s="61"/>
      <c r="D141" s="111"/>
      <c r="E141" s="103"/>
      <c r="F141" s="112"/>
      <c r="G141" s="173"/>
      <c r="H141" s="96">
        <f t="shared" ref="H141:H143" si="53">F141*0.5+F141</f>
        <v>0</v>
      </c>
      <c r="I141" s="97">
        <f t="shared" ref="I141:I143" si="54">F141*0.3+F141</f>
        <v>0</v>
      </c>
      <c r="J141" s="98">
        <f t="shared" ref="J141:J143" si="55">F141*0.3+F141</f>
        <v>0</v>
      </c>
      <c r="K141" s="99">
        <f t="shared" ref="K141:K143" si="56">F141*0.2+F141</f>
        <v>0</v>
      </c>
      <c r="L141" s="98">
        <f t="shared" ref="L141:L143" si="57">F141*0.15+F141</f>
        <v>0</v>
      </c>
      <c r="M141" s="99">
        <f t="shared" ref="M141:M143" si="58">F141*0.1+F141</f>
        <v>0</v>
      </c>
      <c r="N141" s="32"/>
      <c r="O141" s="33"/>
      <c r="P141" s="109"/>
      <c r="Q141" s="109"/>
    </row>
    <row r="142" ht="15.75" customHeight="1">
      <c r="A142" s="21"/>
      <c r="B142" s="70"/>
      <c r="C142" s="61"/>
      <c r="D142" s="111"/>
      <c r="E142" s="103"/>
      <c r="F142" s="112"/>
      <c r="G142" s="173"/>
      <c r="H142" s="96">
        <f t="shared" si="53"/>
        <v>0</v>
      </c>
      <c r="I142" s="97">
        <f t="shared" si="54"/>
        <v>0</v>
      </c>
      <c r="J142" s="98">
        <f t="shared" si="55"/>
        <v>0</v>
      </c>
      <c r="K142" s="99">
        <f t="shared" si="56"/>
        <v>0</v>
      </c>
      <c r="L142" s="98">
        <f t="shared" si="57"/>
        <v>0</v>
      </c>
      <c r="M142" s="99">
        <f t="shared" si="58"/>
        <v>0</v>
      </c>
      <c r="N142" s="32"/>
      <c r="O142" s="33"/>
      <c r="P142" s="109"/>
      <c r="Q142" s="109"/>
    </row>
    <row r="143" ht="15.75" customHeight="1">
      <c r="A143" s="21"/>
      <c r="B143" s="70"/>
      <c r="C143" s="113"/>
      <c r="D143" s="102"/>
      <c r="E143" s="103"/>
      <c r="F143" s="112"/>
      <c r="G143" s="173"/>
      <c r="H143" s="96">
        <f t="shared" si="53"/>
        <v>0</v>
      </c>
      <c r="I143" s="97">
        <f t="shared" si="54"/>
        <v>0</v>
      </c>
      <c r="J143" s="98">
        <f t="shared" si="55"/>
        <v>0</v>
      </c>
      <c r="K143" s="99">
        <f t="shared" si="56"/>
        <v>0</v>
      </c>
      <c r="L143" s="98">
        <f t="shared" si="57"/>
        <v>0</v>
      </c>
      <c r="M143" s="99">
        <f t="shared" si="58"/>
        <v>0</v>
      </c>
      <c r="N143" s="32"/>
      <c r="O143" s="33"/>
      <c r="P143" s="109"/>
      <c r="Q143" s="109"/>
    </row>
    <row r="144" ht="15.75" customHeight="1">
      <c r="A144" s="21"/>
      <c r="B144" s="70"/>
      <c r="C144" s="113"/>
      <c r="D144" s="102"/>
      <c r="E144" s="103"/>
      <c r="F144" s="112"/>
      <c r="G144" s="173"/>
      <c r="H144" s="96">
        <f>F145*0.5+F145</f>
        <v>0</v>
      </c>
      <c r="I144" s="97">
        <f>F145*0.3+F145</f>
        <v>0</v>
      </c>
      <c r="J144" s="98">
        <f>F145*0.3+F145</f>
        <v>0</v>
      </c>
      <c r="K144" s="99">
        <f>F145*0.2+F145</f>
        <v>0</v>
      </c>
      <c r="L144" s="98">
        <f>F145*0.15+F145</f>
        <v>0</v>
      </c>
      <c r="M144" s="99">
        <f>F145*0.1+F145</f>
        <v>0</v>
      </c>
      <c r="N144" s="32"/>
      <c r="O144" s="33"/>
      <c r="P144" s="109"/>
      <c r="Q144" s="109"/>
    </row>
    <row r="145" ht="15.75" customHeight="1">
      <c r="A145" s="21"/>
      <c r="B145" s="70"/>
      <c r="C145" s="113"/>
      <c r="D145" s="102"/>
      <c r="E145" s="103"/>
      <c r="F145" s="112"/>
      <c r="G145" s="173"/>
      <c r="H145" s="96">
        <f t="shared" ref="H145:H147" si="59">F145*0.5+F145</f>
        <v>0</v>
      </c>
      <c r="I145" s="97">
        <f t="shared" ref="I145:I147" si="60">F145*0.3+F145</f>
        <v>0</v>
      </c>
      <c r="J145" s="98">
        <f t="shared" ref="J145:J147" si="61">F145*0.3+F145</f>
        <v>0</v>
      </c>
      <c r="K145" s="99">
        <f t="shared" ref="K145:K147" si="62">F145*0.2+F145</f>
        <v>0</v>
      </c>
      <c r="L145" s="98">
        <f t="shared" ref="L145:L147" si="63">F145*0.15+F145</f>
        <v>0</v>
      </c>
      <c r="M145" s="99">
        <f t="shared" ref="M145:M147" si="64">F145*0.1+F145</f>
        <v>0</v>
      </c>
      <c r="N145" s="32"/>
      <c r="O145" s="33"/>
      <c r="P145" s="109"/>
      <c r="Q145" s="109"/>
    </row>
    <row r="146" ht="15.75" customHeight="1">
      <c r="A146" s="21"/>
      <c r="B146" s="70"/>
      <c r="C146" s="113"/>
      <c r="D146" s="102"/>
      <c r="E146" s="103"/>
      <c r="F146" s="112"/>
      <c r="G146" s="173"/>
      <c r="H146" s="96">
        <f t="shared" si="59"/>
        <v>0</v>
      </c>
      <c r="I146" s="97">
        <f t="shared" si="60"/>
        <v>0</v>
      </c>
      <c r="J146" s="98">
        <f t="shared" si="61"/>
        <v>0</v>
      </c>
      <c r="K146" s="99">
        <f t="shared" si="62"/>
        <v>0</v>
      </c>
      <c r="L146" s="98">
        <f t="shared" si="63"/>
        <v>0</v>
      </c>
      <c r="M146" s="99">
        <f t="shared" si="64"/>
        <v>0</v>
      </c>
      <c r="N146" s="32"/>
      <c r="O146" s="33"/>
      <c r="P146" s="109"/>
      <c r="Q146" s="109"/>
    </row>
    <row r="147" ht="15.75" customHeight="1">
      <c r="A147" s="21"/>
      <c r="B147" s="70"/>
      <c r="C147" s="113"/>
      <c r="D147" s="102"/>
      <c r="E147" s="103"/>
      <c r="F147" s="112"/>
      <c r="G147" s="173"/>
      <c r="H147" s="96">
        <f t="shared" si="59"/>
        <v>0</v>
      </c>
      <c r="I147" s="97">
        <f t="shared" si="60"/>
        <v>0</v>
      </c>
      <c r="J147" s="98">
        <f t="shared" si="61"/>
        <v>0</v>
      </c>
      <c r="K147" s="99">
        <f t="shared" si="62"/>
        <v>0</v>
      </c>
      <c r="L147" s="98">
        <f t="shared" si="63"/>
        <v>0</v>
      </c>
      <c r="M147" s="99">
        <f t="shared" si="64"/>
        <v>0</v>
      </c>
      <c r="N147" s="32"/>
      <c r="O147" s="33"/>
      <c r="P147" s="109"/>
      <c r="Q147" s="109"/>
    </row>
    <row r="148" ht="15.75" customHeight="1">
      <c r="A148" s="21"/>
      <c r="B148" s="70"/>
      <c r="C148" s="61"/>
      <c r="D148" s="102"/>
      <c r="E148" s="103"/>
      <c r="F148" s="115"/>
      <c r="G148" s="173"/>
      <c r="H148" s="96">
        <f>F149*0.5+F149</f>
        <v>0</v>
      </c>
      <c r="I148" s="97">
        <f>F149*0.3+F149</f>
        <v>0</v>
      </c>
      <c r="J148" s="98">
        <f>F149*0.3+F149</f>
        <v>0</v>
      </c>
      <c r="K148" s="99">
        <f>F149*0.2+F149</f>
        <v>0</v>
      </c>
      <c r="L148" s="98">
        <f>F149*0.15+F149</f>
        <v>0</v>
      </c>
      <c r="M148" s="99">
        <f>F149*0.1+F149</f>
        <v>0</v>
      </c>
      <c r="N148" s="32"/>
      <c r="O148" s="33"/>
      <c r="P148" s="109"/>
      <c r="Q148" s="109"/>
    </row>
    <row r="149" ht="15.75" customHeight="1">
      <c r="A149" s="21"/>
      <c r="B149" s="70"/>
      <c r="C149" s="113"/>
      <c r="D149" s="116"/>
      <c r="E149" s="103"/>
      <c r="F149" s="112"/>
      <c r="G149" s="173"/>
      <c r="H149" s="96">
        <f t="shared" ref="H149:H151" si="65">F149*0.5+F149</f>
        <v>0</v>
      </c>
      <c r="I149" s="97">
        <f t="shared" ref="I149:I151" si="66">F149*0.3+F149</f>
        <v>0</v>
      </c>
      <c r="J149" s="98">
        <f t="shared" ref="J149:J151" si="67">F149*0.3+F149</f>
        <v>0</v>
      </c>
      <c r="K149" s="99">
        <f t="shared" ref="K149:K151" si="68">F149*0.2+F149</f>
        <v>0</v>
      </c>
      <c r="L149" s="98">
        <f t="shared" ref="L149:L151" si="69">F149*0.15+F149</f>
        <v>0</v>
      </c>
      <c r="M149" s="99">
        <f t="shared" ref="M149:M151" si="70">F149*0.1+F149</f>
        <v>0</v>
      </c>
      <c r="N149" s="32"/>
      <c r="O149" s="33"/>
      <c r="P149" s="109"/>
      <c r="Q149" s="109"/>
    </row>
    <row r="150" ht="15.75" customHeight="1">
      <c r="A150" s="21"/>
      <c r="B150" s="70"/>
      <c r="C150" s="113"/>
      <c r="D150" s="116"/>
      <c r="E150" s="103"/>
      <c r="F150" s="112"/>
      <c r="G150" s="173"/>
      <c r="H150" s="96">
        <f t="shared" si="65"/>
        <v>0</v>
      </c>
      <c r="I150" s="97">
        <f t="shared" si="66"/>
        <v>0</v>
      </c>
      <c r="J150" s="98">
        <f t="shared" si="67"/>
        <v>0</v>
      </c>
      <c r="K150" s="99">
        <f t="shared" si="68"/>
        <v>0</v>
      </c>
      <c r="L150" s="98">
        <f t="shared" si="69"/>
        <v>0</v>
      </c>
      <c r="M150" s="99">
        <f t="shared" si="70"/>
        <v>0</v>
      </c>
      <c r="N150" s="32"/>
      <c r="O150" s="33"/>
      <c r="P150" s="109"/>
      <c r="Q150" s="109"/>
    </row>
    <row r="151" ht="15.75" customHeight="1">
      <c r="A151" s="21"/>
      <c r="B151" s="70"/>
      <c r="C151" s="113"/>
      <c r="D151" s="111"/>
      <c r="E151" s="117"/>
      <c r="F151" s="112"/>
      <c r="G151" s="173"/>
      <c r="H151" s="96">
        <f t="shared" si="65"/>
        <v>0</v>
      </c>
      <c r="I151" s="97">
        <f t="shared" si="66"/>
        <v>0</v>
      </c>
      <c r="J151" s="98">
        <f t="shared" si="67"/>
        <v>0</v>
      </c>
      <c r="K151" s="99">
        <f t="shared" si="68"/>
        <v>0</v>
      </c>
      <c r="L151" s="98">
        <f t="shared" si="69"/>
        <v>0</v>
      </c>
      <c r="M151" s="99">
        <f t="shared" si="70"/>
        <v>0</v>
      </c>
      <c r="N151" s="32"/>
      <c r="O151" s="33"/>
      <c r="P151" s="109"/>
      <c r="Q151" s="109"/>
    </row>
    <row r="152" ht="15.75" customHeight="1">
      <c r="A152" s="21"/>
      <c r="B152" s="70"/>
      <c r="C152" s="61"/>
      <c r="D152" s="111"/>
      <c r="E152" s="103"/>
      <c r="F152" s="112"/>
      <c r="G152" s="173"/>
      <c r="H152" s="96">
        <f>F153*0.5+F153</f>
        <v>0</v>
      </c>
      <c r="I152" s="97">
        <f>F153*0.3+F153</f>
        <v>0</v>
      </c>
      <c r="J152" s="98">
        <f>F153*0.3+F153</f>
        <v>0</v>
      </c>
      <c r="K152" s="99">
        <f>F153*0.2+F153</f>
        <v>0</v>
      </c>
      <c r="L152" s="98">
        <f>F153*0.15+F153</f>
        <v>0</v>
      </c>
      <c r="M152" s="99">
        <f>F153*0.1+F153</f>
        <v>0</v>
      </c>
      <c r="N152" s="32"/>
      <c r="O152" s="33"/>
      <c r="P152" s="109"/>
      <c r="Q152" s="109"/>
    </row>
    <row r="153" ht="15.75" customHeight="1">
      <c r="A153" s="21"/>
      <c r="B153" s="70"/>
      <c r="C153" s="61"/>
      <c r="D153" s="111"/>
      <c r="E153" s="103"/>
      <c r="F153" s="112"/>
      <c r="G153" s="173"/>
      <c r="H153" s="96">
        <f t="shared" ref="H153:H155" si="71">F153*0.5+F153</f>
        <v>0</v>
      </c>
      <c r="I153" s="97">
        <f t="shared" ref="I153:I155" si="72">F153*0.3+F153</f>
        <v>0</v>
      </c>
      <c r="J153" s="98">
        <f t="shared" ref="J153:J155" si="73">F153*0.3+F153</f>
        <v>0</v>
      </c>
      <c r="K153" s="99">
        <f t="shared" ref="K153:K155" si="74">F153*0.2+F153</f>
        <v>0</v>
      </c>
      <c r="L153" s="98">
        <f t="shared" ref="L153:L155" si="75">F153*0.15+F153</f>
        <v>0</v>
      </c>
      <c r="M153" s="99">
        <f t="shared" ref="M153:M155" si="76">F153*0.1+F153</f>
        <v>0</v>
      </c>
      <c r="N153" s="32"/>
      <c r="O153" s="33"/>
      <c r="P153" s="109"/>
      <c r="Q153" s="109"/>
    </row>
    <row r="154" ht="15.75" customHeight="1">
      <c r="A154" s="21"/>
      <c r="B154" s="70"/>
      <c r="C154" s="118"/>
      <c r="D154" s="119"/>
      <c r="E154" s="103"/>
      <c r="F154" s="120"/>
      <c r="G154" s="173"/>
      <c r="H154" s="96">
        <f t="shared" si="71"/>
        <v>0</v>
      </c>
      <c r="I154" s="97">
        <f t="shared" si="72"/>
        <v>0</v>
      </c>
      <c r="J154" s="98">
        <f t="shared" si="73"/>
        <v>0</v>
      </c>
      <c r="K154" s="99">
        <f t="shared" si="74"/>
        <v>0</v>
      </c>
      <c r="L154" s="98">
        <f t="shared" si="75"/>
        <v>0</v>
      </c>
      <c r="M154" s="99">
        <f t="shared" si="76"/>
        <v>0</v>
      </c>
      <c r="N154" s="32"/>
      <c r="O154" s="33"/>
    </row>
    <row r="155" ht="15.75" customHeight="1">
      <c r="A155" s="21"/>
      <c r="B155" s="70"/>
      <c r="C155" s="118"/>
      <c r="D155" s="119"/>
      <c r="E155" s="103"/>
      <c r="F155" s="120"/>
      <c r="G155" s="173"/>
      <c r="H155" s="96">
        <f t="shared" si="71"/>
        <v>0</v>
      </c>
      <c r="I155" s="97">
        <f t="shared" si="72"/>
        <v>0</v>
      </c>
      <c r="J155" s="98">
        <f t="shared" si="73"/>
        <v>0</v>
      </c>
      <c r="K155" s="99">
        <f t="shared" si="74"/>
        <v>0</v>
      </c>
      <c r="L155" s="98">
        <f t="shared" si="75"/>
        <v>0</v>
      </c>
      <c r="M155" s="99">
        <f t="shared" si="76"/>
        <v>0</v>
      </c>
      <c r="N155" s="32"/>
      <c r="O155" s="33"/>
    </row>
    <row r="156" ht="15.75" customHeight="1">
      <c r="A156" s="21"/>
      <c r="B156" s="70"/>
      <c r="C156" s="118"/>
      <c r="D156" s="119"/>
      <c r="E156" s="103"/>
      <c r="F156" s="120"/>
      <c r="G156" s="173"/>
      <c r="H156" s="96">
        <f>F157*0.5+F157</f>
        <v>0</v>
      </c>
      <c r="I156" s="97">
        <f>F157*0.3+F157</f>
        <v>0</v>
      </c>
      <c r="J156" s="98">
        <f>F157*0.3+F157</f>
        <v>0</v>
      </c>
      <c r="K156" s="99">
        <f>F157*0.2+F157</f>
        <v>0</v>
      </c>
      <c r="L156" s="98">
        <f>F157*0.15+F157</f>
        <v>0</v>
      </c>
      <c r="M156" s="99">
        <f>F157*0.1+F157</f>
        <v>0</v>
      </c>
      <c r="N156" s="32"/>
      <c r="O156" s="33"/>
    </row>
    <row r="157" ht="15.75" customHeight="1">
      <c r="A157" s="21"/>
      <c r="B157" s="70"/>
      <c r="C157" s="118"/>
      <c r="D157" s="119"/>
      <c r="E157" s="103"/>
      <c r="F157" s="120"/>
      <c r="G157" s="173"/>
      <c r="H157" s="96">
        <f t="shared" ref="H157:H159" si="77">F157*0.5+F157</f>
        <v>0</v>
      </c>
      <c r="I157" s="97">
        <f t="shared" ref="I157:I159" si="78">F157*0.3+F157</f>
        <v>0</v>
      </c>
      <c r="J157" s="98">
        <f t="shared" ref="J157:J159" si="79">F157*0.3+F157</f>
        <v>0</v>
      </c>
      <c r="K157" s="99">
        <f t="shared" ref="K157:K159" si="80">F157*0.2+F157</f>
        <v>0</v>
      </c>
      <c r="L157" s="98">
        <f t="shared" ref="L157:L159" si="81">F157*0.15+F157</f>
        <v>0</v>
      </c>
      <c r="M157" s="99">
        <f t="shared" ref="M157:M159" si="82">F157*0.1+F157</f>
        <v>0</v>
      </c>
      <c r="N157" s="32"/>
      <c r="O157" s="33"/>
    </row>
    <row r="158" ht="15.75" customHeight="1">
      <c r="A158" s="21"/>
      <c r="B158" s="70"/>
      <c r="C158" s="118"/>
      <c r="D158" s="119"/>
      <c r="E158" s="103"/>
      <c r="F158" s="120"/>
      <c r="G158" s="173"/>
      <c r="H158" s="96">
        <f t="shared" si="77"/>
        <v>0</v>
      </c>
      <c r="I158" s="97">
        <f t="shared" si="78"/>
        <v>0</v>
      </c>
      <c r="J158" s="98">
        <f t="shared" si="79"/>
        <v>0</v>
      </c>
      <c r="K158" s="99">
        <f t="shared" si="80"/>
        <v>0</v>
      </c>
      <c r="L158" s="98">
        <f t="shared" si="81"/>
        <v>0</v>
      </c>
      <c r="M158" s="99">
        <f t="shared" si="82"/>
        <v>0</v>
      </c>
      <c r="N158" s="32"/>
      <c r="O158" s="33"/>
    </row>
    <row r="159" ht="15.75" customHeight="1">
      <c r="A159" s="21"/>
      <c r="B159" s="70"/>
      <c r="C159" s="118"/>
      <c r="D159" s="119"/>
      <c r="E159" s="103"/>
      <c r="F159" s="120"/>
      <c r="G159" s="173"/>
      <c r="H159" s="96">
        <f t="shared" si="77"/>
        <v>0</v>
      </c>
      <c r="I159" s="97">
        <f t="shared" si="78"/>
        <v>0</v>
      </c>
      <c r="J159" s="98">
        <f t="shared" si="79"/>
        <v>0</v>
      </c>
      <c r="K159" s="99">
        <f t="shared" si="80"/>
        <v>0</v>
      </c>
      <c r="L159" s="98">
        <f t="shared" si="81"/>
        <v>0</v>
      </c>
      <c r="M159" s="99">
        <f t="shared" si="82"/>
        <v>0</v>
      </c>
      <c r="N159" s="32"/>
      <c r="O159" s="33"/>
    </row>
    <row r="160" ht="15.75" customHeight="1">
      <c r="A160" s="21"/>
      <c r="B160" s="70"/>
      <c r="C160" s="118"/>
      <c r="D160" s="119"/>
      <c r="E160" s="103"/>
      <c r="F160" s="120"/>
      <c r="G160" s="173"/>
      <c r="H160" s="96">
        <f>F161*0.5+F161</f>
        <v>0</v>
      </c>
      <c r="I160" s="97">
        <f>F161*0.3+F161</f>
        <v>0</v>
      </c>
      <c r="J160" s="98">
        <f>F161*0.3+F161</f>
        <v>0</v>
      </c>
      <c r="K160" s="99">
        <f>F161*0.2+F161</f>
        <v>0</v>
      </c>
      <c r="L160" s="98">
        <f>F161*0.15+F161</f>
        <v>0</v>
      </c>
      <c r="M160" s="99">
        <f>F161*0.1+F161</f>
        <v>0</v>
      </c>
      <c r="N160" s="32"/>
      <c r="O160" s="33"/>
    </row>
    <row r="161" ht="15.75" customHeight="1">
      <c r="A161" s="21"/>
      <c r="B161" s="70"/>
      <c r="C161" s="118"/>
      <c r="D161" s="119"/>
      <c r="E161" s="103"/>
      <c r="F161" s="120"/>
      <c r="G161" s="173"/>
      <c r="H161" s="96">
        <f t="shared" ref="H161:H163" si="83">F161*0.5+F161</f>
        <v>0</v>
      </c>
      <c r="I161" s="97">
        <f t="shared" ref="I161:I163" si="84">F161*0.3+F161</f>
        <v>0</v>
      </c>
      <c r="J161" s="98">
        <f t="shared" ref="J161:J163" si="85">F161*0.3+F161</f>
        <v>0</v>
      </c>
      <c r="K161" s="99">
        <f t="shared" ref="K161:K163" si="86">F161*0.2+F161</f>
        <v>0</v>
      </c>
      <c r="L161" s="98">
        <f t="shared" ref="L161:L163" si="87">F161*0.15+F161</f>
        <v>0</v>
      </c>
      <c r="M161" s="99">
        <f t="shared" ref="M161:M163" si="88">F161*0.1+F161</f>
        <v>0</v>
      </c>
      <c r="N161" s="32"/>
      <c r="O161" s="33"/>
    </row>
    <row r="162" ht="15.75" customHeight="1">
      <c r="A162" s="21"/>
      <c r="B162" s="70"/>
      <c r="C162" s="118"/>
      <c r="D162" s="119"/>
      <c r="E162" s="103"/>
      <c r="F162" s="120"/>
      <c r="G162" s="173"/>
      <c r="H162" s="96">
        <f t="shared" si="83"/>
        <v>0</v>
      </c>
      <c r="I162" s="97">
        <f t="shared" si="84"/>
        <v>0</v>
      </c>
      <c r="J162" s="98">
        <f t="shared" si="85"/>
        <v>0</v>
      </c>
      <c r="K162" s="99">
        <f t="shared" si="86"/>
        <v>0</v>
      </c>
      <c r="L162" s="98">
        <f t="shared" si="87"/>
        <v>0</v>
      </c>
      <c r="M162" s="99">
        <f t="shared" si="88"/>
        <v>0</v>
      </c>
      <c r="N162" s="32"/>
      <c r="O162" s="33"/>
    </row>
    <row r="163" ht="15.75" customHeight="1">
      <c r="A163" s="21"/>
      <c r="B163" s="70"/>
      <c r="C163" s="118"/>
      <c r="D163" s="119"/>
      <c r="E163" s="103"/>
      <c r="F163" s="120"/>
      <c r="G163" s="173"/>
      <c r="H163" s="96">
        <f t="shared" si="83"/>
        <v>0</v>
      </c>
      <c r="I163" s="97">
        <f t="shared" si="84"/>
        <v>0</v>
      </c>
      <c r="J163" s="98">
        <f t="shared" si="85"/>
        <v>0</v>
      </c>
      <c r="K163" s="99">
        <f t="shared" si="86"/>
        <v>0</v>
      </c>
      <c r="L163" s="98">
        <f t="shared" si="87"/>
        <v>0</v>
      </c>
      <c r="M163" s="99">
        <f t="shared" si="88"/>
        <v>0</v>
      </c>
      <c r="N163" s="32"/>
      <c r="O163" s="33"/>
    </row>
    <row r="164" ht="15.75" customHeight="1">
      <c r="A164" s="21"/>
      <c r="B164" s="70"/>
      <c r="C164" s="118"/>
      <c r="D164" s="119"/>
      <c r="E164" s="103"/>
      <c r="F164" s="120"/>
      <c r="G164" s="173"/>
      <c r="H164" s="96">
        <f>F165*0.5+F165</f>
        <v>0</v>
      </c>
      <c r="I164" s="97">
        <f>F165*0.3+F165</f>
        <v>0</v>
      </c>
      <c r="J164" s="98">
        <f>F165*0.3+F165</f>
        <v>0</v>
      </c>
      <c r="K164" s="99">
        <f>F165*0.2+F165</f>
        <v>0</v>
      </c>
      <c r="L164" s="98">
        <f>F165*0.15+F165</f>
        <v>0</v>
      </c>
      <c r="M164" s="99">
        <f>F165*0.1+F165</f>
        <v>0</v>
      </c>
      <c r="N164" s="32"/>
      <c r="O164" s="33"/>
    </row>
    <row r="165" ht="15.75" customHeight="1">
      <c r="A165" s="21"/>
      <c r="B165" s="70"/>
      <c r="C165" s="121"/>
      <c r="D165" s="119"/>
      <c r="E165" s="103"/>
      <c r="F165" s="122"/>
      <c r="G165" s="173"/>
      <c r="H165" s="96">
        <f t="shared" ref="H165:H167" si="89">F165*0.5+F165</f>
        <v>0</v>
      </c>
      <c r="I165" s="97">
        <f t="shared" ref="I165:I167" si="90">F165*0.3+F165</f>
        <v>0</v>
      </c>
      <c r="J165" s="98">
        <f t="shared" ref="J165:J167" si="91">F165*0.3+F165</f>
        <v>0</v>
      </c>
      <c r="K165" s="99">
        <f t="shared" ref="K165:K167" si="92">F165*0.2+F165</f>
        <v>0</v>
      </c>
      <c r="L165" s="98">
        <f t="shared" ref="L165:L167" si="93">F165*0.15+F165</f>
        <v>0</v>
      </c>
      <c r="M165" s="99">
        <f t="shared" ref="M165:M167" si="94">F165*0.1+F165</f>
        <v>0</v>
      </c>
      <c r="N165" s="32"/>
      <c r="O165" s="33"/>
    </row>
    <row r="166" ht="15.75" customHeight="1">
      <c r="A166" s="21"/>
      <c r="B166" s="70"/>
      <c r="C166" s="61"/>
      <c r="D166" s="119"/>
      <c r="E166" s="103"/>
      <c r="F166" s="120"/>
      <c r="G166" s="173"/>
      <c r="H166" s="96">
        <f t="shared" si="89"/>
        <v>0</v>
      </c>
      <c r="I166" s="97">
        <f t="shared" si="90"/>
        <v>0</v>
      </c>
      <c r="J166" s="98">
        <f t="shared" si="91"/>
        <v>0</v>
      </c>
      <c r="K166" s="99">
        <f t="shared" si="92"/>
        <v>0</v>
      </c>
      <c r="L166" s="98">
        <f t="shared" si="93"/>
        <v>0</v>
      </c>
      <c r="M166" s="99">
        <f t="shared" si="94"/>
        <v>0</v>
      </c>
      <c r="N166" s="32"/>
      <c r="O166" s="33"/>
    </row>
    <row r="167" ht="15.75" customHeight="1">
      <c r="A167" s="21"/>
      <c r="B167" s="70"/>
      <c r="C167" s="61"/>
      <c r="D167" s="119"/>
      <c r="E167" s="123"/>
      <c r="F167" s="120"/>
      <c r="G167" s="173"/>
      <c r="H167" s="96">
        <f t="shared" si="89"/>
        <v>0</v>
      </c>
      <c r="I167" s="97">
        <f t="shared" si="90"/>
        <v>0</v>
      </c>
      <c r="J167" s="98">
        <f t="shared" si="91"/>
        <v>0</v>
      </c>
      <c r="K167" s="99">
        <f t="shared" si="92"/>
        <v>0</v>
      </c>
      <c r="L167" s="98">
        <f t="shared" si="93"/>
        <v>0</v>
      </c>
      <c r="M167" s="99">
        <f t="shared" si="94"/>
        <v>0</v>
      </c>
      <c r="N167" s="32"/>
      <c r="O167" s="33"/>
    </row>
    <row r="168" ht="15.75" customHeight="1">
      <c r="A168" s="21"/>
      <c r="B168" s="70"/>
      <c r="C168" s="61"/>
      <c r="D168" s="119"/>
      <c r="E168" s="123"/>
      <c r="F168" s="120"/>
      <c r="G168" s="173"/>
      <c r="H168" s="96">
        <f>F169*0.5+F169</f>
        <v>0</v>
      </c>
      <c r="I168" s="97">
        <f>F169*0.3+F169</f>
        <v>0</v>
      </c>
      <c r="J168" s="98">
        <f>F169*0.3+F169</f>
        <v>0</v>
      </c>
      <c r="K168" s="99">
        <f>F169*0.2+F169</f>
        <v>0</v>
      </c>
      <c r="L168" s="98">
        <f>F169*0.15+F169</f>
        <v>0</v>
      </c>
      <c r="M168" s="99">
        <f>F169*0.1+F169</f>
        <v>0</v>
      </c>
      <c r="N168" s="32"/>
      <c r="O168" s="33"/>
    </row>
    <row r="169" ht="15.75" customHeight="1">
      <c r="A169" s="21"/>
      <c r="B169" s="70"/>
      <c r="C169" s="61"/>
      <c r="D169" s="119"/>
      <c r="E169" s="123"/>
      <c r="F169" s="120"/>
      <c r="G169" s="173"/>
      <c r="H169" s="96">
        <f t="shared" ref="H169:H171" si="95">F169*0.5+F169</f>
        <v>0</v>
      </c>
      <c r="I169" s="97">
        <f t="shared" ref="I169:I171" si="96">F169*0.3+F169</f>
        <v>0</v>
      </c>
      <c r="J169" s="98">
        <f t="shared" ref="J169:J171" si="97">F169*0.3+F169</f>
        <v>0</v>
      </c>
      <c r="K169" s="99">
        <f t="shared" ref="K169:K171" si="98">F169*0.2+F169</f>
        <v>0</v>
      </c>
      <c r="L169" s="98">
        <f t="shared" ref="L169:L171" si="99">F169*0.15+F169</f>
        <v>0</v>
      </c>
      <c r="M169" s="99">
        <f t="shared" ref="M169:M171" si="100">F169*0.1+F169</f>
        <v>0</v>
      </c>
      <c r="N169" s="32"/>
      <c r="O169" s="33"/>
    </row>
    <row r="170" ht="15.75" customHeight="1">
      <c r="A170" s="21"/>
      <c r="B170" s="70"/>
      <c r="C170" s="61"/>
      <c r="D170" s="119"/>
      <c r="E170" s="123"/>
      <c r="F170" s="120"/>
      <c r="G170" s="173"/>
      <c r="H170" s="96">
        <f t="shared" si="95"/>
        <v>0</v>
      </c>
      <c r="I170" s="97">
        <f t="shared" si="96"/>
        <v>0</v>
      </c>
      <c r="J170" s="98">
        <f t="shared" si="97"/>
        <v>0</v>
      </c>
      <c r="K170" s="99">
        <f t="shared" si="98"/>
        <v>0</v>
      </c>
      <c r="L170" s="98">
        <f t="shared" si="99"/>
        <v>0</v>
      </c>
      <c r="M170" s="99">
        <f t="shared" si="100"/>
        <v>0</v>
      </c>
      <c r="N170" s="32"/>
      <c r="O170" s="33"/>
    </row>
    <row r="171" ht="15.75" customHeight="1">
      <c r="A171" s="21"/>
      <c r="B171" s="70"/>
      <c r="C171" s="114"/>
      <c r="D171" s="124"/>
      <c r="E171" s="123"/>
      <c r="F171" s="122"/>
      <c r="G171" s="173"/>
      <c r="H171" s="96">
        <f t="shared" si="95"/>
        <v>0</v>
      </c>
      <c r="I171" s="97">
        <f t="shared" si="96"/>
        <v>0</v>
      </c>
      <c r="J171" s="98">
        <f t="shared" si="97"/>
        <v>0</v>
      </c>
      <c r="K171" s="99">
        <f t="shared" si="98"/>
        <v>0</v>
      </c>
      <c r="L171" s="98">
        <f t="shared" si="99"/>
        <v>0</v>
      </c>
      <c r="M171" s="99">
        <f t="shared" si="100"/>
        <v>0</v>
      </c>
      <c r="N171" s="32"/>
      <c r="O171" s="33"/>
    </row>
    <row r="172" ht="15.75" customHeight="1">
      <c r="A172" s="21"/>
      <c r="B172" s="70"/>
      <c r="C172" s="121"/>
      <c r="D172" s="124"/>
      <c r="E172" s="123"/>
      <c r="F172" s="122"/>
      <c r="G172" s="173"/>
      <c r="H172" s="96">
        <f>F173*0.5+F173</f>
        <v>0</v>
      </c>
      <c r="I172" s="97">
        <f>F173*0.3+F173</f>
        <v>0</v>
      </c>
      <c r="J172" s="98">
        <f>F173*0.3+F173</f>
        <v>0</v>
      </c>
      <c r="K172" s="99">
        <f>F173*0.2+F173</f>
        <v>0</v>
      </c>
      <c r="L172" s="98">
        <f>F173*0.15+F173</f>
        <v>0</v>
      </c>
      <c r="M172" s="99">
        <f>F173*0.1+F173</f>
        <v>0</v>
      </c>
      <c r="N172" s="32"/>
      <c r="O172" s="33"/>
    </row>
    <row r="173" ht="15.75" customHeight="1">
      <c r="A173" s="21"/>
      <c r="B173" s="70"/>
      <c r="C173" s="121"/>
      <c r="D173" s="124"/>
      <c r="E173" s="125"/>
      <c r="F173" s="122"/>
      <c r="G173" s="173"/>
      <c r="H173" s="96">
        <f t="shared" ref="H173:H175" si="101">F173*0.5+F173</f>
        <v>0</v>
      </c>
      <c r="I173" s="97">
        <f t="shared" ref="I173:I175" si="102">F173*0.3+F173</f>
        <v>0</v>
      </c>
      <c r="J173" s="98">
        <f t="shared" ref="J173:J175" si="103">F173*0.3+F173</f>
        <v>0</v>
      </c>
      <c r="K173" s="99">
        <f t="shared" ref="K173:K175" si="104">F173*0.2+F173</f>
        <v>0</v>
      </c>
      <c r="L173" s="98">
        <f t="shared" ref="L173:L175" si="105">F173*0.15+F173</f>
        <v>0</v>
      </c>
      <c r="M173" s="99">
        <f t="shared" ref="M173:M175" si="106">F173*0.1+F173</f>
        <v>0</v>
      </c>
      <c r="N173" s="32"/>
      <c r="O173" s="33"/>
    </row>
    <row r="174" ht="15.75" customHeight="1">
      <c r="A174" s="21"/>
      <c r="B174" s="70"/>
      <c r="C174" s="118"/>
      <c r="D174" s="124"/>
      <c r="E174" s="123"/>
      <c r="F174" s="120"/>
      <c r="G174" s="173"/>
      <c r="H174" s="96">
        <f t="shared" si="101"/>
        <v>0</v>
      </c>
      <c r="I174" s="97">
        <f t="shared" si="102"/>
        <v>0</v>
      </c>
      <c r="J174" s="98">
        <f t="shared" si="103"/>
        <v>0</v>
      </c>
      <c r="K174" s="99">
        <f t="shared" si="104"/>
        <v>0</v>
      </c>
      <c r="L174" s="98">
        <f t="shared" si="105"/>
        <v>0</v>
      </c>
      <c r="M174" s="99">
        <f t="shared" si="106"/>
        <v>0</v>
      </c>
      <c r="N174" s="32"/>
      <c r="O174" s="33"/>
    </row>
    <row r="175" ht="15.75" customHeight="1">
      <c r="A175" s="21"/>
      <c r="B175" s="70"/>
      <c r="C175" s="114"/>
      <c r="D175" s="124"/>
      <c r="E175" s="123"/>
      <c r="F175" s="122"/>
      <c r="G175" s="173"/>
      <c r="H175" s="96">
        <f t="shared" si="101"/>
        <v>0</v>
      </c>
      <c r="I175" s="97">
        <f t="shared" si="102"/>
        <v>0</v>
      </c>
      <c r="J175" s="98">
        <f t="shared" si="103"/>
        <v>0</v>
      </c>
      <c r="K175" s="99">
        <f t="shared" si="104"/>
        <v>0</v>
      </c>
      <c r="L175" s="98">
        <f t="shared" si="105"/>
        <v>0</v>
      </c>
      <c r="M175" s="99">
        <f t="shared" si="106"/>
        <v>0</v>
      </c>
      <c r="N175" s="32"/>
      <c r="O175" s="33"/>
    </row>
    <row r="176" ht="15.75" customHeight="1">
      <c r="A176" s="21"/>
      <c r="B176" s="70"/>
      <c r="C176" s="121"/>
      <c r="D176" s="124"/>
      <c r="E176" s="123"/>
      <c r="F176" s="120"/>
      <c r="G176" s="173"/>
      <c r="H176" s="96">
        <f>F177*0.5+F177</f>
        <v>0</v>
      </c>
      <c r="I176" s="97">
        <f>F177*0.3+F177</f>
        <v>0</v>
      </c>
      <c r="J176" s="98">
        <f>F177*0.3+F177</f>
        <v>0</v>
      </c>
      <c r="K176" s="99">
        <f>F177*0.2+F177</f>
        <v>0</v>
      </c>
      <c r="L176" s="98">
        <f>F177*0.15+F177</f>
        <v>0</v>
      </c>
      <c r="M176" s="99">
        <f>F177*0.1+F177</f>
        <v>0</v>
      </c>
      <c r="N176" s="32"/>
      <c r="O176" s="33"/>
    </row>
    <row r="177" ht="15.75" customHeight="1">
      <c r="A177" s="21"/>
      <c r="B177" s="70"/>
      <c r="C177" s="121"/>
      <c r="D177" s="124"/>
      <c r="E177" s="123"/>
      <c r="F177" s="122"/>
      <c r="G177" s="173"/>
      <c r="H177" s="96">
        <f t="shared" ref="H177:H179" si="107">F177*0.5+F177</f>
        <v>0</v>
      </c>
      <c r="I177" s="97">
        <f t="shared" ref="I177:I179" si="108">F177*0.3+F177</f>
        <v>0</v>
      </c>
      <c r="J177" s="98">
        <f t="shared" ref="J177:J179" si="109">F177*0.3+F177</f>
        <v>0</v>
      </c>
      <c r="K177" s="99">
        <f t="shared" ref="K177:K179" si="110">F177*0.2+F177</f>
        <v>0</v>
      </c>
      <c r="L177" s="98">
        <f t="shared" ref="L177:L179" si="111">F177*0.15+F177</f>
        <v>0</v>
      </c>
      <c r="M177" s="99">
        <f t="shared" ref="M177:M179" si="112">F177*0.1+F177</f>
        <v>0</v>
      </c>
      <c r="N177" s="32"/>
      <c r="O177" s="33"/>
    </row>
    <row r="178" ht="15.75" customHeight="1">
      <c r="A178" s="21"/>
      <c r="B178" s="70"/>
      <c r="C178" s="61"/>
      <c r="D178" s="124"/>
      <c r="E178" s="123"/>
      <c r="F178" s="112"/>
      <c r="G178" s="173"/>
      <c r="H178" s="96">
        <f t="shared" si="107"/>
        <v>0</v>
      </c>
      <c r="I178" s="97">
        <f t="shared" si="108"/>
        <v>0</v>
      </c>
      <c r="J178" s="98">
        <f t="shared" si="109"/>
        <v>0</v>
      </c>
      <c r="K178" s="99">
        <f t="shared" si="110"/>
        <v>0</v>
      </c>
      <c r="L178" s="98">
        <f t="shared" si="111"/>
        <v>0</v>
      </c>
      <c r="M178" s="99">
        <f t="shared" si="112"/>
        <v>0</v>
      </c>
      <c r="N178" s="32"/>
      <c r="O178" s="33"/>
    </row>
    <row r="179" ht="15.75" customHeight="1">
      <c r="A179" s="21"/>
      <c r="B179" s="70"/>
      <c r="C179" s="61"/>
      <c r="D179" s="124"/>
      <c r="E179" s="123"/>
      <c r="F179" s="122"/>
      <c r="G179" s="173"/>
      <c r="H179" s="96">
        <f t="shared" si="107"/>
        <v>0</v>
      </c>
      <c r="I179" s="97">
        <f t="shared" si="108"/>
        <v>0</v>
      </c>
      <c r="J179" s="98">
        <f t="shared" si="109"/>
        <v>0</v>
      </c>
      <c r="K179" s="99">
        <f t="shared" si="110"/>
        <v>0</v>
      </c>
      <c r="L179" s="98">
        <f t="shared" si="111"/>
        <v>0</v>
      </c>
      <c r="M179" s="99">
        <f t="shared" si="112"/>
        <v>0</v>
      </c>
      <c r="N179" s="32"/>
      <c r="O179" s="33"/>
    </row>
    <row r="180" ht="15.75" customHeight="1">
      <c r="A180" s="21"/>
      <c r="B180" s="70"/>
      <c r="C180" s="121"/>
      <c r="D180" s="124"/>
      <c r="E180" s="123"/>
      <c r="F180" s="120"/>
      <c r="G180" s="173"/>
      <c r="H180" s="96">
        <f>F181*0.5+F181</f>
        <v>0</v>
      </c>
      <c r="I180" s="97">
        <f>F181*0.3+F181</f>
        <v>0</v>
      </c>
      <c r="J180" s="98">
        <f>F181*0.3+F181</f>
        <v>0</v>
      </c>
      <c r="K180" s="99">
        <f>F181*0.2+F181</f>
        <v>0</v>
      </c>
      <c r="L180" s="98">
        <f>F181*0.15+F181</f>
        <v>0</v>
      </c>
      <c r="M180" s="99">
        <f>F181*0.1+F181</f>
        <v>0</v>
      </c>
      <c r="N180" s="32"/>
      <c r="O180" s="33"/>
    </row>
    <row r="181" ht="15.75" customHeight="1">
      <c r="A181" s="21"/>
      <c r="B181" s="70"/>
      <c r="C181" s="61"/>
      <c r="D181" s="119"/>
      <c r="E181" s="123"/>
      <c r="F181" s="120"/>
      <c r="G181" s="173"/>
      <c r="H181" s="96">
        <f t="shared" ref="H181:H183" si="113">F181*0.5+F181</f>
        <v>0</v>
      </c>
      <c r="I181" s="97">
        <f t="shared" ref="I181:I183" si="114">F181*0.3+F181</f>
        <v>0</v>
      </c>
      <c r="J181" s="98">
        <f t="shared" ref="J181:J183" si="115">F181*0.3+F181</f>
        <v>0</v>
      </c>
      <c r="K181" s="99">
        <f t="shared" ref="K181:K183" si="116">F181*0.2+F181</f>
        <v>0</v>
      </c>
      <c r="L181" s="98">
        <f t="shared" ref="L181:L183" si="117">F181*0.15+F181</f>
        <v>0</v>
      </c>
      <c r="M181" s="99">
        <f t="shared" ref="M181:M183" si="118">F181*0.1+F181</f>
        <v>0</v>
      </c>
      <c r="N181" s="32"/>
      <c r="O181" s="33"/>
    </row>
    <row r="182" ht="15.75" customHeight="1">
      <c r="A182" s="21"/>
      <c r="B182" s="70"/>
      <c r="C182" s="61"/>
      <c r="D182" s="119"/>
      <c r="E182" s="123"/>
      <c r="F182" s="120"/>
      <c r="G182" s="173"/>
      <c r="H182" s="96">
        <f t="shared" si="113"/>
        <v>0</v>
      </c>
      <c r="I182" s="97">
        <f t="shared" si="114"/>
        <v>0</v>
      </c>
      <c r="J182" s="98">
        <f t="shared" si="115"/>
        <v>0</v>
      </c>
      <c r="K182" s="99">
        <f t="shared" si="116"/>
        <v>0</v>
      </c>
      <c r="L182" s="98">
        <f t="shared" si="117"/>
        <v>0</v>
      </c>
      <c r="M182" s="99">
        <f t="shared" si="118"/>
        <v>0</v>
      </c>
      <c r="N182" s="32"/>
      <c r="O182" s="33"/>
    </row>
    <row r="183" ht="15.75" customHeight="1">
      <c r="A183" s="21"/>
      <c r="B183" s="70"/>
      <c r="C183" s="61"/>
      <c r="D183" s="119"/>
      <c r="E183" s="123"/>
      <c r="F183" s="120"/>
      <c r="G183" s="173"/>
      <c r="H183" s="96">
        <f t="shared" si="113"/>
        <v>0</v>
      </c>
      <c r="I183" s="97">
        <f t="shared" si="114"/>
        <v>0</v>
      </c>
      <c r="J183" s="98">
        <f t="shared" si="115"/>
        <v>0</v>
      </c>
      <c r="K183" s="99">
        <f t="shared" si="116"/>
        <v>0</v>
      </c>
      <c r="L183" s="98">
        <f t="shared" si="117"/>
        <v>0</v>
      </c>
      <c r="M183" s="99">
        <f t="shared" si="118"/>
        <v>0</v>
      </c>
      <c r="N183" s="32"/>
      <c r="O183" s="33"/>
    </row>
    <row r="184" ht="15.75" customHeight="1">
      <c r="A184" s="21"/>
      <c r="B184" s="70"/>
      <c r="C184" s="126"/>
      <c r="D184" s="124"/>
      <c r="E184" s="90"/>
      <c r="F184" s="112"/>
      <c r="G184" s="173"/>
      <c r="H184" s="96">
        <f>F185*0.5+F185</f>
        <v>0</v>
      </c>
      <c r="I184" s="97">
        <f>F185*0.3+F185</f>
        <v>0</v>
      </c>
      <c r="J184" s="98">
        <f>F185*0.3+F185</f>
        <v>0</v>
      </c>
      <c r="K184" s="99">
        <f>F185*0.2+F185</f>
        <v>0</v>
      </c>
      <c r="L184" s="98">
        <f>F185*0.15+F185</f>
        <v>0</v>
      </c>
      <c r="M184" s="99">
        <f>F185*0.1+F185</f>
        <v>0</v>
      </c>
      <c r="N184" s="32"/>
      <c r="O184" s="33"/>
    </row>
    <row r="185" ht="15.75" customHeight="1">
      <c r="A185" s="21"/>
      <c r="B185" s="70"/>
      <c r="C185" s="126"/>
      <c r="D185" s="124"/>
      <c r="E185" s="90"/>
      <c r="F185" s="112"/>
      <c r="G185" s="173"/>
      <c r="H185" s="96">
        <f t="shared" ref="H185:H187" si="119">F185*0.5+F185</f>
        <v>0</v>
      </c>
      <c r="I185" s="97">
        <f t="shared" ref="I185:I187" si="120">F185*0.3+F185</f>
        <v>0</v>
      </c>
      <c r="J185" s="98">
        <f t="shared" ref="J185:J187" si="121">F185*0.3+F185</f>
        <v>0</v>
      </c>
      <c r="K185" s="99">
        <f t="shared" ref="K185:K187" si="122">F185*0.2+F185</f>
        <v>0</v>
      </c>
      <c r="L185" s="98">
        <f t="shared" ref="L185:L187" si="123">F185*0.15+F185</f>
        <v>0</v>
      </c>
      <c r="M185" s="99">
        <f t="shared" ref="M185:M187" si="124">F185*0.1+F185</f>
        <v>0</v>
      </c>
      <c r="N185" s="32"/>
      <c r="O185" s="33"/>
    </row>
    <row r="186" ht="15.75" customHeight="1">
      <c r="A186" s="21"/>
      <c r="B186" s="70"/>
      <c r="C186" s="126"/>
      <c r="D186" s="124"/>
      <c r="E186" s="90"/>
      <c r="F186" s="112"/>
      <c r="G186" s="173"/>
      <c r="H186" s="96">
        <f t="shared" si="119"/>
        <v>0</v>
      </c>
      <c r="I186" s="97">
        <f t="shared" si="120"/>
        <v>0</v>
      </c>
      <c r="J186" s="98">
        <f t="shared" si="121"/>
        <v>0</v>
      </c>
      <c r="K186" s="99">
        <f t="shared" si="122"/>
        <v>0</v>
      </c>
      <c r="L186" s="98">
        <f t="shared" si="123"/>
        <v>0</v>
      </c>
      <c r="M186" s="99">
        <f t="shared" si="124"/>
        <v>0</v>
      </c>
      <c r="N186" s="32"/>
      <c r="O186" s="33"/>
    </row>
    <row r="187" ht="15.75" customHeight="1">
      <c r="A187" s="21"/>
      <c r="B187" s="70"/>
      <c r="C187" s="126"/>
      <c r="D187" s="124"/>
      <c r="E187" s="90"/>
      <c r="F187" s="112"/>
      <c r="G187" s="173"/>
      <c r="H187" s="96">
        <f t="shared" si="119"/>
        <v>0</v>
      </c>
      <c r="I187" s="97">
        <f t="shared" si="120"/>
        <v>0</v>
      </c>
      <c r="J187" s="98">
        <f t="shared" si="121"/>
        <v>0</v>
      </c>
      <c r="K187" s="99">
        <f t="shared" si="122"/>
        <v>0</v>
      </c>
      <c r="L187" s="98">
        <f t="shared" si="123"/>
        <v>0</v>
      </c>
      <c r="M187" s="99">
        <f t="shared" si="124"/>
        <v>0</v>
      </c>
      <c r="N187" s="32"/>
      <c r="O187" s="33"/>
    </row>
    <row r="188" ht="15.75" customHeight="1">
      <c r="A188" s="21"/>
      <c r="B188" s="70"/>
      <c r="C188" s="126"/>
      <c r="D188" s="124"/>
      <c r="E188" s="90"/>
      <c r="F188" s="112"/>
      <c r="G188" s="173"/>
      <c r="H188" s="96">
        <f>F189*0.5+F189</f>
        <v>0</v>
      </c>
      <c r="I188" s="97">
        <f>F189*0.3+F189</f>
        <v>0</v>
      </c>
      <c r="J188" s="98">
        <f>F189*0.3+F189</f>
        <v>0</v>
      </c>
      <c r="K188" s="99">
        <f>F189*0.2+F189</f>
        <v>0</v>
      </c>
      <c r="L188" s="98">
        <f>F189*0.15+F189</f>
        <v>0</v>
      </c>
      <c r="M188" s="99">
        <f>F189*0.1+F189</f>
        <v>0</v>
      </c>
      <c r="N188" s="32"/>
      <c r="O188" s="33"/>
    </row>
    <row r="189" ht="15.75" customHeight="1">
      <c r="A189" s="21"/>
      <c r="B189" s="70"/>
      <c r="C189" s="126"/>
      <c r="D189" s="124"/>
      <c r="E189" s="90"/>
      <c r="F189" s="112"/>
      <c r="G189" s="173"/>
      <c r="H189" s="96">
        <f t="shared" ref="H189:H191" si="125">F189*0.5+F189</f>
        <v>0</v>
      </c>
      <c r="I189" s="97">
        <f t="shared" ref="I189:I191" si="126">F189*0.3+F189</f>
        <v>0</v>
      </c>
      <c r="J189" s="98">
        <f t="shared" ref="J189:J191" si="127">F189*0.3+F189</f>
        <v>0</v>
      </c>
      <c r="K189" s="99">
        <f t="shared" ref="K189:K191" si="128">F189*0.2+F189</f>
        <v>0</v>
      </c>
      <c r="L189" s="98">
        <f t="shared" ref="L189:L191" si="129">F189*0.15+F189</f>
        <v>0</v>
      </c>
      <c r="M189" s="99">
        <f t="shared" ref="M189:M191" si="130">F189*0.1+F189</f>
        <v>0</v>
      </c>
      <c r="N189" s="32"/>
      <c r="O189" s="33"/>
    </row>
    <row r="190" ht="15.75" customHeight="1">
      <c r="A190" s="21"/>
      <c r="B190" s="70"/>
      <c r="C190" s="126"/>
      <c r="D190" s="124"/>
      <c r="E190" s="90"/>
      <c r="F190" s="112"/>
      <c r="G190" s="173"/>
      <c r="H190" s="96">
        <f t="shared" si="125"/>
        <v>0</v>
      </c>
      <c r="I190" s="97">
        <f t="shared" si="126"/>
        <v>0</v>
      </c>
      <c r="J190" s="98">
        <f t="shared" si="127"/>
        <v>0</v>
      </c>
      <c r="K190" s="99">
        <f t="shared" si="128"/>
        <v>0</v>
      </c>
      <c r="L190" s="98">
        <f t="shared" si="129"/>
        <v>0</v>
      </c>
      <c r="M190" s="99">
        <f t="shared" si="130"/>
        <v>0</v>
      </c>
      <c r="N190" s="32"/>
      <c r="O190" s="33"/>
    </row>
    <row r="191" ht="15.75" customHeight="1">
      <c r="A191" s="21"/>
      <c r="B191" s="70"/>
      <c r="C191" s="114"/>
      <c r="D191" s="124"/>
      <c r="E191" s="90"/>
      <c r="F191" s="112"/>
      <c r="G191" s="173"/>
      <c r="H191" s="96">
        <f t="shared" si="125"/>
        <v>0</v>
      </c>
      <c r="I191" s="97">
        <f t="shared" si="126"/>
        <v>0</v>
      </c>
      <c r="J191" s="98">
        <f t="shared" si="127"/>
        <v>0</v>
      </c>
      <c r="K191" s="99">
        <f t="shared" si="128"/>
        <v>0</v>
      </c>
      <c r="L191" s="98">
        <f t="shared" si="129"/>
        <v>0</v>
      </c>
      <c r="M191" s="99">
        <f t="shared" si="130"/>
        <v>0</v>
      </c>
      <c r="N191" s="32"/>
      <c r="O191" s="33"/>
    </row>
    <row r="192" ht="15.75" customHeight="1">
      <c r="A192" s="21"/>
      <c r="B192" s="70"/>
      <c r="C192" s="61"/>
      <c r="D192" s="124"/>
      <c r="E192" s="90"/>
      <c r="F192" s="115"/>
      <c r="G192" s="173"/>
      <c r="H192" s="96">
        <f>F193*0.5+F193</f>
        <v>0</v>
      </c>
      <c r="I192" s="97">
        <f>F193*0.3+F193</f>
        <v>0</v>
      </c>
      <c r="J192" s="98">
        <f>F193*0.3+F193</f>
        <v>0</v>
      </c>
      <c r="K192" s="99">
        <f>F193*0.2+F193</f>
        <v>0</v>
      </c>
      <c r="L192" s="98">
        <f>F193*0.15+F193</f>
        <v>0</v>
      </c>
      <c r="M192" s="99">
        <f>F193*0.1+F193</f>
        <v>0</v>
      </c>
      <c r="N192" s="32"/>
      <c r="O192" s="33"/>
    </row>
    <row r="193" ht="15.75" customHeight="1">
      <c r="A193" s="21"/>
      <c r="B193" s="70"/>
      <c r="C193" s="61"/>
      <c r="D193" s="124"/>
      <c r="E193" s="90"/>
      <c r="F193" s="115"/>
      <c r="G193" s="173"/>
      <c r="H193" s="96">
        <f t="shared" ref="H193:H195" si="131">F193*0.5+F193</f>
        <v>0</v>
      </c>
      <c r="I193" s="97">
        <f t="shared" ref="I193:I195" si="132">F193*0.3+F193</f>
        <v>0</v>
      </c>
      <c r="J193" s="98">
        <f t="shared" ref="J193:J195" si="133">F193*0.3+F193</f>
        <v>0</v>
      </c>
      <c r="K193" s="99">
        <f t="shared" ref="K193:K195" si="134">F193*0.2+F193</f>
        <v>0</v>
      </c>
      <c r="L193" s="98">
        <f t="shared" ref="L193:L195" si="135">F193*0.15+F193</f>
        <v>0</v>
      </c>
      <c r="M193" s="99">
        <f t="shared" ref="M193:M195" si="136">F193*0.1+F193</f>
        <v>0</v>
      </c>
      <c r="N193" s="32"/>
      <c r="O193" s="33"/>
    </row>
    <row r="194" ht="15.75" customHeight="1">
      <c r="A194" s="21"/>
      <c r="B194" s="70"/>
      <c r="C194" s="61"/>
      <c r="D194" s="124"/>
      <c r="E194" s="90"/>
      <c r="F194" s="115"/>
      <c r="G194" s="173"/>
      <c r="H194" s="96">
        <f t="shared" si="131"/>
        <v>0</v>
      </c>
      <c r="I194" s="97">
        <f t="shared" si="132"/>
        <v>0</v>
      </c>
      <c r="J194" s="98">
        <f t="shared" si="133"/>
        <v>0</v>
      </c>
      <c r="K194" s="99">
        <f t="shared" si="134"/>
        <v>0</v>
      </c>
      <c r="L194" s="98">
        <f t="shared" si="135"/>
        <v>0</v>
      </c>
      <c r="M194" s="99">
        <f t="shared" si="136"/>
        <v>0</v>
      </c>
      <c r="N194" s="32"/>
      <c r="O194" s="33"/>
    </row>
    <row r="195" ht="15.75" customHeight="1">
      <c r="A195" s="21"/>
      <c r="B195" s="70"/>
      <c r="C195" s="61"/>
      <c r="D195" s="102"/>
      <c r="E195" s="90"/>
      <c r="F195" s="115"/>
      <c r="G195" s="173"/>
      <c r="H195" s="96">
        <f t="shared" si="131"/>
        <v>0</v>
      </c>
      <c r="I195" s="97">
        <f t="shared" si="132"/>
        <v>0</v>
      </c>
      <c r="J195" s="98">
        <f t="shared" si="133"/>
        <v>0</v>
      </c>
      <c r="K195" s="99">
        <f t="shared" si="134"/>
        <v>0</v>
      </c>
      <c r="L195" s="98">
        <f t="shared" si="135"/>
        <v>0</v>
      </c>
      <c r="M195" s="99">
        <f t="shared" si="136"/>
        <v>0</v>
      </c>
      <c r="N195" s="32"/>
      <c r="O195" s="33"/>
    </row>
    <row r="196" ht="15.75" customHeight="1">
      <c r="A196" s="21"/>
      <c r="B196" s="70"/>
      <c r="C196" s="61"/>
      <c r="D196" s="124"/>
      <c r="E196" s="90"/>
      <c r="F196" s="115"/>
      <c r="G196" s="173"/>
      <c r="H196" s="96">
        <f>F197*0.5+F197</f>
        <v>0</v>
      </c>
      <c r="I196" s="97">
        <f>F197*0.3+F197</f>
        <v>0</v>
      </c>
      <c r="J196" s="98">
        <f>F197*0.3+F197</f>
        <v>0</v>
      </c>
      <c r="K196" s="99">
        <f>F197*0.2+F197</f>
        <v>0</v>
      </c>
      <c r="L196" s="98">
        <f>F197*0.15+F197</f>
        <v>0</v>
      </c>
      <c r="M196" s="99">
        <f>F197*0.1+F197</f>
        <v>0</v>
      </c>
      <c r="N196" s="32"/>
      <c r="O196" s="33"/>
    </row>
    <row r="197" ht="15.75" customHeight="1">
      <c r="A197" s="21"/>
      <c r="B197" s="70"/>
      <c r="C197" s="61"/>
      <c r="D197" s="124"/>
      <c r="E197" s="90"/>
      <c r="F197" s="115"/>
      <c r="G197" s="173"/>
      <c r="H197" s="96">
        <f t="shared" ref="H197:H199" si="137">F197*0.5+F197</f>
        <v>0</v>
      </c>
      <c r="I197" s="97">
        <f t="shared" ref="I197:I199" si="138">F197*0.3+F197</f>
        <v>0</v>
      </c>
      <c r="J197" s="98">
        <f t="shared" ref="J197:J199" si="139">F197*0.3+F197</f>
        <v>0</v>
      </c>
      <c r="K197" s="99">
        <f t="shared" ref="K197:K199" si="140">F197*0.2+F197</f>
        <v>0</v>
      </c>
      <c r="L197" s="98">
        <f t="shared" ref="L197:L199" si="141">F197*0.15+F197</f>
        <v>0</v>
      </c>
      <c r="M197" s="99">
        <f t="shared" ref="M197:M199" si="142">F197*0.1+F197</f>
        <v>0</v>
      </c>
      <c r="N197" s="32"/>
      <c r="O197" s="33"/>
    </row>
    <row r="198" ht="15.75" customHeight="1">
      <c r="A198" s="21"/>
      <c r="B198" s="70"/>
      <c r="C198" s="61"/>
      <c r="D198" s="124"/>
      <c r="E198" s="90"/>
      <c r="F198" s="115"/>
      <c r="G198" s="173"/>
      <c r="H198" s="96">
        <f t="shared" si="137"/>
        <v>0</v>
      </c>
      <c r="I198" s="97">
        <f t="shared" si="138"/>
        <v>0</v>
      </c>
      <c r="J198" s="98">
        <f t="shared" si="139"/>
        <v>0</v>
      </c>
      <c r="K198" s="99">
        <f t="shared" si="140"/>
        <v>0</v>
      </c>
      <c r="L198" s="98">
        <f t="shared" si="141"/>
        <v>0</v>
      </c>
      <c r="M198" s="99">
        <f t="shared" si="142"/>
        <v>0</v>
      </c>
      <c r="N198" s="32"/>
      <c r="O198" s="33"/>
    </row>
    <row r="199" ht="15.75" customHeight="1">
      <c r="A199" s="21"/>
      <c r="B199" s="70"/>
      <c r="C199" s="61"/>
      <c r="D199" s="124"/>
      <c r="E199" s="90"/>
      <c r="F199" s="115"/>
      <c r="G199" s="173"/>
      <c r="H199" s="96">
        <f t="shared" si="137"/>
        <v>0</v>
      </c>
      <c r="I199" s="97">
        <f t="shared" si="138"/>
        <v>0</v>
      </c>
      <c r="J199" s="98">
        <f t="shared" si="139"/>
        <v>0</v>
      </c>
      <c r="K199" s="99">
        <f t="shared" si="140"/>
        <v>0</v>
      </c>
      <c r="L199" s="98">
        <f t="shared" si="141"/>
        <v>0</v>
      </c>
      <c r="M199" s="99">
        <f t="shared" si="142"/>
        <v>0</v>
      </c>
      <c r="N199" s="32"/>
      <c r="O199" s="33"/>
    </row>
    <row r="200" ht="15.75" customHeight="1">
      <c r="A200" s="21"/>
      <c r="B200" s="70"/>
      <c r="C200" s="61"/>
      <c r="D200" s="124"/>
      <c r="E200" s="90"/>
      <c r="F200" s="115"/>
      <c r="G200" s="173"/>
      <c r="H200" s="96">
        <f>F201*0.5+F201</f>
        <v>0</v>
      </c>
      <c r="I200" s="97">
        <f>F201*0.3+F201</f>
        <v>0</v>
      </c>
      <c r="J200" s="98">
        <f>F201*0.3+F201</f>
        <v>0</v>
      </c>
      <c r="K200" s="99">
        <f>F201*0.2+F201</f>
        <v>0</v>
      </c>
      <c r="L200" s="98">
        <f>F201*0.15+F201</f>
        <v>0</v>
      </c>
      <c r="M200" s="99">
        <f>F201*0.1+F201</f>
        <v>0</v>
      </c>
      <c r="N200" s="32"/>
      <c r="O200" s="33"/>
    </row>
    <row r="201" ht="15.75" customHeight="1">
      <c r="A201" s="21"/>
      <c r="B201" s="70"/>
      <c r="C201" s="61"/>
      <c r="D201" s="124"/>
      <c r="E201" s="90"/>
      <c r="F201" s="115"/>
      <c r="G201" s="173"/>
      <c r="H201" s="96">
        <f t="shared" ref="H201:H203" si="143">F201*0.5+F201</f>
        <v>0</v>
      </c>
      <c r="I201" s="97">
        <f t="shared" ref="I201:I203" si="144">F201*0.3+F201</f>
        <v>0</v>
      </c>
      <c r="J201" s="98">
        <f t="shared" ref="J201:J203" si="145">F201*0.3+F201</f>
        <v>0</v>
      </c>
      <c r="K201" s="99">
        <f t="shared" ref="K201:K203" si="146">F201*0.2+F201</f>
        <v>0</v>
      </c>
      <c r="L201" s="98">
        <f t="shared" ref="L201:L203" si="147">F201*0.15+F201</f>
        <v>0</v>
      </c>
      <c r="M201" s="99">
        <f t="shared" ref="M201:M203" si="148">F201*0.1+F201</f>
        <v>0</v>
      </c>
      <c r="N201" s="32"/>
      <c r="O201" s="33"/>
    </row>
    <row r="202" ht="15.75" customHeight="1">
      <c r="A202" s="21"/>
      <c r="B202" s="70"/>
      <c r="C202" s="61"/>
      <c r="D202" s="124"/>
      <c r="E202" s="90"/>
      <c r="F202" s="112"/>
      <c r="G202" s="173"/>
      <c r="H202" s="96">
        <f t="shared" si="143"/>
        <v>0</v>
      </c>
      <c r="I202" s="97">
        <f t="shared" si="144"/>
        <v>0</v>
      </c>
      <c r="J202" s="98">
        <f t="shared" si="145"/>
        <v>0</v>
      </c>
      <c r="K202" s="99">
        <f t="shared" si="146"/>
        <v>0</v>
      </c>
      <c r="L202" s="98">
        <f t="shared" si="147"/>
        <v>0</v>
      </c>
      <c r="M202" s="99">
        <f t="shared" si="148"/>
        <v>0</v>
      </c>
      <c r="N202" s="32"/>
      <c r="O202" s="33"/>
    </row>
    <row r="203" ht="15.75" customHeight="1">
      <c r="A203" s="21"/>
      <c r="B203" s="70"/>
      <c r="C203" s="61"/>
      <c r="D203" s="102"/>
      <c r="E203" s="90"/>
      <c r="F203" s="127"/>
      <c r="G203" s="173"/>
      <c r="H203" s="96">
        <f t="shared" si="143"/>
        <v>0</v>
      </c>
      <c r="I203" s="97">
        <f t="shared" si="144"/>
        <v>0</v>
      </c>
      <c r="J203" s="98">
        <f t="shared" si="145"/>
        <v>0</v>
      </c>
      <c r="K203" s="99">
        <f t="shared" si="146"/>
        <v>0</v>
      </c>
      <c r="L203" s="98">
        <f t="shared" si="147"/>
        <v>0</v>
      </c>
      <c r="M203" s="99">
        <f t="shared" si="148"/>
        <v>0</v>
      </c>
      <c r="N203" s="32"/>
      <c r="O203" s="33"/>
    </row>
    <row r="204" ht="15.75" customHeight="1">
      <c r="A204" s="21"/>
      <c r="B204" s="70"/>
      <c r="C204" s="61"/>
      <c r="D204" s="128"/>
      <c r="E204" s="90"/>
      <c r="F204" s="127"/>
      <c r="G204" s="173"/>
      <c r="H204" s="96">
        <f>F205*0.5+F205</f>
        <v>0</v>
      </c>
      <c r="I204" s="97">
        <f>F205*0.3+F205</f>
        <v>0</v>
      </c>
      <c r="J204" s="98">
        <f>F205*0.3+F205</f>
        <v>0</v>
      </c>
      <c r="K204" s="99">
        <f>F205*0.2+F205</f>
        <v>0</v>
      </c>
      <c r="L204" s="98">
        <f>F205*0.15+F205</f>
        <v>0</v>
      </c>
      <c r="M204" s="99">
        <f>F205*0.1+F205</f>
        <v>0</v>
      </c>
      <c r="N204" s="32"/>
      <c r="O204" s="33"/>
    </row>
    <row r="205" ht="15.75" customHeight="1">
      <c r="A205" s="21"/>
      <c r="B205" s="70"/>
      <c r="C205" s="61"/>
      <c r="D205" s="102"/>
      <c r="E205" s="90"/>
      <c r="F205" s="127"/>
      <c r="G205" s="173"/>
      <c r="H205" s="96">
        <f t="shared" ref="H205:H207" si="149">F205*0.5+F205</f>
        <v>0</v>
      </c>
      <c r="I205" s="97">
        <f t="shared" ref="I205:I207" si="150">F205*0.3+F205</f>
        <v>0</v>
      </c>
      <c r="J205" s="98">
        <f t="shared" ref="J205:J207" si="151">F205*0.3+F205</f>
        <v>0</v>
      </c>
      <c r="K205" s="99">
        <f t="shared" ref="K205:K207" si="152">F205*0.2+F205</f>
        <v>0</v>
      </c>
      <c r="L205" s="98">
        <f t="shared" ref="L205:L207" si="153">F205*0.15+F205</f>
        <v>0</v>
      </c>
      <c r="M205" s="99">
        <f t="shared" ref="M205:M207" si="154">F205*0.1+F205</f>
        <v>0</v>
      </c>
      <c r="N205" s="32"/>
      <c r="O205" s="33"/>
    </row>
    <row r="206" ht="15.75" customHeight="1">
      <c r="A206" s="21"/>
      <c r="B206" s="70"/>
      <c r="C206" s="61"/>
      <c r="D206" s="102"/>
      <c r="E206" s="90"/>
      <c r="F206" s="127"/>
      <c r="G206" s="173"/>
      <c r="H206" s="96">
        <f t="shared" si="149"/>
        <v>0</v>
      </c>
      <c r="I206" s="97">
        <f t="shared" si="150"/>
        <v>0</v>
      </c>
      <c r="J206" s="98">
        <f t="shared" si="151"/>
        <v>0</v>
      </c>
      <c r="K206" s="99">
        <f t="shared" si="152"/>
        <v>0</v>
      </c>
      <c r="L206" s="98">
        <f t="shared" si="153"/>
        <v>0</v>
      </c>
      <c r="M206" s="99">
        <f t="shared" si="154"/>
        <v>0</v>
      </c>
      <c r="N206" s="32"/>
      <c r="O206" s="33"/>
    </row>
    <row r="207" ht="15.75" customHeight="1">
      <c r="A207" s="21"/>
      <c r="B207" s="70"/>
      <c r="C207" s="61"/>
      <c r="D207" s="102"/>
      <c r="E207" s="90"/>
      <c r="F207" s="127"/>
      <c r="G207" s="173"/>
      <c r="H207" s="96">
        <f t="shared" si="149"/>
        <v>0</v>
      </c>
      <c r="I207" s="97">
        <f t="shared" si="150"/>
        <v>0</v>
      </c>
      <c r="J207" s="98">
        <f t="shared" si="151"/>
        <v>0</v>
      </c>
      <c r="K207" s="99">
        <f t="shared" si="152"/>
        <v>0</v>
      </c>
      <c r="L207" s="98">
        <f t="shared" si="153"/>
        <v>0</v>
      </c>
      <c r="M207" s="99">
        <f t="shared" si="154"/>
        <v>0</v>
      </c>
      <c r="N207" s="32"/>
      <c r="O207" s="33"/>
    </row>
    <row r="208" ht="15.75" customHeight="1">
      <c r="A208" s="21"/>
      <c r="B208" s="70"/>
      <c r="C208" s="61"/>
      <c r="D208" s="102"/>
      <c r="E208" s="90"/>
      <c r="F208" s="127"/>
      <c r="G208" s="173"/>
      <c r="H208" s="96">
        <f>F209*0.5+F209</f>
        <v>0</v>
      </c>
      <c r="I208" s="97">
        <f>F209*0.3+F209</f>
        <v>0</v>
      </c>
      <c r="J208" s="98">
        <f>F209*0.3+F209</f>
        <v>0</v>
      </c>
      <c r="K208" s="99">
        <f>F209*0.2+F209</f>
        <v>0</v>
      </c>
      <c r="L208" s="98">
        <f>F209*0.15+F209</f>
        <v>0</v>
      </c>
      <c r="M208" s="99">
        <f>F209*0.1+F209</f>
        <v>0</v>
      </c>
      <c r="N208" s="32"/>
      <c r="O208" s="33"/>
    </row>
    <row r="209" ht="15.75" customHeight="1">
      <c r="A209" s="21"/>
      <c r="B209" s="70"/>
      <c r="C209" s="61"/>
      <c r="D209" s="102"/>
      <c r="E209" s="90"/>
      <c r="F209" s="115"/>
      <c r="G209" s="173"/>
      <c r="H209" s="96">
        <f t="shared" ref="H209:H211" si="155">F209*0.5+F209</f>
        <v>0</v>
      </c>
      <c r="I209" s="97">
        <f t="shared" ref="I209:I211" si="156">F209*0.3+F209</f>
        <v>0</v>
      </c>
      <c r="J209" s="98">
        <f t="shared" ref="J209:J211" si="157">F209*0.3+F209</f>
        <v>0</v>
      </c>
      <c r="K209" s="99">
        <f t="shared" ref="K209:K211" si="158">F209*0.2+F209</f>
        <v>0</v>
      </c>
      <c r="L209" s="98">
        <f t="shared" ref="L209:L211" si="159">F209*0.15+F209</f>
        <v>0</v>
      </c>
      <c r="M209" s="99">
        <f t="shared" ref="M209:M211" si="160">F209*0.1+F209</f>
        <v>0</v>
      </c>
      <c r="N209" s="32"/>
      <c r="O209" s="33"/>
    </row>
    <row r="210" ht="15.75" customHeight="1">
      <c r="A210" s="21"/>
      <c r="B210" s="70"/>
      <c r="C210" s="129"/>
      <c r="D210" s="102"/>
      <c r="E210" s="90"/>
      <c r="F210" s="115"/>
      <c r="G210" s="173"/>
      <c r="H210" s="96">
        <f t="shared" si="155"/>
        <v>0</v>
      </c>
      <c r="I210" s="97">
        <f t="shared" si="156"/>
        <v>0</v>
      </c>
      <c r="J210" s="98">
        <f t="shared" si="157"/>
        <v>0</v>
      </c>
      <c r="K210" s="99">
        <f t="shared" si="158"/>
        <v>0</v>
      </c>
      <c r="L210" s="98">
        <f t="shared" si="159"/>
        <v>0</v>
      </c>
      <c r="M210" s="99">
        <f t="shared" si="160"/>
        <v>0</v>
      </c>
      <c r="N210" s="32"/>
      <c r="O210" s="33"/>
    </row>
    <row r="211" ht="15.75" customHeight="1">
      <c r="A211" s="21"/>
      <c r="B211" s="70"/>
      <c r="C211" s="114"/>
      <c r="D211" s="124"/>
      <c r="E211" s="90"/>
      <c r="F211" s="115"/>
      <c r="G211" s="173"/>
      <c r="H211" s="96">
        <f t="shared" si="155"/>
        <v>0</v>
      </c>
      <c r="I211" s="97">
        <f t="shared" si="156"/>
        <v>0</v>
      </c>
      <c r="J211" s="98">
        <f t="shared" si="157"/>
        <v>0</v>
      </c>
      <c r="K211" s="99">
        <f t="shared" si="158"/>
        <v>0</v>
      </c>
      <c r="L211" s="98">
        <f t="shared" si="159"/>
        <v>0</v>
      </c>
      <c r="M211" s="99">
        <f t="shared" si="160"/>
        <v>0</v>
      </c>
      <c r="N211" s="32"/>
      <c r="O211" s="33"/>
    </row>
    <row r="212" ht="15.75" customHeight="1">
      <c r="A212" s="21"/>
      <c r="B212" s="70"/>
      <c r="C212" s="114"/>
      <c r="D212" s="124"/>
      <c r="E212" s="90"/>
      <c r="F212" s="115"/>
      <c r="G212" s="173"/>
      <c r="H212" s="96">
        <f>F213*0.5+F213</f>
        <v>0</v>
      </c>
      <c r="I212" s="97">
        <f>F213*0.3+F213</f>
        <v>0</v>
      </c>
      <c r="J212" s="98">
        <f>F213*0.3+F213</f>
        <v>0</v>
      </c>
      <c r="K212" s="99">
        <f>F213*0.2+F213</f>
        <v>0</v>
      </c>
      <c r="L212" s="98">
        <f>F213*0.15+F213</f>
        <v>0</v>
      </c>
      <c r="M212" s="99">
        <f>F213*0.1+F213</f>
        <v>0</v>
      </c>
      <c r="N212" s="32"/>
      <c r="O212" s="33"/>
    </row>
    <row r="213" ht="15.75" customHeight="1">
      <c r="A213" s="21"/>
      <c r="B213" s="70"/>
      <c r="C213" s="114"/>
      <c r="D213" s="124"/>
      <c r="E213" s="90"/>
      <c r="F213" s="115"/>
      <c r="G213" s="173"/>
      <c r="H213" s="96">
        <f t="shared" ref="H213:H215" si="161">F213*0.5+F213</f>
        <v>0</v>
      </c>
      <c r="I213" s="97">
        <f t="shared" ref="I213:I215" si="162">F213*0.3+F213</f>
        <v>0</v>
      </c>
      <c r="J213" s="98">
        <f t="shared" ref="J213:J215" si="163">F213*0.3+F213</f>
        <v>0</v>
      </c>
      <c r="K213" s="99">
        <f t="shared" ref="K213:K215" si="164">F213*0.2+F213</f>
        <v>0</v>
      </c>
      <c r="L213" s="98">
        <f t="shared" ref="L213:L215" si="165">F213*0.15+F213</f>
        <v>0</v>
      </c>
      <c r="M213" s="99">
        <f t="shared" ref="M213:M215" si="166">F213*0.1+F213</f>
        <v>0</v>
      </c>
      <c r="N213" s="32"/>
      <c r="O213" s="33"/>
    </row>
    <row r="214" ht="15.75" customHeight="1">
      <c r="A214" s="21"/>
      <c r="B214" s="70"/>
      <c r="C214" s="114"/>
      <c r="D214" s="124"/>
      <c r="E214" s="90"/>
      <c r="F214" s="115"/>
      <c r="G214" s="173"/>
      <c r="H214" s="96">
        <f t="shared" si="161"/>
        <v>0</v>
      </c>
      <c r="I214" s="97">
        <f t="shared" si="162"/>
        <v>0</v>
      </c>
      <c r="J214" s="98">
        <f t="shared" si="163"/>
        <v>0</v>
      </c>
      <c r="K214" s="99">
        <f t="shared" si="164"/>
        <v>0</v>
      </c>
      <c r="L214" s="98">
        <f t="shared" si="165"/>
        <v>0</v>
      </c>
      <c r="M214" s="99">
        <f t="shared" si="166"/>
        <v>0</v>
      </c>
      <c r="N214" s="32"/>
      <c r="O214" s="33"/>
    </row>
    <row r="215" ht="15.75" customHeight="1">
      <c r="A215" s="21"/>
      <c r="B215" s="70"/>
      <c r="C215" s="61"/>
      <c r="D215" s="124"/>
      <c r="E215" s="90"/>
      <c r="F215" s="115"/>
      <c r="G215" s="173"/>
      <c r="H215" s="96">
        <f t="shared" si="161"/>
        <v>0</v>
      </c>
      <c r="I215" s="97">
        <f t="shared" si="162"/>
        <v>0</v>
      </c>
      <c r="J215" s="98">
        <f t="shared" si="163"/>
        <v>0</v>
      </c>
      <c r="K215" s="99">
        <f t="shared" si="164"/>
        <v>0</v>
      </c>
      <c r="L215" s="98">
        <f t="shared" si="165"/>
        <v>0</v>
      </c>
      <c r="M215" s="99">
        <f t="shared" si="166"/>
        <v>0</v>
      </c>
      <c r="N215" s="32"/>
      <c r="O215" s="33"/>
    </row>
    <row r="216" ht="15.75" customHeight="1">
      <c r="A216" s="21"/>
      <c r="B216" s="70"/>
      <c r="C216" s="126"/>
      <c r="D216" s="124"/>
      <c r="E216" s="90"/>
      <c r="F216" s="115"/>
      <c r="G216" s="173"/>
      <c r="H216" s="96">
        <f>F217*0.5+F217</f>
        <v>0</v>
      </c>
      <c r="I216" s="97">
        <f>F217*0.3+F217</f>
        <v>0</v>
      </c>
      <c r="J216" s="98">
        <f>F217*0.3+F217</f>
        <v>0</v>
      </c>
      <c r="K216" s="99">
        <f>F217*0.2+F217</f>
        <v>0</v>
      </c>
      <c r="L216" s="98">
        <f>F217*0.15+F217</f>
        <v>0</v>
      </c>
      <c r="M216" s="99">
        <f>F217*0.1+F217</f>
        <v>0</v>
      </c>
      <c r="N216" s="32"/>
      <c r="O216" s="33"/>
    </row>
    <row r="217" ht="15.75" customHeight="1">
      <c r="A217" s="21"/>
      <c r="B217" s="70"/>
      <c r="C217" s="130"/>
      <c r="D217" s="124"/>
      <c r="E217" s="90"/>
      <c r="F217" s="115"/>
      <c r="G217" s="173"/>
      <c r="H217" s="96">
        <f t="shared" ref="H217:H219" si="167">F217*0.5+F217</f>
        <v>0</v>
      </c>
      <c r="I217" s="97">
        <f t="shared" ref="I217:I219" si="168">F217*0.3+F217</f>
        <v>0</v>
      </c>
      <c r="J217" s="98">
        <f t="shared" ref="J217:J219" si="169">F217*0.3+F217</f>
        <v>0</v>
      </c>
      <c r="K217" s="99">
        <f t="shared" ref="K217:K219" si="170">F217*0.2+F217</f>
        <v>0</v>
      </c>
      <c r="L217" s="98">
        <f t="shared" ref="L217:L219" si="171">F217*0.15+F217</f>
        <v>0</v>
      </c>
      <c r="M217" s="99">
        <f t="shared" ref="M217:M219" si="172">F217*0.1+F217</f>
        <v>0</v>
      </c>
      <c r="N217" s="32"/>
      <c r="O217" s="33"/>
    </row>
    <row r="218" ht="15.75" customHeight="1">
      <c r="A218" s="21"/>
      <c r="B218" s="70"/>
      <c r="C218" s="114"/>
      <c r="D218" s="124"/>
      <c r="E218" s="90"/>
      <c r="F218" s="115"/>
      <c r="G218" s="173"/>
      <c r="H218" s="96">
        <f t="shared" si="167"/>
        <v>0</v>
      </c>
      <c r="I218" s="97">
        <f t="shared" si="168"/>
        <v>0</v>
      </c>
      <c r="J218" s="98">
        <f t="shared" si="169"/>
        <v>0</v>
      </c>
      <c r="K218" s="99">
        <f t="shared" si="170"/>
        <v>0</v>
      </c>
      <c r="L218" s="98">
        <f t="shared" si="171"/>
        <v>0</v>
      </c>
      <c r="M218" s="99">
        <f t="shared" si="172"/>
        <v>0</v>
      </c>
      <c r="N218" s="32"/>
      <c r="O218" s="33"/>
    </row>
    <row r="219" ht="15.75" customHeight="1">
      <c r="A219" s="21"/>
      <c r="B219" s="70"/>
      <c r="C219" s="126"/>
      <c r="D219" s="124"/>
      <c r="E219" s="90"/>
      <c r="F219" s="115"/>
      <c r="G219" s="173"/>
      <c r="H219" s="96">
        <f t="shared" si="167"/>
        <v>0</v>
      </c>
      <c r="I219" s="97">
        <f t="shared" si="168"/>
        <v>0</v>
      </c>
      <c r="J219" s="98">
        <f t="shared" si="169"/>
        <v>0</v>
      </c>
      <c r="K219" s="99">
        <f t="shared" si="170"/>
        <v>0</v>
      </c>
      <c r="L219" s="98">
        <f t="shared" si="171"/>
        <v>0</v>
      </c>
      <c r="M219" s="99">
        <f t="shared" si="172"/>
        <v>0</v>
      </c>
      <c r="N219" s="32"/>
      <c r="O219" s="33"/>
    </row>
    <row r="220" ht="15.75" customHeight="1">
      <c r="A220" s="21"/>
      <c r="B220" s="70"/>
      <c r="C220" s="126"/>
      <c r="D220" s="124"/>
      <c r="E220" s="90"/>
      <c r="F220" s="115"/>
      <c r="G220" s="173"/>
      <c r="H220" s="96">
        <f>F221*0.5+F221</f>
        <v>0</v>
      </c>
      <c r="I220" s="97">
        <f>F221*0.3+F221</f>
        <v>0</v>
      </c>
      <c r="J220" s="98">
        <f>F221*0.3+F221</f>
        <v>0</v>
      </c>
      <c r="K220" s="99">
        <f>F221*0.2+F221</f>
        <v>0</v>
      </c>
      <c r="L220" s="98">
        <f>F221*0.15+F221</f>
        <v>0</v>
      </c>
      <c r="M220" s="99">
        <f>F221*0.1+F221</f>
        <v>0</v>
      </c>
      <c r="N220" s="32"/>
      <c r="O220" s="33"/>
    </row>
    <row r="221" ht="15.75" customHeight="1">
      <c r="A221" s="21"/>
      <c r="B221" s="70"/>
      <c r="C221" s="126"/>
      <c r="D221" s="124"/>
      <c r="E221" s="90"/>
      <c r="F221" s="115"/>
      <c r="G221" s="173"/>
      <c r="H221" s="96">
        <f t="shared" ref="H221:H223" si="173">F221*0.5+F221</f>
        <v>0</v>
      </c>
      <c r="I221" s="97">
        <f t="shared" ref="I221:I223" si="174">F221*0.3+F221</f>
        <v>0</v>
      </c>
      <c r="J221" s="98">
        <f t="shared" ref="J221:J223" si="175">F221*0.3+F221</f>
        <v>0</v>
      </c>
      <c r="K221" s="99">
        <f t="shared" ref="K221:K223" si="176">F221*0.2+F221</f>
        <v>0</v>
      </c>
      <c r="L221" s="98">
        <f t="shared" ref="L221:L223" si="177">F221*0.15+F221</f>
        <v>0</v>
      </c>
      <c r="M221" s="99">
        <f t="shared" ref="M221:M223" si="178">F221*0.1+F221</f>
        <v>0</v>
      </c>
      <c r="N221" s="32"/>
      <c r="O221" s="33"/>
    </row>
    <row r="222" ht="15.75" customHeight="1">
      <c r="A222" s="21"/>
      <c r="B222" s="70"/>
      <c r="C222" s="126"/>
      <c r="D222" s="124"/>
      <c r="E222" s="90"/>
      <c r="F222" s="115"/>
      <c r="G222" s="173"/>
      <c r="H222" s="96">
        <f t="shared" si="173"/>
        <v>0</v>
      </c>
      <c r="I222" s="97">
        <f t="shared" si="174"/>
        <v>0</v>
      </c>
      <c r="J222" s="98">
        <f t="shared" si="175"/>
        <v>0</v>
      </c>
      <c r="K222" s="99">
        <f t="shared" si="176"/>
        <v>0</v>
      </c>
      <c r="L222" s="98">
        <f t="shared" si="177"/>
        <v>0</v>
      </c>
      <c r="M222" s="99">
        <f t="shared" si="178"/>
        <v>0</v>
      </c>
      <c r="N222" s="32"/>
      <c r="O222" s="33"/>
    </row>
    <row r="223" ht="15.75" customHeight="1">
      <c r="A223" s="21"/>
      <c r="B223" s="70"/>
      <c r="C223" s="126"/>
      <c r="D223" s="124"/>
      <c r="E223" s="90"/>
      <c r="F223" s="115"/>
      <c r="G223" s="173"/>
      <c r="H223" s="96">
        <f t="shared" si="173"/>
        <v>0</v>
      </c>
      <c r="I223" s="97">
        <f t="shared" si="174"/>
        <v>0</v>
      </c>
      <c r="J223" s="98">
        <f t="shared" si="175"/>
        <v>0</v>
      </c>
      <c r="K223" s="99">
        <f t="shared" si="176"/>
        <v>0</v>
      </c>
      <c r="L223" s="98">
        <f t="shared" si="177"/>
        <v>0</v>
      </c>
      <c r="M223" s="99">
        <f t="shared" si="178"/>
        <v>0</v>
      </c>
      <c r="N223" s="32"/>
      <c r="O223" s="33"/>
    </row>
    <row r="224" ht="15.75" customHeight="1">
      <c r="A224" s="21"/>
      <c r="B224" s="70"/>
      <c r="C224" s="126"/>
      <c r="D224" s="124"/>
      <c r="E224" s="90"/>
      <c r="F224" s="115"/>
      <c r="G224" s="173"/>
      <c r="H224" s="96">
        <f>F225*0.5+F225</f>
        <v>0</v>
      </c>
      <c r="I224" s="97">
        <f>F225*0.3+F225</f>
        <v>0</v>
      </c>
      <c r="J224" s="98">
        <f>F225*0.3+F225</f>
        <v>0</v>
      </c>
      <c r="K224" s="99">
        <f>F225*0.2+F225</f>
        <v>0</v>
      </c>
      <c r="L224" s="98">
        <f>F225*0.15+F225</f>
        <v>0</v>
      </c>
      <c r="M224" s="99">
        <f>F225*0.1+F225</f>
        <v>0</v>
      </c>
      <c r="N224" s="32"/>
      <c r="O224" s="33"/>
    </row>
    <row r="225" ht="15.75" customHeight="1">
      <c r="A225" s="21"/>
      <c r="B225" s="70"/>
      <c r="C225" s="126"/>
      <c r="D225" s="125"/>
      <c r="E225" s="90"/>
      <c r="F225" s="115"/>
      <c r="G225" s="173"/>
      <c r="H225" s="96">
        <f t="shared" ref="H225:H227" si="179">F225*0.5+F225</f>
        <v>0</v>
      </c>
      <c r="I225" s="97">
        <f t="shared" ref="I225:I227" si="180">F225*0.3+F225</f>
        <v>0</v>
      </c>
      <c r="J225" s="98">
        <f t="shared" ref="J225:J227" si="181">F225*0.3+F225</f>
        <v>0</v>
      </c>
      <c r="K225" s="99">
        <f t="shared" ref="K225:K227" si="182">F225*0.2+F225</f>
        <v>0</v>
      </c>
      <c r="L225" s="98">
        <f t="shared" ref="L225:L227" si="183">F225*0.15+F225</f>
        <v>0</v>
      </c>
      <c r="M225" s="99">
        <f t="shared" ref="M225:M227" si="184">F225*0.1+F225</f>
        <v>0</v>
      </c>
      <c r="N225" s="32"/>
      <c r="O225" s="33"/>
    </row>
    <row r="226" ht="15.75" customHeight="1">
      <c r="A226" s="21"/>
      <c r="B226" s="70"/>
      <c r="C226" s="126"/>
      <c r="D226" s="125"/>
      <c r="E226" s="90"/>
      <c r="F226" s="115"/>
      <c r="G226" s="173"/>
      <c r="H226" s="96">
        <f t="shared" si="179"/>
        <v>0</v>
      </c>
      <c r="I226" s="97">
        <f t="shared" si="180"/>
        <v>0</v>
      </c>
      <c r="J226" s="98">
        <f t="shared" si="181"/>
        <v>0</v>
      </c>
      <c r="K226" s="99">
        <f t="shared" si="182"/>
        <v>0</v>
      </c>
      <c r="L226" s="98">
        <f t="shared" si="183"/>
        <v>0</v>
      </c>
      <c r="M226" s="99">
        <f t="shared" si="184"/>
        <v>0</v>
      </c>
      <c r="N226" s="32"/>
      <c r="O226" s="33"/>
    </row>
    <row r="227" ht="15.75" customHeight="1">
      <c r="A227" s="21"/>
      <c r="B227" s="70"/>
      <c r="C227" s="126"/>
      <c r="D227" s="125"/>
      <c r="E227" s="90"/>
      <c r="F227" s="115"/>
      <c r="G227" s="173"/>
      <c r="H227" s="96">
        <f t="shared" si="179"/>
        <v>0</v>
      </c>
      <c r="I227" s="97">
        <f t="shared" si="180"/>
        <v>0</v>
      </c>
      <c r="J227" s="98">
        <f t="shared" si="181"/>
        <v>0</v>
      </c>
      <c r="K227" s="99">
        <f t="shared" si="182"/>
        <v>0</v>
      </c>
      <c r="L227" s="98">
        <f t="shared" si="183"/>
        <v>0</v>
      </c>
      <c r="M227" s="99">
        <f t="shared" si="184"/>
        <v>0</v>
      </c>
      <c r="N227" s="32"/>
      <c r="O227" s="33"/>
    </row>
    <row r="228" ht="15.75" customHeight="1">
      <c r="A228" s="21"/>
      <c r="B228" s="70"/>
      <c r="C228" s="126"/>
      <c r="D228" s="125"/>
      <c r="E228" s="90"/>
      <c r="F228" s="115"/>
      <c r="G228" s="173"/>
      <c r="H228" s="96">
        <f>F229*0.5+F229</f>
        <v>0</v>
      </c>
      <c r="I228" s="97">
        <f>F229*0.3+F229</f>
        <v>0</v>
      </c>
      <c r="J228" s="98">
        <f>F229*0.3+F229</f>
        <v>0</v>
      </c>
      <c r="K228" s="99">
        <f>F229*0.2+F229</f>
        <v>0</v>
      </c>
      <c r="L228" s="98">
        <f>F229*0.15+F229</f>
        <v>0</v>
      </c>
      <c r="M228" s="99">
        <f>F229*0.1+F229</f>
        <v>0</v>
      </c>
      <c r="N228" s="32"/>
      <c r="O228" s="33"/>
    </row>
    <row r="229" ht="15.75" customHeight="1">
      <c r="A229" s="21"/>
      <c r="B229" s="70"/>
      <c r="C229" s="126"/>
      <c r="D229" s="125"/>
      <c r="E229" s="90"/>
      <c r="F229" s="115"/>
      <c r="G229" s="173"/>
      <c r="H229" s="96">
        <f t="shared" ref="H229:H231" si="185">F229*0.5+F229</f>
        <v>0</v>
      </c>
      <c r="I229" s="97">
        <f t="shared" ref="I229:I231" si="186">F229*0.3+F229</f>
        <v>0</v>
      </c>
      <c r="J229" s="98">
        <f t="shared" ref="J229:J231" si="187">F229*0.3+F229</f>
        <v>0</v>
      </c>
      <c r="K229" s="99">
        <f t="shared" ref="K229:K231" si="188">F229*0.2+F229</f>
        <v>0</v>
      </c>
      <c r="L229" s="98">
        <f t="shared" ref="L229:L231" si="189">F229*0.15+F229</f>
        <v>0</v>
      </c>
      <c r="M229" s="99">
        <f t="shared" ref="M229:M231" si="190">F229*0.1+F229</f>
        <v>0</v>
      </c>
      <c r="N229" s="32"/>
      <c r="O229" s="33"/>
    </row>
    <row r="230" ht="15.75" customHeight="1">
      <c r="A230" s="21"/>
      <c r="B230" s="70"/>
      <c r="C230" s="61"/>
      <c r="D230" s="125"/>
      <c r="E230" s="90"/>
      <c r="F230" s="115"/>
      <c r="G230" s="173"/>
      <c r="H230" s="96">
        <f t="shared" si="185"/>
        <v>0</v>
      </c>
      <c r="I230" s="97">
        <f t="shared" si="186"/>
        <v>0</v>
      </c>
      <c r="J230" s="98">
        <f t="shared" si="187"/>
        <v>0</v>
      </c>
      <c r="K230" s="99">
        <f t="shared" si="188"/>
        <v>0</v>
      </c>
      <c r="L230" s="98">
        <f t="shared" si="189"/>
        <v>0</v>
      </c>
      <c r="M230" s="99">
        <f t="shared" si="190"/>
        <v>0</v>
      </c>
      <c r="N230" s="32"/>
      <c r="O230" s="33"/>
    </row>
    <row r="231" ht="15.75" customHeight="1">
      <c r="A231" s="21"/>
      <c r="B231" s="70"/>
      <c r="C231" s="61"/>
      <c r="D231" s="103"/>
      <c r="E231" s="90"/>
      <c r="F231" s="115"/>
      <c r="G231" s="173"/>
      <c r="H231" s="96">
        <f t="shared" si="185"/>
        <v>0</v>
      </c>
      <c r="I231" s="97">
        <f t="shared" si="186"/>
        <v>0</v>
      </c>
      <c r="J231" s="98">
        <f t="shared" si="187"/>
        <v>0</v>
      </c>
      <c r="K231" s="99">
        <f t="shared" si="188"/>
        <v>0</v>
      </c>
      <c r="L231" s="98">
        <f t="shared" si="189"/>
        <v>0</v>
      </c>
      <c r="M231" s="99">
        <f t="shared" si="190"/>
        <v>0</v>
      </c>
      <c r="N231" s="32"/>
      <c r="O231" s="33"/>
    </row>
    <row r="232" ht="15.75" customHeight="1">
      <c r="A232" s="21"/>
      <c r="B232" s="70"/>
      <c r="C232" s="61"/>
      <c r="D232" s="103"/>
      <c r="E232" s="90"/>
      <c r="F232" s="115"/>
      <c r="G232" s="173"/>
      <c r="H232" s="96">
        <f>F233*0.5+F233</f>
        <v>0</v>
      </c>
      <c r="I232" s="97">
        <f>F233*0.3+F233</f>
        <v>0</v>
      </c>
      <c r="J232" s="98">
        <f>F233*0.3+F233</f>
        <v>0</v>
      </c>
      <c r="K232" s="99">
        <f>F233*0.2+F233</f>
        <v>0</v>
      </c>
      <c r="L232" s="98">
        <f>F233*0.15+F233</f>
        <v>0</v>
      </c>
      <c r="M232" s="99">
        <f>F233*0.1+F233</f>
        <v>0</v>
      </c>
      <c r="N232" s="32"/>
      <c r="O232" s="33"/>
    </row>
    <row r="233" ht="15.75" customHeight="1">
      <c r="A233" s="21"/>
      <c r="B233" s="70"/>
      <c r="C233" s="61"/>
      <c r="D233" s="125"/>
      <c r="E233" s="90"/>
      <c r="F233" s="115"/>
      <c r="G233" s="173"/>
      <c r="H233" s="96">
        <f t="shared" ref="H233:H235" si="191">F233*0.5+F233</f>
        <v>0</v>
      </c>
      <c r="I233" s="97">
        <f t="shared" ref="I233:I235" si="192">F233*0.3+F233</f>
        <v>0</v>
      </c>
      <c r="J233" s="98">
        <f t="shared" ref="J233:J235" si="193">F233*0.3+F233</f>
        <v>0</v>
      </c>
      <c r="K233" s="99">
        <f t="shared" ref="K233:K235" si="194">F233*0.2+F233</f>
        <v>0</v>
      </c>
      <c r="L233" s="98">
        <f t="shared" ref="L233:L235" si="195">F233*0.15+F233</f>
        <v>0</v>
      </c>
      <c r="M233" s="99">
        <f t="shared" ref="M233:M235" si="196">F233*0.1+F233</f>
        <v>0</v>
      </c>
      <c r="N233" s="32"/>
      <c r="O233" s="33"/>
    </row>
    <row r="234" ht="15.75" customHeight="1">
      <c r="A234" s="21"/>
      <c r="B234" s="70"/>
      <c r="C234" s="126"/>
      <c r="D234" s="125"/>
      <c r="E234" s="90"/>
      <c r="F234" s="115"/>
      <c r="G234" s="173"/>
      <c r="H234" s="96">
        <f t="shared" si="191"/>
        <v>0</v>
      </c>
      <c r="I234" s="97">
        <f t="shared" si="192"/>
        <v>0</v>
      </c>
      <c r="J234" s="98">
        <f t="shared" si="193"/>
        <v>0</v>
      </c>
      <c r="K234" s="99">
        <f t="shared" si="194"/>
        <v>0</v>
      </c>
      <c r="L234" s="98">
        <f t="shared" si="195"/>
        <v>0</v>
      </c>
      <c r="M234" s="99">
        <f t="shared" si="196"/>
        <v>0</v>
      </c>
      <c r="N234" s="32"/>
      <c r="O234" s="33"/>
    </row>
    <row r="235" ht="15.75" customHeight="1">
      <c r="A235" s="21"/>
      <c r="B235" s="70"/>
      <c r="C235" s="126"/>
      <c r="D235" s="125"/>
      <c r="E235" s="90"/>
      <c r="F235" s="115"/>
      <c r="G235" s="173"/>
      <c r="H235" s="96">
        <f t="shared" si="191"/>
        <v>0</v>
      </c>
      <c r="I235" s="97">
        <f t="shared" si="192"/>
        <v>0</v>
      </c>
      <c r="J235" s="98">
        <f t="shared" si="193"/>
        <v>0</v>
      </c>
      <c r="K235" s="99">
        <f t="shared" si="194"/>
        <v>0</v>
      </c>
      <c r="L235" s="98">
        <f t="shared" si="195"/>
        <v>0</v>
      </c>
      <c r="M235" s="99">
        <f t="shared" si="196"/>
        <v>0</v>
      </c>
      <c r="N235" s="32"/>
      <c r="O235" s="33"/>
    </row>
    <row r="236" ht="15.75" customHeight="1">
      <c r="A236" s="21"/>
      <c r="B236" s="70"/>
      <c r="C236" s="126"/>
      <c r="D236" s="125"/>
      <c r="E236" s="90"/>
      <c r="F236" s="115"/>
      <c r="G236" s="173"/>
      <c r="H236" s="96">
        <f>F237*0.5+F237</f>
        <v>0</v>
      </c>
      <c r="I236" s="97">
        <f>F237*0.3+F237</f>
        <v>0</v>
      </c>
      <c r="J236" s="98">
        <f>F237*0.3+F237</f>
        <v>0</v>
      </c>
      <c r="K236" s="99">
        <f>F237*0.2+F237</f>
        <v>0</v>
      </c>
      <c r="L236" s="98">
        <f>F237*0.15+F237</f>
        <v>0</v>
      </c>
      <c r="M236" s="99">
        <f>F237*0.1+F237</f>
        <v>0</v>
      </c>
      <c r="N236" s="32"/>
      <c r="O236" s="33"/>
    </row>
    <row r="237" ht="15.75" customHeight="1">
      <c r="A237" s="21"/>
      <c r="B237" s="70"/>
      <c r="C237" s="126"/>
      <c r="D237" s="125"/>
      <c r="E237" s="90"/>
      <c r="F237" s="115"/>
      <c r="G237" s="173"/>
      <c r="H237" s="96">
        <f t="shared" ref="H237:H239" si="197">F237*0.5+F237</f>
        <v>0</v>
      </c>
      <c r="I237" s="97">
        <f t="shared" ref="I237:I239" si="198">F237*0.3+F237</f>
        <v>0</v>
      </c>
      <c r="J237" s="98">
        <f t="shared" ref="J237:J239" si="199">F237*0.3+F237</f>
        <v>0</v>
      </c>
      <c r="K237" s="99">
        <f t="shared" ref="K237:K239" si="200">F237*0.2+F237</f>
        <v>0</v>
      </c>
      <c r="L237" s="98">
        <f t="shared" ref="L237:L239" si="201">F237*0.15+F237</f>
        <v>0</v>
      </c>
      <c r="M237" s="99">
        <f t="shared" ref="M237:M239" si="202">F237*0.1+F237</f>
        <v>0</v>
      </c>
      <c r="N237" s="32"/>
      <c r="O237" s="33"/>
    </row>
    <row r="238" ht="15.75" customHeight="1">
      <c r="A238" s="21"/>
      <c r="B238" s="70"/>
      <c r="C238" s="126"/>
      <c r="D238" s="125"/>
      <c r="E238" s="90"/>
      <c r="F238" s="115"/>
      <c r="G238" s="173"/>
      <c r="H238" s="96">
        <f t="shared" si="197"/>
        <v>0</v>
      </c>
      <c r="I238" s="97">
        <f t="shared" si="198"/>
        <v>0</v>
      </c>
      <c r="J238" s="98">
        <f t="shared" si="199"/>
        <v>0</v>
      </c>
      <c r="K238" s="99">
        <f t="shared" si="200"/>
        <v>0</v>
      </c>
      <c r="L238" s="98">
        <f t="shared" si="201"/>
        <v>0</v>
      </c>
      <c r="M238" s="99">
        <f t="shared" si="202"/>
        <v>0</v>
      </c>
      <c r="N238" s="32"/>
      <c r="O238" s="33"/>
    </row>
    <row r="239" ht="15.75" customHeight="1">
      <c r="A239" s="21"/>
      <c r="B239" s="70"/>
      <c r="C239" s="126"/>
      <c r="D239" s="125"/>
      <c r="E239" s="90"/>
      <c r="F239" s="115"/>
      <c r="G239" s="173"/>
      <c r="H239" s="96">
        <f t="shared" si="197"/>
        <v>0</v>
      </c>
      <c r="I239" s="97">
        <f t="shared" si="198"/>
        <v>0</v>
      </c>
      <c r="J239" s="98">
        <f t="shared" si="199"/>
        <v>0</v>
      </c>
      <c r="K239" s="99">
        <f t="shared" si="200"/>
        <v>0</v>
      </c>
      <c r="L239" s="98">
        <f t="shared" si="201"/>
        <v>0</v>
      </c>
      <c r="M239" s="99">
        <f t="shared" si="202"/>
        <v>0</v>
      </c>
      <c r="N239" s="32"/>
      <c r="O239" s="33"/>
    </row>
    <row r="240" ht="15.75" customHeight="1">
      <c r="A240" s="21"/>
      <c r="B240" s="70"/>
      <c r="C240" s="126"/>
      <c r="D240" s="125"/>
      <c r="E240" s="90"/>
      <c r="F240" s="115"/>
      <c r="G240" s="173"/>
      <c r="H240" s="96">
        <f>F241*0.5+F241</f>
        <v>0</v>
      </c>
      <c r="I240" s="97">
        <f>F241*0.3+F241</f>
        <v>0</v>
      </c>
      <c r="J240" s="98">
        <f>F241*0.3+F241</f>
        <v>0</v>
      </c>
      <c r="K240" s="99">
        <f>F241*0.2+F241</f>
        <v>0</v>
      </c>
      <c r="L240" s="98">
        <f>F241*0.15+F241</f>
        <v>0</v>
      </c>
      <c r="M240" s="99">
        <f>F241*0.1+F241</f>
        <v>0</v>
      </c>
      <c r="N240" s="32"/>
      <c r="O240" s="33"/>
    </row>
    <row r="241" ht="15.75" customHeight="1">
      <c r="A241" s="21"/>
      <c r="B241" s="70"/>
      <c r="C241" s="126"/>
      <c r="D241" s="125"/>
      <c r="E241" s="90"/>
      <c r="F241" s="115"/>
      <c r="G241" s="173"/>
      <c r="H241" s="96">
        <f t="shared" ref="H241:H243" si="203">F241*0.5+F241</f>
        <v>0</v>
      </c>
      <c r="I241" s="97">
        <f t="shared" ref="I241:I243" si="204">F241*0.3+F241</f>
        <v>0</v>
      </c>
      <c r="J241" s="98">
        <f t="shared" ref="J241:J243" si="205">F241*0.3+F241</f>
        <v>0</v>
      </c>
      <c r="K241" s="99">
        <f t="shared" ref="K241:K243" si="206">F241*0.2+F241</f>
        <v>0</v>
      </c>
      <c r="L241" s="98">
        <f t="shared" ref="L241:L243" si="207">F241*0.15+F241</f>
        <v>0</v>
      </c>
      <c r="M241" s="99">
        <f t="shared" ref="M241:M243" si="208">F241*0.1+F241</f>
        <v>0</v>
      </c>
      <c r="N241" s="32"/>
      <c r="O241" s="33"/>
    </row>
    <row r="242" ht="15.75" customHeight="1">
      <c r="A242" s="21"/>
      <c r="B242" s="70"/>
      <c r="C242" s="61"/>
      <c r="D242" s="103"/>
      <c r="E242" s="90"/>
      <c r="F242" s="115"/>
      <c r="G242" s="173"/>
      <c r="H242" s="96">
        <f t="shared" si="203"/>
        <v>0</v>
      </c>
      <c r="I242" s="97">
        <f t="shared" si="204"/>
        <v>0</v>
      </c>
      <c r="J242" s="98">
        <f t="shared" si="205"/>
        <v>0</v>
      </c>
      <c r="K242" s="99">
        <f t="shared" si="206"/>
        <v>0</v>
      </c>
      <c r="L242" s="98">
        <f t="shared" si="207"/>
        <v>0</v>
      </c>
      <c r="M242" s="99">
        <f t="shared" si="208"/>
        <v>0</v>
      </c>
      <c r="N242" s="32"/>
      <c r="O242" s="33"/>
    </row>
    <row r="243" ht="15.75" customHeight="1">
      <c r="A243" s="21"/>
      <c r="B243" s="70"/>
      <c r="C243" s="61"/>
      <c r="D243" s="103"/>
      <c r="E243" s="90"/>
      <c r="F243" s="115"/>
      <c r="G243" s="173"/>
      <c r="H243" s="96">
        <f t="shared" si="203"/>
        <v>0</v>
      </c>
      <c r="I243" s="97">
        <f t="shared" si="204"/>
        <v>0</v>
      </c>
      <c r="J243" s="98">
        <f t="shared" si="205"/>
        <v>0</v>
      </c>
      <c r="K243" s="99">
        <f t="shared" si="206"/>
        <v>0</v>
      </c>
      <c r="L243" s="98">
        <f t="shared" si="207"/>
        <v>0</v>
      </c>
      <c r="M243" s="99">
        <f t="shared" si="208"/>
        <v>0</v>
      </c>
      <c r="N243" s="32"/>
      <c r="O243" s="33"/>
    </row>
    <row r="244" ht="15.75" customHeight="1">
      <c r="A244" s="21"/>
      <c r="B244" s="70"/>
      <c r="C244" s="114"/>
      <c r="D244" s="125"/>
      <c r="E244" s="90"/>
      <c r="F244" s="115"/>
      <c r="G244" s="173"/>
      <c r="H244" s="96">
        <f>F245*0.5+F245</f>
        <v>0</v>
      </c>
      <c r="I244" s="97">
        <f>F245*0.3+F245</f>
        <v>0</v>
      </c>
      <c r="J244" s="98">
        <f>F245*0.3+F245</f>
        <v>0</v>
      </c>
      <c r="K244" s="99">
        <f>F245*0.2+F245</f>
        <v>0</v>
      </c>
      <c r="L244" s="98">
        <f>F245*0.15+F245</f>
        <v>0</v>
      </c>
      <c r="M244" s="99">
        <f>F245*0.1+F245</f>
        <v>0</v>
      </c>
      <c r="N244" s="32"/>
      <c r="O244" s="33"/>
    </row>
    <row r="245" ht="15.75" customHeight="1">
      <c r="A245" s="21"/>
      <c r="B245" s="70"/>
      <c r="C245" s="126"/>
      <c r="D245" s="125"/>
      <c r="E245" s="90"/>
      <c r="F245" s="115"/>
      <c r="G245" s="173"/>
      <c r="H245" s="96">
        <f t="shared" ref="H245:H247" si="209">F245*0.5+F245</f>
        <v>0</v>
      </c>
      <c r="I245" s="97">
        <f t="shared" ref="I245:I247" si="210">F245*0.3+F245</f>
        <v>0</v>
      </c>
      <c r="J245" s="98">
        <f t="shared" ref="J245:J247" si="211">F245*0.3+F245</f>
        <v>0</v>
      </c>
      <c r="K245" s="99">
        <f t="shared" ref="K245:K247" si="212">F245*0.2+F245</f>
        <v>0</v>
      </c>
      <c r="L245" s="98">
        <f t="shared" ref="L245:L247" si="213">F245*0.15+F245</f>
        <v>0</v>
      </c>
      <c r="M245" s="99">
        <f t="shared" ref="M245:M247" si="214">F245*0.1+F245</f>
        <v>0</v>
      </c>
      <c r="N245" s="32"/>
      <c r="O245" s="33"/>
    </row>
    <row r="246" ht="15.75" customHeight="1">
      <c r="A246" s="21"/>
      <c r="B246" s="70"/>
      <c r="C246" s="126"/>
      <c r="D246" s="125"/>
      <c r="E246" s="90"/>
      <c r="F246" s="115"/>
      <c r="G246" s="173"/>
      <c r="H246" s="96">
        <f t="shared" si="209"/>
        <v>0</v>
      </c>
      <c r="I246" s="97">
        <f t="shared" si="210"/>
        <v>0</v>
      </c>
      <c r="J246" s="98">
        <f t="shared" si="211"/>
        <v>0</v>
      </c>
      <c r="K246" s="99">
        <f t="shared" si="212"/>
        <v>0</v>
      </c>
      <c r="L246" s="98">
        <f t="shared" si="213"/>
        <v>0</v>
      </c>
      <c r="M246" s="99">
        <f t="shared" si="214"/>
        <v>0</v>
      </c>
      <c r="N246" s="32"/>
      <c r="O246" s="33"/>
    </row>
    <row r="247" ht="15.75" customHeight="1">
      <c r="A247" s="21"/>
      <c r="B247" s="70"/>
      <c r="C247" s="114"/>
      <c r="D247" s="125"/>
      <c r="E247" s="90"/>
      <c r="F247" s="115"/>
      <c r="G247" s="173"/>
      <c r="H247" s="96">
        <f t="shared" si="209"/>
        <v>0</v>
      </c>
      <c r="I247" s="97">
        <f t="shared" si="210"/>
        <v>0</v>
      </c>
      <c r="J247" s="98">
        <f t="shared" si="211"/>
        <v>0</v>
      </c>
      <c r="K247" s="99">
        <f t="shared" si="212"/>
        <v>0</v>
      </c>
      <c r="L247" s="98">
        <f t="shared" si="213"/>
        <v>0</v>
      </c>
      <c r="M247" s="99">
        <f t="shared" si="214"/>
        <v>0</v>
      </c>
      <c r="N247" s="32"/>
      <c r="O247" s="33"/>
    </row>
    <row r="248" ht="15.75" customHeight="1">
      <c r="A248" s="21"/>
      <c r="B248" s="70"/>
      <c r="C248" s="114"/>
      <c r="D248" s="125"/>
      <c r="E248" s="90"/>
      <c r="F248" s="115"/>
      <c r="G248" s="173"/>
      <c r="H248" s="96">
        <f>F249*0.5+F249</f>
        <v>0</v>
      </c>
      <c r="I248" s="97">
        <f>F249*0.3+F249</f>
        <v>0</v>
      </c>
      <c r="J248" s="98">
        <f>F249*0.3+F249</f>
        <v>0</v>
      </c>
      <c r="K248" s="99">
        <f>F249*0.2+F249</f>
        <v>0</v>
      </c>
      <c r="L248" s="98">
        <f>F249*0.15+F249</f>
        <v>0</v>
      </c>
      <c r="M248" s="99">
        <f>F249*0.1+F249</f>
        <v>0</v>
      </c>
      <c r="N248" s="32"/>
      <c r="O248" s="33"/>
    </row>
    <row r="249" ht="15.75" customHeight="1">
      <c r="A249" s="21"/>
      <c r="B249" s="70"/>
      <c r="C249" s="114"/>
      <c r="D249" s="103"/>
      <c r="E249" s="90"/>
      <c r="F249" s="115"/>
      <c r="G249" s="173"/>
      <c r="H249" s="96">
        <f t="shared" ref="H249:H251" si="215">F249*0.5+F249</f>
        <v>0</v>
      </c>
      <c r="I249" s="97">
        <f t="shared" ref="I249:I251" si="216">F249*0.3+F249</f>
        <v>0</v>
      </c>
      <c r="J249" s="98">
        <f t="shared" ref="J249:J251" si="217">F249*0.3+F249</f>
        <v>0</v>
      </c>
      <c r="K249" s="99">
        <f t="shared" ref="K249:K251" si="218">F249*0.2+F249</f>
        <v>0</v>
      </c>
      <c r="L249" s="98">
        <f t="shared" ref="L249:L251" si="219">F249*0.15+F249</f>
        <v>0</v>
      </c>
      <c r="M249" s="99">
        <f t="shared" ref="M249:M251" si="220">F249*0.1+F249</f>
        <v>0</v>
      </c>
      <c r="N249" s="32"/>
      <c r="O249" s="33"/>
    </row>
    <row r="250" ht="15.75" customHeight="1">
      <c r="A250" s="21"/>
      <c r="B250" s="70"/>
      <c r="C250" s="131"/>
      <c r="D250" s="132"/>
      <c r="E250" s="90"/>
      <c r="F250" s="115"/>
      <c r="G250" s="173"/>
      <c r="H250" s="96">
        <f t="shared" si="215"/>
        <v>0</v>
      </c>
      <c r="I250" s="97">
        <f t="shared" si="216"/>
        <v>0</v>
      </c>
      <c r="J250" s="98">
        <f t="shared" si="217"/>
        <v>0</v>
      </c>
      <c r="K250" s="99">
        <f t="shared" si="218"/>
        <v>0</v>
      </c>
      <c r="L250" s="98">
        <f t="shared" si="219"/>
        <v>0</v>
      </c>
      <c r="M250" s="99">
        <f t="shared" si="220"/>
        <v>0</v>
      </c>
      <c r="N250" s="32"/>
      <c r="O250" s="33"/>
    </row>
    <row r="251" ht="15.75" customHeight="1">
      <c r="A251" s="21"/>
      <c r="B251" s="70"/>
      <c r="C251" s="129"/>
      <c r="D251" s="133"/>
      <c r="E251" s="90"/>
      <c r="F251" s="115"/>
      <c r="G251" s="173"/>
      <c r="H251" s="96">
        <f t="shared" si="215"/>
        <v>0</v>
      </c>
      <c r="I251" s="97">
        <f t="shared" si="216"/>
        <v>0</v>
      </c>
      <c r="J251" s="98">
        <f t="shared" si="217"/>
        <v>0</v>
      </c>
      <c r="K251" s="99">
        <f t="shared" si="218"/>
        <v>0</v>
      </c>
      <c r="L251" s="98">
        <f t="shared" si="219"/>
        <v>0</v>
      </c>
      <c r="M251" s="99">
        <f t="shared" si="220"/>
        <v>0</v>
      </c>
      <c r="N251" s="32"/>
      <c r="O251" s="33"/>
    </row>
    <row r="252" ht="15.75" customHeight="1">
      <c r="A252" s="21"/>
      <c r="B252" s="70"/>
      <c r="C252" s="126"/>
      <c r="D252" s="103"/>
      <c r="E252" s="90"/>
      <c r="F252" s="115"/>
      <c r="G252" s="173"/>
      <c r="H252" s="96">
        <f>F253*0.5+F253</f>
        <v>0</v>
      </c>
      <c r="I252" s="97">
        <f>F253*0.3+F253</f>
        <v>0</v>
      </c>
      <c r="J252" s="98">
        <f>F253*0.3+F253</f>
        <v>0</v>
      </c>
      <c r="K252" s="99">
        <f>F253*0.2+F253</f>
        <v>0</v>
      </c>
      <c r="L252" s="98">
        <f>F253*0.15+F253</f>
        <v>0</v>
      </c>
      <c r="M252" s="99">
        <f>F253*0.1+F253</f>
        <v>0</v>
      </c>
      <c r="N252" s="32"/>
      <c r="O252" s="33"/>
    </row>
    <row r="253" ht="15.75" customHeight="1">
      <c r="A253" s="21"/>
      <c r="B253" s="70"/>
      <c r="C253" s="126"/>
      <c r="D253" s="103"/>
      <c r="E253" s="90"/>
      <c r="F253" s="115"/>
      <c r="G253" s="173"/>
      <c r="H253" s="96">
        <f t="shared" ref="H253:H255" si="221">F253*0.5+F253</f>
        <v>0</v>
      </c>
      <c r="I253" s="97">
        <f t="shared" ref="I253:I255" si="222">F253*0.3+F253</f>
        <v>0</v>
      </c>
      <c r="J253" s="98">
        <f t="shared" ref="J253:J255" si="223">F253*0.3+F253</f>
        <v>0</v>
      </c>
      <c r="K253" s="99">
        <f t="shared" ref="K253:K255" si="224">F253*0.2+F253</f>
        <v>0</v>
      </c>
      <c r="L253" s="98">
        <f t="shared" ref="L253:L255" si="225">F253*0.15+F253</f>
        <v>0</v>
      </c>
      <c r="M253" s="99">
        <f t="shared" ref="M253:M255" si="226">F253*0.1+F253</f>
        <v>0</v>
      </c>
      <c r="N253" s="32"/>
      <c r="O253" s="33"/>
    </row>
    <row r="254" ht="15.75" customHeight="1">
      <c r="A254" s="21"/>
      <c r="B254" s="70"/>
      <c r="C254" s="126"/>
      <c r="D254" s="103"/>
      <c r="E254" s="90"/>
      <c r="F254" s="115"/>
      <c r="G254" s="173"/>
      <c r="H254" s="96">
        <f t="shared" si="221"/>
        <v>0</v>
      </c>
      <c r="I254" s="97">
        <f t="shared" si="222"/>
        <v>0</v>
      </c>
      <c r="J254" s="98">
        <f t="shared" si="223"/>
        <v>0</v>
      </c>
      <c r="K254" s="99">
        <f t="shared" si="224"/>
        <v>0</v>
      </c>
      <c r="L254" s="98">
        <f t="shared" si="225"/>
        <v>0</v>
      </c>
      <c r="M254" s="99">
        <f t="shared" si="226"/>
        <v>0</v>
      </c>
      <c r="N254" s="32"/>
      <c r="O254" s="33"/>
    </row>
    <row r="255" ht="15.75" customHeight="1">
      <c r="A255" s="21"/>
      <c r="B255" s="70"/>
      <c r="C255" s="126"/>
      <c r="D255" s="103"/>
      <c r="E255" s="90"/>
      <c r="F255" s="115"/>
      <c r="G255" s="173"/>
      <c r="H255" s="96">
        <f t="shared" si="221"/>
        <v>0</v>
      </c>
      <c r="I255" s="97">
        <f t="shared" si="222"/>
        <v>0</v>
      </c>
      <c r="J255" s="98">
        <f t="shared" si="223"/>
        <v>0</v>
      </c>
      <c r="K255" s="99">
        <f t="shared" si="224"/>
        <v>0</v>
      </c>
      <c r="L255" s="98">
        <f t="shared" si="225"/>
        <v>0</v>
      </c>
      <c r="M255" s="99">
        <f t="shared" si="226"/>
        <v>0</v>
      </c>
      <c r="N255" s="32"/>
      <c r="O255" s="33"/>
    </row>
    <row r="256" ht="15.75" customHeight="1">
      <c r="A256" s="21"/>
      <c r="B256" s="70"/>
      <c r="C256" s="129"/>
      <c r="D256" s="134"/>
      <c r="E256" s="90"/>
      <c r="F256" s="115"/>
      <c r="G256" s="173"/>
      <c r="H256" s="96">
        <f>F257*0.5+F257</f>
        <v>0</v>
      </c>
      <c r="I256" s="97">
        <f>F257*0.3+F257</f>
        <v>0</v>
      </c>
      <c r="J256" s="98">
        <f>F257*0.3+F257</f>
        <v>0</v>
      </c>
      <c r="K256" s="99">
        <f>F257*0.2+F257</f>
        <v>0</v>
      </c>
      <c r="L256" s="98">
        <f>F257*0.15+F257</f>
        <v>0</v>
      </c>
      <c r="M256" s="99">
        <f>F257*0.1+F257</f>
        <v>0</v>
      </c>
      <c r="N256" s="32"/>
      <c r="O256" s="33"/>
    </row>
    <row r="257" ht="15.75" customHeight="1">
      <c r="A257" s="21"/>
      <c r="B257" s="70"/>
      <c r="C257" s="129"/>
      <c r="D257" s="134"/>
      <c r="E257" s="90"/>
      <c r="F257" s="115"/>
      <c r="G257" s="173"/>
      <c r="H257" s="96">
        <f t="shared" ref="H257:H259" si="227">F257*0.5+F257</f>
        <v>0</v>
      </c>
      <c r="I257" s="97">
        <f t="shared" ref="I257:I259" si="228">F257*0.3+F257</f>
        <v>0</v>
      </c>
      <c r="J257" s="98">
        <f t="shared" ref="J257:J259" si="229">F257*0.3+F257</f>
        <v>0</v>
      </c>
      <c r="K257" s="99">
        <f t="shared" ref="K257:K259" si="230">F257*0.2+F257</f>
        <v>0</v>
      </c>
      <c r="L257" s="98">
        <f t="shared" ref="L257:L259" si="231">F257*0.15+F257</f>
        <v>0</v>
      </c>
      <c r="M257" s="99">
        <f t="shared" ref="M257:M259" si="232">F257*0.1+F257</f>
        <v>0</v>
      </c>
      <c r="N257" s="32"/>
      <c r="O257" s="33"/>
    </row>
    <row r="258" ht="15.75" customHeight="1">
      <c r="A258" s="21"/>
      <c r="B258" s="70"/>
      <c r="C258" s="129"/>
      <c r="D258" s="133"/>
      <c r="E258" s="90"/>
      <c r="F258" s="115"/>
      <c r="G258" s="173"/>
      <c r="H258" s="96">
        <f t="shared" si="227"/>
        <v>0</v>
      </c>
      <c r="I258" s="97">
        <f t="shared" si="228"/>
        <v>0</v>
      </c>
      <c r="J258" s="98">
        <f t="shared" si="229"/>
        <v>0</v>
      </c>
      <c r="K258" s="99">
        <f t="shared" si="230"/>
        <v>0</v>
      </c>
      <c r="L258" s="98">
        <f t="shared" si="231"/>
        <v>0</v>
      </c>
      <c r="M258" s="99">
        <f t="shared" si="232"/>
        <v>0</v>
      </c>
      <c r="N258" s="32"/>
      <c r="O258" s="33"/>
    </row>
    <row r="259" ht="15.75" customHeight="1">
      <c r="A259" s="21"/>
      <c r="B259" s="70"/>
      <c r="C259" s="61"/>
      <c r="D259" s="103"/>
      <c r="E259" s="90"/>
      <c r="F259" s="115"/>
      <c r="G259" s="173"/>
      <c r="H259" s="96">
        <f t="shared" si="227"/>
        <v>0</v>
      </c>
      <c r="I259" s="97">
        <f t="shared" si="228"/>
        <v>0</v>
      </c>
      <c r="J259" s="98">
        <f t="shared" si="229"/>
        <v>0</v>
      </c>
      <c r="K259" s="99">
        <f t="shared" si="230"/>
        <v>0</v>
      </c>
      <c r="L259" s="98">
        <f t="shared" si="231"/>
        <v>0</v>
      </c>
      <c r="M259" s="99">
        <f t="shared" si="232"/>
        <v>0</v>
      </c>
      <c r="N259" s="32"/>
      <c r="O259" s="33"/>
    </row>
    <row r="260" ht="15.75" customHeight="1">
      <c r="A260" s="21"/>
      <c r="B260" s="70"/>
      <c r="C260" s="61"/>
      <c r="D260" s="103"/>
      <c r="E260" s="90"/>
      <c r="F260" s="115"/>
      <c r="G260" s="173"/>
      <c r="H260" s="96">
        <f>F261*0.5+F261</f>
        <v>0</v>
      </c>
      <c r="I260" s="97">
        <f>F261*0.3+F261</f>
        <v>0</v>
      </c>
      <c r="J260" s="98">
        <f>F261*0.3+F261</f>
        <v>0</v>
      </c>
      <c r="K260" s="99">
        <f>F261*0.2+F261</f>
        <v>0</v>
      </c>
      <c r="L260" s="98">
        <f>F261*0.15+F261</f>
        <v>0</v>
      </c>
      <c r="M260" s="99">
        <f>F261*0.1+F261</f>
        <v>0</v>
      </c>
      <c r="N260" s="32"/>
      <c r="O260" s="33"/>
    </row>
    <row r="261" ht="15.75" customHeight="1">
      <c r="A261" s="21"/>
      <c r="B261" s="70"/>
      <c r="C261" s="61"/>
      <c r="D261" s="103"/>
      <c r="E261" s="90"/>
      <c r="F261" s="115"/>
      <c r="G261" s="173"/>
      <c r="H261" s="96">
        <f t="shared" ref="H261:H263" si="233">F261*0.5+F261</f>
        <v>0</v>
      </c>
      <c r="I261" s="97">
        <f t="shared" ref="I261:I263" si="234">F261*0.3+F261</f>
        <v>0</v>
      </c>
      <c r="J261" s="98">
        <f t="shared" ref="J261:J263" si="235">F261*0.3+F261</f>
        <v>0</v>
      </c>
      <c r="K261" s="99">
        <f t="shared" ref="K261:K263" si="236">F261*0.2+F261</f>
        <v>0</v>
      </c>
      <c r="L261" s="98">
        <f t="shared" ref="L261:L263" si="237">F261*0.15+F261</f>
        <v>0</v>
      </c>
      <c r="M261" s="99">
        <f t="shared" ref="M261:M263" si="238">F261*0.1+F261</f>
        <v>0</v>
      </c>
      <c r="N261" s="32"/>
      <c r="O261" s="33"/>
    </row>
    <row r="262" ht="15.75" customHeight="1">
      <c r="A262" s="21"/>
      <c r="B262" s="70"/>
      <c r="C262" s="61"/>
      <c r="D262" s="103"/>
      <c r="E262" s="90"/>
      <c r="F262" s="115"/>
      <c r="G262" s="173"/>
      <c r="H262" s="96">
        <f t="shared" si="233"/>
        <v>0</v>
      </c>
      <c r="I262" s="97">
        <f t="shared" si="234"/>
        <v>0</v>
      </c>
      <c r="J262" s="98">
        <f t="shared" si="235"/>
        <v>0</v>
      </c>
      <c r="K262" s="99">
        <f t="shared" si="236"/>
        <v>0</v>
      </c>
      <c r="L262" s="98">
        <f t="shared" si="237"/>
        <v>0</v>
      </c>
      <c r="M262" s="99">
        <f t="shared" si="238"/>
        <v>0</v>
      </c>
      <c r="N262" s="32"/>
      <c r="O262" s="33"/>
    </row>
    <row r="263" ht="15.75" customHeight="1">
      <c r="A263" s="21"/>
      <c r="B263" s="70"/>
      <c r="C263" s="61"/>
      <c r="D263" s="103"/>
      <c r="E263" s="90"/>
      <c r="F263" s="115"/>
      <c r="G263" s="173"/>
      <c r="H263" s="96">
        <f t="shared" si="233"/>
        <v>0</v>
      </c>
      <c r="I263" s="97">
        <f t="shared" si="234"/>
        <v>0</v>
      </c>
      <c r="J263" s="98">
        <f t="shared" si="235"/>
        <v>0</v>
      </c>
      <c r="K263" s="99">
        <f t="shared" si="236"/>
        <v>0</v>
      </c>
      <c r="L263" s="98">
        <f t="shared" si="237"/>
        <v>0</v>
      </c>
      <c r="M263" s="99">
        <f t="shared" si="238"/>
        <v>0</v>
      </c>
      <c r="N263" s="32"/>
      <c r="O263" s="33"/>
    </row>
    <row r="264" ht="15.75" customHeight="1">
      <c r="A264" s="21"/>
      <c r="B264" s="70"/>
      <c r="C264" s="61"/>
      <c r="D264" s="103"/>
      <c r="E264" s="90"/>
      <c r="F264" s="115"/>
      <c r="G264" s="173"/>
      <c r="H264" s="96">
        <f>F265*0.5+F265</f>
        <v>0</v>
      </c>
      <c r="I264" s="97">
        <f>F265*0.3+F265</f>
        <v>0</v>
      </c>
      <c r="J264" s="98">
        <f>F265*0.3+F265</f>
        <v>0</v>
      </c>
      <c r="K264" s="99">
        <f>F265*0.2+F265</f>
        <v>0</v>
      </c>
      <c r="L264" s="98">
        <f>F265*0.15+F265</f>
        <v>0</v>
      </c>
      <c r="M264" s="99">
        <f>F265*0.1+F265</f>
        <v>0</v>
      </c>
      <c r="N264" s="32"/>
      <c r="O264" s="33"/>
    </row>
    <row r="265" ht="15.75" customHeight="1">
      <c r="A265" s="21"/>
      <c r="B265" s="70"/>
      <c r="C265" s="61"/>
      <c r="D265" s="103"/>
      <c r="E265" s="90"/>
      <c r="F265" s="115"/>
      <c r="G265" s="173"/>
      <c r="H265" s="96">
        <f t="shared" ref="H265:H267" si="239">F265*0.5+F265</f>
        <v>0</v>
      </c>
      <c r="I265" s="97">
        <f t="shared" ref="I265:I267" si="240">F265*0.3+F265</f>
        <v>0</v>
      </c>
      <c r="J265" s="98">
        <f t="shared" ref="J265:J267" si="241">F265*0.3+F265</f>
        <v>0</v>
      </c>
      <c r="K265" s="99">
        <f t="shared" ref="K265:K267" si="242">F265*0.2+F265</f>
        <v>0</v>
      </c>
      <c r="L265" s="98">
        <f t="shared" ref="L265:L267" si="243">F265*0.15+F265</f>
        <v>0</v>
      </c>
      <c r="M265" s="99">
        <f t="shared" ref="M265:M267" si="244">F265*0.1+F265</f>
        <v>0</v>
      </c>
      <c r="N265" s="32"/>
      <c r="O265" s="33"/>
    </row>
    <row r="266" ht="15.75" customHeight="1">
      <c r="A266" s="21"/>
      <c r="B266" s="70"/>
      <c r="C266" s="131"/>
      <c r="D266" s="103"/>
      <c r="E266" s="90"/>
      <c r="F266" s="115"/>
      <c r="G266" s="173"/>
      <c r="H266" s="96">
        <f t="shared" si="239"/>
        <v>0</v>
      </c>
      <c r="I266" s="97">
        <f t="shared" si="240"/>
        <v>0</v>
      </c>
      <c r="J266" s="98">
        <f t="shared" si="241"/>
        <v>0</v>
      </c>
      <c r="K266" s="99">
        <f t="shared" si="242"/>
        <v>0</v>
      </c>
      <c r="L266" s="98">
        <f t="shared" si="243"/>
        <v>0</v>
      </c>
      <c r="M266" s="99">
        <f t="shared" si="244"/>
        <v>0</v>
      </c>
      <c r="N266" s="32"/>
      <c r="O266" s="33"/>
    </row>
    <row r="267" ht="15.75" customHeight="1">
      <c r="A267" s="21"/>
      <c r="B267" s="70"/>
      <c r="C267" s="61"/>
      <c r="D267" s="133"/>
      <c r="E267" s="90"/>
      <c r="F267" s="115"/>
      <c r="G267" s="173"/>
      <c r="H267" s="96">
        <f t="shared" si="239"/>
        <v>0</v>
      </c>
      <c r="I267" s="97">
        <f t="shared" si="240"/>
        <v>0</v>
      </c>
      <c r="J267" s="98">
        <f t="shared" si="241"/>
        <v>0</v>
      </c>
      <c r="K267" s="99">
        <f t="shared" si="242"/>
        <v>0</v>
      </c>
      <c r="L267" s="98">
        <f t="shared" si="243"/>
        <v>0</v>
      </c>
      <c r="M267" s="99">
        <f t="shared" si="244"/>
        <v>0</v>
      </c>
      <c r="N267" s="32"/>
      <c r="O267" s="33"/>
    </row>
    <row r="268" ht="15.75" customHeight="1">
      <c r="A268" s="21"/>
      <c r="B268" s="70"/>
      <c r="C268" s="61"/>
      <c r="D268" s="135"/>
      <c r="E268" s="90"/>
      <c r="F268" s="115"/>
      <c r="G268" s="173"/>
      <c r="H268" s="96">
        <f>F269*0.5+F269</f>
        <v>0</v>
      </c>
      <c r="I268" s="97">
        <f>F269*0.3+F269</f>
        <v>0</v>
      </c>
      <c r="J268" s="98">
        <f>F269*0.3+F269</f>
        <v>0</v>
      </c>
      <c r="K268" s="99">
        <f>F269*0.2+F269</f>
        <v>0</v>
      </c>
      <c r="L268" s="98">
        <f>F269*0.15+F269</f>
        <v>0</v>
      </c>
      <c r="M268" s="99">
        <f>F269*0.1+F269</f>
        <v>0</v>
      </c>
      <c r="N268" s="32"/>
      <c r="O268" s="33"/>
    </row>
    <row r="269" ht="15.75" customHeight="1">
      <c r="A269" s="21"/>
      <c r="B269" s="70"/>
      <c r="C269" s="136"/>
      <c r="D269" s="107"/>
      <c r="E269" s="90"/>
      <c r="F269" s="137"/>
      <c r="G269" s="173"/>
      <c r="H269" s="96">
        <f t="shared" ref="H269:H271" si="245">F269*0.5+F269</f>
        <v>0</v>
      </c>
      <c r="I269" s="97">
        <f t="shared" ref="I269:I271" si="246">F269*0.3+F269</f>
        <v>0</v>
      </c>
      <c r="J269" s="98">
        <f t="shared" ref="J269:J271" si="247">F269*0.3+F269</f>
        <v>0</v>
      </c>
      <c r="K269" s="99">
        <f t="shared" ref="K269:K271" si="248">F269*0.2+F269</f>
        <v>0</v>
      </c>
      <c r="L269" s="98">
        <f t="shared" ref="L269:L271" si="249">F269*0.15+F269</f>
        <v>0</v>
      </c>
      <c r="M269" s="99">
        <f t="shared" ref="M269:M271" si="250">F269*0.1+F269</f>
        <v>0</v>
      </c>
      <c r="N269" s="32"/>
      <c r="O269" s="33"/>
    </row>
    <row r="270" ht="15.75" customHeight="1">
      <c r="A270" s="21"/>
      <c r="B270" s="70"/>
      <c r="C270" s="114"/>
      <c r="D270" s="125"/>
      <c r="E270" s="90"/>
      <c r="F270" s="138"/>
      <c r="G270" s="173"/>
      <c r="H270" s="96">
        <f t="shared" si="245"/>
        <v>0</v>
      </c>
      <c r="I270" s="97">
        <f t="shared" si="246"/>
        <v>0</v>
      </c>
      <c r="J270" s="98">
        <f t="shared" si="247"/>
        <v>0</v>
      </c>
      <c r="K270" s="99">
        <f t="shared" si="248"/>
        <v>0</v>
      </c>
      <c r="L270" s="98">
        <f t="shared" si="249"/>
        <v>0</v>
      </c>
      <c r="M270" s="99">
        <f t="shared" si="250"/>
        <v>0</v>
      </c>
      <c r="N270" s="32"/>
      <c r="O270" s="33"/>
    </row>
    <row r="271" ht="15.75" customHeight="1">
      <c r="A271" s="21"/>
      <c r="B271" s="70"/>
      <c r="C271" s="114"/>
      <c r="D271" s="125"/>
      <c r="E271" s="90"/>
      <c r="F271" s="138"/>
      <c r="G271" s="173"/>
      <c r="H271" s="96">
        <f t="shared" si="245"/>
        <v>0</v>
      </c>
      <c r="I271" s="97">
        <f t="shared" si="246"/>
        <v>0</v>
      </c>
      <c r="J271" s="98">
        <f t="shared" si="247"/>
        <v>0</v>
      </c>
      <c r="K271" s="99">
        <f t="shared" si="248"/>
        <v>0</v>
      </c>
      <c r="L271" s="98">
        <f t="shared" si="249"/>
        <v>0</v>
      </c>
      <c r="M271" s="99">
        <f t="shared" si="250"/>
        <v>0</v>
      </c>
      <c r="N271" s="32"/>
      <c r="O271" s="33"/>
    </row>
    <row r="272" ht="15.75" customHeight="1">
      <c r="A272" s="21"/>
      <c r="B272" s="70"/>
      <c r="C272" s="114"/>
      <c r="D272" s="125"/>
      <c r="E272" s="90"/>
      <c r="F272" s="138"/>
      <c r="G272" s="173"/>
      <c r="H272" s="96">
        <f>F273*0.5+F273</f>
        <v>0</v>
      </c>
      <c r="I272" s="97">
        <f>F273*0.3+F273</f>
        <v>0</v>
      </c>
      <c r="J272" s="98">
        <f>F273*0.3+F273</f>
        <v>0</v>
      </c>
      <c r="K272" s="99">
        <f>F273*0.2+F273</f>
        <v>0</v>
      </c>
      <c r="L272" s="98">
        <f>F273*0.15+F273</f>
        <v>0</v>
      </c>
      <c r="M272" s="99">
        <f>F273*0.1+F273</f>
        <v>0</v>
      </c>
      <c r="N272" s="32"/>
      <c r="O272" s="33"/>
    </row>
    <row r="273" ht="15.75" customHeight="1">
      <c r="A273" s="21"/>
      <c r="B273" s="70"/>
      <c r="C273" s="114"/>
      <c r="D273" s="125"/>
      <c r="E273" s="90"/>
      <c r="F273" s="138"/>
      <c r="G273" s="173"/>
      <c r="H273" s="96">
        <f t="shared" ref="H273:H275" si="251">F273*0.5+F273</f>
        <v>0</v>
      </c>
      <c r="I273" s="97">
        <f t="shared" ref="I273:I275" si="252">F273*0.3+F273</f>
        <v>0</v>
      </c>
      <c r="J273" s="98">
        <f t="shared" ref="J273:J275" si="253">F273*0.3+F273</f>
        <v>0</v>
      </c>
      <c r="K273" s="99">
        <f t="shared" ref="K273:K275" si="254">F273*0.2+F273</f>
        <v>0</v>
      </c>
      <c r="L273" s="98">
        <f t="shared" ref="L273:L275" si="255">F273*0.15+F273</f>
        <v>0</v>
      </c>
      <c r="M273" s="99">
        <f t="shared" ref="M273:M275" si="256">F273*0.1+F273</f>
        <v>0</v>
      </c>
      <c r="N273" s="32"/>
      <c r="O273" s="33"/>
    </row>
    <row r="274" ht="15.75" customHeight="1">
      <c r="A274" s="21"/>
      <c r="B274" s="70"/>
      <c r="C274" s="114"/>
      <c r="D274" s="125"/>
      <c r="E274" s="90"/>
      <c r="F274" s="138"/>
      <c r="G274" s="173"/>
      <c r="H274" s="96">
        <f t="shared" si="251"/>
        <v>0</v>
      </c>
      <c r="I274" s="97">
        <f t="shared" si="252"/>
        <v>0</v>
      </c>
      <c r="J274" s="98">
        <f t="shared" si="253"/>
        <v>0</v>
      </c>
      <c r="K274" s="99">
        <f t="shared" si="254"/>
        <v>0</v>
      </c>
      <c r="L274" s="98">
        <f t="shared" si="255"/>
        <v>0</v>
      </c>
      <c r="M274" s="99">
        <f t="shared" si="256"/>
        <v>0</v>
      </c>
      <c r="N274" s="32"/>
      <c r="O274" s="33"/>
    </row>
    <row r="275" ht="15.75" customHeight="1">
      <c r="A275" s="21"/>
      <c r="B275" s="70"/>
      <c r="C275" s="114"/>
      <c r="D275" s="125"/>
      <c r="E275" s="90"/>
      <c r="F275" s="138"/>
      <c r="G275" s="173"/>
      <c r="H275" s="96">
        <f t="shared" si="251"/>
        <v>0</v>
      </c>
      <c r="I275" s="97">
        <f t="shared" si="252"/>
        <v>0</v>
      </c>
      <c r="J275" s="98">
        <f t="shared" si="253"/>
        <v>0</v>
      </c>
      <c r="K275" s="99">
        <f t="shared" si="254"/>
        <v>0</v>
      </c>
      <c r="L275" s="98">
        <f t="shared" si="255"/>
        <v>0</v>
      </c>
      <c r="M275" s="99">
        <f t="shared" si="256"/>
        <v>0</v>
      </c>
      <c r="N275" s="32"/>
      <c r="O275" s="33"/>
    </row>
    <row r="276" ht="15.75" customHeight="1">
      <c r="A276" s="21"/>
      <c r="B276" s="70"/>
      <c r="C276" s="114"/>
      <c r="D276" s="125"/>
      <c r="E276" s="90"/>
      <c r="F276" s="112"/>
      <c r="G276" s="173"/>
      <c r="H276" s="96">
        <f>F277*0.5+F277</f>
        <v>0</v>
      </c>
      <c r="I276" s="97">
        <f>F277*0.3+F277</f>
        <v>0</v>
      </c>
      <c r="J276" s="98">
        <f>F277*0.3+F277</f>
        <v>0</v>
      </c>
      <c r="K276" s="99">
        <f>F277*0.2+F277</f>
        <v>0</v>
      </c>
      <c r="L276" s="98">
        <f>F277*0.15+F277</f>
        <v>0</v>
      </c>
      <c r="M276" s="99">
        <f>F277*0.1+F277</f>
        <v>0</v>
      </c>
      <c r="N276" s="32"/>
      <c r="O276" s="33"/>
    </row>
    <row r="277" ht="15.75" customHeight="1">
      <c r="A277" s="21"/>
      <c r="B277" s="70"/>
      <c r="C277" s="61"/>
      <c r="D277" s="103"/>
      <c r="E277" s="90"/>
      <c r="F277" s="120"/>
      <c r="G277" s="173"/>
      <c r="H277" s="96">
        <f>F277*0.5+F277</f>
        <v>0</v>
      </c>
      <c r="I277" s="97">
        <f>F277*0.3+F277</f>
        <v>0</v>
      </c>
      <c r="J277" s="98">
        <f>F277*0.3+F277</f>
        <v>0</v>
      </c>
      <c r="K277" s="99">
        <f>F277*0.2+F277</f>
        <v>0</v>
      </c>
      <c r="L277" s="98">
        <f>F277*0.15+F277</f>
        <v>0</v>
      </c>
      <c r="M277" s="99">
        <f>F277*0.1+F277</f>
        <v>0</v>
      </c>
      <c r="N277" s="32"/>
      <c r="O277" s="33"/>
    </row>
    <row r="278" ht="15.75" customHeight="1">
      <c r="A278" s="139"/>
      <c r="B278" s="140"/>
      <c r="C278" s="61"/>
      <c r="D278" s="133"/>
      <c r="E278" s="90"/>
      <c r="F278" s="141"/>
      <c r="G278" s="173"/>
      <c r="H278" s="96"/>
      <c r="I278" s="97"/>
      <c r="J278" s="98"/>
      <c r="K278" s="99"/>
      <c r="L278" s="98"/>
      <c r="M278" s="99"/>
      <c r="N278" s="32"/>
      <c r="O278" s="33"/>
    </row>
    <row r="279" ht="15.75" customHeight="1">
      <c r="A279" s="139"/>
      <c r="B279" s="140"/>
      <c r="C279" s="61"/>
      <c r="D279" s="133"/>
      <c r="E279" s="90"/>
      <c r="F279" s="141"/>
      <c r="G279" s="173"/>
      <c r="H279" s="96"/>
      <c r="I279" s="97"/>
      <c r="J279" s="98"/>
      <c r="K279" s="99"/>
      <c r="L279" s="98"/>
      <c r="M279" s="99"/>
      <c r="N279" s="32"/>
      <c r="O279" s="33"/>
    </row>
    <row r="280" ht="15.75" customHeight="1">
      <c r="A280" s="139"/>
      <c r="B280" s="140"/>
      <c r="C280" s="61"/>
      <c r="D280" s="133"/>
      <c r="E280" s="90"/>
      <c r="F280" s="141"/>
      <c r="G280" s="173"/>
      <c r="H280" s="96"/>
      <c r="I280" s="97"/>
      <c r="J280" s="98"/>
      <c r="K280" s="99"/>
      <c r="L280" s="98"/>
      <c r="M280" s="99"/>
      <c r="N280" s="32"/>
      <c r="O280" s="33"/>
    </row>
    <row r="281" ht="15.75" customHeight="1">
      <c r="A281" s="139"/>
      <c r="B281" s="140"/>
      <c r="C281" s="61"/>
      <c r="D281" s="133"/>
      <c r="E281" s="90"/>
      <c r="F281" s="141"/>
      <c r="G281" s="173"/>
      <c r="H281" s="96"/>
      <c r="I281" s="97"/>
      <c r="J281" s="98"/>
      <c r="K281" s="99"/>
      <c r="L281" s="98"/>
      <c r="M281" s="99"/>
      <c r="N281" s="32"/>
      <c r="O281" s="33"/>
    </row>
    <row r="282" ht="15.75" customHeight="1">
      <c r="A282" s="139"/>
      <c r="B282" s="140"/>
      <c r="C282" s="61"/>
      <c r="D282" s="133"/>
      <c r="E282" s="90"/>
      <c r="F282" s="141"/>
      <c r="G282" s="173"/>
      <c r="H282" s="96"/>
      <c r="I282" s="97"/>
      <c r="J282" s="98"/>
      <c r="K282" s="99"/>
      <c r="L282" s="98"/>
      <c r="M282" s="99"/>
      <c r="N282" s="32"/>
      <c r="O282" s="33"/>
    </row>
    <row r="283" ht="15.75" customHeight="1">
      <c r="A283" s="139"/>
      <c r="B283" s="140"/>
      <c r="C283" s="61"/>
      <c r="D283" s="133"/>
      <c r="E283" s="90"/>
      <c r="F283" s="141"/>
      <c r="G283" s="173"/>
      <c r="H283" s="96"/>
      <c r="I283" s="97"/>
      <c r="J283" s="98"/>
      <c r="K283" s="99"/>
      <c r="L283" s="98"/>
      <c r="M283" s="99"/>
      <c r="N283" s="32"/>
      <c r="O283" s="33"/>
    </row>
    <row r="284" ht="15.75" customHeight="1">
      <c r="A284" s="139"/>
      <c r="B284" s="140"/>
      <c r="C284" s="61"/>
      <c r="D284" s="133"/>
      <c r="E284" s="90"/>
      <c r="F284" s="141"/>
      <c r="G284" s="173"/>
      <c r="H284" s="96"/>
      <c r="I284" s="97"/>
      <c r="J284" s="98"/>
      <c r="K284" s="99"/>
      <c r="L284" s="98"/>
      <c r="M284" s="99"/>
      <c r="N284" s="32"/>
      <c r="O284" s="33"/>
    </row>
    <row r="285" ht="15.75" customHeight="1">
      <c r="A285" s="139"/>
      <c r="B285" s="140"/>
      <c r="C285" s="61"/>
      <c r="D285" s="133"/>
      <c r="E285" s="90"/>
      <c r="F285" s="141"/>
      <c r="G285" s="173"/>
      <c r="H285" s="96"/>
      <c r="I285" s="97"/>
      <c r="J285" s="98"/>
      <c r="K285" s="99"/>
      <c r="L285" s="98"/>
      <c r="M285" s="99"/>
      <c r="N285" s="32"/>
      <c r="O285" s="33"/>
    </row>
    <row r="286" ht="15.75" customHeight="1">
      <c r="A286" s="139"/>
      <c r="B286" s="140"/>
      <c r="C286" s="61"/>
      <c r="D286" s="133"/>
      <c r="E286" s="90"/>
      <c r="F286" s="141"/>
      <c r="G286" s="173"/>
      <c r="H286" s="96"/>
      <c r="I286" s="97"/>
      <c r="J286" s="98"/>
      <c r="K286" s="99"/>
      <c r="L286" s="98"/>
      <c r="M286" s="99"/>
      <c r="N286" s="32"/>
      <c r="O286" s="33"/>
    </row>
    <row r="287" ht="15.75" customHeight="1">
      <c r="A287" s="139"/>
      <c r="B287" s="140"/>
      <c r="C287" s="61"/>
      <c r="D287" s="133"/>
      <c r="E287" s="90"/>
      <c r="F287" s="141"/>
      <c r="G287" s="173"/>
      <c r="H287" s="96"/>
      <c r="I287" s="97"/>
      <c r="J287" s="98"/>
      <c r="K287" s="99"/>
      <c r="L287" s="98"/>
      <c r="M287" s="99"/>
      <c r="N287" s="32"/>
      <c r="O287" s="33"/>
    </row>
    <row r="288" ht="15.75" customHeight="1">
      <c r="A288" s="139"/>
      <c r="B288" s="140"/>
      <c r="C288" s="61"/>
      <c r="D288" s="133"/>
      <c r="E288" s="90"/>
      <c r="F288" s="141"/>
      <c r="G288" s="173"/>
      <c r="H288" s="96"/>
      <c r="I288" s="97"/>
      <c r="J288" s="98"/>
      <c r="K288" s="99"/>
      <c r="L288" s="98"/>
      <c r="M288" s="99"/>
      <c r="N288" s="32"/>
      <c r="O288" s="33"/>
    </row>
    <row r="289" ht="15.75" customHeight="1">
      <c r="A289" s="139"/>
      <c r="B289" s="140"/>
      <c r="C289" s="61"/>
      <c r="D289" s="133"/>
      <c r="E289" s="90"/>
      <c r="F289" s="141"/>
      <c r="G289" s="173"/>
      <c r="H289" s="96"/>
      <c r="I289" s="97"/>
      <c r="J289" s="98"/>
      <c r="K289" s="99"/>
      <c r="L289" s="98"/>
      <c r="M289" s="99"/>
      <c r="N289" s="32"/>
      <c r="O289" s="33"/>
    </row>
    <row r="290" ht="15.75" customHeight="1">
      <c r="A290" s="139"/>
      <c r="B290" s="140"/>
      <c r="C290" s="61"/>
      <c r="D290" s="133"/>
      <c r="E290" s="90"/>
      <c r="F290" s="141"/>
      <c r="G290" s="173"/>
      <c r="H290" s="96"/>
      <c r="I290" s="97"/>
      <c r="J290" s="98"/>
      <c r="K290" s="99"/>
      <c r="L290" s="98"/>
      <c r="M290" s="99"/>
      <c r="N290" s="32"/>
      <c r="O290" s="33"/>
    </row>
    <row r="291" ht="15.75" customHeight="1">
      <c r="A291" s="139"/>
      <c r="B291" s="140"/>
      <c r="C291" s="61"/>
      <c r="D291" s="133"/>
      <c r="E291" s="90"/>
      <c r="F291" s="141"/>
      <c r="G291" s="173"/>
      <c r="H291" s="96"/>
      <c r="I291" s="97"/>
      <c r="J291" s="98"/>
      <c r="K291" s="99"/>
      <c r="L291" s="98"/>
      <c r="M291" s="99"/>
      <c r="N291" s="32"/>
      <c r="O291" s="33"/>
    </row>
    <row r="292" ht="15.75" customHeight="1">
      <c r="A292" s="139"/>
      <c r="B292" s="140"/>
      <c r="C292" s="61"/>
      <c r="D292" s="133"/>
      <c r="E292" s="90"/>
      <c r="F292" s="141"/>
      <c r="G292" s="173"/>
      <c r="H292" s="96"/>
      <c r="I292" s="97"/>
      <c r="J292" s="98"/>
      <c r="K292" s="99"/>
      <c r="L292" s="98"/>
      <c r="M292" s="99"/>
      <c r="N292" s="32"/>
      <c r="O292" s="33"/>
    </row>
    <row r="293" ht="15.75" customHeight="1">
      <c r="A293" s="139"/>
      <c r="B293" s="140"/>
      <c r="C293" s="61"/>
      <c r="D293" s="133"/>
      <c r="E293" s="90"/>
      <c r="F293" s="141"/>
      <c r="G293" s="173"/>
      <c r="H293" s="96"/>
      <c r="I293" s="97"/>
      <c r="J293" s="98"/>
      <c r="K293" s="99"/>
      <c r="L293" s="98"/>
      <c r="M293" s="99"/>
      <c r="N293" s="32"/>
      <c r="O293" s="33"/>
    </row>
    <row r="294" ht="15.75" customHeight="1">
      <c r="A294" s="139"/>
      <c r="B294" s="140"/>
      <c r="C294" s="61"/>
      <c r="D294" s="133"/>
      <c r="E294" s="90"/>
      <c r="F294" s="141"/>
      <c r="G294" s="173"/>
      <c r="H294" s="96"/>
      <c r="I294" s="97"/>
      <c r="J294" s="98"/>
      <c r="K294" s="99"/>
      <c r="L294" s="98"/>
      <c r="M294" s="99"/>
      <c r="N294" s="32"/>
      <c r="O294" s="33"/>
    </row>
    <row r="295" ht="15.75" customHeight="1">
      <c r="A295" s="139"/>
      <c r="B295" s="140"/>
      <c r="C295" s="61"/>
      <c r="D295" s="133"/>
      <c r="E295" s="90"/>
      <c r="F295" s="141"/>
      <c r="G295" s="173"/>
      <c r="H295" s="96"/>
      <c r="I295" s="97"/>
      <c r="J295" s="98"/>
      <c r="K295" s="99"/>
      <c r="L295" s="98"/>
      <c r="M295" s="99"/>
      <c r="N295" s="32"/>
      <c r="O295" s="33"/>
    </row>
    <row r="296" ht="15.75" customHeight="1">
      <c r="A296" s="139"/>
      <c r="B296" s="140"/>
      <c r="C296" s="61"/>
      <c r="D296" s="133"/>
      <c r="E296" s="90"/>
      <c r="F296" s="141"/>
      <c r="G296" s="173"/>
      <c r="H296" s="96"/>
      <c r="I296" s="97"/>
      <c r="J296" s="98"/>
      <c r="K296" s="99"/>
      <c r="L296" s="98"/>
      <c r="M296" s="99"/>
      <c r="N296" s="32"/>
      <c r="O296" s="33"/>
    </row>
    <row r="297" ht="15.75" customHeight="1">
      <c r="A297" s="139"/>
      <c r="B297" s="140"/>
      <c r="C297" s="61"/>
      <c r="D297" s="133"/>
      <c r="E297" s="90"/>
      <c r="F297" s="141"/>
      <c r="G297" s="173"/>
      <c r="H297" s="96"/>
      <c r="I297" s="97"/>
      <c r="J297" s="98"/>
      <c r="K297" s="99"/>
      <c r="L297" s="98"/>
      <c r="M297" s="99"/>
      <c r="N297" s="32"/>
      <c r="O297" s="33"/>
    </row>
    <row r="298" ht="15.75" customHeight="1">
      <c r="A298" s="139"/>
      <c r="B298" s="140"/>
      <c r="C298" s="61"/>
      <c r="D298" s="133"/>
      <c r="E298" s="90"/>
      <c r="F298" s="141"/>
      <c r="G298" s="173"/>
      <c r="H298" s="96"/>
      <c r="I298" s="97"/>
      <c r="J298" s="98"/>
      <c r="K298" s="99"/>
      <c r="L298" s="98"/>
      <c r="M298" s="99"/>
      <c r="N298" s="32"/>
      <c r="O298" s="33"/>
    </row>
    <row r="299" ht="15.75" customHeight="1">
      <c r="A299" s="139"/>
      <c r="B299" s="140"/>
      <c r="C299" s="61"/>
      <c r="D299" s="133"/>
      <c r="E299" s="90"/>
      <c r="F299" s="141"/>
      <c r="G299" s="173"/>
      <c r="H299" s="96"/>
      <c r="I299" s="97"/>
      <c r="J299" s="98"/>
      <c r="K299" s="99"/>
      <c r="L299" s="98"/>
      <c r="M299" s="99"/>
      <c r="N299" s="32"/>
      <c r="O299" s="33"/>
    </row>
    <row r="300" ht="15.75" customHeight="1">
      <c r="A300" s="139"/>
      <c r="B300" s="140"/>
      <c r="C300" s="61"/>
      <c r="D300" s="133"/>
      <c r="E300" s="90"/>
      <c r="F300" s="141"/>
      <c r="G300" s="173"/>
      <c r="H300" s="96"/>
      <c r="I300" s="97"/>
      <c r="J300" s="98"/>
      <c r="K300" s="99"/>
      <c r="L300" s="98"/>
      <c r="M300" s="99"/>
      <c r="N300" s="32"/>
      <c r="O300" s="33"/>
    </row>
    <row r="301" ht="15.75" customHeight="1">
      <c r="A301" s="139"/>
      <c r="B301" s="140"/>
      <c r="C301" s="61"/>
      <c r="D301" s="133"/>
      <c r="E301" s="90"/>
      <c r="F301" s="141"/>
      <c r="G301" s="173"/>
      <c r="H301" s="96"/>
      <c r="I301" s="97"/>
      <c r="J301" s="98"/>
      <c r="K301" s="99"/>
      <c r="L301" s="98"/>
      <c r="M301" s="99"/>
      <c r="N301" s="32"/>
      <c r="O301" s="33"/>
    </row>
    <row r="302" ht="15.75" customHeight="1">
      <c r="A302" s="139"/>
      <c r="B302" s="140"/>
      <c r="C302" s="61"/>
      <c r="D302" s="133"/>
      <c r="E302" s="90"/>
      <c r="F302" s="141"/>
      <c r="G302" s="173"/>
      <c r="H302" s="96"/>
      <c r="I302" s="97"/>
      <c r="J302" s="98"/>
      <c r="K302" s="99"/>
      <c r="L302" s="98"/>
      <c r="M302" s="99"/>
      <c r="N302" s="32"/>
      <c r="O302" s="33"/>
    </row>
    <row r="303" ht="15.75" customHeight="1">
      <c r="A303" s="139"/>
      <c r="B303" s="140"/>
      <c r="C303" s="61"/>
      <c r="D303" s="133"/>
      <c r="E303" s="90"/>
      <c r="F303" s="141"/>
      <c r="G303" s="173"/>
      <c r="H303" s="96"/>
      <c r="I303" s="97"/>
      <c r="J303" s="98"/>
      <c r="K303" s="99"/>
      <c r="L303" s="98"/>
      <c r="M303" s="99"/>
      <c r="N303" s="32"/>
      <c r="O303" s="33"/>
    </row>
    <row r="304" ht="15.75" customHeight="1">
      <c r="A304" s="139"/>
      <c r="B304" s="140"/>
      <c r="C304" s="61"/>
      <c r="D304" s="133"/>
      <c r="E304" s="90"/>
      <c r="F304" s="141"/>
      <c r="G304" s="173"/>
      <c r="H304" s="96"/>
      <c r="I304" s="97"/>
      <c r="J304" s="98"/>
      <c r="K304" s="99"/>
      <c r="L304" s="98"/>
      <c r="M304" s="99"/>
      <c r="N304" s="32"/>
      <c r="O304" s="33"/>
    </row>
    <row r="305" ht="15.75" customHeight="1">
      <c r="A305" s="139"/>
      <c r="B305" s="140"/>
      <c r="C305" s="61"/>
      <c r="D305" s="133"/>
      <c r="E305" s="90"/>
      <c r="F305" s="141"/>
      <c r="G305" s="173"/>
      <c r="H305" s="96"/>
      <c r="I305" s="97"/>
      <c r="J305" s="98"/>
      <c r="K305" s="99"/>
      <c r="L305" s="98"/>
      <c r="M305" s="99"/>
      <c r="N305" s="32"/>
      <c r="O305" s="33"/>
    </row>
    <row r="306" ht="15.75" customHeight="1">
      <c r="A306" s="139"/>
      <c r="B306" s="140"/>
      <c r="C306" s="61"/>
      <c r="D306" s="133"/>
      <c r="E306" s="90"/>
      <c r="F306" s="141"/>
      <c r="G306" s="173"/>
      <c r="H306" s="96"/>
      <c r="I306" s="97"/>
      <c r="J306" s="98"/>
      <c r="K306" s="99"/>
      <c r="L306" s="98"/>
      <c r="M306" s="99"/>
      <c r="N306" s="32"/>
      <c r="O306" s="33"/>
    </row>
    <row r="307" ht="15.75" customHeight="1">
      <c r="A307" s="139"/>
      <c r="B307" s="140"/>
      <c r="C307" s="61"/>
      <c r="D307" s="133"/>
      <c r="E307" s="90"/>
      <c r="F307" s="141"/>
      <c r="G307" s="173"/>
      <c r="H307" s="96"/>
      <c r="I307" s="97"/>
      <c r="J307" s="98"/>
      <c r="K307" s="99"/>
      <c r="L307" s="98"/>
      <c r="M307" s="99"/>
      <c r="N307" s="32"/>
      <c r="O307" s="33"/>
    </row>
    <row r="308" ht="15.75" customHeight="1">
      <c r="A308" s="139"/>
      <c r="B308" s="140"/>
      <c r="C308" s="61"/>
      <c r="D308" s="133"/>
      <c r="E308" s="90"/>
      <c r="F308" s="141"/>
      <c r="G308" s="173"/>
      <c r="H308" s="96"/>
      <c r="I308" s="97"/>
      <c r="J308" s="98"/>
      <c r="K308" s="99"/>
      <c r="L308" s="98"/>
      <c r="M308" s="99"/>
      <c r="N308" s="32"/>
      <c r="O308" s="33"/>
    </row>
    <row r="309" ht="15.75" customHeight="1">
      <c r="A309" s="139"/>
      <c r="B309" s="140"/>
      <c r="C309" s="61"/>
      <c r="D309" s="133"/>
      <c r="E309" s="90"/>
      <c r="F309" s="141"/>
      <c r="G309" s="173"/>
      <c r="H309" s="96"/>
      <c r="I309" s="97"/>
      <c r="J309" s="98"/>
      <c r="K309" s="99"/>
      <c r="L309" s="98"/>
      <c r="M309" s="99"/>
      <c r="N309" s="32"/>
      <c r="O309" s="33"/>
    </row>
    <row r="310" ht="15.75" customHeight="1">
      <c r="A310" s="139"/>
      <c r="B310" s="140"/>
      <c r="C310" s="61"/>
      <c r="D310" s="133"/>
      <c r="E310" s="90"/>
      <c r="F310" s="141"/>
      <c r="G310" s="173"/>
      <c r="H310" s="96"/>
      <c r="I310" s="97"/>
      <c r="J310" s="98"/>
      <c r="K310" s="99"/>
      <c r="L310" s="98"/>
      <c r="M310" s="99"/>
      <c r="N310" s="32"/>
      <c r="O310" s="33"/>
    </row>
    <row r="311" ht="15.75" customHeight="1">
      <c r="A311" s="139"/>
      <c r="B311" s="140"/>
      <c r="C311" s="61"/>
      <c r="D311" s="133"/>
      <c r="E311" s="90"/>
      <c r="F311" s="141"/>
      <c r="G311" s="173"/>
      <c r="H311" s="96"/>
      <c r="I311" s="97"/>
      <c r="J311" s="98"/>
      <c r="K311" s="99"/>
      <c r="L311" s="98"/>
      <c r="M311" s="99"/>
      <c r="N311" s="32"/>
      <c r="O311" s="33"/>
    </row>
    <row r="312" ht="15.75" customHeight="1">
      <c r="A312" s="139"/>
      <c r="B312" s="140"/>
      <c r="C312" s="61"/>
      <c r="D312" s="133"/>
      <c r="E312" s="90"/>
      <c r="F312" s="141"/>
      <c r="G312" s="173"/>
      <c r="H312" s="96"/>
      <c r="I312" s="97"/>
      <c r="J312" s="98"/>
      <c r="K312" s="99"/>
      <c r="L312" s="98"/>
      <c r="M312" s="99"/>
      <c r="N312" s="32"/>
      <c r="O312" s="33"/>
    </row>
    <row r="313" ht="15.75" customHeight="1">
      <c r="A313" s="139"/>
      <c r="B313" s="140"/>
      <c r="C313" s="61"/>
      <c r="D313" s="133"/>
      <c r="E313" s="90"/>
      <c r="F313" s="141"/>
      <c r="G313" s="173"/>
      <c r="H313" s="96"/>
      <c r="I313" s="97"/>
      <c r="J313" s="98"/>
      <c r="K313" s="99"/>
      <c r="L313" s="98"/>
      <c r="M313" s="99"/>
      <c r="N313" s="32"/>
      <c r="O313" s="33"/>
    </row>
    <row r="314" ht="15.75" customHeight="1">
      <c r="A314" s="139"/>
      <c r="B314" s="140"/>
      <c r="C314" s="61"/>
      <c r="D314" s="133"/>
      <c r="E314" s="90"/>
      <c r="F314" s="141"/>
      <c r="G314" s="173"/>
      <c r="H314" s="96"/>
      <c r="I314" s="97"/>
      <c r="J314" s="98"/>
      <c r="K314" s="99"/>
      <c r="L314" s="98"/>
      <c r="M314" s="99"/>
      <c r="N314" s="32"/>
      <c r="O314" s="33"/>
    </row>
    <row r="315" ht="15.75" customHeight="1">
      <c r="A315" s="139"/>
      <c r="B315" s="140"/>
      <c r="C315" s="61"/>
      <c r="D315" s="133"/>
      <c r="E315" s="90"/>
      <c r="F315" s="141"/>
      <c r="G315" s="173"/>
      <c r="H315" s="96"/>
      <c r="I315" s="97"/>
      <c r="J315" s="98"/>
      <c r="K315" s="99"/>
      <c r="L315" s="98"/>
      <c r="M315" s="99"/>
      <c r="N315" s="32"/>
      <c r="O315" s="33"/>
    </row>
    <row r="316" ht="15.75" customHeight="1">
      <c r="A316" s="139"/>
      <c r="B316" s="140"/>
      <c r="C316" s="61"/>
      <c r="D316" s="133"/>
      <c r="E316" s="90"/>
      <c r="F316" s="141"/>
      <c r="G316" s="173"/>
      <c r="H316" s="96"/>
      <c r="I316" s="97"/>
      <c r="J316" s="98"/>
      <c r="K316" s="99"/>
      <c r="L316" s="98"/>
      <c r="M316" s="99"/>
      <c r="N316" s="32"/>
      <c r="O316" s="33"/>
    </row>
    <row r="317" ht="15.75" customHeight="1">
      <c r="A317" s="139"/>
      <c r="B317" s="140"/>
      <c r="C317" s="61"/>
      <c r="D317" s="133"/>
      <c r="E317" s="90"/>
      <c r="F317" s="141"/>
      <c r="G317" s="173"/>
      <c r="H317" s="96"/>
      <c r="I317" s="97"/>
      <c r="J317" s="98"/>
      <c r="K317" s="99"/>
      <c r="L317" s="98"/>
      <c r="M317" s="99"/>
      <c r="N317" s="32"/>
      <c r="O317" s="33"/>
    </row>
    <row r="318" ht="15.75" customHeight="1">
      <c r="A318" s="139"/>
      <c r="B318" s="140"/>
      <c r="C318" s="61"/>
      <c r="D318" s="133"/>
      <c r="E318" s="90"/>
      <c r="F318" s="141"/>
      <c r="G318" s="173"/>
      <c r="H318" s="96"/>
      <c r="I318" s="97"/>
      <c r="J318" s="98"/>
      <c r="K318" s="99"/>
      <c r="L318" s="98"/>
      <c r="M318" s="99"/>
      <c r="N318" s="32"/>
      <c r="O318" s="33"/>
    </row>
    <row r="319" ht="15.75" customHeight="1">
      <c r="A319" s="139"/>
      <c r="B319" s="140"/>
      <c r="C319" s="61"/>
      <c r="D319" s="133"/>
      <c r="E319" s="90"/>
      <c r="F319" s="141"/>
      <c r="G319" s="173"/>
      <c r="H319" s="96"/>
      <c r="I319" s="97"/>
      <c r="J319" s="98"/>
      <c r="K319" s="99"/>
      <c r="L319" s="98"/>
      <c r="M319" s="99"/>
      <c r="N319" s="32"/>
      <c r="O319" s="33"/>
    </row>
    <row r="320" ht="15.75" customHeight="1">
      <c r="A320" s="139"/>
      <c r="B320" s="140"/>
      <c r="C320" s="61"/>
      <c r="D320" s="133"/>
      <c r="E320" s="90"/>
      <c r="F320" s="141"/>
      <c r="G320" s="173"/>
      <c r="H320" s="96"/>
      <c r="I320" s="97"/>
      <c r="J320" s="98"/>
      <c r="K320" s="99"/>
      <c r="L320" s="98"/>
      <c r="M320" s="99"/>
      <c r="N320" s="32"/>
      <c r="O320" s="33"/>
    </row>
    <row r="321" ht="15.75" customHeight="1">
      <c r="A321" s="139"/>
      <c r="B321" s="140"/>
      <c r="C321" s="61"/>
      <c r="D321" s="133"/>
      <c r="E321" s="90"/>
      <c r="F321" s="141"/>
      <c r="G321" s="173"/>
      <c r="H321" s="96"/>
      <c r="I321" s="97"/>
      <c r="J321" s="98"/>
      <c r="K321" s="99"/>
      <c r="L321" s="98"/>
      <c r="M321" s="99"/>
      <c r="N321" s="32"/>
      <c r="O321" s="33"/>
    </row>
    <row r="322" ht="15.75" customHeight="1">
      <c r="A322" s="139"/>
      <c r="B322" s="140"/>
      <c r="C322" s="61"/>
      <c r="D322" s="133"/>
      <c r="E322" s="90"/>
      <c r="F322" s="141"/>
      <c r="G322" s="173"/>
      <c r="H322" s="96"/>
      <c r="I322" s="97"/>
      <c r="J322" s="98"/>
      <c r="K322" s="99"/>
      <c r="L322" s="98"/>
      <c r="M322" s="99"/>
      <c r="N322" s="32"/>
      <c r="O322" s="33"/>
    </row>
    <row r="323" ht="15.75" customHeight="1">
      <c r="A323" s="139"/>
      <c r="B323" s="140"/>
      <c r="C323" s="61"/>
      <c r="D323" s="133"/>
      <c r="E323" s="90"/>
      <c r="F323" s="141"/>
      <c r="G323" s="173"/>
      <c r="H323" s="96"/>
      <c r="I323" s="97"/>
      <c r="J323" s="98"/>
      <c r="K323" s="99"/>
      <c r="L323" s="98"/>
      <c r="M323" s="99"/>
      <c r="N323" s="32"/>
      <c r="O323" s="33"/>
    </row>
    <row r="324" ht="15.75" customHeight="1">
      <c r="A324" s="139"/>
      <c r="B324" s="140"/>
      <c r="C324" s="61"/>
      <c r="D324" s="133"/>
      <c r="E324" s="90"/>
      <c r="F324" s="141"/>
      <c r="G324" s="173"/>
      <c r="H324" s="96"/>
      <c r="I324" s="97"/>
      <c r="J324" s="98"/>
      <c r="K324" s="99"/>
      <c r="L324" s="98"/>
      <c r="M324" s="99"/>
      <c r="N324" s="32"/>
      <c r="O324" s="33"/>
    </row>
    <row r="325" ht="15.75" customHeight="1">
      <c r="A325" s="139"/>
      <c r="B325" s="140"/>
      <c r="C325" s="61"/>
      <c r="D325" s="133"/>
      <c r="E325" s="90"/>
      <c r="F325" s="141"/>
      <c r="G325" s="173"/>
      <c r="H325" s="96"/>
      <c r="I325" s="97"/>
      <c r="J325" s="98"/>
      <c r="K325" s="99"/>
      <c r="L325" s="98"/>
      <c r="M325" s="99"/>
      <c r="N325" s="32"/>
      <c r="O325" s="33"/>
    </row>
    <row r="326" ht="15.75" customHeight="1">
      <c r="A326" s="139"/>
      <c r="B326" s="140"/>
      <c r="C326" s="61"/>
      <c r="D326" s="133"/>
      <c r="E326" s="90"/>
      <c r="F326" s="141"/>
      <c r="G326" s="173"/>
      <c r="H326" s="96"/>
      <c r="I326" s="97"/>
      <c r="J326" s="98"/>
      <c r="K326" s="99"/>
      <c r="L326" s="98"/>
      <c r="M326" s="99"/>
      <c r="N326" s="32"/>
      <c r="O326" s="33"/>
    </row>
    <row r="327" ht="15.75" customHeight="1">
      <c r="A327" s="139"/>
      <c r="B327" s="140"/>
      <c r="C327" s="61"/>
      <c r="D327" s="133"/>
      <c r="E327" s="90"/>
      <c r="F327" s="141"/>
      <c r="G327" s="173"/>
      <c r="H327" s="96"/>
      <c r="I327" s="97"/>
      <c r="J327" s="98"/>
      <c r="K327" s="99"/>
      <c r="L327" s="98"/>
      <c r="M327" s="99"/>
      <c r="N327" s="32"/>
      <c r="O327" s="33"/>
    </row>
    <row r="328" ht="15.75" customHeight="1">
      <c r="A328" s="139"/>
      <c r="B328" s="140"/>
      <c r="C328" s="61"/>
      <c r="D328" s="133"/>
      <c r="E328" s="90"/>
      <c r="F328" s="141"/>
      <c r="G328" s="173"/>
      <c r="H328" s="96"/>
      <c r="I328" s="97"/>
      <c r="J328" s="98"/>
      <c r="K328" s="99"/>
      <c r="L328" s="98"/>
      <c r="M328" s="99"/>
      <c r="N328" s="32"/>
      <c r="O328" s="33"/>
    </row>
    <row r="329" ht="15.75" customHeight="1">
      <c r="A329" s="139"/>
      <c r="B329" s="140"/>
      <c r="C329" s="61"/>
      <c r="D329" s="133"/>
      <c r="E329" s="90"/>
      <c r="F329" s="141"/>
      <c r="G329" s="173"/>
      <c r="H329" s="96"/>
      <c r="I329" s="97"/>
      <c r="J329" s="98"/>
      <c r="K329" s="99"/>
      <c r="L329" s="98"/>
      <c r="M329" s="99"/>
      <c r="N329" s="32"/>
      <c r="O329" s="33"/>
    </row>
    <row r="330" ht="15.75" customHeight="1">
      <c r="A330" s="139"/>
      <c r="B330" s="140"/>
      <c r="C330" s="61"/>
      <c r="D330" s="133"/>
      <c r="E330" s="90"/>
      <c r="F330" s="141"/>
      <c r="G330" s="173"/>
      <c r="H330" s="96"/>
      <c r="I330" s="97"/>
      <c r="J330" s="98"/>
      <c r="K330" s="99"/>
      <c r="L330" s="98"/>
      <c r="M330" s="99"/>
      <c r="N330" s="32"/>
      <c r="O330" s="33"/>
    </row>
    <row r="331" ht="15.75" customHeight="1">
      <c r="A331" s="139"/>
      <c r="B331" s="140"/>
      <c r="C331" s="61"/>
      <c r="D331" s="133"/>
      <c r="E331" s="90"/>
      <c r="F331" s="141"/>
      <c r="G331" s="173"/>
      <c r="H331" s="96"/>
      <c r="I331" s="97"/>
      <c r="J331" s="98"/>
      <c r="K331" s="99"/>
      <c r="L331" s="98"/>
      <c r="M331" s="99"/>
      <c r="N331" s="32"/>
      <c r="O331" s="33"/>
    </row>
    <row r="332" ht="15.75" customHeight="1">
      <c r="A332" s="139"/>
      <c r="B332" s="140"/>
      <c r="C332" s="61"/>
      <c r="D332" s="133"/>
      <c r="E332" s="90"/>
      <c r="F332" s="141"/>
      <c r="G332" s="173"/>
      <c r="H332" s="96"/>
      <c r="I332" s="97"/>
      <c r="J332" s="98"/>
      <c r="K332" s="99"/>
      <c r="L332" s="98"/>
      <c r="M332" s="99"/>
      <c r="N332" s="32"/>
      <c r="O332" s="33"/>
    </row>
    <row r="333" ht="15.75" customHeight="1">
      <c r="A333" s="139"/>
      <c r="B333" s="140"/>
      <c r="C333" s="61"/>
      <c r="D333" s="133"/>
      <c r="E333" s="90"/>
      <c r="F333" s="141"/>
      <c r="G333" s="173"/>
      <c r="H333" s="96"/>
      <c r="I333" s="97"/>
      <c r="J333" s="98"/>
      <c r="K333" s="99"/>
      <c r="L333" s="98"/>
      <c r="M333" s="99"/>
      <c r="N333" s="32"/>
      <c r="O333" s="33"/>
    </row>
    <row r="334" ht="15.75" customHeight="1">
      <c r="A334" s="139"/>
      <c r="B334" s="140"/>
      <c r="C334" s="61"/>
      <c r="D334" s="133"/>
      <c r="E334" s="90"/>
      <c r="F334" s="141"/>
      <c r="G334" s="173"/>
      <c r="H334" s="96"/>
      <c r="I334" s="97"/>
      <c r="J334" s="98"/>
      <c r="K334" s="99"/>
      <c r="L334" s="98"/>
      <c r="M334" s="99"/>
      <c r="N334" s="32"/>
      <c r="O334" s="33"/>
    </row>
    <row r="335" ht="15.75" customHeight="1">
      <c r="A335" s="139"/>
      <c r="B335" s="140"/>
      <c r="C335" s="61"/>
      <c r="D335" s="133"/>
      <c r="E335" s="90"/>
      <c r="F335" s="141"/>
      <c r="G335" s="173"/>
      <c r="H335" s="96"/>
      <c r="I335" s="97"/>
      <c r="J335" s="98"/>
      <c r="K335" s="99"/>
      <c r="L335" s="98"/>
      <c r="M335" s="99"/>
      <c r="N335" s="32"/>
      <c r="O335" s="33"/>
    </row>
    <row r="336" ht="15.75" customHeight="1">
      <c r="A336" s="139"/>
      <c r="B336" s="140"/>
      <c r="C336" s="61"/>
      <c r="D336" s="133"/>
      <c r="E336" s="90"/>
      <c r="F336" s="141"/>
      <c r="G336" s="173"/>
      <c r="H336" s="96"/>
      <c r="I336" s="97"/>
      <c r="J336" s="98"/>
      <c r="K336" s="99"/>
      <c r="L336" s="98"/>
      <c r="M336" s="99"/>
      <c r="N336" s="32"/>
      <c r="O336" s="33"/>
    </row>
    <row r="337" ht="15.75" customHeight="1">
      <c r="A337" s="139"/>
      <c r="B337" s="140"/>
      <c r="C337" s="61"/>
      <c r="D337" s="133"/>
      <c r="E337" s="90"/>
      <c r="F337" s="141"/>
      <c r="G337" s="173"/>
      <c r="H337" s="96"/>
      <c r="I337" s="97"/>
      <c r="J337" s="98"/>
      <c r="K337" s="99"/>
      <c r="L337" s="98"/>
      <c r="M337" s="99"/>
      <c r="N337" s="32"/>
      <c r="O337" s="33"/>
    </row>
    <row r="338" ht="15.75" customHeight="1">
      <c r="A338" s="139"/>
      <c r="B338" s="140"/>
      <c r="C338" s="61"/>
      <c r="D338" s="133"/>
      <c r="E338" s="90"/>
      <c r="F338" s="141"/>
      <c r="G338" s="173"/>
      <c r="H338" s="96"/>
      <c r="I338" s="97"/>
      <c r="J338" s="98"/>
      <c r="K338" s="99"/>
      <c r="L338" s="98"/>
      <c r="M338" s="99"/>
      <c r="N338" s="32"/>
      <c r="O338" s="33"/>
    </row>
    <row r="339" ht="15.75" customHeight="1">
      <c r="A339" s="139"/>
      <c r="B339" s="140"/>
      <c r="C339" s="61"/>
      <c r="D339" s="133"/>
      <c r="E339" s="90"/>
      <c r="F339" s="141"/>
      <c r="G339" s="173"/>
      <c r="H339" s="96"/>
      <c r="I339" s="97"/>
      <c r="J339" s="98"/>
      <c r="K339" s="99"/>
      <c r="L339" s="98"/>
      <c r="M339" s="99"/>
      <c r="N339" s="32"/>
      <c r="O339" s="33"/>
    </row>
    <row r="340" ht="15.75" customHeight="1">
      <c r="A340" s="139"/>
      <c r="B340" s="140"/>
      <c r="C340" s="61"/>
      <c r="D340" s="133"/>
      <c r="E340" s="90"/>
      <c r="F340" s="141"/>
      <c r="G340" s="173"/>
      <c r="H340" s="96"/>
      <c r="I340" s="97"/>
      <c r="J340" s="98"/>
      <c r="K340" s="99"/>
      <c r="L340" s="98"/>
      <c r="M340" s="99"/>
      <c r="N340" s="32"/>
      <c r="O340" s="33"/>
    </row>
    <row r="341" ht="15.75" customHeight="1">
      <c r="A341" s="139"/>
      <c r="B341" s="140"/>
      <c r="C341" s="61"/>
      <c r="D341" s="133"/>
      <c r="E341" s="90"/>
      <c r="F341" s="141"/>
      <c r="G341" s="173"/>
      <c r="H341" s="96"/>
      <c r="I341" s="97"/>
      <c r="J341" s="98"/>
      <c r="K341" s="99"/>
      <c r="L341" s="98"/>
      <c r="M341" s="99"/>
      <c r="N341" s="32"/>
      <c r="O341" s="33"/>
    </row>
    <row r="342" ht="15.75" customHeight="1">
      <c r="A342" s="139"/>
      <c r="B342" s="140"/>
      <c r="C342" s="61"/>
      <c r="D342" s="133"/>
      <c r="E342" s="90"/>
      <c r="F342" s="141"/>
      <c r="G342" s="173"/>
      <c r="H342" s="96"/>
      <c r="I342" s="97"/>
      <c r="J342" s="98"/>
      <c r="K342" s="99"/>
      <c r="L342" s="98"/>
      <c r="M342" s="99"/>
      <c r="N342" s="32"/>
      <c r="O342" s="33"/>
    </row>
    <row r="343" ht="15.75" customHeight="1">
      <c r="A343" s="139"/>
      <c r="B343" s="140"/>
      <c r="C343" s="61"/>
      <c r="D343" s="133"/>
      <c r="E343" s="90"/>
      <c r="F343" s="141"/>
      <c r="G343" s="173"/>
      <c r="H343" s="96"/>
      <c r="I343" s="97"/>
      <c r="J343" s="98"/>
      <c r="K343" s="99"/>
      <c r="L343" s="98"/>
      <c r="M343" s="99"/>
      <c r="N343" s="32"/>
      <c r="O343" s="33"/>
    </row>
    <row r="344" ht="15.75" customHeight="1">
      <c r="A344" s="139"/>
      <c r="B344" s="140"/>
      <c r="C344" s="61"/>
      <c r="D344" s="133"/>
      <c r="E344" s="90"/>
      <c r="F344" s="141"/>
      <c r="G344" s="173"/>
      <c r="H344" s="96"/>
      <c r="I344" s="97"/>
      <c r="J344" s="98"/>
      <c r="K344" s="99"/>
      <c r="L344" s="98"/>
      <c r="M344" s="99"/>
      <c r="N344" s="32"/>
      <c r="O344" s="33"/>
    </row>
    <row r="345" ht="15.75" customHeight="1">
      <c r="A345" s="139"/>
      <c r="B345" s="140"/>
      <c r="C345" s="61"/>
      <c r="D345" s="133"/>
      <c r="E345" s="90"/>
      <c r="F345" s="141"/>
      <c r="G345" s="173"/>
      <c r="H345" s="96"/>
      <c r="I345" s="97"/>
      <c r="J345" s="98"/>
      <c r="K345" s="99"/>
      <c r="L345" s="98"/>
      <c r="M345" s="99"/>
      <c r="N345" s="32"/>
      <c r="O345" s="33"/>
    </row>
    <row r="346" ht="15.75" customHeight="1">
      <c r="A346" s="139"/>
      <c r="B346" s="140"/>
      <c r="C346" s="61"/>
      <c r="D346" s="133"/>
      <c r="E346" s="90"/>
      <c r="F346" s="141"/>
      <c r="G346" s="173"/>
      <c r="H346" s="96"/>
      <c r="I346" s="97"/>
      <c r="J346" s="98"/>
      <c r="K346" s="99"/>
      <c r="L346" s="98"/>
      <c r="M346" s="99"/>
      <c r="N346" s="32"/>
      <c r="O346" s="33"/>
    </row>
    <row r="347" ht="15.75" customHeight="1">
      <c r="A347" s="139"/>
      <c r="B347" s="140"/>
      <c r="C347" s="61"/>
      <c r="D347" s="133"/>
      <c r="E347" s="90"/>
      <c r="F347" s="141"/>
      <c r="G347" s="173"/>
      <c r="H347" s="96"/>
      <c r="I347" s="97"/>
      <c r="J347" s="98"/>
      <c r="K347" s="99"/>
      <c r="L347" s="98"/>
      <c r="M347" s="99"/>
      <c r="N347" s="32"/>
      <c r="O347" s="33"/>
    </row>
    <row r="348" ht="15.75" customHeight="1">
      <c r="A348" s="139"/>
      <c r="B348" s="140"/>
      <c r="C348" s="61"/>
      <c r="D348" s="133"/>
      <c r="E348" s="90"/>
      <c r="F348" s="141"/>
      <c r="G348" s="173"/>
      <c r="H348" s="96"/>
      <c r="I348" s="97"/>
      <c r="J348" s="98"/>
      <c r="K348" s="99"/>
      <c r="L348" s="98"/>
      <c r="M348" s="99"/>
      <c r="N348" s="32"/>
      <c r="O348" s="33"/>
    </row>
    <row r="349" ht="15.75" customHeight="1">
      <c r="A349" s="139"/>
      <c r="B349" s="140"/>
      <c r="C349" s="61"/>
      <c r="D349" s="133"/>
      <c r="E349" s="90"/>
      <c r="F349" s="141"/>
      <c r="G349" s="173"/>
      <c r="H349" s="96"/>
      <c r="I349" s="97"/>
      <c r="J349" s="98"/>
      <c r="K349" s="99"/>
      <c r="L349" s="98"/>
      <c r="M349" s="99"/>
      <c r="N349" s="32"/>
      <c r="O349" s="33"/>
    </row>
    <row r="350" ht="15.75" customHeight="1">
      <c r="A350" s="139"/>
      <c r="B350" s="140"/>
      <c r="C350" s="61"/>
      <c r="D350" s="133"/>
      <c r="E350" s="90"/>
      <c r="F350" s="141"/>
      <c r="G350" s="173"/>
      <c r="H350" s="96"/>
      <c r="I350" s="97"/>
      <c r="J350" s="98"/>
      <c r="K350" s="99"/>
      <c r="L350" s="98"/>
      <c r="M350" s="99"/>
      <c r="N350" s="32"/>
      <c r="O350" s="33"/>
    </row>
    <row r="351" ht="15.75" customHeight="1">
      <c r="A351" s="139"/>
      <c r="B351" s="140"/>
      <c r="C351" s="61"/>
      <c r="D351" s="133"/>
      <c r="E351" s="90"/>
      <c r="F351" s="141"/>
      <c r="G351" s="173"/>
      <c r="H351" s="96"/>
      <c r="I351" s="97"/>
      <c r="J351" s="98"/>
      <c r="K351" s="99"/>
      <c r="L351" s="98"/>
      <c r="M351" s="99"/>
      <c r="N351" s="32"/>
      <c r="O351" s="33"/>
    </row>
    <row r="352" ht="15.75" customHeight="1">
      <c r="A352" s="139"/>
      <c r="B352" s="140"/>
      <c r="C352" s="61"/>
      <c r="D352" s="133"/>
      <c r="E352" s="90"/>
      <c r="F352" s="141"/>
      <c r="G352" s="173"/>
      <c r="H352" s="96"/>
      <c r="I352" s="97"/>
      <c r="J352" s="98"/>
      <c r="K352" s="99"/>
      <c r="L352" s="98"/>
      <c r="M352" s="99"/>
      <c r="N352" s="32"/>
      <c r="O352" s="33"/>
    </row>
    <row r="353" ht="15.75" customHeight="1">
      <c r="A353" s="139"/>
      <c r="B353" s="140"/>
      <c r="C353" s="61"/>
      <c r="D353" s="133"/>
      <c r="E353" s="90"/>
      <c r="F353" s="141"/>
      <c r="G353" s="173"/>
      <c r="H353" s="96"/>
      <c r="I353" s="97"/>
      <c r="J353" s="98"/>
      <c r="K353" s="99"/>
      <c r="L353" s="98"/>
      <c r="M353" s="99"/>
      <c r="N353" s="32"/>
      <c r="O353" s="33"/>
    </row>
    <row r="354" ht="15.75" customHeight="1">
      <c r="A354" s="139"/>
      <c r="B354" s="140"/>
      <c r="C354" s="61"/>
      <c r="D354" s="133"/>
      <c r="E354" s="90"/>
      <c r="F354" s="141"/>
      <c r="G354" s="173"/>
      <c r="H354" s="96"/>
      <c r="I354" s="97"/>
      <c r="J354" s="98"/>
      <c r="K354" s="99"/>
      <c r="L354" s="98"/>
      <c r="M354" s="99"/>
      <c r="N354" s="32"/>
      <c r="O354" s="33"/>
    </row>
    <row r="355" ht="15.75" customHeight="1">
      <c r="A355" s="139"/>
      <c r="B355" s="140"/>
      <c r="C355" s="61"/>
      <c r="D355" s="133"/>
      <c r="E355" s="90"/>
      <c r="F355" s="141"/>
      <c r="G355" s="173"/>
      <c r="H355" s="96"/>
      <c r="I355" s="97"/>
      <c r="J355" s="98"/>
      <c r="K355" s="99"/>
      <c r="L355" s="98"/>
      <c r="M355" s="99"/>
      <c r="N355" s="32"/>
      <c r="O355" s="33"/>
    </row>
    <row r="356" ht="15.75" customHeight="1">
      <c r="A356" s="139"/>
      <c r="B356" s="140"/>
      <c r="C356" s="61"/>
      <c r="D356" s="133"/>
      <c r="E356" s="90"/>
      <c r="F356" s="141"/>
      <c r="G356" s="173"/>
      <c r="H356" s="96"/>
      <c r="I356" s="97"/>
      <c r="J356" s="98"/>
      <c r="K356" s="99"/>
      <c r="L356" s="98"/>
      <c r="M356" s="99"/>
      <c r="N356" s="32"/>
      <c r="O356" s="33"/>
    </row>
    <row r="357" ht="15.75" customHeight="1">
      <c r="A357" s="139"/>
      <c r="B357" s="140"/>
      <c r="C357" s="61"/>
      <c r="D357" s="133"/>
      <c r="E357" s="90"/>
      <c r="F357" s="141"/>
      <c r="G357" s="173"/>
      <c r="H357" s="96"/>
      <c r="I357" s="97"/>
      <c r="J357" s="98"/>
      <c r="K357" s="99"/>
      <c r="L357" s="98"/>
      <c r="M357" s="99"/>
      <c r="N357" s="32"/>
      <c r="O357" s="33"/>
    </row>
    <row r="358" ht="15.75" customHeight="1">
      <c r="A358" s="139"/>
      <c r="B358" s="140"/>
      <c r="C358" s="61"/>
      <c r="D358" s="133"/>
      <c r="E358" s="90"/>
      <c r="F358" s="141"/>
      <c r="G358" s="173"/>
      <c r="H358" s="96"/>
      <c r="I358" s="97"/>
      <c r="J358" s="98"/>
      <c r="K358" s="99"/>
      <c r="L358" s="98"/>
      <c r="M358" s="99"/>
      <c r="N358" s="32"/>
      <c r="O358" s="33"/>
    </row>
    <row r="359" ht="15.75" customHeight="1">
      <c r="A359" s="139"/>
      <c r="B359" s="140"/>
      <c r="C359" s="61"/>
      <c r="D359" s="133"/>
      <c r="E359" s="90"/>
      <c r="F359" s="141"/>
      <c r="G359" s="173"/>
      <c r="H359" s="96"/>
      <c r="I359" s="97"/>
      <c r="J359" s="98"/>
      <c r="K359" s="99"/>
      <c r="L359" s="98"/>
      <c r="M359" s="99"/>
      <c r="N359" s="32"/>
      <c r="O359" s="33"/>
    </row>
    <row r="360" ht="15.75" customHeight="1">
      <c r="A360" s="139"/>
      <c r="B360" s="140"/>
      <c r="C360" s="61"/>
      <c r="D360" s="133"/>
      <c r="E360" s="90"/>
      <c r="F360" s="141"/>
      <c r="G360" s="173"/>
      <c r="H360" s="96"/>
      <c r="I360" s="97"/>
      <c r="J360" s="98"/>
      <c r="K360" s="99"/>
      <c r="L360" s="98"/>
      <c r="M360" s="99"/>
      <c r="N360" s="32"/>
      <c r="O360" s="33"/>
    </row>
    <row r="361" ht="15.75" customHeight="1">
      <c r="A361" s="139"/>
      <c r="B361" s="140"/>
      <c r="C361" s="61"/>
      <c r="D361" s="133"/>
      <c r="E361" s="90"/>
      <c r="F361" s="141"/>
      <c r="G361" s="173"/>
      <c r="H361" s="96"/>
      <c r="I361" s="97"/>
      <c r="J361" s="98"/>
      <c r="K361" s="99"/>
      <c r="L361" s="98"/>
      <c r="M361" s="99"/>
      <c r="N361" s="32"/>
      <c r="O361" s="33"/>
    </row>
    <row r="362" ht="15.75" customHeight="1">
      <c r="A362" s="139"/>
      <c r="B362" s="140"/>
      <c r="C362" s="61"/>
      <c r="D362" s="133"/>
      <c r="E362" s="90"/>
      <c r="F362" s="141"/>
      <c r="G362" s="173"/>
      <c r="H362" s="96"/>
      <c r="I362" s="97"/>
      <c r="J362" s="98"/>
      <c r="K362" s="99"/>
      <c r="L362" s="98"/>
      <c r="M362" s="99"/>
      <c r="N362" s="32"/>
      <c r="O362" s="33"/>
    </row>
    <row r="363" ht="15.75" customHeight="1">
      <c r="A363" s="139"/>
      <c r="B363" s="140"/>
      <c r="C363" s="61"/>
      <c r="D363" s="133"/>
      <c r="E363" s="90"/>
      <c r="F363" s="141"/>
      <c r="G363" s="173"/>
      <c r="H363" s="96"/>
      <c r="I363" s="97"/>
      <c r="J363" s="98"/>
      <c r="K363" s="99"/>
      <c r="L363" s="98"/>
      <c r="M363" s="99"/>
      <c r="N363" s="32"/>
      <c r="O363" s="33"/>
    </row>
    <row r="364" ht="15.75" customHeight="1">
      <c r="A364" s="139"/>
      <c r="B364" s="140"/>
      <c r="C364" s="61"/>
      <c r="D364" s="133"/>
      <c r="E364" s="90"/>
      <c r="F364" s="141"/>
      <c r="G364" s="173"/>
      <c r="H364" s="96"/>
      <c r="I364" s="97"/>
      <c r="J364" s="98"/>
      <c r="K364" s="99"/>
      <c r="L364" s="98"/>
      <c r="M364" s="99"/>
      <c r="N364" s="32"/>
      <c r="O364" s="33"/>
    </row>
    <row r="365" ht="15.75" customHeight="1">
      <c r="A365" s="139"/>
      <c r="B365" s="140"/>
      <c r="C365" s="61"/>
      <c r="D365" s="133"/>
      <c r="E365" s="90"/>
      <c r="F365" s="141"/>
      <c r="G365" s="173"/>
      <c r="H365" s="96"/>
      <c r="I365" s="97"/>
      <c r="J365" s="98"/>
      <c r="K365" s="99"/>
      <c r="L365" s="98"/>
      <c r="M365" s="99"/>
      <c r="N365" s="32"/>
      <c r="O365" s="33"/>
    </row>
    <row r="366" ht="15.75" customHeight="1">
      <c r="A366" s="139"/>
      <c r="B366" s="140"/>
      <c r="C366" s="61"/>
      <c r="D366" s="133"/>
      <c r="E366" s="90"/>
      <c r="F366" s="141"/>
      <c r="G366" s="173"/>
      <c r="H366" s="96"/>
      <c r="I366" s="97"/>
      <c r="J366" s="98"/>
      <c r="K366" s="99"/>
      <c r="L366" s="98"/>
      <c r="M366" s="99"/>
      <c r="N366" s="32"/>
      <c r="O366" s="33"/>
    </row>
    <row r="367" ht="15.75" customHeight="1">
      <c r="A367" s="139"/>
      <c r="B367" s="140"/>
      <c r="C367" s="61"/>
      <c r="D367" s="133"/>
      <c r="E367" s="90"/>
      <c r="F367" s="141"/>
      <c r="G367" s="173"/>
      <c r="H367" s="96"/>
      <c r="I367" s="97"/>
      <c r="J367" s="98"/>
      <c r="K367" s="99"/>
      <c r="L367" s="98"/>
      <c r="M367" s="99"/>
      <c r="N367" s="32"/>
      <c r="O367" s="33"/>
    </row>
    <row r="368" ht="15.75" customHeight="1">
      <c r="A368" s="139"/>
      <c r="B368" s="140"/>
      <c r="C368" s="61"/>
      <c r="D368" s="133"/>
      <c r="E368" s="90"/>
      <c r="F368" s="141"/>
      <c r="G368" s="173"/>
      <c r="H368" s="96"/>
      <c r="I368" s="97"/>
      <c r="J368" s="98"/>
      <c r="K368" s="99"/>
      <c r="L368" s="98"/>
      <c r="M368" s="99"/>
      <c r="N368" s="32"/>
      <c r="O368" s="33"/>
    </row>
    <row r="369" ht="15.75" customHeight="1">
      <c r="A369" s="139"/>
      <c r="B369" s="140"/>
      <c r="C369" s="61"/>
      <c r="D369" s="133"/>
      <c r="E369" s="90"/>
      <c r="F369" s="141"/>
      <c r="G369" s="173"/>
      <c r="H369" s="96"/>
      <c r="I369" s="97"/>
      <c r="J369" s="98"/>
      <c r="K369" s="99"/>
      <c r="L369" s="98"/>
      <c r="M369" s="99"/>
      <c r="N369" s="32"/>
      <c r="O369" s="33"/>
    </row>
    <row r="370" ht="15.75" customHeight="1">
      <c r="A370" s="139"/>
      <c r="B370" s="140"/>
      <c r="C370" s="61"/>
      <c r="D370" s="133"/>
      <c r="E370" s="90"/>
      <c r="F370" s="141"/>
      <c r="G370" s="173"/>
      <c r="H370" s="96"/>
      <c r="I370" s="97"/>
      <c r="J370" s="98"/>
      <c r="K370" s="99"/>
      <c r="L370" s="98"/>
      <c r="M370" s="99"/>
      <c r="N370" s="32"/>
      <c r="O370" s="33"/>
    </row>
    <row r="371" ht="15.75" customHeight="1">
      <c r="A371" s="139"/>
      <c r="B371" s="140"/>
      <c r="C371" s="61"/>
      <c r="D371" s="133"/>
      <c r="E371" s="90"/>
      <c r="F371" s="141"/>
      <c r="G371" s="173"/>
      <c r="H371" s="96"/>
      <c r="I371" s="97"/>
      <c r="J371" s="98"/>
      <c r="K371" s="99"/>
      <c r="L371" s="98"/>
      <c r="M371" s="99"/>
      <c r="N371" s="32"/>
      <c r="O371" s="33"/>
    </row>
    <row r="372" ht="15.75" customHeight="1">
      <c r="A372" s="139"/>
      <c r="B372" s="140"/>
      <c r="C372" s="61"/>
      <c r="D372" s="133"/>
      <c r="E372" s="90"/>
      <c r="F372" s="141"/>
      <c r="G372" s="173"/>
      <c r="H372" s="96"/>
      <c r="I372" s="97"/>
      <c r="J372" s="98"/>
      <c r="K372" s="99"/>
      <c r="L372" s="98"/>
      <c r="M372" s="99"/>
      <c r="N372" s="32"/>
      <c r="O372" s="33"/>
    </row>
    <row r="373" ht="15.75" customHeight="1">
      <c r="A373" s="139"/>
      <c r="B373" s="140"/>
      <c r="C373" s="61"/>
      <c r="D373" s="133"/>
      <c r="E373" s="90"/>
      <c r="F373" s="141"/>
      <c r="G373" s="173"/>
      <c r="H373" s="96"/>
      <c r="I373" s="97"/>
      <c r="J373" s="98"/>
      <c r="K373" s="99"/>
      <c r="L373" s="98"/>
      <c r="M373" s="99"/>
      <c r="N373" s="32"/>
      <c r="O373" s="33"/>
    </row>
    <row r="374" ht="15.75" customHeight="1">
      <c r="A374" s="139"/>
      <c r="B374" s="140"/>
      <c r="C374" s="61"/>
      <c r="D374" s="133"/>
      <c r="E374" s="90"/>
      <c r="F374" s="141"/>
      <c r="G374" s="173"/>
      <c r="H374" s="96"/>
      <c r="I374" s="97"/>
      <c r="J374" s="98"/>
      <c r="K374" s="99"/>
      <c r="L374" s="98"/>
      <c r="M374" s="99"/>
      <c r="N374" s="32"/>
      <c r="O374" s="33"/>
    </row>
    <row r="375" ht="15.75" customHeight="1">
      <c r="A375" s="139"/>
      <c r="B375" s="140"/>
      <c r="C375" s="61"/>
      <c r="D375" s="133"/>
      <c r="E375" s="90"/>
      <c r="F375" s="141"/>
      <c r="G375" s="173"/>
      <c r="H375" s="96"/>
      <c r="I375" s="97"/>
      <c r="J375" s="98"/>
      <c r="K375" s="99"/>
      <c r="L375" s="98"/>
      <c r="M375" s="99"/>
      <c r="N375" s="32"/>
      <c r="O375" s="33"/>
    </row>
    <row r="376" ht="15.75" customHeight="1">
      <c r="A376" s="139"/>
      <c r="B376" s="140"/>
      <c r="C376" s="61"/>
      <c r="D376" s="133"/>
      <c r="E376" s="90"/>
      <c r="F376" s="141"/>
      <c r="G376" s="173"/>
      <c r="H376" s="96"/>
      <c r="I376" s="97"/>
      <c r="J376" s="98"/>
      <c r="K376" s="99"/>
      <c r="L376" s="98"/>
      <c r="M376" s="99"/>
      <c r="N376" s="32"/>
      <c r="O376" s="33"/>
    </row>
    <row r="377" ht="15.75" customHeight="1">
      <c r="A377" s="139"/>
      <c r="B377" s="140"/>
      <c r="C377" s="61"/>
      <c r="D377" s="133"/>
      <c r="E377" s="90"/>
      <c r="F377" s="141"/>
      <c r="G377" s="173"/>
      <c r="H377" s="96"/>
      <c r="I377" s="97"/>
      <c r="J377" s="98"/>
      <c r="K377" s="99"/>
      <c r="L377" s="98"/>
      <c r="M377" s="99"/>
      <c r="N377" s="32"/>
      <c r="O377" s="33"/>
    </row>
    <row r="378" ht="15.75" customHeight="1">
      <c r="A378" s="139"/>
      <c r="B378" s="140"/>
      <c r="C378" s="61"/>
      <c r="D378" s="133"/>
      <c r="E378" s="90"/>
      <c r="F378" s="141"/>
      <c r="G378" s="173"/>
      <c r="H378" s="96"/>
      <c r="I378" s="97"/>
      <c r="J378" s="98"/>
      <c r="K378" s="99"/>
      <c r="L378" s="98"/>
      <c r="M378" s="99"/>
      <c r="N378" s="32"/>
      <c r="O378" s="33"/>
    </row>
    <row r="379" ht="15.75" customHeight="1">
      <c r="A379" s="139"/>
      <c r="B379" s="140"/>
      <c r="C379" s="61"/>
      <c r="D379" s="133"/>
      <c r="E379" s="90"/>
      <c r="F379" s="141"/>
      <c r="G379" s="173"/>
      <c r="H379" s="96"/>
      <c r="I379" s="97"/>
      <c r="J379" s="98"/>
      <c r="K379" s="99"/>
      <c r="L379" s="98"/>
      <c r="M379" s="99"/>
      <c r="N379" s="32"/>
      <c r="O379" s="33"/>
    </row>
    <row r="380" ht="15.75" customHeight="1">
      <c r="A380" s="139"/>
      <c r="B380" s="140"/>
      <c r="C380" s="61"/>
      <c r="D380" s="133"/>
      <c r="E380" s="90"/>
      <c r="F380" s="141"/>
      <c r="G380" s="173"/>
      <c r="H380" s="96"/>
      <c r="I380" s="97"/>
      <c r="J380" s="98"/>
      <c r="K380" s="99"/>
      <c r="L380" s="98"/>
      <c r="M380" s="99"/>
      <c r="N380" s="32"/>
      <c r="O380" s="33"/>
    </row>
    <row r="381" ht="15.75" customHeight="1">
      <c r="A381" s="139"/>
      <c r="B381" s="140"/>
      <c r="C381" s="61"/>
      <c r="D381" s="133"/>
      <c r="E381" s="90"/>
      <c r="F381" s="141"/>
      <c r="G381" s="173"/>
      <c r="H381" s="96"/>
      <c r="I381" s="97"/>
      <c r="J381" s="98"/>
      <c r="K381" s="99"/>
      <c r="L381" s="98"/>
      <c r="M381" s="99"/>
      <c r="N381" s="32"/>
      <c r="O381" s="33"/>
    </row>
    <row r="382" ht="15.75" customHeight="1">
      <c r="A382" s="139"/>
      <c r="B382" s="140"/>
      <c r="C382" s="61"/>
      <c r="D382" s="133"/>
      <c r="E382" s="90"/>
      <c r="F382" s="141"/>
      <c r="G382" s="173"/>
      <c r="H382" s="96"/>
      <c r="I382" s="97"/>
      <c r="J382" s="98"/>
      <c r="K382" s="99"/>
      <c r="L382" s="98"/>
      <c r="M382" s="99"/>
      <c r="N382" s="32"/>
      <c r="O382" s="33"/>
    </row>
    <row r="383" ht="15.75" customHeight="1">
      <c r="A383" s="139"/>
      <c r="B383" s="140"/>
      <c r="C383" s="61"/>
      <c r="D383" s="133"/>
      <c r="E383" s="90"/>
      <c r="F383" s="141"/>
      <c r="G383" s="173"/>
      <c r="H383" s="96"/>
      <c r="I383" s="97"/>
      <c r="J383" s="98"/>
      <c r="K383" s="99"/>
      <c r="L383" s="98"/>
      <c r="M383" s="99"/>
      <c r="N383" s="32"/>
      <c r="O383" s="33"/>
    </row>
    <row r="384" ht="15.75" customHeight="1">
      <c r="A384" s="139"/>
      <c r="B384" s="140"/>
      <c r="C384" s="61"/>
      <c r="D384" s="133"/>
      <c r="E384" s="90"/>
      <c r="F384" s="141"/>
      <c r="G384" s="173"/>
      <c r="H384" s="96"/>
      <c r="I384" s="97"/>
      <c r="J384" s="98"/>
      <c r="K384" s="99"/>
      <c r="L384" s="98"/>
      <c r="M384" s="99"/>
      <c r="N384" s="32"/>
      <c r="O384" s="33"/>
    </row>
    <row r="385" ht="15.75" customHeight="1">
      <c r="A385" s="139"/>
      <c r="B385" s="140"/>
      <c r="C385" s="61"/>
      <c r="D385" s="133"/>
      <c r="E385" s="90"/>
      <c r="F385" s="141"/>
      <c r="G385" s="173"/>
      <c r="H385" s="96"/>
      <c r="I385" s="97"/>
      <c r="J385" s="98"/>
      <c r="K385" s="99"/>
      <c r="L385" s="98"/>
      <c r="M385" s="99"/>
      <c r="N385" s="32"/>
      <c r="O385" s="33"/>
    </row>
    <row r="386" ht="15.75" customHeight="1">
      <c r="A386" s="139"/>
      <c r="B386" s="140"/>
      <c r="C386" s="61"/>
      <c r="D386" s="133"/>
      <c r="E386" s="90"/>
      <c r="F386" s="141"/>
      <c r="G386" s="173"/>
      <c r="H386" s="96"/>
      <c r="I386" s="97"/>
      <c r="J386" s="98"/>
      <c r="K386" s="99"/>
      <c r="L386" s="98"/>
      <c r="M386" s="99"/>
      <c r="N386" s="32"/>
      <c r="O386" s="33"/>
    </row>
    <row r="387" ht="15.75" customHeight="1">
      <c r="A387" s="139"/>
      <c r="B387" s="140"/>
      <c r="C387" s="61"/>
      <c r="D387" s="133"/>
      <c r="E387" s="90"/>
      <c r="F387" s="141"/>
      <c r="G387" s="173"/>
      <c r="H387" s="96"/>
      <c r="I387" s="97"/>
      <c r="J387" s="98"/>
      <c r="K387" s="99"/>
      <c r="L387" s="98"/>
      <c r="M387" s="99"/>
      <c r="N387" s="32"/>
      <c r="O387" s="33"/>
    </row>
    <row r="388" ht="15.75" customHeight="1">
      <c r="A388" s="139"/>
      <c r="B388" s="140"/>
      <c r="C388" s="61"/>
      <c r="D388" s="133"/>
      <c r="E388" s="90"/>
      <c r="F388" s="141"/>
      <c r="G388" s="173"/>
      <c r="H388" s="96"/>
      <c r="I388" s="97"/>
      <c r="J388" s="98"/>
      <c r="K388" s="99"/>
      <c r="L388" s="98"/>
      <c r="M388" s="99"/>
      <c r="N388" s="32"/>
      <c r="O388" s="33"/>
    </row>
    <row r="389" ht="15.75" customHeight="1">
      <c r="A389" s="139"/>
      <c r="B389" s="140"/>
      <c r="C389" s="61"/>
      <c r="D389" s="133"/>
      <c r="E389" s="90"/>
      <c r="F389" s="141"/>
      <c r="G389" s="173"/>
      <c r="H389" s="96"/>
      <c r="I389" s="97"/>
      <c r="J389" s="98"/>
      <c r="K389" s="99"/>
      <c r="L389" s="98"/>
      <c r="M389" s="99"/>
      <c r="N389" s="32"/>
      <c r="O389" s="33"/>
    </row>
    <row r="390" ht="15.75" customHeight="1">
      <c r="A390" s="139"/>
      <c r="B390" s="140"/>
      <c r="C390" s="61"/>
      <c r="D390" s="133"/>
      <c r="E390" s="90"/>
      <c r="F390" s="141"/>
      <c r="G390" s="173"/>
      <c r="H390" s="96"/>
      <c r="I390" s="97"/>
      <c r="J390" s="98"/>
      <c r="K390" s="99"/>
      <c r="L390" s="98"/>
      <c r="M390" s="99"/>
      <c r="N390" s="32"/>
      <c r="O390" s="33"/>
    </row>
    <row r="391" ht="15.75" customHeight="1">
      <c r="A391" s="139"/>
      <c r="B391" s="140"/>
      <c r="C391" s="61"/>
      <c r="D391" s="133"/>
      <c r="E391" s="90"/>
      <c r="F391" s="141"/>
      <c r="G391" s="173"/>
      <c r="H391" s="96"/>
      <c r="I391" s="97"/>
      <c r="J391" s="98"/>
      <c r="K391" s="99"/>
      <c r="L391" s="98"/>
      <c r="M391" s="99"/>
      <c r="N391" s="32"/>
      <c r="O391" s="33"/>
    </row>
    <row r="392" ht="15.75" customHeight="1">
      <c r="A392" s="139"/>
      <c r="B392" s="140"/>
      <c r="C392" s="61"/>
      <c r="D392" s="133"/>
      <c r="E392" s="90"/>
      <c r="F392" s="141"/>
      <c r="G392" s="173"/>
      <c r="H392" s="96"/>
      <c r="I392" s="97"/>
      <c r="J392" s="98"/>
      <c r="K392" s="99"/>
      <c r="L392" s="98"/>
      <c r="M392" s="99"/>
      <c r="N392" s="32"/>
      <c r="O392" s="33"/>
    </row>
    <row r="393" ht="15.75" customHeight="1">
      <c r="A393" s="139"/>
      <c r="B393" s="140"/>
      <c r="C393" s="61"/>
      <c r="D393" s="133"/>
      <c r="E393" s="90"/>
      <c r="F393" s="141"/>
      <c r="G393" s="173"/>
      <c r="H393" s="96"/>
      <c r="I393" s="97"/>
      <c r="J393" s="98"/>
      <c r="K393" s="99"/>
      <c r="L393" s="98"/>
      <c r="M393" s="99"/>
      <c r="N393" s="32"/>
      <c r="O393" s="33"/>
    </row>
    <row r="394" ht="15.75" customHeight="1">
      <c r="A394" s="139"/>
      <c r="B394" s="140"/>
      <c r="C394" s="61"/>
      <c r="D394" s="133"/>
      <c r="E394" s="90"/>
      <c r="F394" s="141"/>
      <c r="G394" s="173"/>
      <c r="H394" s="96"/>
      <c r="I394" s="97"/>
      <c r="J394" s="98"/>
      <c r="K394" s="99"/>
      <c r="L394" s="98"/>
      <c r="M394" s="99"/>
      <c r="N394" s="32"/>
      <c r="O394" s="33"/>
    </row>
    <row r="395" ht="15.75" customHeight="1">
      <c r="A395" s="139"/>
      <c r="B395" s="140"/>
      <c r="C395" s="61"/>
      <c r="D395" s="133"/>
      <c r="E395" s="90"/>
      <c r="F395" s="141"/>
      <c r="G395" s="173"/>
      <c r="H395" s="96"/>
      <c r="I395" s="97"/>
      <c r="J395" s="98"/>
      <c r="K395" s="99"/>
      <c r="L395" s="98"/>
      <c r="M395" s="99"/>
      <c r="N395" s="32"/>
      <c r="O395" s="33"/>
    </row>
    <row r="396" ht="15.75" customHeight="1">
      <c r="A396" s="139"/>
      <c r="B396" s="140"/>
      <c r="C396" s="61"/>
      <c r="D396" s="133"/>
      <c r="E396" s="90"/>
      <c r="F396" s="141"/>
      <c r="G396" s="173"/>
      <c r="H396" s="96"/>
      <c r="I396" s="97"/>
      <c r="J396" s="98"/>
      <c r="K396" s="99"/>
      <c r="L396" s="98"/>
      <c r="M396" s="99"/>
      <c r="N396" s="32"/>
      <c r="O396" s="33"/>
    </row>
    <row r="397" ht="15.75" customHeight="1">
      <c r="A397" s="139"/>
      <c r="B397" s="140"/>
      <c r="C397" s="61"/>
      <c r="D397" s="133"/>
      <c r="E397" s="90"/>
      <c r="F397" s="141"/>
      <c r="G397" s="173"/>
      <c r="H397" s="96"/>
      <c r="I397" s="97"/>
      <c r="J397" s="98"/>
      <c r="K397" s="99"/>
      <c r="L397" s="98"/>
      <c r="M397" s="99"/>
      <c r="N397" s="32"/>
      <c r="O397" s="33"/>
    </row>
    <row r="398" ht="15.75" customHeight="1">
      <c r="A398" s="139"/>
      <c r="B398" s="140"/>
      <c r="C398" s="61"/>
      <c r="D398" s="133"/>
      <c r="E398" s="90"/>
      <c r="F398" s="141"/>
      <c r="G398" s="173"/>
      <c r="H398" s="96"/>
      <c r="I398" s="97"/>
      <c r="J398" s="98"/>
      <c r="K398" s="99"/>
      <c r="L398" s="98"/>
      <c r="M398" s="99"/>
      <c r="N398" s="32"/>
      <c r="O398" s="33"/>
    </row>
    <row r="399" ht="15.75" customHeight="1">
      <c r="A399" s="139"/>
      <c r="B399" s="140"/>
      <c r="C399" s="61"/>
      <c r="D399" s="133"/>
      <c r="E399" s="90"/>
      <c r="F399" s="141"/>
      <c r="G399" s="173"/>
      <c r="H399" s="96"/>
      <c r="I399" s="97"/>
      <c r="J399" s="98"/>
      <c r="K399" s="99"/>
      <c r="L399" s="98"/>
      <c r="M399" s="99"/>
      <c r="N399" s="32"/>
      <c r="O399" s="33"/>
    </row>
    <row r="400" ht="15.75" customHeight="1">
      <c r="A400" s="139"/>
      <c r="B400" s="140"/>
      <c r="C400" s="61"/>
      <c r="D400" s="133"/>
      <c r="E400" s="90"/>
      <c r="F400" s="141"/>
      <c r="G400" s="173"/>
      <c r="H400" s="96"/>
      <c r="I400" s="97"/>
      <c r="J400" s="98"/>
      <c r="K400" s="99"/>
      <c r="L400" s="98"/>
      <c r="M400" s="99"/>
      <c r="N400" s="32"/>
      <c r="O400" s="33"/>
    </row>
    <row r="401" ht="15.75" customHeight="1">
      <c r="A401" s="139"/>
      <c r="B401" s="140"/>
      <c r="C401" s="61"/>
      <c r="D401" s="133"/>
      <c r="E401" s="90"/>
      <c r="F401" s="141"/>
      <c r="G401" s="173"/>
      <c r="H401" s="96"/>
      <c r="I401" s="97"/>
      <c r="J401" s="98"/>
      <c r="K401" s="99"/>
      <c r="L401" s="98"/>
      <c r="M401" s="99"/>
      <c r="N401" s="32"/>
      <c r="O401" s="33"/>
    </row>
    <row r="402" ht="15.75" customHeight="1">
      <c r="A402" s="139"/>
      <c r="B402" s="140"/>
      <c r="C402" s="61"/>
      <c r="D402" s="133"/>
      <c r="E402" s="90"/>
      <c r="F402" s="141"/>
      <c r="G402" s="173"/>
      <c r="H402" s="96"/>
      <c r="I402" s="97"/>
      <c r="J402" s="98"/>
      <c r="K402" s="99"/>
      <c r="L402" s="98"/>
      <c r="M402" s="99"/>
      <c r="N402" s="32"/>
      <c r="O402" s="33"/>
    </row>
    <row r="403" ht="15.75" customHeight="1">
      <c r="A403" s="139"/>
      <c r="B403" s="140"/>
      <c r="C403" s="61"/>
      <c r="D403" s="133"/>
      <c r="E403" s="90"/>
      <c r="F403" s="141"/>
      <c r="G403" s="173"/>
      <c r="H403" s="96"/>
      <c r="I403" s="97"/>
      <c r="J403" s="98"/>
      <c r="K403" s="99"/>
      <c r="L403" s="98"/>
      <c r="M403" s="99"/>
      <c r="N403" s="32"/>
      <c r="O403" s="33"/>
    </row>
    <row r="404" ht="15.75" customHeight="1">
      <c r="A404" s="139"/>
      <c r="B404" s="140"/>
      <c r="C404" s="61"/>
      <c r="D404" s="133"/>
      <c r="E404" s="90"/>
      <c r="F404" s="141"/>
      <c r="G404" s="173"/>
      <c r="H404" s="96"/>
      <c r="I404" s="97"/>
      <c r="J404" s="98"/>
      <c r="K404" s="99"/>
      <c r="L404" s="98"/>
      <c r="M404" s="99"/>
      <c r="N404" s="32"/>
      <c r="O404" s="33"/>
    </row>
    <row r="405" ht="15.75" customHeight="1">
      <c r="A405" s="139"/>
      <c r="B405" s="140"/>
      <c r="C405" s="61"/>
      <c r="D405" s="133"/>
      <c r="E405" s="90"/>
      <c r="F405" s="141"/>
      <c r="G405" s="173"/>
      <c r="H405" s="96"/>
      <c r="I405" s="97"/>
      <c r="J405" s="98"/>
      <c r="K405" s="99"/>
      <c r="L405" s="98"/>
      <c r="M405" s="99"/>
      <c r="N405" s="32"/>
      <c r="O405" s="33"/>
    </row>
    <row r="406" ht="15.75" customHeight="1">
      <c r="A406" s="139"/>
      <c r="B406" s="140"/>
      <c r="C406" s="61"/>
      <c r="D406" s="133"/>
      <c r="E406" s="90"/>
      <c r="F406" s="141"/>
      <c r="G406" s="173"/>
      <c r="H406" s="96"/>
      <c r="I406" s="97"/>
      <c r="J406" s="98"/>
      <c r="K406" s="99"/>
      <c r="L406" s="98"/>
      <c r="M406" s="99"/>
      <c r="N406" s="32"/>
      <c r="O406" s="33"/>
    </row>
    <row r="407" ht="15.75" customHeight="1">
      <c r="A407" s="139"/>
      <c r="B407" s="140"/>
      <c r="C407" s="61"/>
      <c r="D407" s="133"/>
      <c r="E407" s="90"/>
      <c r="F407" s="141"/>
      <c r="G407" s="173"/>
      <c r="H407" s="96"/>
      <c r="I407" s="97"/>
      <c r="J407" s="98"/>
      <c r="K407" s="99"/>
      <c r="L407" s="98"/>
      <c r="M407" s="99"/>
      <c r="N407" s="32"/>
      <c r="O407" s="33"/>
    </row>
    <row r="408" ht="15.75" customHeight="1">
      <c r="A408" s="139"/>
      <c r="B408" s="140"/>
      <c r="C408" s="61"/>
      <c r="D408" s="133"/>
      <c r="E408" s="90"/>
      <c r="F408" s="141"/>
      <c r="G408" s="173"/>
      <c r="H408" s="96"/>
      <c r="I408" s="97"/>
      <c r="J408" s="98"/>
      <c r="K408" s="99"/>
      <c r="L408" s="98"/>
      <c r="M408" s="99"/>
      <c r="N408" s="32"/>
      <c r="O408" s="33"/>
    </row>
    <row r="409" ht="15.75" customHeight="1">
      <c r="A409" s="139"/>
      <c r="B409" s="140"/>
      <c r="C409" s="61"/>
      <c r="D409" s="133"/>
      <c r="E409" s="90"/>
      <c r="F409" s="141"/>
      <c r="G409" s="173"/>
      <c r="H409" s="96"/>
      <c r="I409" s="97"/>
      <c r="J409" s="98"/>
      <c r="K409" s="99"/>
      <c r="L409" s="98"/>
      <c r="M409" s="99"/>
      <c r="N409" s="32"/>
      <c r="O409" s="33"/>
    </row>
    <row r="410" ht="15.75" customHeight="1">
      <c r="A410" s="139"/>
      <c r="B410" s="140"/>
      <c r="C410" s="61"/>
      <c r="D410" s="133"/>
      <c r="E410" s="90"/>
      <c r="F410" s="141"/>
      <c r="G410" s="173"/>
      <c r="H410" s="96"/>
      <c r="I410" s="97"/>
      <c r="J410" s="98"/>
      <c r="K410" s="99"/>
      <c r="L410" s="98"/>
      <c r="M410" s="99"/>
      <c r="N410" s="32"/>
      <c r="O410" s="33"/>
    </row>
    <row r="411" ht="15.75" customHeight="1">
      <c r="A411" s="139"/>
      <c r="B411" s="140"/>
      <c r="C411" s="61"/>
      <c r="D411" s="133"/>
      <c r="E411" s="90"/>
      <c r="F411" s="141"/>
      <c r="G411" s="173"/>
      <c r="H411" s="96"/>
      <c r="I411" s="97"/>
      <c r="J411" s="98"/>
      <c r="K411" s="99"/>
      <c r="L411" s="98"/>
      <c r="M411" s="99"/>
      <c r="N411" s="32"/>
      <c r="O411" s="33"/>
    </row>
    <row r="412" ht="15.75" customHeight="1">
      <c r="A412" s="139"/>
      <c r="B412" s="140"/>
      <c r="C412" s="61"/>
      <c r="D412" s="133"/>
      <c r="E412" s="90"/>
      <c r="F412" s="141"/>
      <c r="G412" s="173"/>
      <c r="H412" s="96"/>
      <c r="I412" s="97"/>
      <c r="J412" s="98"/>
      <c r="K412" s="99"/>
      <c r="L412" s="98"/>
      <c r="M412" s="99"/>
      <c r="N412" s="32"/>
      <c r="O412" s="33"/>
    </row>
    <row r="413" ht="15.75" customHeight="1">
      <c r="A413" s="139"/>
      <c r="B413" s="140"/>
      <c r="C413" s="61"/>
      <c r="D413" s="133"/>
      <c r="E413" s="90"/>
      <c r="F413" s="141"/>
      <c r="G413" s="173"/>
      <c r="H413" s="96"/>
      <c r="I413" s="97"/>
      <c r="J413" s="98"/>
      <c r="K413" s="99"/>
      <c r="L413" s="98"/>
      <c r="M413" s="99"/>
      <c r="N413" s="32"/>
      <c r="O413" s="33"/>
    </row>
    <row r="414" ht="15.75" customHeight="1">
      <c r="A414" s="139"/>
      <c r="B414" s="140"/>
      <c r="C414" s="61"/>
      <c r="D414" s="133"/>
      <c r="E414" s="90"/>
      <c r="F414" s="141"/>
      <c r="G414" s="173"/>
      <c r="H414" s="96"/>
      <c r="I414" s="97"/>
      <c r="J414" s="98"/>
      <c r="K414" s="99"/>
      <c r="L414" s="98"/>
      <c r="M414" s="99"/>
      <c r="N414" s="32"/>
      <c r="O414" s="33"/>
    </row>
    <row r="415" ht="15.75" customHeight="1">
      <c r="A415" s="139"/>
      <c r="B415" s="140"/>
      <c r="C415" s="61"/>
      <c r="D415" s="133"/>
      <c r="E415" s="90"/>
      <c r="F415" s="141"/>
      <c r="G415" s="173"/>
      <c r="H415" s="96"/>
      <c r="I415" s="97"/>
      <c r="J415" s="98"/>
      <c r="K415" s="99"/>
      <c r="L415" s="98"/>
      <c r="M415" s="99"/>
      <c r="N415" s="32"/>
      <c r="O415" s="33"/>
    </row>
    <row r="416" ht="15.75" customHeight="1">
      <c r="A416" s="139"/>
      <c r="B416" s="140"/>
      <c r="C416" s="61"/>
      <c r="D416" s="133"/>
      <c r="E416" s="90"/>
      <c r="F416" s="141"/>
      <c r="G416" s="173"/>
      <c r="H416" s="96"/>
      <c r="I416" s="97"/>
      <c r="J416" s="98"/>
      <c r="K416" s="99"/>
      <c r="L416" s="98"/>
      <c r="M416" s="99"/>
      <c r="N416" s="32"/>
      <c r="O416" s="33"/>
    </row>
    <row r="417" ht="15.75" customHeight="1">
      <c r="A417" s="139"/>
      <c r="B417" s="140"/>
      <c r="C417" s="61"/>
      <c r="D417" s="133"/>
      <c r="E417" s="90"/>
      <c r="F417" s="141"/>
      <c r="G417" s="173"/>
      <c r="H417" s="96"/>
      <c r="I417" s="97"/>
      <c r="J417" s="98"/>
      <c r="K417" s="99"/>
      <c r="L417" s="98"/>
      <c r="M417" s="99"/>
      <c r="N417" s="32"/>
      <c r="O417" s="33"/>
    </row>
    <row r="418" ht="15.75" customHeight="1">
      <c r="A418" s="139"/>
      <c r="B418" s="140"/>
      <c r="C418" s="61"/>
      <c r="D418" s="133"/>
      <c r="E418" s="90"/>
      <c r="F418" s="141"/>
      <c r="G418" s="173"/>
      <c r="H418" s="96"/>
      <c r="I418" s="97"/>
      <c r="J418" s="98"/>
      <c r="K418" s="99"/>
      <c r="L418" s="98"/>
      <c r="M418" s="99"/>
      <c r="N418" s="32"/>
      <c r="O418" s="33"/>
    </row>
    <row r="419" ht="15.75" customHeight="1">
      <c r="A419" s="139"/>
      <c r="B419" s="140"/>
      <c r="C419" s="61"/>
      <c r="D419" s="133"/>
      <c r="E419" s="90"/>
      <c r="F419" s="141"/>
      <c r="G419" s="173"/>
      <c r="H419" s="96"/>
      <c r="I419" s="97"/>
      <c r="J419" s="98"/>
      <c r="K419" s="99"/>
      <c r="L419" s="98"/>
      <c r="M419" s="99"/>
      <c r="N419" s="32"/>
      <c r="O419" s="33"/>
    </row>
    <row r="420" ht="15.75" customHeight="1">
      <c r="A420" s="139"/>
      <c r="B420" s="140"/>
      <c r="C420" s="61"/>
      <c r="D420" s="133"/>
      <c r="E420" s="90"/>
      <c r="F420" s="141"/>
      <c r="G420" s="173"/>
      <c r="H420" s="96"/>
      <c r="I420" s="97"/>
      <c r="J420" s="98"/>
      <c r="K420" s="99"/>
      <c r="L420" s="98"/>
      <c r="M420" s="99"/>
      <c r="N420" s="32"/>
      <c r="O420" s="33"/>
    </row>
    <row r="421" ht="15.75" customHeight="1">
      <c r="A421" s="139"/>
      <c r="B421" s="140"/>
      <c r="C421" s="61"/>
      <c r="D421" s="133"/>
      <c r="E421" s="90"/>
      <c r="F421" s="141"/>
      <c r="G421" s="173"/>
      <c r="H421" s="96"/>
      <c r="I421" s="97"/>
      <c r="J421" s="98"/>
      <c r="K421" s="99"/>
      <c r="L421" s="98"/>
      <c r="M421" s="99"/>
      <c r="N421" s="32"/>
      <c r="O421" s="33"/>
    </row>
    <row r="422" ht="15.75" customHeight="1">
      <c r="A422" s="139"/>
      <c r="B422" s="140"/>
      <c r="C422" s="61"/>
      <c r="D422" s="133"/>
      <c r="E422" s="90"/>
      <c r="F422" s="141"/>
      <c r="G422" s="173"/>
      <c r="H422" s="96"/>
      <c r="I422" s="97"/>
      <c r="J422" s="98"/>
      <c r="K422" s="99"/>
      <c r="L422" s="98"/>
      <c r="M422" s="99"/>
      <c r="N422" s="32"/>
      <c r="O422" s="33"/>
    </row>
    <row r="423" ht="15.75" customHeight="1">
      <c r="A423" s="139"/>
      <c r="B423" s="140"/>
      <c r="C423" s="61"/>
      <c r="D423" s="133"/>
      <c r="E423" s="90"/>
      <c r="F423" s="141"/>
      <c r="G423" s="173"/>
      <c r="H423" s="96"/>
      <c r="I423" s="97"/>
      <c r="J423" s="98"/>
      <c r="K423" s="99"/>
      <c r="L423" s="98"/>
      <c r="M423" s="99"/>
      <c r="N423" s="32"/>
      <c r="O423" s="33"/>
    </row>
    <row r="424" ht="15.75" customHeight="1">
      <c r="A424" s="139"/>
      <c r="B424" s="140"/>
      <c r="C424" s="61"/>
      <c r="D424" s="133"/>
      <c r="E424" s="90"/>
      <c r="F424" s="141"/>
      <c r="G424" s="173"/>
      <c r="H424" s="96"/>
      <c r="I424" s="97"/>
      <c r="J424" s="98"/>
      <c r="K424" s="99"/>
      <c r="L424" s="98"/>
      <c r="M424" s="99"/>
      <c r="N424" s="32"/>
      <c r="O424" s="33"/>
    </row>
    <row r="425" ht="15.75" customHeight="1">
      <c r="A425" s="139"/>
      <c r="B425" s="140"/>
      <c r="C425" s="61"/>
      <c r="D425" s="133"/>
      <c r="E425" s="90"/>
      <c r="F425" s="141"/>
      <c r="G425" s="173"/>
      <c r="H425" s="96"/>
      <c r="I425" s="97"/>
      <c r="J425" s="98"/>
      <c r="K425" s="99"/>
      <c r="L425" s="98"/>
      <c r="M425" s="99"/>
      <c r="N425" s="32"/>
      <c r="O425" s="33"/>
    </row>
    <row r="426" ht="15.75" customHeight="1">
      <c r="A426" s="139"/>
      <c r="B426" s="140"/>
      <c r="C426" s="61"/>
      <c r="D426" s="133"/>
      <c r="E426" s="90"/>
      <c r="F426" s="141"/>
      <c r="G426" s="173"/>
      <c r="H426" s="96"/>
      <c r="I426" s="97"/>
      <c r="J426" s="98"/>
      <c r="K426" s="99"/>
      <c r="L426" s="98"/>
      <c r="M426" s="99"/>
      <c r="N426" s="32"/>
      <c r="O426" s="33"/>
    </row>
    <row r="427" ht="15.75" customHeight="1">
      <c r="A427" s="139"/>
      <c r="B427" s="140"/>
      <c r="C427" s="61"/>
      <c r="D427" s="133"/>
      <c r="E427" s="90"/>
      <c r="F427" s="141"/>
      <c r="G427" s="173"/>
      <c r="H427" s="96"/>
      <c r="I427" s="97"/>
      <c r="J427" s="98"/>
      <c r="K427" s="99"/>
      <c r="L427" s="98"/>
      <c r="M427" s="99"/>
      <c r="N427" s="32"/>
      <c r="O427" s="33"/>
    </row>
    <row r="428" ht="15.75" customHeight="1">
      <c r="A428" s="139"/>
      <c r="B428" s="140"/>
      <c r="C428" s="61"/>
      <c r="D428" s="133"/>
      <c r="E428" s="90"/>
      <c r="F428" s="141"/>
      <c r="G428" s="173"/>
      <c r="H428" s="96"/>
      <c r="I428" s="97"/>
      <c r="J428" s="98"/>
      <c r="K428" s="99"/>
      <c r="L428" s="98"/>
      <c r="M428" s="99"/>
      <c r="N428" s="32"/>
      <c r="O428" s="33"/>
    </row>
    <row r="429" ht="15.75" customHeight="1">
      <c r="A429" s="139"/>
      <c r="B429" s="140"/>
      <c r="C429" s="61"/>
      <c r="D429" s="133"/>
      <c r="E429" s="90"/>
      <c r="F429" s="141"/>
      <c r="G429" s="173"/>
      <c r="H429" s="96"/>
      <c r="I429" s="97"/>
      <c r="J429" s="98"/>
      <c r="K429" s="99"/>
      <c r="L429" s="98"/>
      <c r="M429" s="99"/>
      <c r="N429" s="32"/>
      <c r="O429" s="33"/>
    </row>
    <row r="430" ht="15.75" customHeight="1">
      <c r="A430" s="139"/>
      <c r="B430" s="140"/>
      <c r="C430" s="61"/>
      <c r="D430" s="133"/>
      <c r="E430" s="90"/>
      <c r="F430" s="141"/>
      <c r="G430" s="173"/>
      <c r="H430" s="96"/>
      <c r="I430" s="97"/>
      <c r="J430" s="98"/>
      <c r="K430" s="99"/>
      <c r="L430" s="98"/>
      <c r="M430" s="99"/>
      <c r="N430" s="32"/>
      <c r="O430" s="33"/>
    </row>
    <row r="431" ht="15.75" customHeight="1">
      <c r="A431" s="139"/>
      <c r="B431" s="140"/>
      <c r="C431" s="61"/>
      <c r="D431" s="133"/>
      <c r="E431" s="90"/>
      <c r="F431" s="141"/>
      <c r="G431" s="173"/>
      <c r="H431" s="96"/>
      <c r="I431" s="97"/>
      <c r="J431" s="98"/>
      <c r="K431" s="99"/>
      <c r="L431" s="98"/>
      <c r="M431" s="99"/>
      <c r="N431" s="32"/>
      <c r="O431" s="33"/>
    </row>
    <row r="432" ht="15.75" customHeight="1">
      <c r="A432" s="139"/>
      <c r="B432" s="140"/>
      <c r="C432" s="61"/>
      <c r="D432" s="133"/>
      <c r="E432" s="90"/>
      <c r="F432" s="141"/>
      <c r="G432" s="173"/>
      <c r="H432" s="96"/>
      <c r="I432" s="97"/>
      <c r="J432" s="98"/>
      <c r="K432" s="99"/>
      <c r="L432" s="98"/>
      <c r="M432" s="99"/>
      <c r="N432" s="32"/>
      <c r="O432" s="33"/>
    </row>
    <row r="433" ht="15.75" customHeight="1">
      <c r="A433" s="139"/>
      <c r="B433" s="140"/>
      <c r="C433" s="61"/>
      <c r="D433" s="133"/>
      <c r="E433" s="90"/>
      <c r="F433" s="141"/>
      <c r="G433" s="173"/>
      <c r="H433" s="96"/>
      <c r="I433" s="97"/>
      <c r="J433" s="98"/>
      <c r="K433" s="99"/>
      <c r="L433" s="98"/>
      <c r="M433" s="99"/>
      <c r="N433" s="32"/>
      <c r="O433" s="33"/>
    </row>
    <row r="434" ht="15.75" customHeight="1">
      <c r="A434" s="139"/>
      <c r="B434" s="140"/>
      <c r="C434" s="61"/>
      <c r="D434" s="133"/>
      <c r="E434" s="90"/>
      <c r="F434" s="141"/>
      <c r="G434" s="173"/>
      <c r="H434" s="96"/>
      <c r="I434" s="97"/>
      <c r="J434" s="98"/>
      <c r="K434" s="99"/>
      <c r="L434" s="98"/>
      <c r="M434" s="99"/>
      <c r="N434" s="32"/>
      <c r="O434" s="33"/>
    </row>
    <row r="435" ht="15.75" customHeight="1">
      <c r="A435" s="139"/>
      <c r="B435" s="140"/>
      <c r="C435" s="61"/>
      <c r="D435" s="133"/>
      <c r="E435" s="90"/>
      <c r="F435" s="141"/>
      <c r="G435" s="173"/>
      <c r="H435" s="96"/>
      <c r="I435" s="97"/>
      <c r="J435" s="98"/>
      <c r="K435" s="99"/>
      <c r="L435" s="98"/>
      <c r="M435" s="99"/>
      <c r="N435" s="32"/>
      <c r="O435" s="33"/>
    </row>
    <row r="436" ht="15.75" customHeight="1">
      <c r="A436" s="139"/>
      <c r="B436" s="140"/>
      <c r="C436" s="61"/>
      <c r="D436" s="133"/>
      <c r="E436" s="90"/>
      <c r="F436" s="141"/>
      <c r="G436" s="173"/>
      <c r="H436" s="96"/>
      <c r="I436" s="97"/>
      <c r="J436" s="98"/>
      <c r="K436" s="99"/>
      <c r="L436" s="98"/>
      <c r="M436" s="99"/>
      <c r="N436" s="32"/>
      <c r="O436" s="33"/>
    </row>
    <row r="437" ht="15.75" customHeight="1">
      <c r="A437" s="139"/>
      <c r="B437" s="140"/>
      <c r="C437" s="61"/>
      <c r="D437" s="133"/>
      <c r="E437" s="90"/>
      <c r="F437" s="141"/>
      <c r="G437" s="173"/>
      <c r="H437" s="96"/>
      <c r="I437" s="97"/>
      <c r="J437" s="98"/>
      <c r="K437" s="99"/>
      <c r="L437" s="98"/>
      <c r="M437" s="99"/>
      <c r="N437" s="32"/>
      <c r="O437" s="33"/>
    </row>
    <row r="438" ht="15.75" customHeight="1">
      <c r="A438" s="139"/>
      <c r="B438" s="140"/>
      <c r="C438" s="61"/>
      <c r="D438" s="133"/>
      <c r="E438" s="90"/>
      <c r="F438" s="141"/>
      <c r="G438" s="173"/>
      <c r="H438" s="96"/>
      <c r="I438" s="97"/>
      <c r="J438" s="98"/>
      <c r="K438" s="99"/>
      <c r="L438" s="98"/>
      <c r="M438" s="99"/>
      <c r="N438" s="32"/>
      <c r="O438" s="33"/>
    </row>
    <row r="439" ht="15.75" customHeight="1">
      <c r="A439" s="139"/>
      <c r="B439" s="140"/>
      <c r="C439" s="61"/>
      <c r="D439" s="133"/>
      <c r="E439" s="90"/>
      <c r="F439" s="141"/>
      <c r="G439" s="173"/>
      <c r="H439" s="96"/>
      <c r="I439" s="97"/>
      <c r="J439" s="98"/>
      <c r="K439" s="99"/>
      <c r="L439" s="98"/>
      <c r="M439" s="99"/>
      <c r="N439" s="32"/>
      <c r="O439" s="33"/>
    </row>
    <row r="440" ht="15.75" customHeight="1">
      <c r="A440" s="139"/>
      <c r="B440" s="140"/>
      <c r="C440" s="61"/>
      <c r="D440" s="133"/>
      <c r="E440" s="90"/>
      <c r="F440" s="141"/>
      <c r="G440" s="173"/>
      <c r="H440" s="96"/>
      <c r="I440" s="97"/>
      <c r="J440" s="98"/>
      <c r="K440" s="99"/>
      <c r="L440" s="98"/>
      <c r="M440" s="99"/>
      <c r="N440" s="32"/>
      <c r="O440" s="33"/>
    </row>
    <row r="441" ht="15.75" customHeight="1">
      <c r="A441" s="139"/>
      <c r="B441" s="140"/>
      <c r="C441" s="61"/>
      <c r="D441" s="133"/>
      <c r="E441" s="90"/>
      <c r="F441" s="141"/>
      <c r="G441" s="173"/>
      <c r="H441" s="96"/>
      <c r="I441" s="97"/>
      <c r="J441" s="98"/>
      <c r="K441" s="99"/>
      <c r="L441" s="98"/>
      <c r="M441" s="99"/>
      <c r="N441" s="32"/>
      <c r="O441" s="33"/>
    </row>
    <row r="442" ht="15.75" customHeight="1">
      <c r="A442" s="139"/>
      <c r="B442" s="140"/>
      <c r="C442" s="61"/>
      <c r="D442" s="133"/>
      <c r="E442" s="90"/>
      <c r="F442" s="141"/>
      <c r="G442" s="173"/>
      <c r="H442" s="96"/>
      <c r="I442" s="97"/>
      <c r="J442" s="98"/>
      <c r="K442" s="99"/>
      <c r="L442" s="98"/>
      <c r="M442" s="99"/>
      <c r="N442" s="32"/>
      <c r="O442" s="33"/>
    </row>
    <row r="443" ht="15.75" customHeight="1">
      <c r="A443" s="139"/>
      <c r="B443" s="140"/>
      <c r="C443" s="61"/>
      <c r="D443" s="133"/>
      <c r="E443" s="90"/>
      <c r="F443" s="141"/>
      <c r="G443" s="173"/>
      <c r="H443" s="96"/>
      <c r="I443" s="97"/>
      <c r="J443" s="98"/>
      <c r="K443" s="99"/>
      <c r="L443" s="98"/>
      <c r="M443" s="99"/>
      <c r="N443" s="32"/>
      <c r="O443" s="33"/>
    </row>
    <row r="444" ht="15.75" customHeight="1">
      <c r="A444" s="139"/>
      <c r="B444" s="140"/>
      <c r="C444" s="61"/>
      <c r="D444" s="133"/>
      <c r="E444" s="90"/>
      <c r="F444" s="141"/>
      <c r="G444" s="173"/>
      <c r="H444" s="96"/>
      <c r="I444" s="97"/>
      <c r="J444" s="98"/>
      <c r="K444" s="99"/>
      <c r="L444" s="98"/>
      <c r="M444" s="99"/>
      <c r="N444" s="32"/>
      <c r="O444" s="33"/>
    </row>
    <row r="445" ht="15.75" customHeight="1">
      <c r="A445" s="139"/>
      <c r="B445" s="140"/>
      <c r="C445" s="61"/>
      <c r="D445" s="133"/>
      <c r="E445" s="90"/>
      <c r="F445" s="141"/>
      <c r="G445" s="173"/>
      <c r="H445" s="96"/>
      <c r="I445" s="97"/>
      <c r="J445" s="98"/>
      <c r="K445" s="99"/>
      <c r="L445" s="98"/>
      <c r="M445" s="99"/>
      <c r="N445" s="32"/>
      <c r="O445" s="33"/>
    </row>
    <row r="446" ht="15.75" customHeight="1">
      <c r="A446" s="139"/>
      <c r="B446" s="140"/>
      <c r="C446" s="61"/>
      <c r="D446" s="133"/>
      <c r="E446" s="90"/>
      <c r="F446" s="141"/>
      <c r="G446" s="173"/>
      <c r="H446" s="96"/>
      <c r="I446" s="97"/>
      <c r="J446" s="98"/>
      <c r="K446" s="99"/>
      <c r="L446" s="98"/>
      <c r="M446" s="99"/>
      <c r="N446" s="32"/>
      <c r="O446" s="33"/>
    </row>
    <row r="447" ht="15.75" customHeight="1">
      <c r="A447" s="139"/>
      <c r="B447" s="140"/>
      <c r="C447" s="61"/>
      <c r="D447" s="133"/>
      <c r="E447" s="90"/>
      <c r="F447" s="141"/>
      <c r="G447" s="173"/>
      <c r="H447" s="96"/>
      <c r="I447" s="97"/>
      <c r="J447" s="98"/>
      <c r="K447" s="99"/>
      <c r="L447" s="98"/>
      <c r="M447" s="99"/>
      <c r="N447" s="32"/>
      <c r="O447" s="33"/>
    </row>
    <row r="448" ht="15.75" customHeight="1">
      <c r="A448" s="139"/>
      <c r="B448" s="140"/>
      <c r="C448" s="61"/>
      <c r="D448" s="133"/>
      <c r="E448" s="90"/>
      <c r="F448" s="141"/>
      <c r="G448" s="173"/>
      <c r="H448" s="96"/>
      <c r="I448" s="97"/>
      <c r="J448" s="98"/>
      <c r="K448" s="99"/>
      <c r="L448" s="98"/>
      <c r="M448" s="99"/>
      <c r="N448" s="32"/>
      <c r="O448" s="33"/>
    </row>
    <row r="449" ht="15.75" customHeight="1">
      <c r="A449" s="139"/>
      <c r="B449" s="140"/>
      <c r="C449" s="61"/>
      <c r="D449" s="133"/>
      <c r="E449" s="90"/>
      <c r="F449" s="141"/>
      <c r="G449" s="173"/>
      <c r="H449" s="96"/>
      <c r="I449" s="97"/>
      <c r="J449" s="98"/>
      <c r="K449" s="99"/>
      <c r="L449" s="98"/>
      <c r="M449" s="99"/>
      <c r="N449" s="32"/>
      <c r="O449" s="33"/>
    </row>
    <row r="450" ht="15.75" customHeight="1">
      <c r="A450" s="139"/>
      <c r="B450" s="140"/>
      <c r="C450" s="61"/>
      <c r="D450" s="133"/>
      <c r="E450" s="90"/>
      <c r="F450" s="141"/>
      <c r="G450" s="173"/>
      <c r="H450" s="96"/>
      <c r="I450" s="97"/>
      <c r="J450" s="98"/>
      <c r="K450" s="99"/>
      <c r="L450" s="98"/>
      <c r="M450" s="99"/>
      <c r="N450" s="32"/>
      <c r="O450" s="33"/>
    </row>
    <row r="451" ht="15.75" customHeight="1">
      <c r="A451" s="139"/>
      <c r="B451" s="140"/>
      <c r="C451" s="61"/>
      <c r="D451" s="133"/>
      <c r="E451" s="90"/>
      <c r="F451" s="141"/>
      <c r="G451" s="173"/>
      <c r="H451" s="96"/>
      <c r="I451" s="97"/>
      <c r="J451" s="98"/>
      <c r="K451" s="99"/>
      <c r="L451" s="98"/>
      <c r="M451" s="99"/>
      <c r="N451" s="32"/>
      <c r="O451" s="33"/>
    </row>
    <row r="452" ht="15.75" customHeight="1">
      <c r="A452" s="139"/>
      <c r="B452" s="140"/>
      <c r="C452" s="61"/>
      <c r="D452" s="133"/>
      <c r="E452" s="90"/>
      <c r="F452" s="141"/>
      <c r="G452" s="173"/>
      <c r="H452" s="96"/>
      <c r="I452" s="97"/>
      <c r="J452" s="98"/>
      <c r="K452" s="99"/>
      <c r="L452" s="98"/>
      <c r="M452" s="99"/>
      <c r="N452" s="32"/>
      <c r="O452" s="33"/>
    </row>
    <row r="453" ht="15.75" customHeight="1">
      <c r="A453" s="139"/>
      <c r="B453" s="140"/>
      <c r="C453" s="61"/>
      <c r="D453" s="133"/>
      <c r="E453" s="90"/>
      <c r="F453" s="141"/>
      <c r="G453" s="173"/>
      <c r="H453" s="96"/>
      <c r="I453" s="97"/>
      <c r="J453" s="98"/>
      <c r="K453" s="99"/>
      <c r="L453" s="98"/>
      <c r="M453" s="99"/>
      <c r="N453" s="32"/>
      <c r="O453" s="33"/>
    </row>
    <row r="454" ht="15.75" customHeight="1">
      <c r="A454" s="139"/>
      <c r="B454" s="140"/>
      <c r="C454" s="61"/>
      <c r="D454" s="133"/>
      <c r="E454" s="90"/>
      <c r="F454" s="141"/>
      <c r="G454" s="173"/>
      <c r="H454" s="96"/>
      <c r="I454" s="97"/>
      <c r="J454" s="98"/>
      <c r="K454" s="99"/>
      <c r="L454" s="98"/>
      <c r="M454" s="99"/>
      <c r="N454" s="32"/>
      <c r="O454" s="33"/>
    </row>
    <row r="455" ht="15.75" customHeight="1">
      <c r="A455" s="139"/>
      <c r="B455" s="140"/>
      <c r="C455" s="61"/>
      <c r="D455" s="133"/>
      <c r="E455" s="90"/>
      <c r="F455" s="141"/>
      <c r="G455" s="173"/>
      <c r="H455" s="96"/>
      <c r="I455" s="97"/>
      <c r="J455" s="98"/>
      <c r="K455" s="99"/>
      <c r="L455" s="98"/>
      <c r="M455" s="99"/>
      <c r="N455" s="32"/>
      <c r="O455" s="33"/>
    </row>
    <row r="456" ht="15.75" customHeight="1">
      <c r="A456" s="139"/>
      <c r="B456" s="140"/>
      <c r="C456" s="61"/>
      <c r="D456" s="133"/>
      <c r="E456" s="90"/>
      <c r="F456" s="141"/>
      <c r="G456" s="173"/>
      <c r="H456" s="96"/>
      <c r="I456" s="97"/>
      <c r="J456" s="98"/>
      <c r="K456" s="99"/>
      <c r="L456" s="98"/>
      <c r="M456" s="99"/>
      <c r="N456" s="32"/>
      <c r="O456" s="33"/>
    </row>
    <row r="457" ht="15.75" customHeight="1">
      <c r="A457" s="139"/>
      <c r="B457" s="140"/>
      <c r="C457" s="61"/>
      <c r="D457" s="133"/>
      <c r="E457" s="90"/>
      <c r="F457" s="141"/>
      <c r="G457" s="173"/>
      <c r="H457" s="96"/>
      <c r="I457" s="97"/>
      <c r="J457" s="98"/>
      <c r="K457" s="99"/>
      <c r="L457" s="98"/>
      <c r="M457" s="99"/>
      <c r="N457" s="32"/>
      <c r="O457" s="33"/>
    </row>
    <row r="458" ht="15.75" customHeight="1">
      <c r="A458" s="139"/>
      <c r="B458" s="140"/>
      <c r="C458" s="61"/>
      <c r="D458" s="133"/>
      <c r="E458" s="90"/>
      <c r="F458" s="141"/>
      <c r="G458" s="173"/>
      <c r="H458" s="96"/>
      <c r="I458" s="97"/>
      <c r="J458" s="98"/>
      <c r="K458" s="99"/>
      <c r="L458" s="98"/>
      <c r="M458" s="99"/>
      <c r="N458" s="32"/>
      <c r="O458" s="33"/>
    </row>
    <row r="459" ht="15.75" customHeight="1">
      <c r="A459" s="139"/>
      <c r="B459" s="140"/>
      <c r="C459" s="61"/>
      <c r="D459" s="133"/>
      <c r="E459" s="90"/>
      <c r="F459" s="141"/>
      <c r="G459" s="173"/>
      <c r="H459" s="96"/>
      <c r="I459" s="97"/>
      <c r="J459" s="98"/>
      <c r="K459" s="99"/>
      <c r="L459" s="98"/>
      <c r="M459" s="99"/>
      <c r="N459" s="32"/>
      <c r="O459" s="33"/>
    </row>
    <row r="460" ht="15.75" customHeight="1">
      <c r="A460" s="139"/>
      <c r="B460" s="140"/>
      <c r="C460" s="61"/>
      <c r="D460" s="133"/>
      <c r="E460" s="90"/>
      <c r="F460" s="141"/>
      <c r="G460" s="173"/>
      <c r="H460" s="96"/>
      <c r="I460" s="97"/>
      <c r="J460" s="98"/>
      <c r="K460" s="99"/>
      <c r="L460" s="98"/>
      <c r="M460" s="99"/>
      <c r="N460" s="32"/>
      <c r="O460" s="33"/>
    </row>
    <row r="461" ht="15.75" customHeight="1">
      <c r="A461" s="139"/>
      <c r="B461" s="140"/>
      <c r="C461" s="61"/>
      <c r="D461" s="133"/>
      <c r="E461" s="90"/>
      <c r="F461" s="141"/>
      <c r="G461" s="173"/>
      <c r="H461" s="96"/>
      <c r="I461" s="97"/>
      <c r="J461" s="98"/>
      <c r="K461" s="99"/>
      <c r="L461" s="98"/>
      <c r="M461" s="99"/>
      <c r="N461" s="32"/>
      <c r="O461" s="33"/>
    </row>
    <row r="462" ht="15.75" customHeight="1">
      <c r="A462" s="139"/>
      <c r="B462" s="140"/>
      <c r="C462" s="61"/>
      <c r="D462" s="133"/>
      <c r="E462" s="90"/>
      <c r="F462" s="141"/>
      <c r="G462" s="173"/>
      <c r="H462" s="96"/>
      <c r="I462" s="97"/>
      <c r="J462" s="98"/>
      <c r="K462" s="99"/>
      <c r="L462" s="98"/>
      <c r="M462" s="99"/>
      <c r="N462" s="32"/>
      <c r="O462" s="33"/>
    </row>
    <row r="463" ht="15.75" customHeight="1">
      <c r="A463" s="139"/>
      <c r="B463" s="140"/>
      <c r="C463" s="61"/>
      <c r="D463" s="133"/>
      <c r="E463" s="90"/>
      <c r="F463" s="141"/>
      <c r="G463" s="173"/>
      <c r="H463" s="96"/>
      <c r="I463" s="97"/>
      <c r="J463" s="98"/>
      <c r="K463" s="99"/>
      <c r="L463" s="98"/>
      <c r="M463" s="99"/>
      <c r="N463" s="32"/>
      <c r="O463" s="33"/>
    </row>
    <row r="464" ht="15.75" customHeight="1">
      <c r="A464" s="139"/>
      <c r="B464" s="140"/>
      <c r="C464" s="61"/>
      <c r="D464" s="133"/>
      <c r="E464" s="90"/>
      <c r="F464" s="141"/>
      <c r="G464" s="173"/>
      <c r="H464" s="96"/>
      <c r="I464" s="97"/>
      <c r="J464" s="98"/>
      <c r="K464" s="99"/>
      <c r="L464" s="98"/>
      <c r="M464" s="99"/>
      <c r="N464" s="32"/>
      <c r="O464" s="33"/>
    </row>
    <row r="465" ht="15.75" customHeight="1">
      <c r="A465" s="139"/>
      <c r="B465" s="140"/>
      <c r="C465" s="61"/>
      <c r="D465" s="133"/>
      <c r="E465" s="90"/>
      <c r="F465" s="141"/>
      <c r="G465" s="173"/>
      <c r="H465" s="96"/>
      <c r="I465" s="97"/>
      <c r="J465" s="98"/>
      <c r="K465" s="99"/>
      <c r="L465" s="98"/>
      <c r="M465" s="99"/>
      <c r="N465" s="32"/>
      <c r="O465" s="33"/>
    </row>
    <row r="466" ht="15.75" customHeight="1">
      <c r="A466" s="139"/>
      <c r="B466" s="140"/>
      <c r="C466" s="61"/>
      <c r="D466" s="133"/>
      <c r="E466" s="90"/>
      <c r="F466" s="141"/>
      <c r="G466" s="173"/>
      <c r="H466" s="96"/>
      <c r="I466" s="97"/>
      <c r="J466" s="98"/>
      <c r="K466" s="99"/>
      <c r="L466" s="98"/>
      <c r="M466" s="99"/>
      <c r="N466" s="32"/>
      <c r="O466" s="33"/>
    </row>
    <row r="467" ht="15.75" customHeight="1">
      <c r="A467" s="139"/>
      <c r="B467" s="140"/>
      <c r="C467" s="61"/>
      <c r="D467" s="133"/>
      <c r="E467" s="90"/>
      <c r="F467" s="141"/>
      <c r="G467" s="173"/>
      <c r="H467" s="96"/>
      <c r="I467" s="97"/>
      <c r="J467" s="98"/>
      <c r="K467" s="99"/>
      <c r="L467" s="98"/>
      <c r="M467" s="99"/>
      <c r="N467" s="32"/>
      <c r="O467" s="33"/>
    </row>
    <row r="468" ht="15.75" customHeight="1">
      <c r="A468" s="139"/>
      <c r="B468" s="140"/>
      <c r="C468" s="61"/>
      <c r="D468" s="133"/>
      <c r="E468" s="90"/>
      <c r="F468" s="141"/>
      <c r="G468" s="173"/>
      <c r="H468" s="96"/>
      <c r="I468" s="97"/>
      <c r="J468" s="98"/>
      <c r="K468" s="99"/>
      <c r="L468" s="98"/>
      <c r="M468" s="99"/>
      <c r="N468" s="32"/>
      <c r="O468" s="33"/>
    </row>
    <row r="469" ht="15.75" customHeight="1">
      <c r="A469" s="139"/>
      <c r="B469" s="140"/>
      <c r="C469" s="61"/>
      <c r="D469" s="133"/>
      <c r="E469" s="90"/>
      <c r="F469" s="141"/>
      <c r="G469" s="173"/>
      <c r="H469" s="96"/>
      <c r="I469" s="97"/>
      <c r="J469" s="98"/>
      <c r="K469" s="99"/>
      <c r="L469" s="98"/>
      <c r="M469" s="99"/>
      <c r="N469" s="32"/>
      <c r="O469" s="33"/>
    </row>
    <row r="470" ht="15.75" customHeight="1">
      <c r="A470" s="139"/>
      <c r="B470" s="140"/>
      <c r="C470" s="61"/>
      <c r="D470" s="133"/>
      <c r="E470" s="90"/>
      <c r="F470" s="141"/>
      <c r="G470" s="173"/>
      <c r="H470" s="96"/>
      <c r="I470" s="97"/>
      <c r="J470" s="98"/>
      <c r="K470" s="99"/>
      <c r="L470" s="98"/>
      <c r="M470" s="99"/>
      <c r="N470" s="32"/>
      <c r="O470" s="33"/>
    </row>
    <row r="471" ht="15.75" customHeight="1">
      <c r="A471" s="139"/>
      <c r="B471" s="140"/>
      <c r="C471" s="61"/>
      <c r="D471" s="133"/>
      <c r="E471" s="90"/>
      <c r="F471" s="141"/>
      <c r="G471" s="173"/>
      <c r="H471" s="96"/>
      <c r="I471" s="97"/>
      <c r="J471" s="98"/>
      <c r="K471" s="99"/>
      <c r="L471" s="98"/>
      <c r="M471" s="99"/>
      <c r="N471" s="32"/>
      <c r="O471" s="33"/>
    </row>
    <row r="472" ht="15.75" customHeight="1">
      <c r="A472" s="139"/>
      <c r="B472" s="140"/>
      <c r="C472" s="61"/>
      <c r="D472" s="133"/>
      <c r="E472" s="90"/>
      <c r="F472" s="141"/>
      <c r="G472" s="173"/>
      <c r="H472" s="96"/>
      <c r="I472" s="97"/>
      <c r="J472" s="98"/>
      <c r="K472" s="99"/>
      <c r="L472" s="98"/>
      <c r="M472" s="99"/>
      <c r="N472" s="32"/>
      <c r="O472" s="33"/>
    </row>
    <row r="473" ht="15.75" customHeight="1">
      <c r="A473" s="139"/>
      <c r="B473" s="140"/>
      <c r="C473" s="61"/>
      <c r="D473" s="133"/>
      <c r="E473" s="90"/>
      <c r="F473" s="141"/>
      <c r="G473" s="173"/>
      <c r="H473" s="96"/>
      <c r="I473" s="97"/>
      <c r="J473" s="98"/>
      <c r="K473" s="99"/>
      <c r="L473" s="98"/>
      <c r="M473" s="99"/>
      <c r="N473" s="32"/>
      <c r="O473" s="33"/>
    </row>
    <row r="474" ht="15.75" customHeight="1">
      <c r="A474" s="139"/>
      <c r="B474" s="140"/>
      <c r="C474" s="61"/>
      <c r="D474" s="133"/>
      <c r="E474" s="90"/>
      <c r="F474" s="141"/>
      <c r="G474" s="173"/>
      <c r="H474" s="96"/>
      <c r="I474" s="97"/>
      <c r="J474" s="98"/>
      <c r="K474" s="99"/>
      <c r="L474" s="98"/>
      <c r="M474" s="99"/>
      <c r="N474" s="32"/>
      <c r="O474" s="33"/>
    </row>
    <row r="475" ht="15.75" customHeight="1">
      <c r="A475" s="139"/>
      <c r="B475" s="140"/>
      <c r="C475" s="61"/>
      <c r="D475" s="133"/>
      <c r="E475" s="90"/>
      <c r="F475" s="141"/>
      <c r="G475" s="173"/>
      <c r="H475" s="96"/>
      <c r="I475" s="97"/>
      <c r="J475" s="98"/>
      <c r="K475" s="99"/>
      <c r="L475" s="98"/>
      <c r="M475" s="99"/>
      <c r="N475" s="32"/>
      <c r="O475" s="33"/>
    </row>
    <row r="476" ht="15.75" customHeight="1">
      <c r="A476" s="139"/>
      <c r="B476" s="140"/>
      <c r="C476" s="61"/>
      <c r="D476" s="133"/>
      <c r="E476" s="90"/>
      <c r="F476" s="141"/>
      <c r="G476" s="173"/>
      <c r="H476" s="96"/>
      <c r="I476" s="97"/>
      <c r="J476" s="98"/>
      <c r="K476" s="99"/>
      <c r="L476" s="98"/>
      <c r="M476" s="99"/>
      <c r="N476" s="32"/>
      <c r="O476" s="33"/>
    </row>
    <row r="477" ht="15.75" customHeight="1">
      <c r="A477" s="139"/>
      <c r="B477" s="140"/>
      <c r="C477" s="61"/>
      <c r="D477" s="133"/>
      <c r="E477" s="90"/>
      <c r="F477" s="141"/>
      <c r="G477" s="173"/>
      <c r="H477" s="96"/>
      <c r="I477" s="97"/>
      <c r="J477" s="98"/>
      <c r="K477" s="99"/>
      <c r="L477" s="98"/>
      <c r="M477" s="99"/>
      <c r="N477" s="32"/>
      <c r="O477" s="33"/>
    </row>
    <row r="478" ht="15.75" customHeight="1">
      <c r="A478" s="142"/>
      <c r="B478" s="143"/>
      <c r="C478" s="144"/>
      <c r="D478" s="145"/>
      <c r="E478" s="142"/>
      <c r="F478" s="146"/>
      <c r="G478" s="174"/>
      <c r="H478" s="148"/>
      <c r="I478" s="148"/>
      <c r="J478" s="149"/>
      <c r="K478" s="149"/>
      <c r="L478" s="149"/>
      <c r="M478" s="149"/>
      <c r="N478" s="142"/>
      <c r="O478" s="33"/>
    </row>
    <row r="479" ht="15.75" customHeight="1">
      <c r="A479" s="142"/>
      <c r="B479" s="143"/>
      <c r="C479" s="144"/>
      <c r="D479" s="145"/>
      <c r="E479" s="142"/>
      <c r="F479" s="146"/>
      <c r="G479" s="174"/>
      <c r="H479" s="148"/>
      <c r="I479" s="148"/>
      <c r="J479" s="149"/>
      <c r="K479" s="149"/>
      <c r="L479" s="149"/>
      <c r="M479" s="149"/>
      <c r="N479" s="142"/>
      <c r="O479" s="33"/>
    </row>
    <row r="480" ht="15.75" customHeight="1">
      <c r="A480" s="142"/>
      <c r="B480" s="143"/>
      <c r="C480" s="144"/>
      <c r="D480" s="145"/>
      <c r="E480" s="142"/>
      <c r="F480" s="146"/>
      <c r="G480" s="174"/>
      <c r="H480" s="148"/>
      <c r="I480" s="148"/>
      <c r="J480" s="149"/>
      <c r="K480" s="149"/>
      <c r="L480" s="149"/>
      <c r="M480" s="149"/>
      <c r="N480" s="142"/>
      <c r="O480" s="33"/>
    </row>
    <row r="481" ht="15.75" customHeight="1">
      <c r="A481" s="142"/>
      <c r="B481" s="143"/>
      <c r="C481" s="144"/>
      <c r="D481" s="145"/>
      <c r="E481" s="142"/>
      <c r="F481" s="146"/>
      <c r="G481" s="174"/>
      <c r="H481" s="148"/>
      <c r="I481" s="148"/>
      <c r="J481" s="149"/>
      <c r="K481" s="149"/>
      <c r="L481" s="149"/>
      <c r="M481" s="149"/>
      <c r="N481" s="142"/>
      <c r="O481" s="33"/>
    </row>
    <row r="482" ht="15.75" customHeight="1">
      <c r="A482" s="142"/>
      <c r="B482" s="143"/>
      <c r="C482" s="144"/>
      <c r="D482" s="145"/>
      <c r="E482" s="142"/>
      <c r="F482" s="146"/>
      <c r="G482" s="174"/>
      <c r="H482" s="148"/>
      <c r="I482" s="148"/>
      <c r="J482" s="149"/>
      <c r="K482" s="149"/>
      <c r="L482" s="149"/>
      <c r="M482" s="149"/>
      <c r="N482" s="142"/>
      <c r="O482" s="33"/>
    </row>
    <row r="483" ht="15.75" customHeight="1">
      <c r="A483" s="142"/>
      <c r="B483" s="143"/>
      <c r="C483" s="144"/>
      <c r="D483" s="145"/>
      <c r="E483" s="142"/>
      <c r="F483" s="146"/>
      <c r="G483" s="174"/>
      <c r="H483" s="148"/>
      <c r="I483" s="148"/>
      <c r="J483" s="149"/>
      <c r="K483" s="149"/>
      <c r="L483" s="149"/>
      <c r="M483" s="149"/>
      <c r="N483" s="142"/>
      <c r="O483" s="33"/>
    </row>
    <row r="484" ht="15.75" customHeight="1">
      <c r="A484" s="142"/>
      <c r="B484" s="143"/>
      <c r="C484" s="144"/>
      <c r="D484" s="145"/>
      <c r="E484" s="142"/>
      <c r="F484" s="146"/>
      <c r="G484" s="174"/>
      <c r="H484" s="148"/>
      <c r="I484" s="148"/>
      <c r="J484" s="149"/>
      <c r="K484" s="149"/>
      <c r="L484" s="149"/>
      <c r="M484" s="149"/>
      <c r="N484" s="142"/>
      <c r="O484" s="33"/>
    </row>
    <row r="485" ht="15.75" customHeight="1">
      <c r="A485" s="142"/>
      <c r="B485" s="143"/>
      <c r="C485" s="144"/>
      <c r="D485" s="145"/>
      <c r="E485" s="142"/>
      <c r="F485" s="146"/>
      <c r="G485" s="174"/>
      <c r="H485" s="148"/>
      <c r="I485" s="148"/>
      <c r="J485" s="149"/>
      <c r="K485" s="149"/>
      <c r="L485" s="149"/>
      <c r="M485" s="149"/>
      <c r="N485" s="142"/>
      <c r="O485" s="33"/>
    </row>
    <row r="486" ht="15.75" customHeight="1">
      <c r="A486" s="142"/>
      <c r="B486" s="143"/>
      <c r="C486" s="144"/>
      <c r="D486" s="145"/>
      <c r="E486" s="142"/>
      <c r="F486" s="146"/>
      <c r="G486" s="174"/>
      <c r="H486" s="148"/>
      <c r="I486" s="148"/>
      <c r="J486" s="149"/>
      <c r="K486" s="149"/>
      <c r="L486" s="149"/>
      <c r="M486" s="149"/>
      <c r="N486" s="142"/>
      <c r="O486" s="33"/>
    </row>
    <row r="487" ht="15.75" customHeight="1">
      <c r="A487" s="142"/>
      <c r="B487" s="143"/>
      <c r="C487" s="144"/>
      <c r="D487" s="145"/>
      <c r="E487" s="142"/>
      <c r="F487" s="146"/>
      <c r="G487" s="174"/>
      <c r="H487" s="148"/>
      <c r="I487" s="148"/>
      <c r="J487" s="149"/>
      <c r="K487" s="149"/>
      <c r="L487" s="149"/>
      <c r="M487" s="149"/>
      <c r="N487" s="142"/>
      <c r="O487" s="33"/>
    </row>
    <row r="488" ht="15.75" customHeight="1">
      <c r="A488" s="142"/>
      <c r="B488" s="143"/>
      <c r="C488" s="144"/>
      <c r="D488" s="145"/>
      <c r="E488" s="142"/>
      <c r="F488" s="146"/>
      <c r="G488" s="174"/>
      <c r="H488" s="148"/>
      <c r="I488" s="148"/>
      <c r="J488" s="149"/>
      <c r="K488" s="149"/>
      <c r="L488" s="149"/>
      <c r="M488" s="149"/>
      <c r="N488" s="142"/>
      <c r="O488" s="33"/>
    </row>
    <row r="489" ht="15.75" customHeight="1">
      <c r="A489" s="142"/>
      <c r="B489" s="143"/>
      <c r="C489" s="144"/>
      <c r="D489" s="145"/>
      <c r="E489" s="142"/>
      <c r="F489" s="146"/>
      <c r="G489" s="174"/>
      <c r="H489" s="148"/>
      <c r="I489" s="148"/>
      <c r="J489" s="149"/>
      <c r="K489" s="149"/>
      <c r="L489" s="149"/>
      <c r="M489" s="149"/>
      <c r="N489" s="142"/>
      <c r="O489" s="33"/>
    </row>
    <row r="490" ht="15.75" customHeight="1">
      <c r="A490" s="142"/>
      <c r="B490" s="143"/>
      <c r="C490" s="144"/>
      <c r="D490" s="145"/>
      <c r="E490" s="142"/>
      <c r="F490" s="146"/>
      <c r="G490" s="174"/>
      <c r="H490" s="148"/>
      <c r="I490" s="148"/>
      <c r="J490" s="149"/>
      <c r="K490" s="149"/>
      <c r="L490" s="149"/>
      <c r="M490" s="149"/>
      <c r="N490" s="142"/>
      <c r="O490" s="33"/>
    </row>
    <row r="491" ht="15.75" customHeight="1">
      <c r="A491" s="142"/>
      <c r="B491" s="143"/>
      <c r="C491" s="144"/>
      <c r="D491" s="145"/>
      <c r="E491" s="142"/>
      <c r="F491" s="146"/>
      <c r="G491" s="174"/>
      <c r="H491" s="148"/>
      <c r="I491" s="148"/>
      <c r="J491" s="149"/>
      <c r="K491" s="149"/>
      <c r="L491" s="149"/>
      <c r="M491" s="149"/>
      <c r="N491" s="142"/>
      <c r="O491" s="33"/>
    </row>
    <row r="492" ht="15.75" customHeight="1">
      <c r="A492" s="142"/>
      <c r="B492" s="143"/>
      <c r="C492" s="144"/>
      <c r="D492" s="145"/>
      <c r="E492" s="142"/>
      <c r="F492" s="146"/>
      <c r="G492" s="174"/>
      <c r="H492" s="148"/>
      <c r="I492" s="148"/>
      <c r="J492" s="149"/>
      <c r="K492" s="149"/>
      <c r="L492" s="149"/>
      <c r="M492" s="149"/>
      <c r="N492" s="142"/>
      <c r="O492" s="33"/>
    </row>
    <row r="493" ht="15.75" customHeight="1">
      <c r="A493" s="142"/>
      <c r="B493" s="143"/>
      <c r="C493" s="144"/>
      <c r="D493" s="145"/>
      <c r="E493" s="142"/>
      <c r="F493" s="146"/>
      <c r="G493" s="174"/>
      <c r="H493" s="148"/>
      <c r="I493" s="148"/>
      <c r="J493" s="149"/>
      <c r="K493" s="149"/>
      <c r="L493" s="149"/>
      <c r="M493" s="149"/>
      <c r="N493" s="142"/>
      <c r="O493" s="33"/>
    </row>
    <row r="494" ht="15.75" customHeight="1">
      <c r="A494" s="142"/>
      <c r="B494" s="143"/>
      <c r="C494" s="144"/>
      <c r="D494" s="145"/>
      <c r="E494" s="142"/>
      <c r="F494" s="146"/>
      <c r="G494" s="174"/>
      <c r="H494" s="148"/>
      <c r="I494" s="148"/>
      <c r="J494" s="149"/>
      <c r="K494" s="149"/>
      <c r="L494" s="149"/>
      <c r="M494" s="149"/>
      <c r="N494" s="142"/>
      <c r="O494" s="33"/>
    </row>
    <row r="495" ht="15.75" customHeight="1">
      <c r="A495" s="142"/>
      <c r="B495" s="143"/>
      <c r="C495" s="144"/>
      <c r="D495" s="145"/>
      <c r="E495" s="142"/>
      <c r="F495" s="146"/>
      <c r="G495" s="174"/>
      <c r="H495" s="148"/>
      <c r="I495" s="148"/>
      <c r="J495" s="149"/>
      <c r="K495" s="149"/>
      <c r="L495" s="149"/>
      <c r="M495" s="149"/>
      <c r="N495" s="142"/>
      <c r="O495" s="33"/>
    </row>
    <row r="496" ht="15.75" customHeight="1">
      <c r="A496" s="142"/>
      <c r="B496" s="143"/>
      <c r="C496" s="144"/>
      <c r="D496" s="145"/>
      <c r="E496" s="142"/>
      <c r="F496" s="146"/>
      <c r="G496" s="174"/>
      <c r="H496" s="148"/>
      <c r="I496" s="148"/>
      <c r="J496" s="149"/>
      <c r="K496" s="149"/>
      <c r="L496" s="149"/>
      <c r="M496" s="149"/>
      <c r="N496" s="142"/>
      <c r="O496" s="33"/>
    </row>
    <row r="497" ht="15.75" customHeight="1">
      <c r="A497" s="142"/>
      <c r="B497" s="143"/>
      <c r="C497" s="144"/>
      <c r="D497" s="145"/>
      <c r="E497" s="142"/>
      <c r="F497" s="146"/>
      <c r="G497" s="174"/>
      <c r="H497" s="148"/>
      <c r="I497" s="148"/>
      <c r="J497" s="149"/>
      <c r="K497" s="149"/>
      <c r="L497" s="149"/>
      <c r="M497" s="149"/>
      <c r="N497" s="142"/>
      <c r="O497" s="33"/>
    </row>
    <row r="498" ht="15.75" customHeight="1">
      <c r="A498" s="142"/>
      <c r="B498" s="143"/>
      <c r="C498" s="144"/>
      <c r="D498" s="145"/>
      <c r="E498" s="142"/>
      <c r="F498" s="146"/>
      <c r="G498" s="174"/>
      <c r="H498" s="148"/>
      <c r="I498" s="148"/>
      <c r="J498" s="149"/>
      <c r="K498" s="149"/>
      <c r="L498" s="149"/>
      <c r="M498" s="149"/>
      <c r="N498" s="142"/>
      <c r="O498" s="33"/>
    </row>
    <row r="499" ht="15.75" customHeight="1">
      <c r="A499" s="142"/>
      <c r="B499" s="143"/>
      <c r="C499" s="144"/>
      <c r="D499" s="145"/>
      <c r="E499" s="142"/>
      <c r="F499" s="146"/>
      <c r="G499" s="174"/>
      <c r="H499" s="148"/>
      <c r="I499" s="148"/>
      <c r="J499" s="149"/>
      <c r="K499" s="149"/>
      <c r="L499" s="149"/>
      <c r="M499" s="149"/>
      <c r="N499" s="142"/>
      <c r="O499" s="33"/>
    </row>
    <row r="500" ht="15.75" customHeight="1">
      <c r="A500" s="142"/>
      <c r="B500" s="143"/>
      <c r="C500" s="144"/>
      <c r="D500" s="145"/>
      <c r="E500" s="142"/>
      <c r="F500" s="146"/>
      <c r="G500" s="174"/>
      <c r="H500" s="148"/>
      <c r="I500" s="148"/>
      <c r="J500" s="149"/>
      <c r="K500" s="149"/>
      <c r="L500" s="149"/>
      <c r="M500" s="149"/>
      <c r="N500" s="142"/>
      <c r="O500" s="33"/>
    </row>
    <row r="501" ht="15.75" customHeight="1">
      <c r="A501" s="142"/>
      <c r="B501" s="143"/>
      <c r="C501" s="144"/>
      <c r="D501" s="145"/>
      <c r="E501" s="142"/>
      <c r="F501" s="146"/>
      <c r="G501" s="174"/>
      <c r="H501" s="148"/>
      <c r="I501" s="148"/>
      <c r="J501" s="149"/>
      <c r="K501" s="149"/>
      <c r="L501" s="149"/>
      <c r="M501" s="149"/>
      <c r="N501" s="142"/>
      <c r="O501" s="33"/>
    </row>
    <row r="502" ht="15.75" customHeight="1">
      <c r="A502" s="142"/>
      <c r="B502" s="143"/>
      <c r="C502" s="144"/>
      <c r="D502" s="145"/>
      <c r="E502" s="142"/>
      <c r="F502" s="146"/>
      <c r="G502" s="174"/>
      <c r="H502" s="148"/>
      <c r="I502" s="148"/>
      <c r="J502" s="149"/>
      <c r="K502" s="149"/>
      <c r="L502" s="149"/>
      <c r="M502" s="149"/>
      <c r="N502" s="142"/>
      <c r="O502" s="33"/>
    </row>
    <row r="503" ht="15.75" customHeight="1">
      <c r="A503" s="142"/>
      <c r="B503" s="143"/>
      <c r="C503" s="144"/>
      <c r="D503" s="145"/>
      <c r="E503" s="142"/>
      <c r="F503" s="146"/>
      <c r="G503" s="174"/>
      <c r="H503" s="148"/>
      <c r="I503" s="148"/>
      <c r="J503" s="149"/>
      <c r="K503" s="149"/>
      <c r="L503" s="149"/>
      <c r="M503" s="149"/>
      <c r="N503" s="142"/>
      <c r="O503" s="33"/>
    </row>
    <row r="504" ht="15.75" customHeight="1">
      <c r="A504" s="142"/>
      <c r="B504" s="143"/>
      <c r="C504" s="144"/>
      <c r="D504" s="145"/>
      <c r="E504" s="142"/>
      <c r="F504" s="146"/>
      <c r="G504" s="174"/>
      <c r="H504" s="148"/>
      <c r="I504" s="148"/>
      <c r="J504" s="149"/>
      <c r="K504" s="149"/>
      <c r="L504" s="149"/>
      <c r="M504" s="149"/>
      <c r="N504" s="142"/>
      <c r="O504" s="33"/>
    </row>
    <row r="505" ht="15.75" customHeight="1">
      <c r="A505" s="142"/>
      <c r="B505" s="143"/>
      <c r="C505" s="144"/>
      <c r="D505" s="145"/>
      <c r="E505" s="142"/>
      <c r="F505" s="146"/>
      <c r="G505" s="174"/>
      <c r="H505" s="148"/>
      <c r="I505" s="148"/>
      <c r="J505" s="149"/>
      <c r="K505" s="149"/>
      <c r="L505" s="149"/>
      <c r="M505" s="149"/>
      <c r="N505" s="142"/>
      <c r="O505" s="33"/>
    </row>
    <row r="506" ht="15.75" customHeight="1">
      <c r="A506" s="142"/>
      <c r="B506" s="143"/>
      <c r="C506" s="144"/>
      <c r="D506" s="145"/>
      <c r="E506" s="142"/>
      <c r="F506" s="146"/>
      <c r="G506" s="174"/>
      <c r="H506" s="148"/>
      <c r="I506" s="148"/>
      <c r="J506" s="149"/>
      <c r="K506" s="149"/>
      <c r="L506" s="149"/>
      <c r="M506" s="149"/>
      <c r="N506" s="142"/>
      <c r="O506" s="33"/>
    </row>
    <row r="507" ht="15.75" customHeight="1">
      <c r="A507" s="142"/>
      <c r="B507" s="143"/>
      <c r="C507" s="144"/>
      <c r="D507" s="145"/>
      <c r="E507" s="142"/>
      <c r="F507" s="146"/>
      <c r="G507" s="174"/>
      <c r="H507" s="148"/>
      <c r="I507" s="148"/>
      <c r="J507" s="149"/>
      <c r="K507" s="149"/>
      <c r="L507" s="149"/>
      <c r="M507" s="149"/>
      <c r="N507" s="142"/>
      <c r="O507" s="33"/>
    </row>
    <row r="508" ht="15.75" customHeight="1">
      <c r="A508" s="142"/>
      <c r="B508" s="143"/>
      <c r="C508" s="144"/>
      <c r="D508" s="145"/>
      <c r="E508" s="142"/>
      <c r="F508" s="146"/>
      <c r="G508" s="174"/>
      <c r="H508" s="148"/>
      <c r="I508" s="148"/>
      <c r="J508" s="149"/>
      <c r="K508" s="149"/>
      <c r="L508" s="149"/>
      <c r="M508" s="149"/>
      <c r="N508" s="142"/>
      <c r="O508" s="33"/>
    </row>
    <row r="509" ht="15.75" customHeight="1">
      <c r="A509" s="142"/>
      <c r="B509" s="143"/>
      <c r="C509" s="144"/>
      <c r="D509" s="145"/>
      <c r="E509" s="142"/>
      <c r="F509" s="146"/>
      <c r="G509" s="174"/>
      <c r="H509" s="148"/>
      <c r="I509" s="148"/>
      <c r="J509" s="149"/>
      <c r="K509" s="149"/>
      <c r="L509" s="149"/>
      <c r="M509" s="149"/>
      <c r="N509" s="142"/>
      <c r="O509" s="33"/>
    </row>
    <row r="510" ht="15.75" customHeight="1">
      <c r="A510" s="142"/>
      <c r="B510" s="143"/>
      <c r="C510" s="144"/>
      <c r="D510" s="145"/>
      <c r="E510" s="142"/>
      <c r="F510" s="146"/>
      <c r="G510" s="174"/>
      <c r="H510" s="148"/>
      <c r="I510" s="148"/>
      <c r="J510" s="149"/>
      <c r="K510" s="149"/>
      <c r="L510" s="149"/>
      <c r="M510" s="149"/>
      <c r="N510" s="142"/>
      <c r="O510" s="33"/>
    </row>
    <row r="511" ht="15.75" customHeight="1">
      <c r="A511" s="142"/>
      <c r="B511" s="143"/>
      <c r="C511" s="144"/>
      <c r="D511" s="145"/>
      <c r="E511" s="142"/>
      <c r="F511" s="146"/>
      <c r="G511" s="174"/>
      <c r="H511" s="148"/>
      <c r="I511" s="148"/>
      <c r="J511" s="149"/>
      <c r="K511" s="149"/>
      <c r="L511" s="149"/>
      <c r="M511" s="149"/>
      <c r="N511" s="142"/>
      <c r="O511" s="33"/>
    </row>
    <row r="512" ht="15.75" customHeight="1">
      <c r="A512" s="142"/>
      <c r="B512" s="143"/>
      <c r="C512" s="144"/>
      <c r="D512" s="145"/>
      <c r="E512" s="142"/>
      <c r="F512" s="146"/>
      <c r="G512" s="174"/>
      <c r="H512" s="148"/>
      <c r="I512" s="148"/>
      <c r="J512" s="149"/>
      <c r="K512" s="149"/>
      <c r="L512" s="149"/>
      <c r="M512" s="149"/>
      <c r="N512" s="142"/>
      <c r="O512" s="33"/>
    </row>
    <row r="513" ht="15.75" customHeight="1">
      <c r="A513" s="142"/>
      <c r="B513" s="143"/>
      <c r="C513" s="144"/>
      <c r="D513" s="145"/>
      <c r="E513" s="142"/>
      <c r="F513" s="146"/>
      <c r="G513" s="174"/>
      <c r="H513" s="148"/>
      <c r="I513" s="148"/>
      <c r="J513" s="149"/>
      <c r="K513" s="149"/>
      <c r="L513" s="149"/>
      <c r="M513" s="149"/>
      <c r="N513" s="142"/>
      <c r="O513" s="33"/>
    </row>
    <row r="514" ht="15.75" customHeight="1">
      <c r="A514" s="142"/>
      <c r="B514" s="143"/>
      <c r="C514" s="144"/>
      <c r="D514" s="145"/>
      <c r="E514" s="142"/>
      <c r="F514" s="146"/>
      <c r="G514" s="174"/>
      <c r="H514" s="148"/>
      <c r="I514" s="148"/>
      <c r="J514" s="149"/>
      <c r="K514" s="149"/>
      <c r="L514" s="149"/>
      <c r="M514" s="149"/>
      <c r="N514" s="142"/>
      <c r="O514" s="33"/>
    </row>
    <row r="515" ht="15.75" customHeight="1">
      <c r="A515" s="142"/>
      <c r="B515" s="143"/>
      <c r="C515" s="144"/>
      <c r="D515" s="145"/>
      <c r="E515" s="142"/>
      <c r="F515" s="146"/>
      <c r="G515" s="174"/>
      <c r="H515" s="148"/>
      <c r="I515" s="148"/>
      <c r="J515" s="149"/>
      <c r="K515" s="149"/>
      <c r="L515" s="149"/>
      <c r="M515" s="149"/>
      <c r="N515" s="142"/>
      <c r="O515" s="33"/>
    </row>
    <row r="516" ht="15.75" customHeight="1">
      <c r="A516" s="142"/>
      <c r="B516" s="143"/>
      <c r="C516" s="144"/>
      <c r="D516" s="145"/>
      <c r="E516" s="142"/>
      <c r="F516" s="146"/>
      <c r="G516" s="174"/>
      <c r="H516" s="148"/>
      <c r="I516" s="148"/>
      <c r="J516" s="149"/>
      <c r="K516" s="149"/>
      <c r="L516" s="149"/>
      <c r="M516" s="149"/>
      <c r="N516" s="142"/>
      <c r="O516" s="33"/>
    </row>
    <row r="517" ht="15.75" customHeight="1">
      <c r="A517" s="142"/>
      <c r="B517" s="143"/>
      <c r="C517" s="144"/>
      <c r="D517" s="145"/>
      <c r="E517" s="142"/>
      <c r="F517" s="146"/>
      <c r="G517" s="174"/>
      <c r="H517" s="148"/>
      <c r="I517" s="148"/>
      <c r="J517" s="149"/>
      <c r="K517" s="149"/>
      <c r="L517" s="149"/>
      <c r="M517" s="149"/>
      <c r="N517" s="142"/>
      <c r="O517" s="33"/>
    </row>
    <row r="518" ht="15.75" customHeight="1">
      <c r="A518" s="142"/>
      <c r="B518" s="143"/>
      <c r="C518" s="144"/>
      <c r="D518" s="145"/>
      <c r="E518" s="142"/>
      <c r="F518" s="146"/>
      <c r="G518" s="174"/>
      <c r="H518" s="148"/>
      <c r="I518" s="148"/>
      <c r="J518" s="149"/>
      <c r="K518" s="149"/>
      <c r="L518" s="149"/>
      <c r="M518" s="149"/>
      <c r="N518" s="142"/>
      <c r="O518" s="33"/>
    </row>
    <row r="519" ht="15.75" customHeight="1">
      <c r="A519" s="142"/>
      <c r="B519" s="143"/>
      <c r="C519" s="144"/>
      <c r="D519" s="145"/>
      <c r="E519" s="142"/>
      <c r="F519" s="146"/>
      <c r="G519" s="174"/>
      <c r="H519" s="148"/>
      <c r="I519" s="148"/>
      <c r="J519" s="149"/>
      <c r="K519" s="149"/>
      <c r="L519" s="149"/>
      <c r="M519" s="149"/>
      <c r="N519" s="142"/>
      <c r="O519" s="33"/>
    </row>
    <row r="520" ht="15.75" customHeight="1">
      <c r="A520" s="142"/>
      <c r="B520" s="143"/>
      <c r="C520" s="144"/>
      <c r="D520" s="145"/>
      <c r="E520" s="142"/>
      <c r="F520" s="146"/>
      <c r="G520" s="174"/>
      <c r="H520" s="148"/>
      <c r="I520" s="148"/>
      <c r="J520" s="149"/>
      <c r="K520" s="149"/>
      <c r="L520" s="149"/>
      <c r="M520" s="149"/>
      <c r="N520" s="142"/>
      <c r="O520" s="33"/>
    </row>
    <row r="521" ht="15.75" customHeight="1">
      <c r="A521" s="142"/>
      <c r="B521" s="143"/>
      <c r="C521" s="144"/>
      <c r="D521" s="145"/>
      <c r="E521" s="142"/>
      <c r="F521" s="146"/>
      <c r="G521" s="174"/>
      <c r="H521" s="148"/>
      <c r="I521" s="148"/>
      <c r="J521" s="149"/>
      <c r="K521" s="149"/>
      <c r="L521" s="149"/>
      <c r="M521" s="149"/>
      <c r="N521" s="142"/>
      <c r="O521" s="33"/>
    </row>
    <row r="522" ht="15.75" customHeight="1">
      <c r="A522" s="142"/>
      <c r="B522" s="143"/>
      <c r="C522" s="144"/>
      <c r="D522" s="145"/>
      <c r="E522" s="142"/>
      <c r="F522" s="146"/>
      <c r="G522" s="174"/>
      <c r="H522" s="148"/>
      <c r="I522" s="148"/>
      <c r="J522" s="149"/>
      <c r="K522" s="149"/>
      <c r="L522" s="149"/>
      <c r="M522" s="149"/>
      <c r="N522" s="142"/>
      <c r="O522" s="33"/>
    </row>
    <row r="523" ht="15.75" customHeight="1">
      <c r="A523" s="142"/>
      <c r="B523" s="143"/>
      <c r="C523" s="144"/>
      <c r="D523" s="145"/>
      <c r="E523" s="142"/>
      <c r="F523" s="146"/>
      <c r="G523" s="174"/>
      <c r="H523" s="148"/>
      <c r="I523" s="148"/>
      <c r="J523" s="149"/>
      <c r="K523" s="149"/>
      <c r="L523" s="149"/>
      <c r="M523" s="149"/>
      <c r="N523" s="142"/>
      <c r="O523" s="33"/>
    </row>
    <row r="524" ht="15.75" customHeight="1">
      <c r="A524" s="142"/>
      <c r="B524" s="143"/>
      <c r="C524" s="144"/>
      <c r="D524" s="145"/>
      <c r="E524" s="142"/>
      <c r="F524" s="146"/>
      <c r="G524" s="174"/>
      <c r="H524" s="148"/>
      <c r="I524" s="148"/>
      <c r="J524" s="149"/>
      <c r="K524" s="149"/>
      <c r="L524" s="149"/>
      <c r="M524" s="149"/>
      <c r="N524" s="142"/>
      <c r="O524" s="33"/>
    </row>
    <row r="525" ht="15.75" customHeight="1">
      <c r="A525" s="142"/>
      <c r="B525" s="143"/>
      <c r="C525" s="144"/>
      <c r="D525" s="145"/>
      <c r="E525" s="142"/>
      <c r="F525" s="146"/>
      <c r="G525" s="174"/>
      <c r="H525" s="148"/>
      <c r="I525" s="148"/>
      <c r="J525" s="149"/>
      <c r="K525" s="149"/>
      <c r="L525" s="149"/>
      <c r="M525" s="149"/>
      <c r="N525" s="142"/>
      <c r="O525" s="33"/>
    </row>
    <row r="526" ht="15.75" customHeight="1">
      <c r="A526" s="142"/>
      <c r="B526" s="143"/>
      <c r="C526" s="144"/>
      <c r="D526" s="145"/>
      <c r="E526" s="142"/>
      <c r="F526" s="146"/>
      <c r="G526" s="174"/>
      <c r="H526" s="148"/>
      <c r="I526" s="148"/>
      <c r="J526" s="149"/>
      <c r="K526" s="149"/>
      <c r="L526" s="149"/>
      <c r="M526" s="149"/>
      <c r="N526" s="142"/>
      <c r="O526" s="33"/>
    </row>
    <row r="527" ht="15.75" customHeight="1">
      <c r="A527" s="142"/>
      <c r="B527" s="143"/>
      <c r="C527" s="144"/>
      <c r="D527" s="145"/>
      <c r="E527" s="142"/>
      <c r="F527" s="146"/>
      <c r="G527" s="174"/>
      <c r="H527" s="148"/>
      <c r="I527" s="148"/>
      <c r="J527" s="149"/>
      <c r="K527" s="149"/>
      <c r="L527" s="149"/>
      <c r="M527" s="149"/>
      <c r="N527" s="142"/>
      <c r="O527" s="33"/>
    </row>
    <row r="528" ht="15.75" customHeight="1">
      <c r="A528" s="142"/>
      <c r="B528" s="143"/>
      <c r="C528" s="144"/>
      <c r="D528" s="145"/>
      <c r="E528" s="142"/>
      <c r="F528" s="146"/>
      <c r="G528" s="174"/>
      <c r="H528" s="148"/>
      <c r="I528" s="148"/>
      <c r="J528" s="149"/>
      <c r="K528" s="149"/>
      <c r="L528" s="149"/>
      <c r="M528" s="149"/>
      <c r="N528" s="142"/>
      <c r="O528" s="33"/>
    </row>
    <row r="529" ht="15.75" customHeight="1">
      <c r="A529" s="142"/>
      <c r="B529" s="143"/>
      <c r="C529" s="144"/>
      <c r="D529" s="145"/>
      <c r="E529" s="142"/>
      <c r="F529" s="146"/>
      <c r="G529" s="174"/>
      <c r="H529" s="148"/>
      <c r="I529" s="148"/>
      <c r="J529" s="149"/>
      <c r="K529" s="149"/>
      <c r="L529" s="149"/>
      <c r="M529" s="149"/>
      <c r="N529" s="142"/>
      <c r="O529" s="33"/>
    </row>
    <row r="530" ht="15.75" customHeight="1">
      <c r="A530" s="142"/>
      <c r="B530" s="143"/>
      <c r="C530" s="144"/>
      <c r="D530" s="145"/>
      <c r="E530" s="142"/>
      <c r="F530" s="146"/>
      <c r="G530" s="174"/>
      <c r="H530" s="148"/>
      <c r="I530" s="148"/>
      <c r="J530" s="149"/>
      <c r="K530" s="149"/>
      <c r="L530" s="149"/>
      <c r="M530" s="149"/>
      <c r="N530" s="142"/>
      <c r="O530" s="33"/>
    </row>
    <row r="531" ht="15.75" customHeight="1">
      <c r="A531" s="142"/>
      <c r="B531" s="143"/>
      <c r="C531" s="144"/>
      <c r="D531" s="145"/>
      <c r="E531" s="142"/>
      <c r="F531" s="146"/>
      <c r="G531" s="174"/>
      <c r="H531" s="148"/>
      <c r="I531" s="148"/>
      <c r="J531" s="149"/>
      <c r="K531" s="149"/>
      <c r="L531" s="149"/>
      <c r="M531" s="149"/>
      <c r="N531" s="142"/>
      <c r="O531" s="33"/>
    </row>
    <row r="532" ht="15.75" customHeight="1">
      <c r="A532" s="142"/>
      <c r="B532" s="143"/>
      <c r="C532" s="144"/>
      <c r="D532" s="145"/>
      <c r="E532" s="142"/>
      <c r="F532" s="146"/>
      <c r="G532" s="174"/>
      <c r="H532" s="148"/>
      <c r="I532" s="148"/>
      <c r="J532" s="149"/>
      <c r="K532" s="149"/>
      <c r="L532" s="149"/>
      <c r="M532" s="149"/>
      <c r="N532" s="142"/>
      <c r="O532" s="33"/>
    </row>
    <row r="533" ht="15.75" customHeight="1">
      <c r="A533" s="142"/>
      <c r="B533" s="143"/>
      <c r="C533" s="144"/>
      <c r="D533" s="145"/>
      <c r="E533" s="142"/>
      <c r="F533" s="146"/>
      <c r="G533" s="174"/>
      <c r="H533" s="148"/>
      <c r="I533" s="148"/>
      <c r="J533" s="149"/>
      <c r="K533" s="149"/>
      <c r="L533" s="149"/>
      <c r="M533" s="149"/>
      <c r="N533" s="142"/>
      <c r="O533" s="33"/>
    </row>
    <row r="534" ht="15.75" customHeight="1">
      <c r="A534" s="142"/>
      <c r="B534" s="143"/>
      <c r="C534" s="144"/>
      <c r="D534" s="145"/>
      <c r="E534" s="142"/>
      <c r="F534" s="146"/>
      <c r="G534" s="174"/>
      <c r="H534" s="148"/>
      <c r="I534" s="148"/>
      <c r="J534" s="149"/>
      <c r="K534" s="149"/>
      <c r="L534" s="149"/>
      <c r="M534" s="149"/>
      <c r="N534" s="142"/>
      <c r="O534" s="33"/>
    </row>
    <row r="535" ht="15.75" customHeight="1">
      <c r="A535" s="142"/>
      <c r="B535" s="143"/>
      <c r="C535" s="144"/>
      <c r="D535" s="145"/>
      <c r="E535" s="142"/>
      <c r="F535" s="146"/>
      <c r="G535" s="174"/>
      <c r="H535" s="148"/>
      <c r="I535" s="148"/>
      <c r="J535" s="149"/>
      <c r="K535" s="149"/>
      <c r="L535" s="149"/>
      <c r="M535" s="149"/>
      <c r="N535" s="142"/>
      <c r="O535" s="33"/>
    </row>
    <row r="536" ht="15.75" customHeight="1">
      <c r="A536" s="142"/>
      <c r="B536" s="143"/>
      <c r="C536" s="144"/>
      <c r="D536" s="145"/>
      <c r="E536" s="142"/>
      <c r="F536" s="146"/>
      <c r="G536" s="174"/>
      <c r="H536" s="148"/>
      <c r="I536" s="148"/>
      <c r="J536" s="149"/>
      <c r="K536" s="149"/>
      <c r="L536" s="149"/>
      <c r="M536" s="149"/>
      <c r="N536" s="142"/>
      <c r="O536" s="33"/>
    </row>
    <row r="537" ht="15.75" customHeight="1">
      <c r="A537" s="142"/>
      <c r="B537" s="143"/>
      <c r="C537" s="144"/>
      <c r="D537" s="145"/>
      <c r="E537" s="142"/>
      <c r="F537" s="146"/>
      <c r="G537" s="174"/>
      <c r="H537" s="148"/>
      <c r="I537" s="148"/>
      <c r="J537" s="149"/>
      <c r="K537" s="149"/>
      <c r="L537" s="149"/>
      <c r="M537" s="149"/>
      <c r="N537" s="142"/>
      <c r="O537" s="33"/>
    </row>
    <row r="538" ht="15.75" customHeight="1">
      <c r="A538" s="142"/>
      <c r="B538" s="143"/>
      <c r="C538" s="144"/>
      <c r="D538" s="145"/>
      <c r="E538" s="142"/>
      <c r="F538" s="146"/>
      <c r="G538" s="174"/>
      <c r="H538" s="148"/>
      <c r="I538" s="148"/>
      <c r="J538" s="149"/>
      <c r="K538" s="149"/>
      <c r="L538" s="149"/>
      <c r="M538" s="149"/>
      <c r="N538" s="142"/>
      <c r="O538" s="33"/>
    </row>
    <row r="539" ht="15.75" customHeight="1">
      <c r="A539" s="142"/>
      <c r="B539" s="143"/>
      <c r="C539" s="144"/>
      <c r="D539" s="145"/>
      <c r="E539" s="142"/>
      <c r="F539" s="146"/>
      <c r="G539" s="174"/>
      <c r="H539" s="148"/>
      <c r="I539" s="148"/>
      <c r="J539" s="149"/>
      <c r="K539" s="149"/>
      <c r="L539" s="149"/>
      <c r="M539" s="149"/>
      <c r="N539" s="142"/>
      <c r="O539" s="33"/>
    </row>
    <row r="540" ht="15.75" customHeight="1">
      <c r="A540" s="142"/>
      <c r="B540" s="143"/>
      <c r="C540" s="144"/>
      <c r="D540" s="145"/>
      <c r="E540" s="142"/>
      <c r="F540" s="146"/>
      <c r="G540" s="174"/>
      <c r="H540" s="148"/>
      <c r="I540" s="148"/>
      <c r="J540" s="149"/>
      <c r="K540" s="149"/>
      <c r="L540" s="149"/>
      <c r="M540" s="149"/>
      <c r="N540" s="142"/>
      <c r="O540" s="33"/>
    </row>
    <row r="541" ht="15.75" customHeight="1">
      <c r="A541" s="142"/>
      <c r="B541" s="143"/>
      <c r="C541" s="144"/>
      <c r="D541" s="145"/>
      <c r="E541" s="142"/>
      <c r="F541" s="146"/>
      <c r="G541" s="174"/>
      <c r="H541" s="148"/>
      <c r="I541" s="148"/>
      <c r="J541" s="149"/>
      <c r="K541" s="149"/>
      <c r="L541" s="149"/>
      <c r="M541" s="149"/>
      <c r="N541" s="142"/>
      <c r="O541" s="33"/>
    </row>
    <row r="542" ht="15.75" customHeight="1">
      <c r="A542" s="142"/>
      <c r="B542" s="143"/>
      <c r="C542" s="144"/>
      <c r="D542" s="145"/>
      <c r="E542" s="142"/>
      <c r="F542" s="146"/>
      <c r="G542" s="174"/>
      <c r="H542" s="148"/>
      <c r="I542" s="148"/>
      <c r="J542" s="149"/>
      <c r="K542" s="149"/>
      <c r="L542" s="149"/>
      <c r="M542" s="149"/>
      <c r="N542" s="142"/>
      <c r="O542" s="33"/>
    </row>
    <row r="543" ht="15.75" customHeight="1">
      <c r="A543" s="142"/>
      <c r="B543" s="143"/>
      <c r="C543" s="144"/>
      <c r="D543" s="145"/>
      <c r="E543" s="142"/>
      <c r="F543" s="146"/>
      <c r="G543" s="174"/>
      <c r="H543" s="148"/>
      <c r="I543" s="148"/>
      <c r="J543" s="149"/>
      <c r="K543" s="149"/>
      <c r="L543" s="149"/>
      <c r="M543" s="149"/>
      <c r="N543" s="142"/>
      <c r="O543" s="33"/>
    </row>
    <row r="544" ht="15.75" customHeight="1">
      <c r="A544" s="142"/>
      <c r="B544" s="143"/>
      <c r="C544" s="144"/>
      <c r="D544" s="145"/>
      <c r="E544" s="142"/>
      <c r="F544" s="146"/>
      <c r="G544" s="174"/>
      <c r="H544" s="148"/>
      <c r="I544" s="148"/>
      <c r="J544" s="149"/>
      <c r="K544" s="149"/>
      <c r="L544" s="149"/>
      <c r="M544" s="149"/>
      <c r="N544" s="142"/>
      <c r="O544" s="33"/>
    </row>
    <row r="545" ht="15.75" customHeight="1">
      <c r="A545" s="142"/>
      <c r="B545" s="143"/>
      <c r="C545" s="144"/>
      <c r="D545" s="145"/>
      <c r="E545" s="142"/>
      <c r="F545" s="146"/>
      <c r="G545" s="174"/>
      <c r="H545" s="148"/>
      <c r="I545" s="148"/>
      <c r="J545" s="149"/>
      <c r="K545" s="149"/>
      <c r="L545" s="149"/>
      <c r="M545" s="149"/>
      <c r="N545" s="142"/>
      <c r="O545" s="33"/>
    </row>
    <row r="546" ht="15.75" customHeight="1">
      <c r="A546" s="142"/>
      <c r="B546" s="143"/>
      <c r="C546" s="144"/>
      <c r="D546" s="145"/>
      <c r="E546" s="142"/>
      <c r="F546" s="146"/>
      <c r="G546" s="174"/>
      <c r="H546" s="148"/>
      <c r="I546" s="148"/>
      <c r="J546" s="149"/>
      <c r="K546" s="149"/>
      <c r="L546" s="149"/>
      <c r="M546" s="149"/>
      <c r="N546" s="142"/>
      <c r="O546" s="33"/>
    </row>
    <row r="547" ht="15.75" customHeight="1">
      <c r="A547" s="142"/>
      <c r="B547" s="143"/>
      <c r="C547" s="144"/>
      <c r="D547" s="145"/>
      <c r="E547" s="142"/>
      <c r="F547" s="146"/>
      <c r="G547" s="174"/>
      <c r="H547" s="148"/>
      <c r="I547" s="148"/>
      <c r="J547" s="149"/>
      <c r="K547" s="149"/>
      <c r="L547" s="149"/>
      <c r="M547" s="149"/>
      <c r="N547" s="142"/>
      <c r="O547" s="33"/>
    </row>
    <row r="548" ht="15.75" customHeight="1">
      <c r="A548" s="142"/>
      <c r="B548" s="143"/>
      <c r="C548" s="144"/>
      <c r="D548" s="145"/>
      <c r="E548" s="142"/>
      <c r="F548" s="146"/>
      <c r="G548" s="174"/>
      <c r="H548" s="148"/>
      <c r="I548" s="148"/>
      <c r="J548" s="149"/>
      <c r="K548" s="149"/>
      <c r="L548" s="149"/>
      <c r="M548" s="149"/>
      <c r="N548" s="142"/>
      <c r="O548" s="33"/>
    </row>
    <row r="549" ht="15.75" customHeight="1">
      <c r="A549" s="142"/>
      <c r="B549" s="143"/>
      <c r="C549" s="144"/>
      <c r="D549" s="145"/>
      <c r="E549" s="142"/>
      <c r="F549" s="146"/>
      <c r="G549" s="174"/>
      <c r="H549" s="148"/>
      <c r="I549" s="148"/>
      <c r="J549" s="149"/>
      <c r="K549" s="149"/>
      <c r="L549" s="149"/>
      <c r="M549" s="149"/>
      <c r="N549" s="142"/>
      <c r="O549" s="33"/>
    </row>
    <row r="550" ht="15.75" customHeight="1">
      <c r="A550" s="142"/>
      <c r="B550" s="143"/>
      <c r="C550" s="144"/>
      <c r="D550" s="145"/>
      <c r="E550" s="142"/>
      <c r="F550" s="146"/>
      <c r="G550" s="174"/>
      <c r="H550" s="148"/>
      <c r="I550" s="148"/>
      <c r="J550" s="149"/>
      <c r="K550" s="149"/>
      <c r="L550" s="149"/>
      <c r="M550" s="149"/>
      <c r="N550" s="142"/>
      <c r="O550" s="33"/>
    </row>
    <row r="551" ht="15.75" customHeight="1">
      <c r="A551" s="142"/>
      <c r="B551" s="143"/>
      <c r="C551" s="144"/>
      <c r="D551" s="145"/>
      <c r="E551" s="142"/>
      <c r="F551" s="146"/>
      <c r="G551" s="174"/>
      <c r="H551" s="148"/>
      <c r="I551" s="148"/>
      <c r="J551" s="149"/>
      <c r="K551" s="149"/>
      <c r="L551" s="149"/>
      <c r="M551" s="149"/>
      <c r="N551" s="142"/>
      <c r="O551" s="33"/>
    </row>
    <row r="552" ht="15.75" customHeight="1">
      <c r="A552" s="142"/>
      <c r="B552" s="143"/>
      <c r="C552" s="144"/>
      <c r="D552" s="145"/>
      <c r="E552" s="142"/>
      <c r="F552" s="146"/>
      <c r="G552" s="174"/>
      <c r="H552" s="148"/>
      <c r="I552" s="148"/>
      <c r="J552" s="149"/>
      <c r="K552" s="149"/>
      <c r="L552" s="149"/>
      <c r="M552" s="149"/>
      <c r="N552" s="142"/>
      <c r="O552" s="33"/>
    </row>
    <row r="553" ht="15.75" customHeight="1">
      <c r="A553" s="142"/>
      <c r="B553" s="143"/>
      <c r="C553" s="144"/>
      <c r="D553" s="145"/>
      <c r="E553" s="142"/>
      <c r="F553" s="146"/>
      <c r="G553" s="174"/>
      <c r="H553" s="148"/>
      <c r="I553" s="148"/>
      <c r="J553" s="149"/>
      <c r="K553" s="149"/>
      <c r="L553" s="149"/>
      <c r="M553" s="149"/>
      <c r="N553" s="142"/>
      <c r="O553" s="33"/>
    </row>
    <row r="554" ht="15.75" customHeight="1">
      <c r="A554" s="142"/>
      <c r="B554" s="143"/>
      <c r="C554" s="144"/>
      <c r="D554" s="145"/>
      <c r="E554" s="142"/>
      <c r="F554" s="146"/>
      <c r="G554" s="174"/>
      <c r="H554" s="148"/>
      <c r="I554" s="148"/>
      <c r="J554" s="149"/>
      <c r="K554" s="149"/>
      <c r="L554" s="149"/>
      <c r="M554" s="149"/>
      <c r="N554" s="142"/>
      <c r="O554" s="33"/>
    </row>
    <row r="555" ht="15.75" customHeight="1">
      <c r="A555" s="142"/>
      <c r="B555" s="143"/>
      <c r="C555" s="144"/>
      <c r="D555" s="145"/>
      <c r="E555" s="142"/>
      <c r="F555" s="146"/>
      <c r="G555" s="174"/>
      <c r="H555" s="148"/>
      <c r="I555" s="148"/>
      <c r="J555" s="149"/>
      <c r="K555" s="149"/>
      <c r="L555" s="149"/>
      <c r="M555" s="149"/>
      <c r="N555" s="142"/>
      <c r="O555" s="33"/>
    </row>
    <row r="556" ht="15.75" customHeight="1">
      <c r="A556" s="142"/>
      <c r="B556" s="143"/>
      <c r="C556" s="144"/>
      <c r="D556" s="145"/>
      <c r="E556" s="142"/>
      <c r="F556" s="146"/>
      <c r="G556" s="174"/>
      <c r="H556" s="148"/>
      <c r="I556" s="148"/>
      <c r="J556" s="149"/>
      <c r="K556" s="149"/>
      <c r="L556" s="149"/>
      <c r="M556" s="149"/>
      <c r="N556" s="142"/>
      <c r="O556" s="33"/>
    </row>
    <row r="557" ht="15.75" customHeight="1">
      <c r="A557" s="142"/>
      <c r="B557" s="143"/>
      <c r="C557" s="144"/>
      <c r="D557" s="145"/>
      <c r="E557" s="142"/>
      <c r="F557" s="146"/>
      <c r="G557" s="174"/>
      <c r="H557" s="148"/>
      <c r="I557" s="148"/>
      <c r="J557" s="149"/>
      <c r="K557" s="149"/>
      <c r="L557" s="149"/>
      <c r="M557" s="149"/>
      <c r="N557" s="142"/>
      <c r="O557" s="33"/>
    </row>
    <row r="558" ht="15.75" customHeight="1">
      <c r="A558" s="142"/>
      <c r="B558" s="143"/>
      <c r="C558" s="144"/>
      <c r="D558" s="145"/>
      <c r="E558" s="142"/>
      <c r="F558" s="146"/>
      <c r="G558" s="174"/>
      <c r="H558" s="148"/>
      <c r="I558" s="148"/>
      <c r="J558" s="149"/>
      <c r="K558" s="149"/>
      <c r="L558" s="149"/>
      <c r="M558" s="149"/>
      <c r="N558" s="142"/>
      <c r="O558" s="33"/>
    </row>
    <row r="559" ht="15.75" customHeight="1">
      <c r="A559" s="142"/>
      <c r="B559" s="143"/>
      <c r="C559" s="144"/>
      <c r="D559" s="145"/>
      <c r="E559" s="142"/>
      <c r="F559" s="146"/>
      <c r="G559" s="174"/>
      <c r="H559" s="148"/>
      <c r="I559" s="148"/>
      <c r="J559" s="149"/>
      <c r="K559" s="149"/>
      <c r="L559" s="149"/>
      <c r="M559" s="149"/>
      <c r="N559" s="142"/>
      <c r="O559" s="33"/>
    </row>
    <row r="560" ht="15.75" customHeight="1">
      <c r="A560" s="142"/>
      <c r="B560" s="143"/>
      <c r="C560" s="144"/>
      <c r="D560" s="145"/>
      <c r="E560" s="142"/>
      <c r="F560" s="146"/>
      <c r="G560" s="174"/>
      <c r="H560" s="148"/>
      <c r="I560" s="148"/>
      <c r="J560" s="149"/>
      <c r="K560" s="149"/>
      <c r="L560" s="149"/>
      <c r="M560" s="149"/>
      <c r="N560" s="142"/>
      <c r="O560" s="33"/>
    </row>
    <row r="561" ht="15.75" customHeight="1">
      <c r="A561" s="142"/>
      <c r="B561" s="143"/>
      <c r="C561" s="144"/>
      <c r="D561" s="145"/>
      <c r="E561" s="142"/>
      <c r="F561" s="146"/>
      <c r="G561" s="174"/>
      <c r="H561" s="148"/>
      <c r="I561" s="148"/>
      <c r="J561" s="149"/>
      <c r="K561" s="149"/>
      <c r="L561" s="149"/>
      <c r="M561" s="149"/>
      <c r="N561" s="142"/>
      <c r="O561" s="33"/>
    </row>
    <row r="562" ht="15.75" customHeight="1">
      <c r="A562" s="142"/>
      <c r="B562" s="143"/>
      <c r="C562" s="144"/>
      <c r="D562" s="145"/>
      <c r="E562" s="142"/>
      <c r="F562" s="146"/>
      <c r="G562" s="174"/>
      <c r="H562" s="148"/>
      <c r="I562" s="148"/>
      <c r="J562" s="149"/>
      <c r="K562" s="149"/>
      <c r="L562" s="149"/>
      <c r="M562" s="149"/>
      <c r="N562" s="142"/>
      <c r="O562" s="33"/>
    </row>
    <row r="563" ht="15.75" customHeight="1">
      <c r="A563" s="142"/>
      <c r="B563" s="143"/>
      <c r="C563" s="144"/>
      <c r="D563" s="145"/>
      <c r="E563" s="142"/>
      <c r="F563" s="146"/>
      <c r="G563" s="174"/>
      <c r="H563" s="148"/>
      <c r="I563" s="148"/>
      <c r="J563" s="149"/>
      <c r="K563" s="149"/>
      <c r="L563" s="149"/>
      <c r="M563" s="149"/>
      <c r="N563" s="142"/>
      <c r="O563" s="33"/>
    </row>
    <row r="564" ht="15.75" customHeight="1">
      <c r="A564" s="142"/>
      <c r="B564" s="143"/>
      <c r="C564" s="144"/>
      <c r="D564" s="145"/>
      <c r="E564" s="142"/>
      <c r="F564" s="146"/>
      <c r="G564" s="174"/>
      <c r="H564" s="148"/>
      <c r="I564" s="148"/>
      <c r="J564" s="149"/>
      <c r="K564" s="149"/>
      <c r="L564" s="149"/>
      <c r="M564" s="149"/>
      <c r="N564" s="142"/>
      <c r="O564" s="33"/>
    </row>
    <row r="565" ht="15.75" customHeight="1">
      <c r="A565" s="142"/>
      <c r="B565" s="143"/>
      <c r="C565" s="144"/>
      <c r="D565" s="145"/>
      <c r="E565" s="142"/>
      <c r="F565" s="146"/>
      <c r="G565" s="174"/>
      <c r="H565" s="148"/>
      <c r="I565" s="148"/>
      <c r="J565" s="149"/>
      <c r="K565" s="149"/>
      <c r="L565" s="149"/>
      <c r="M565" s="149"/>
      <c r="N565" s="142"/>
      <c r="O565" s="33"/>
    </row>
    <row r="566" ht="15.75" customHeight="1">
      <c r="A566" s="142"/>
      <c r="B566" s="143"/>
      <c r="C566" s="144"/>
      <c r="D566" s="145"/>
      <c r="E566" s="142"/>
      <c r="F566" s="146"/>
      <c r="G566" s="174"/>
      <c r="H566" s="148"/>
      <c r="I566" s="148"/>
      <c r="J566" s="149"/>
      <c r="K566" s="149"/>
      <c r="L566" s="149"/>
      <c r="M566" s="149"/>
      <c r="N566" s="142"/>
      <c r="O566" s="33"/>
    </row>
    <row r="567" ht="15.75" customHeight="1">
      <c r="A567" s="142"/>
      <c r="B567" s="143"/>
      <c r="C567" s="144"/>
      <c r="D567" s="145"/>
      <c r="E567" s="142"/>
      <c r="F567" s="146"/>
      <c r="G567" s="174"/>
      <c r="H567" s="148"/>
      <c r="I567" s="148"/>
      <c r="J567" s="149"/>
      <c r="K567" s="149"/>
      <c r="L567" s="149"/>
      <c r="M567" s="149"/>
      <c r="N567" s="142"/>
      <c r="O567" s="33"/>
    </row>
    <row r="568" ht="15.75" customHeight="1">
      <c r="A568" s="142"/>
      <c r="B568" s="143"/>
      <c r="C568" s="144"/>
      <c r="D568" s="145"/>
      <c r="E568" s="142"/>
      <c r="F568" s="146"/>
      <c r="G568" s="174"/>
      <c r="H568" s="148"/>
      <c r="I568" s="148"/>
      <c r="J568" s="149"/>
      <c r="K568" s="149"/>
      <c r="L568" s="149"/>
      <c r="M568" s="149"/>
      <c r="N568" s="142"/>
      <c r="O568" s="33"/>
    </row>
    <row r="569" ht="15.75" customHeight="1">
      <c r="A569" s="142"/>
      <c r="B569" s="143"/>
      <c r="C569" s="144"/>
      <c r="D569" s="145"/>
      <c r="E569" s="142"/>
      <c r="F569" s="146"/>
      <c r="G569" s="174"/>
      <c r="H569" s="148"/>
      <c r="I569" s="148"/>
      <c r="J569" s="149"/>
      <c r="K569" s="149"/>
      <c r="L569" s="149"/>
      <c r="M569" s="149"/>
      <c r="N569" s="142"/>
      <c r="O569" s="33"/>
    </row>
    <row r="570" ht="15.75" customHeight="1">
      <c r="A570" s="142"/>
      <c r="B570" s="143"/>
      <c r="C570" s="144"/>
      <c r="D570" s="145"/>
      <c r="E570" s="142"/>
      <c r="F570" s="146"/>
      <c r="G570" s="174"/>
      <c r="H570" s="148"/>
      <c r="I570" s="148"/>
      <c r="J570" s="149"/>
      <c r="K570" s="149"/>
      <c r="L570" s="149"/>
      <c r="M570" s="149"/>
      <c r="N570" s="142"/>
      <c r="O570" s="33"/>
    </row>
    <row r="571" ht="15.75" customHeight="1">
      <c r="A571" s="142"/>
      <c r="B571" s="143"/>
      <c r="C571" s="144"/>
      <c r="D571" s="145"/>
      <c r="E571" s="142"/>
      <c r="F571" s="146"/>
      <c r="G571" s="174"/>
      <c r="H571" s="148"/>
      <c r="I571" s="148"/>
      <c r="J571" s="149"/>
      <c r="K571" s="149"/>
      <c r="L571" s="149"/>
      <c r="M571" s="149"/>
      <c r="N571" s="142"/>
      <c r="O571" s="33"/>
    </row>
    <row r="572" ht="15.75" customHeight="1">
      <c r="A572" s="142"/>
      <c r="B572" s="143"/>
      <c r="C572" s="144"/>
      <c r="D572" s="145"/>
      <c r="E572" s="142"/>
      <c r="F572" s="146"/>
      <c r="G572" s="174"/>
      <c r="H572" s="148"/>
      <c r="I572" s="148"/>
      <c r="J572" s="149"/>
      <c r="K572" s="149"/>
      <c r="L572" s="149"/>
      <c r="M572" s="149"/>
      <c r="N572" s="142"/>
      <c r="O572" s="33"/>
    </row>
    <row r="573" ht="15.75" customHeight="1">
      <c r="A573" s="142"/>
      <c r="B573" s="143"/>
      <c r="C573" s="144"/>
      <c r="D573" s="145"/>
      <c r="E573" s="142"/>
      <c r="F573" s="146"/>
      <c r="G573" s="174"/>
      <c r="H573" s="148"/>
      <c r="I573" s="148"/>
      <c r="J573" s="149"/>
      <c r="K573" s="149"/>
      <c r="L573" s="149"/>
      <c r="M573" s="149"/>
      <c r="N573" s="142"/>
      <c r="O573" s="33"/>
    </row>
    <row r="574" ht="15.75" customHeight="1">
      <c r="A574" s="142"/>
      <c r="B574" s="143"/>
      <c r="C574" s="144"/>
      <c r="D574" s="145"/>
      <c r="E574" s="142"/>
      <c r="F574" s="146"/>
      <c r="G574" s="174"/>
      <c r="H574" s="148"/>
      <c r="I574" s="148"/>
      <c r="J574" s="149"/>
      <c r="K574" s="149"/>
      <c r="L574" s="149"/>
      <c r="M574" s="149"/>
      <c r="N574" s="142"/>
      <c r="O574" s="33"/>
    </row>
    <row r="575" ht="15.75" customHeight="1">
      <c r="A575" s="142"/>
      <c r="B575" s="143"/>
      <c r="C575" s="144"/>
      <c r="D575" s="145"/>
      <c r="E575" s="142"/>
      <c r="F575" s="146"/>
      <c r="G575" s="174"/>
      <c r="H575" s="148"/>
      <c r="I575" s="148"/>
      <c r="J575" s="149"/>
      <c r="K575" s="149"/>
      <c r="L575" s="149"/>
      <c r="M575" s="149"/>
      <c r="N575" s="142"/>
      <c r="O575" s="33"/>
    </row>
    <row r="576" ht="15.75" customHeight="1">
      <c r="A576" s="142"/>
      <c r="B576" s="143"/>
      <c r="C576" s="144"/>
      <c r="D576" s="145"/>
      <c r="E576" s="142"/>
      <c r="F576" s="146"/>
      <c r="G576" s="174"/>
      <c r="H576" s="148"/>
      <c r="I576" s="148"/>
      <c r="J576" s="149"/>
      <c r="K576" s="149"/>
      <c r="L576" s="149"/>
      <c r="M576" s="149"/>
      <c r="N576" s="142"/>
      <c r="O576" s="33"/>
    </row>
    <row r="577" ht="15.75" customHeight="1">
      <c r="A577" s="142"/>
      <c r="B577" s="143"/>
      <c r="C577" s="144"/>
      <c r="D577" s="145"/>
      <c r="E577" s="142"/>
      <c r="F577" s="146"/>
      <c r="G577" s="174"/>
      <c r="H577" s="148"/>
      <c r="I577" s="148"/>
      <c r="J577" s="149"/>
      <c r="K577" s="149"/>
      <c r="L577" s="149"/>
      <c r="M577" s="149"/>
      <c r="N577" s="142"/>
      <c r="O577" s="33"/>
    </row>
    <row r="578" ht="15.75" customHeight="1">
      <c r="A578" s="142"/>
      <c r="B578" s="143"/>
      <c r="C578" s="144"/>
      <c r="D578" s="145"/>
      <c r="E578" s="142"/>
      <c r="F578" s="146"/>
      <c r="G578" s="174"/>
      <c r="H578" s="148"/>
      <c r="I578" s="148"/>
      <c r="J578" s="149"/>
      <c r="K578" s="149"/>
      <c r="L578" s="149"/>
      <c r="M578" s="149"/>
      <c r="N578" s="142"/>
      <c r="O578" s="33"/>
    </row>
    <row r="579" ht="15.75" customHeight="1">
      <c r="A579" s="142"/>
      <c r="B579" s="143"/>
      <c r="C579" s="144"/>
      <c r="D579" s="145"/>
      <c r="E579" s="142"/>
      <c r="F579" s="146"/>
      <c r="G579" s="174"/>
      <c r="H579" s="148"/>
      <c r="I579" s="148"/>
      <c r="J579" s="149"/>
      <c r="K579" s="149"/>
      <c r="L579" s="149"/>
      <c r="M579" s="149"/>
      <c r="N579" s="142"/>
      <c r="O579" s="33"/>
    </row>
    <row r="580" ht="15.75" customHeight="1">
      <c r="A580" s="142"/>
      <c r="B580" s="143"/>
      <c r="C580" s="144"/>
      <c r="D580" s="145"/>
      <c r="E580" s="142"/>
      <c r="F580" s="146"/>
      <c r="G580" s="174"/>
      <c r="H580" s="148"/>
      <c r="I580" s="148"/>
      <c r="J580" s="149"/>
      <c r="K580" s="149"/>
      <c r="L580" s="149"/>
      <c r="M580" s="149"/>
      <c r="N580" s="142"/>
      <c r="O580" s="33"/>
    </row>
    <row r="581" ht="15.75" customHeight="1">
      <c r="A581" s="142"/>
      <c r="B581" s="143"/>
      <c r="C581" s="144"/>
      <c r="D581" s="145"/>
      <c r="E581" s="142"/>
      <c r="F581" s="146"/>
      <c r="G581" s="174"/>
      <c r="H581" s="148"/>
      <c r="I581" s="148"/>
      <c r="J581" s="149"/>
      <c r="K581" s="149"/>
      <c r="L581" s="149"/>
      <c r="M581" s="149"/>
      <c r="N581" s="142"/>
      <c r="O581" s="33"/>
    </row>
    <row r="582" ht="15.75" customHeight="1">
      <c r="A582" s="142"/>
      <c r="B582" s="143"/>
      <c r="C582" s="144"/>
      <c r="D582" s="145"/>
      <c r="E582" s="142"/>
      <c r="F582" s="146"/>
      <c r="G582" s="174"/>
      <c r="H582" s="148"/>
      <c r="I582" s="148"/>
      <c r="J582" s="149"/>
      <c r="K582" s="149"/>
      <c r="L582" s="149"/>
      <c r="M582" s="149"/>
      <c r="N582" s="142"/>
      <c r="O582" s="33"/>
    </row>
    <row r="583" ht="15.75" customHeight="1">
      <c r="A583" s="142"/>
      <c r="B583" s="143"/>
      <c r="C583" s="144"/>
      <c r="D583" s="145"/>
      <c r="E583" s="142"/>
      <c r="F583" s="146"/>
      <c r="G583" s="174"/>
      <c r="H583" s="148"/>
      <c r="I583" s="148"/>
      <c r="J583" s="149"/>
      <c r="K583" s="149"/>
      <c r="L583" s="149"/>
      <c r="M583" s="149"/>
      <c r="N583" s="142"/>
      <c r="O583" s="33"/>
    </row>
    <row r="584" ht="15.75" customHeight="1">
      <c r="A584" s="142"/>
      <c r="B584" s="143"/>
      <c r="C584" s="144"/>
      <c r="D584" s="145"/>
      <c r="E584" s="142"/>
      <c r="F584" s="146"/>
      <c r="G584" s="174"/>
      <c r="H584" s="148"/>
      <c r="I584" s="148"/>
      <c r="J584" s="149"/>
      <c r="K584" s="149"/>
      <c r="L584" s="149"/>
      <c r="M584" s="149"/>
      <c r="N584" s="142"/>
      <c r="O584" s="33"/>
    </row>
    <row r="585" ht="15.75" customHeight="1">
      <c r="A585" s="142"/>
      <c r="B585" s="143"/>
      <c r="C585" s="144"/>
      <c r="D585" s="145"/>
      <c r="E585" s="142"/>
      <c r="F585" s="146"/>
      <c r="G585" s="174"/>
      <c r="H585" s="148"/>
      <c r="I585" s="148"/>
      <c r="J585" s="149"/>
      <c r="K585" s="149"/>
      <c r="L585" s="149"/>
      <c r="M585" s="149"/>
      <c r="N585" s="142"/>
      <c r="O585" s="33"/>
    </row>
    <row r="586" ht="15.75" customHeight="1">
      <c r="A586" s="142"/>
      <c r="B586" s="143"/>
      <c r="C586" s="144"/>
      <c r="D586" s="145"/>
      <c r="E586" s="142"/>
      <c r="F586" s="146"/>
      <c r="G586" s="174"/>
      <c r="H586" s="148"/>
      <c r="I586" s="148"/>
      <c r="J586" s="149"/>
      <c r="K586" s="149"/>
      <c r="L586" s="149"/>
      <c r="M586" s="149"/>
      <c r="N586" s="142"/>
      <c r="O586" s="33"/>
    </row>
    <row r="587" ht="15.75" customHeight="1">
      <c r="A587" s="142"/>
      <c r="B587" s="143"/>
      <c r="C587" s="144"/>
      <c r="D587" s="145"/>
      <c r="E587" s="142"/>
      <c r="F587" s="146"/>
      <c r="G587" s="174"/>
      <c r="H587" s="148"/>
      <c r="I587" s="148"/>
      <c r="J587" s="149"/>
      <c r="K587" s="149"/>
      <c r="L587" s="149"/>
      <c r="M587" s="149"/>
      <c r="N587" s="142"/>
      <c r="O587" s="33"/>
    </row>
    <row r="588" ht="15.75" customHeight="1">
      <c r="A588" s="142"/>
      <c r="B588" s="143"/>
      <c r="C588" s="144"/>
      <c r="D588" s="145"/>
      <c r="E588" s="142"/>
      <c r="F588" s="146"/>
      <c r="G588" s="174"/>
      <c r="H588" s="148"/>
      <c r="I588" s="148"/>
      <c r="J588" s="149"/>
      <c r="K588" s="149"/>
      <c r="L588" s="149"/>
      <c r="M588" s="149"/>
      <c r="N588" s="142"/>
      <c r="O588" s="33"/>
    </row>
    <row r="589" ht="15.75" customHeight="1">
      <c r="A589" s="142"/>
      <c r="B589" s="143"/>
      <c r="C589" s="144"/>
      <c r="D589" s="145"/>
      <c r="E589" s="142"/>
      <c r="F589" s="146"/>
      <c r="G589" s="174"/>
      <c r="H589" s="148"/>
      <c r="I589" s="148"/>
      <c r="J589" s="149"/>
      <c r="K589" s="149"/>
      <c r="L589" s="149"/>
      <c r="M589" s="149"/>
      <c r="N589" s="142"/>
      <c r="O589" s="33"/>
    </row>
    <row r="590" ht="15.75" customHeight="1">
      <c r="A590" s="142"/>
      <c r="B590" s="143"/>
      <c r="C590" s="144"/>
      <c r="D590" s="145"/>
      <c r="E590" s="142"/>
      <c r="F590" s="146"/>
      <c r="G590" s="174"/>
      <c r="H590" s="148"/>
      <c r="I590" s="148"/>
      <c r="J590" s="149"/>
      <c r="K590" s="149"/>
      <c r="L590" s="149"/>
      <c r="M590" s="149"/>
      <c r="N590" s="142"/>
      <c r="O590" s="33"/>
    </row>
    <row r="591" ht="15.75" customHeight="1">
      <c r="A591" s="142"/>
      <c r="B591" s="143"/>
      <c r="C591" s="144"/>
      <c r="D591" s="145"/>
      <c r="E591" s="142"/>
      <c r="F591" s="146"/>
      <c r="G591" s="174"/>
      <c r="H591" s="148"/>
      <c r="I591" s="148"/>
      <c r="J591" s="149"/>
      <c r="K591" s="149"/>
      <c r="L591" s="149"/>
      <c r="M591" s="149"/>
      <c r="N591" s="142"/>
      <c r="O591" s="33"/>
    </row>
    <row r="592" ht="15.75" customHeight="1">
      <c r="A592" s="142"/>
      <c r="B592" s="143"/>
      <c r="C592" s="144"/>
      <c r="D592" s="145"/>
      <c r="E592" s="142"/>
      <c r="F592" s="146"/>
      <c r="G592" s="174"/>
      <c r="H592" s="148"/>
      <c r="I592" s="148"/>
      <c r="J592" s="149"/>
      <c r="K592" s="149"/>
      <c r="L592" s="149"/>
      <c r="M592" s="149"/>
      <c r="N592" s="142"/>
      <c r="O592" s="33"/>
    </row>
    <row r="593" ht="15.75" customHeight="1">
      <c r="A593" s="142"/>
      <c r="B593" s="143"/>
      <c r="C593" s="144"/>
      <c r="D593" s="145"/>
      <c r="E593" s="142"/>
      <c r="F593" s="146"/>
      <c r="G593" s="174"/>
      <c r="H593" s="148"/>
      <c r="I593" s="148"/>
      <c r="J593" s="149"/>
      <c r="K593" s="149"/>
      <c r="L593" s="149"/>
      <c r="M593" s="149"/>
      <c r="N593" s="142"/>
      <c r="O593" s="33"/>
    </row>
    <row r="594" ht="15.75" customHeight="1">
      <c r="A594" s="142"/>
      <c r="B594" s="143"/>
      <c r="C594" s="144"/>
      <c r="D594" s="145"/>
      <c r="E594" s="142"/>
      <c r="F594" s="146"/>
      <c r="G594" s="174"/>
      <c r="H594" s="148"/>
      <c r="I594" s="148"/>
      <c r="J594" s="149"/>
      <c r="K594" s="149"/>
      <c r="L594" s="149"/>
      <c r="M594" s="149"/>
      <c r="N594" s="142"/>
      <c r="O594" s="33"/>
    </row>
    <row r="595" ht="15.75" customHeight="1">
      <c r="A595" s="142"/>
      <c r="B595" s="143"/>
      <c r="C595" s="144"/>
      <c r="D595" s="145"/>
      <c r="E595" s="142"/>
      <c r="F595" s="146"/>
      <c r="G595" s="174"/>
      <c r="H595" s="148"/>
      <c r="I595" s="148"/>
      <c r="J595" s="149"/>
      <c r="K595" s="149"/>
      <c r="L595" s="149"/>
      <c r="M595" s="149"/>
      <c r="N595" s="142"/>
      <c r="O595" s="33"/>
    </row>
    <row r="596" ht="15.75" customHeight="1">
      <c r="A596" s="142"/>
      <c r="B596" s="143"/>
      <c r="C596" s="144"/>
      <c r="D596" s="145"/>
      <c r="E596" s="142"/>
      <c r="F596" s="146"/>
      <c r="G596" s="174"/>
      <c r="H596" s="148"/>
      <c r="I596" s="148"/>
      <c r="J596" s="149"/>
      <c r="K596" s="149"/>
      <c r="L596" s="149"/>
      <c r="M596" s="149"/>
      <c r="N596" s="142"/>
      <c r="O596" s="33"/>
    </row>
    <row r="597" ht="15.75" customHeight="1">
      <c r="A597" s="142"/>
      <c r="B597" s="143"/>
      <c r="C597" s="144"/>
      <c r="D597" s="145"/>
      <c r="E597" s="142"/>
      <c r="F597" s="146"/>
      <c r="G597" s="174"/>
      <c r="H597" s="148"/>
      <c r="I597" s="148"/>
      <c r="J597" s="149"/>
      <c r="K597" s="149"/>
      <c r="L597" s="149"/>
      <c r="M597" s="149"/>
      <c r="N597" s="142"/>
      <c r="O597" s="33"/>
    </row>
    <row r="598" ht="15.75" customHeight="1">
      <c r="A598" s="142"/>
      <c r="B598" s="143"/>
      <c r="C598" s="144"/>
      <c r="D598" s="145"/>
      <c r="E598" s="142"/>
      <c r="F598" s="146"/>
      <c r="G598" s="174"/>
      <c r="H598" s="148"/>
      <c r="I598" s="148"/>
      <c r="J598" s="149"/>
      <c r="K598" s="149"/>
      <c r="L598" s="149"/>
      <c r="M598" s="149"/>
      <c r="N598" s="142"/>
      <c r="O598" s="33"/>
    </row>
    <row r="599" ht="15.75" customHeight="1">
      <c r="A599" s="142"/>
      <c r="B599" s="143"/>
      <c r="C599" s="144"/>
      <c r="D599" s="145"/>
      <c r="E599" s="142"/>
      <c r="F599" s="146"/>
      <c r="G599" s="174"/>
      <c r="H599" s="148"/>
      <c r="I599" s="148"/>
      <c r="J599" s="149"/>
      <c r="K599" s="149"/>
      <c r="L599" s="149"/>
      <c r="M599" s="149"/>
      <c r="N599" s="142"/>
      <c r="O599" s="33"/>
    </row>
    <row r="600" ht="15.75" customHeight="1">
      <c r="A600" s="142"/>
      <c r="B600" s="143"/>
      <c r="C600" s="144"/>
      <c r="D600" s="145"/>
      <c r="E600" s="142"/>
      <c r="F600" s="146"/>
      <c r="G600" s="174"/>
      <c r="H600" s="148"/>
      <c r="I600" s="148"/>
      <c r="J600" s="149"/>
      <c r="K600" s="149"/>
      <c r="L600" s="149"/>
      <c r="M600" s="149"/>
      <c r="N600" s="142"/>
      <c r="O600" s="33"/>
    </row>
    <row r="601" ht="15.75" customHeight="1">
      <c r="A601" s="142"/>
      <c r="B601" s="143"/>
      <c r="C601" s="144"/>
      <c r="D601" s="145"/>
      <c r="E601" s="142"/>
      <c r="F601" s="146"/>
      <c r="G601" s="174"/>
      <c r="H601" s="148"/>
      <c r="I601" s="148"/>
      <c r="J601" s="149"/>
      <c r="K601" s="149"/>
      <c r="L601" s="149"/>
      <c r="M601" s="149"/>
      <c r="N601" s="142"/>
      <c r="O601" s="33"/>
    </row>
    <row r="602" ht="15.75" customHeight="1">
      <c r="A602" s="142"/>
      <c r="B602" s="143"/>
      <c r="C602" s="144"/>
      <c r="D602" s="145"/>
      <c r="E602" s="142"/>
      <c r="F602" s="146"/>
      <c r="G602" s="174"/>
      <c r="H602" s="148"/>
      <c r="I602" s="148"/>
      <c r="J602" s="149"/>
      <c r="K602" s="149"/>
      <c r="L602" s="149"/>
      <c r="M602" s="149"/>
      <c r="N602" s="142"/>
      <c r="O602" s="33"/>
    </row>
    <row r="603" ht="15.75" customHeight="1">
      <c r="A603" s="142"/>
      <c r="B603" s="143"/>
      <c r="C603" s="144"/>
      <c r="D603" s="145"/>
      <c r="E603" s="142"/>
      <c r="F603" s="146"/>
      <c r="G603" s="174"/>
      <c r="H603" s="148"/>
      <c r="I603" s="148"/>
      <c r="J603" s="149"/>
      <c r="K603" s="149"/>
      <c r="L603" s="149"/>
      <c r="M603" s="149"/>
      <c r="N603" s="142"/>
      <c r="O603" s="33"/>
    </row>
    <row r="604" ht="15.75" customHeight="1">
      <c r="A604" s="142"/>
      <c r="B604" s="143"/>
      <c r="C604" s="144"/>
      <c r="D604" s="145"/>
      <c r="E604" s="142"/>
      <c r="F604" s="146"/>
      <c r="G604" s="174"/>
      <c r="H604" s="148"/>
      <c r="I604" s="148"/>
      <c r="J604" s="149"/>
      <c r="K604" s="149"/>
      <c r="L604" s="149"/>
      <c r="M604" s="149"/>
      <c r="N604" s="142"/>
      <c r="O604" s="33"/>
    </row>
    <row r="605" ht="15.75" customHeight="1">
      <c r="A605" s="142"/>
      <c r="B605" s="143"/>
      <c r="C605" s="144"/>
      <c r="D605" s="145"/>
      <c r="E605" s="142"/>
      <c r="F605" s="146"/>
      <c r="G605" s="174"/>
      <c r="H605" s="148"/>
      <c r="I605" s="148"/>
      <c r="J605" s="149"/>
      <c r="K605" s="149"/>
      <c r="L605" s="149"/>
      <c r="M605" s="149"/>
      <c r="N605" s="142"/>
      <c r="O605" s="33"/>
    </row>
    <row r="606" ht="15.75" customHeight="1">
      <c r="A606" s="142"/>
      <c r="B606" s="143"/>
      <c r="C606" s="144"/>
      <c r="D606" s="145"/>
      <c r="E606" s="142"/>
      <c r="F606" s="146"/>
      <c r="G606" s="174"/>
      <c r="H606" s="148"/>
      <c r="I606" s="148"/>
      <c r="J606" s="149"/>
      <c r="K606" s="149"/>
      <c r="L606" s="149"/>
      <c r="M606" s="149"/>
      <c r="N606" s="142"/>
      <c r="O606" s="33"/>
    </row>
    <row r="607" ht="15.75" customHeight="1">
      <c r="A607" s="142"/>
      <c r="B607" s="143"/>
      <c r="C607" s="144"/>
      <c r="D607" s="145"/>
      <c r="E607" s="142"/>
      <c r="F607" s="146"/>
      <c r="G607" s="174"/>
      <c r="H607" s="148"/>
      <c r="I607" s="148"/>
      <c r="J607" s="149"/>
      <c r="K607" s="149"/>
      <c r="L607" s="149"/>
      <c r="M607" s="149"/>
      <c r="N607" s="142"/>
      <c r="O607" s="33"/>
    </row>
    <row r="608" ht="15.75" customHeight="1">
      <c r="A608" s="142"/>
      <c r="B608" s="143"/>
      <c r="C608" s="144"/>
      <c r="D608" s="145"/>
      <c r="E608" s="142"/>
      <c r="F608" s="146"/>
      <c r="G608" s="174"/>
      <c r="H608" s="148"/>
      <c r="I608" s="148"/>
      <c r="J608" s="149"/>
      <c r="K608" s="149"/>
      <c r="L608" s="149"/>
      <c r="M608" s="149"/>
      <c r="N608" s="142"/>
      <c r="O608" s="33"/>
    </row>
    <row r="609" ht="15.75" customHeight="1">
      <c r="A609" s="142"/>
      <c r="B609" s="143"/>
      <c r="C609" s="144"/>
      <c r="D609" s="145"/>
      <c r="E609" s="142"/>
      <c r="F609" s="146"/>
      <c r="G609" s="174"/>
      <c r="H609" s="148"/>
      <c r="I609" s="148"/>
      <c r="J609" s="149"/>
      <c r="K609" s="149"/>
      <c r="L609" s="149"/>
      <c r="M609" s="149"/>
      <c r="N609" s="142"/>
      <c r="O609" s="33"/>
    </row>
    <row r="610" ht="15.75" customHeight="1">
      <c r="A610" s="142"/>
      <c r="B610" s="143"/>
      <c r="C610" s="144"/>
      <c r="D610" s="145"/>
      <c r="E610" s="142"/>
      <c r="F610" s="146"/>
      <c r="G610" s="174"/>
      <c r="H610" s="148"/>
      <c r="I610" s="148"/>
      <c r="J610" s="149"/>
      <c r="K610" s="149"/>
      <c r="L610" s="149"/>
      <c r="M610" s="149"/>
      <c r="N610" s="142"/>
      <c r="O610" s="33"/>
    </row>
    <row r="611" ht="15.75" customHeight="1">
      <c r="A611" s="142"/>
      <c r="B611" s="143"/>
      <c r="C611" s="144"/>
      <c r="D611" s="145"/>
      <c r="E611" s="142"/>
      <c r="F611" s="146"/>
      <c r="G611" s="174"/>
      <c r="H611" s="148"/>
      <c r="I611" s="148"/>
      <c r="J611" s="149"/>
      <c r="K611" s="149"/>
      <c r="L611" s="149"/>
      <c r="M611" s="149"/>
      <c r="N611" s="142"/>
      <c r="O611" s="33"/>
    </row>
    <row r="612" ht="15.75" customHeight="1">
      <c r="A612" s="142"/>
      <c r="B612" s="143"/>
      <c r="C612" s="144"/>
      <c r="D612" s="145"/>
      <c r="E612" s="142"/>
      <c r="F612" s="146"/>
      <c r="G612" s="174"/>
      <c r="H612" s="148"/>
      <c r="I612" s="148"/>
      <c r="J612" s="149"/>
      <c r="K612" s="149"/>
      <c r="L612" s="149"/>
      <c r="M612" s="149"/>
      <c r="N612" s="142"/>
      <c r="O612" s="33"/>
    </row>
    <row r="613" ht="15.75" customHeight="1">
      <c r="A613" s="142"/>
      <c r="B613" s="143"/>
      <c r="C613" s="144"/>
      <c r="D613" s="145"/>
      <c r="E613" s="142"/>
      <c r="F613" s="146"/>
      <c r="G613" s="174"/>
      <c r="H613" s="148"/>
      <c r="I613" s="148"/>
      <c r="J613" s="149"/>
      <c r="K613" s="149"/>
      <c r="L613" s="149"/>
      <c r="M613" s="149"/>
      <c r="N613" s="142"/>
      <c r="O613" s="33"/>
    </row>
    <row r="614" ht="15.75" customHeight="1">
      <c r="A614" s="142"/>
      <c r="B614" s="143"/>
      <c r="C614" s="144"/>
      <c r="D614" s="145"/>
      <c r="E614" s="142"/>
      <c r="F614" s="146"/>
      <c r="G614" s="174"/>
      <c r="H614" s="148"/>
      <c r="I614" s="148"/>
      <c r="J614" s="149"/>
      <c r="K614" s="149"/>
      <c r="L614" s="149"/>
      <c r="M614" s="149"/>
      <c r="N614" s="142"/>
      <c r="O614" s="33"/>
    </row>
    <row r="615" ht="15.75" customHeight="1">
      <c r="A615" s="142"/>
      <c r="B615" s="143"/>
      <c r="C615" s="144"/>
      <c r="D615" s="145"/>
      <c r="E615" s="142"/>
      <c r="F615" s="146"/>
      <c r="G615" s="174"/>
      <c r="H615" s="148"/>
      <c r="I615" s="148"/>
      <c r="J615" s="149"/>
      <c r="K615" s="149"/>
      <c r="L615" s="149"/>
      <c r="M615" s="149"/>
      <c r="N615" s="142"/>
      <c r="O615" s="33"/>
    </row>
    <row r="616" ht="15.75" customHeight="1">
      <c r="A616" s="142"/>
      <c r="B616" s="143"/>
      <c r="C616" s="144"/>
      <c r="D616" s="145"/>
      <c r="E616" s="142"/>
      <c r="F616" s="146"/>
      <c r="G616" s="174"/>
      <c r="H616" s="148"/>
      <c r="I616" s="148"/>
      <c r="J616" s="149"/>
      <c r="K616" s="149"/>
      <c r="L616" s="149"/>
      <c r="M616" s="149"/>
      <c r="N616" s="142"/>
      <c r="O616" s="33"/>
    </row>
    <row r="617" ht="15.75" customHeight="1">
      <c r="A617" s="142"/>
      <c r="B617" s="143"/>
      <c r="C617" s="144"/>
      <c r="D617" s="145"/>
      <c r="E617" s="142"/>
      <c r="F617" s="146"/>
      <c r="G617" s="174"/>
      <c r="H617" s="148"/>
      <c r="I617" s="148"/>
      <c r="J617" s="149"/>
      <c r="K617" s="149"/>
      <c r="L617" s="149"/>
      <c r="M617" s="149"/>
      <c r="N617" s="142"/>
      <c r="O617" s="33"/>
    </row>
    <row r="618" ht="15.75" customHeight="1">
      <c r="A618" s="142"/>
      <c r="B618" s="143"/>
      <c r="C618" s="144"/>
      <c r="D618" s="145"/>
      <c r="E618" s="142"/>
      <c r="F618" s="146"/>
      <c r="G618" s="174"/>
      <c r="H618" s="148"/>
      <c r="I618" s="148"/>
      <c r="J618" s="149"/>
      <c r="K618" s="149"/>
      <c r="L618" s="149"/>
      <c r="M618" s="149"/>
      <c r="N618" s="142"/>
      <c r="O618" s="33"/>
    </row>
    <row r="619" ht="15.75" customHeight="1">
      <c r="A619" s="142"/>
      <c r="B619" s="143"/>
      <c r="C619" s="144"/>
      <c r="D619" s="145"/>
      <c r="E619" s="142"/>
      <c r="F619" s="146"/>
      <c r="G619" s="174"/>
      <c r="H619" s="148"/>
      <c r="I619" s="148"/>
      <c r="J619" s="149"/>
      <c r="K619" s="149"/>
      <c r="L619" s="149"/>
      <c r="M619" s="149"/>
      <c r="N619" s="142"/>
      <c r="O619" s="33"/>
    </row>
    <row r="620" ht="15.75" customHeight="1">
      <c r="A620" s="142"/>
      <c r="B620" s="143"/>
      <c r="C620" s="144"/>
      <c r="D620" s="145"/>
      <c r="E620" s="142"/>
      <c r="F620" s="146"/>
      <c r="G620" s="174"/>
      <c r="H620" s="148"/>
      <c r="I620" s="148"/>
      <c r="J620" s="149"/>
      <c r="K620" s="149"/>
      <c r="L620" s="149"/>
      <c r="M620" s="149"/>
      <c r="N620" s="142"/>
      <c r="O620" s="33"/>
    </row>
    <row r="621" ht="15.75" customHeight="1">
      <c r="A621" s="142"/>
      <c r="B621" s="143"/>
      <c r="C621" s="144"/>
      <c r="D621" s="145"/>
      <c r="E621" s="142"/>
      <c r="F621" s="146"/>
      <c r="G621" s="174"/>
      <c r="H621" s="148"/>
      <c r="I621" s="148"/>
      <c r="J621" s="149"/>
      <c r="K621" s="149"/>
      <c r="L621" s="149"/>
      <c r="M621" s="149"/>
      <c r="N621" s="142"/>
      <c r="O621" s="33"/>
    </row>
    <row r="622" ht="15.75" customHeight="1">
      <c r="A622" s="142"/>
      <c r="B622" s="143"/>
      <c r="C622" s="144"/>
      <c r="D622" s="145"/>
      <c r="E622" s="142"/>
      <c r="F622" s="146"/>
      <c r="G622" s="174"/>
      <c r="H622" s="148"/>
      <c r="I622" s="148"/>
      <c r="J622" s="149"/>
      <c r="K622" s="149"/>
      <c r="L622" s="149"/>
      <c r="M622" s="149"/>
      <c r="N622" s="142"/>
      <c r="O622" s="33"/>
    </row>
    <row r="623" ht="15.75" customHeight="1">
      <c r="A623" s="142"/>
      <c r="B623" s="143"/>
      <c r="C623" s="144"/>
      <c r="D623" s="145"/>
      <c r="E623" s="142"/>
      <c r="F623" s="146"/>
      <c r="G623" s="174"/>
      <c r="H623" s="148"/>
      <c r="I623" s="148"/>
      <c r="J623" s="149"/>
      <c r="K623" s="149"/>
      <c r="L623" s="149"/>
      <c r="M623" s="149"/>
      <c r="N623" s="142"/>
      <c r="O623" s="33"/>
    </row>
    <row r="624" ht="15.75" customHeight="1">
      <c r="A624" s="142"/>
      <c r="B624" s="143"/>
      <c r="C624" s="144"/>
      <c r="D624" s="145"/>
      <c r="E624" s="142"/>
      <c r="F624" s="146"/>
      <c r="G624" s="174"/>
      <c r="H624" s="148"/>
      <c r="I624" s="148"/>
      <c r="J624" s="149"/>
      <c r="K624" s="149"/>
      <c r="L624" s="149"/>
      <c r="M624" s="149"/>
      <c r="N624" s="142"/>
      <c r="O624" s="33"/>
    </row>
    <row r="625" ht="15.75" customHeight="1">
      <c r="A625" s="142"/>
      <c r="B625" s="143"/>
      <c r="C625" s="144"/>
      <c r="D625" s="145"/>
      <c r="E625" s="142"/>
      <c r="F625" s="146"/>
      <c r="G625" s="174"/>
      <c r="H625" s="148"/>
      <c r="I625" s="148"/>
      <c r="J625" s="149"/>
      <c r="K625" s="149"/>
      <c r="L625" s="149"/>
      <c r="M625" s="149"/>
      <c r="N625" s="142"/>
      <c r="O625" s="33"/>
    </row>
    <row r="626" ht="15.75" customHeight="1">
      <c r="A626" s="142"/>
      <c r="B626" s="143"/>
      <c r="C626" s="144"/>
      <c r="D626" s="145"/>
      <c r="E626" s="142"/>
      <c r="F626" s="146"/>
      <c r="G626" s="174"/>
      <c r="H626" s="148"/>
      <c r="I626" s="148"/>
      <c r="J626" s="149"/>
      <c r="K626" s="149"/>
      <c r="L626" s="149"/>
      <c r="M626" s="149"/>
      <c r="N626" s="142"/>
      <c r="O626" s="33"/>
    </row>
    <row r="627" ht="15.75" customHeight="1">
      <c r="A627" s="142"/>
      <c r="B627" s="143"/>
      <c r="C627" s="144"/>
      <c r="D627" s="145"/>
      <c r="E627" s="142"/>
      <c r="F627" s="146"/>
      <c r="G627" s="174"/>
      <c r="H627" s="148"/>
      <c r="I627" s="148"/>
      <c r="J627" s="149"/>
      <c r="K627" s="149"/>
      <c r="L627" s="149"/>
      <c r="M627" s="149"/>
      <c r="N627" s="142"/>
      <c r="O627" s="33"/>
    </row>
    <row r="628" ht="15.75" customHeight="1">
      <c r="A628" s="142"/>
      <c r="B628" s="143"/>
      <c r="C628" s="144"/>
      <c r="D628" s="145"/>
      <c r="E628" s="142"/>
      <c r="F628" s="146"/>
      <c r="G628" s="174"/>
      <c r="H628" s="148"/>
      <c r="I628" s="148"/>
      <c r="J628" s="149"/>
      <c r="K628" s="149"/>
      <c r="L628" s="149"/>
      <c r="M628" s="149"/>
      <c r="N628" s="142"/>
      <c r="O628" s="33"/>
    </row>
    <row r="629" ht="15.75" customHeight="1">
      <c r="A629" s="142"/>
      <c r="B629" s="143"/>
      <c r="C629" s="144"/>
      <c r="D629" s="145"/>
      <c r="E629" s="142"/>
      <c r="F629" s="146"/>
      <c r="G629" s="174"/>
      <c r="H629" s="148"/>
      <c r="I629" s="148"/>
      <c r="J629" s="149"/>
      <c r="K629" s="149"/>
      <c r="L629" s="149"/>
      <c r="M629" s="149"/>
      <c r="N629" s="142"/>
      <c r="O629" s="33"/>
    </row>
    <row r="630" ht="15.75" customHeight="1">
      <c r="A630" s="142"/>
      <c r="B630" s="143"/>
      <c r="C630" s="144"/>
      <c r="D630" s="145"/>
      <c r="E630" s="142"/>
      <c r="F630" s="146"/>
      <c r="G630" s="174"/>
      <c r="H630" s="148"/>
      <c r="I630" s="148"/>
      <c r="J630" s="149"/>
      <c r="K630" s="149"/>
      <c r="L630" s="149"/>
      <c r="M630" s="149"/>
      <c r="N630" s="142"/>
      <c r="O630" s="33"/>
    </row>
    <row r="631" ht="15.75" customHeight="1">
      <c r="A631" s="142"/>
      <c r="B631" s="143"/>
      <c r="C631" s="144"/>
      <c r="D631" s="145"/>
      <c r="E631" s="142"/>
      <c r="F631" s="146"/>
      <c r="G631" s="174"/>
      <c r="H631" s="148"/>
      <c r="I631" s="148"/>
      <c r="J631" s="149"/>
      <c r="K631" s="149"/>
      <c r="L631" s="149"/>
      <c r="M631" s="149"/>
      <c r="N631" s="142"/>
      <c r="O631" s="33"/>
    </row>
    <row r="632" ht="15.75" customHeight="1">
      <c r="A632" s="142"/>
      <c r="B632" s="143"/>
      <c r="C632" s="144"/>
      <c r="D632" s="145"/>
      <c r="E632" s="142"/>
      <c r="F632" s="146"/>
      <c r="G632" s="174"/>
      <c r="H632" s="148"/>
      <c r="I632" s="148"/>
      <c r="J632" s="149"/>
      <c r="K632" s="149"/>
      <c r="L632" s="149"/>
      <c r="M632" s="149"/>
      <c r="N632" s="142"/>
      <c r="O632" s="33"/>
    </row>
    <row r="633" ht="15.75" customHeight="1">
      <c r="A633" s="142"/>
      <c r="B633" s="143"/>
      <c r="C633" s="144"/>
      <c r="D633" s="145"/>
      <c r="E633" s="142"/>
      <c r="F633" s="146"/>
      <c r="G633" s="174"/>
      <c r="H633" s="148"/>
      <c r="I633" s="148"/>
      <c r="J633" s="149"/>
      <c r="K633" s="149"/>
      <c r="L633" s="149"/>
      <c r="M633" s="149"/>
      <c r="N633" s="142"/>
      <c r="O633" s="33"/>
    </row>
    <row r="634" ht="15.75" customHeight="1">
      <c r="A634" s="142"/>
      <c r="B634" s="143"/>
      <c r="C634" s="144"/>
      <c r="D634" s="145"/>
      <c r="E634" s="142"/>
      <c r="F634" s="146"/>
      <c r="G634" s="174"/>
      <c r="H634" s="148"/>
      <c r="I634" s="148"/>
      <c r="J634" s="149"/>
      <c r="K634" s="149"/>
      <c r="L634" s="149"/>
      <c r="M634" s="149"/>
      <c r="N634" s="142"/>
      <c r="O634" s="33"/>
    </row>
    <row r="635" ht="15.75" customHeight="1">
      <c r="A635" s="142"/>
      <c r="B635" s="143"/>
      <c r="C635" s="144"/>
      <c r="D635" s="145"/>
      <c r="E635" s="142"/>
      <c r="F635" s="146"/>
      <c r="G635" s="174"/>
      <c r="H635" s="148"/>
      <c r="I635" s="148"/>
      <c r="J635" s="149"/>
      <c r="K635" s="149"/>
      <c r="L635" s="149"/>
      <c r="M635" s="149"/>
      <c r="N635" s="142"/>
      <c r="O635" s="33"/>
    </row>
    <row r="636" ht="15.75" customHeight="1">
      <c r="A636" s="142"/>
      <c r="B636" s="143"/>
      <c r="C636" s="144"/>
      <c r="D636" s="145"/>
      <c r="E636" s="142"/>
      <c r="F636" s="146"/>
      <c r="G636" s="174"/>
      <c r="H636" s="148"/>
      <c r="I636" s="148"/>
      <c r="J636" s="149"/>
      <c r="K636" s="149"/>
      <c r="L636" s="149"/>
      <c r="M636" s="149"/>
      <c r="N636" s="142"/>
      <c r="O636" s="33"/>
    </row>
    <row r="637" ht="15.75" customHeight="1">
      <c r="A637" s="142"/>
      <c r="B637" s="143"/>
      <c r="C637" s="144"/>
      <c r="D637" s="145"/>
      <c r="E637" s="142"/>
      <c r="F637" s="146"/>
      <c r="G637" s="174"/>
      <c r="H637" s="148"/>
      <c r="I637" s="148"/>
      <c r="J637" s="149"/>
      <c r="K637" s="149"/>
      <c r="L637" s="149"/>
      <c r="M637" s="149"/>
      <c r="N637" s="142"/>
      <c r="O637" s="33"/>
    </row>
    <row r="638" ht="15.75" customHeight="1">
      <c r="A638" s="142"/>
      <c r="B638" s="143"/>
      <c r="C638" s="144"/>
      <c r="D638" s="145"/>
      <c r="E638" s="142"/>
      <c r="F638" s="146"/>
      <c r="G638" s="174"/>
      <c r="H638" s="148"/>
      <c r="I638" s="148"/>
      <c r="J638" s="149"/>
      <c r="K638" s="149"/>
      <c r="L638" s="149"/>
      <c r="M638" s="149"/>
      <c r="N638" s="142"/>
      <c r="O638" s="33"/>
    </row>
    <row r="639" ht="15.75" customHeight="1">
      <c r="A639" s="142"/>
      <c r="B639" s="143"/>
      <c r="C639" s="144"/>
      <c r="D639" s="145"/>
      <c r="E639" s="142"/>
      <c r="F639" s="146"/>
      <c r="G639" s="174"/>
      <c r="H639" s="148"/>
      <c r="I639" s="148"/>
      <c r="J639" s="149"/>
      <c r="K639" s="149"/>
      <c r="L639" s="149"/>
      <c r="M639" s="149"/>
      <c r="N639" s="142"/>
      <c r="O639" s="33"/>
    </row>
    <row r="640" ht="15.75" customHeight="1">
      <c r="A640" s="142"/>
      <c r="B640" s="143"/>
      <c r="C640" s="144"/>
      <c r="D640" s="145"/>
      <c r="E640" s="142"/>
      <c r="F640" s="146"/>
      <c r="G640" s="174"/>
      <c r="H640" s="148"/>
      <c r="I640" s="148"/>
      <c r="J640" s="149"/>
      <c r="K640" s="149"/>
      <c r="L640" s="149"/>
      <c r="M640" s="149"/>
      <c r="N640" s="142"/>
      <c r="O640" s="33"/>
    </row>
    <row r="641" ht="15.75" customHeight="1">
      <c r="A641" s="142"/>
      <c r="B641" s="143"/>
      <c r="C641" s="144"/>
      <c r="D641" s="145"/>
      <c r="E641" s="142"/>
      <c r="F641" s="146"/>
      <c r="G641" s="174"/>
      <c r="H641" s="148"/>
      <c r="I641" s="148"/>
      <c r="J641" s="149"/>
      <c r="K641" s="149"/>
      <c r="L641" s="149"/>
      <c r="M641" s="149"/>
      <c r="N641" s="142"/>
      <c r="O641" s="33"/>
    </row>
    <row r="642" ht="15.75" customHeight="1">
      <c r="A642" s="142"/>
      <c r="B642" s="143"/>
      <c r="C642" s="144"/>
      <c r="D642" s="145"/>
      <c r="E642" s="142"/>
      <c r="F642" s="146"/>
      <c r="G642" s="174"/>
      <c r="H642" s="148"/>
      <c r="I642" s="148"/>
      <c r="J642" s="149"/>
      <c r="K642" s="149"/>
      <c r="L642" s="149"/>
      <c r="M642" s="149"/>
      <c r="N642" s="142"/>
      <c r="O642" s="33"/>
    </row>
    <row r="643" ht="15.75" customHeight="1">
      <c r="A643" s="142"/>
      <c r="B643" s="143"/>
      <c r="C643" s="144"/>
      <c r="D643" s="145"/>
      <c r="E643" s="142"/>
      <c r="F643" s="146"/>
      <c r="G643" s="174"/>
      <c r="H643" s="148"/>
      <c r="I643" s="148"/>
      <c r="J643" s="149"/>
      <c r="K643" s="149"/>
      <c r="L643" s="149"/>
      <c r="M643" s="149"/>
      <c r="N643" s="142"/>
      <c r="O643" s="33"/>
    </row>
    <row r="644" ht="15.75" customHeight="1">
      <c r="A644" s="142"/>
      <c r="B644" s="143"/>
      <c r="C644" s="144"/>
      <c r="D644" s="145"/>
      <c r="E644" s="142"/>
      <c r="F644" s="146"/>
      <c r="G644" s="174"/>
      <c r="H644" s="148"/>
      <c r="I644" s="148"/>
      <c r="J644" s="149"/>
      <c r="K644" s="149"/>
      <c r="L644" s="149"/>
      <c r="M644" s="149"/>
      <c r="N644" s="142"/>
      <c r="O644" s="33"/>
    </row>
    <row r="645" ht="15.75" customHeight="1">
      <c r="A645" s="142"/>
      <c r="B645" s="143"/>
      <c r="C645" s="144"/>
      <c r="D645" s="145"/>
      <c r="E645" s="142"/>
      <c r="F645" s="146"/>
      <c r="G645" s="174"/>
      <c r="H645" s="148"/>
      <c r="I645" s="148"/>
      <c r="J645" s="149"/>
      <c r="K645" s="149"/>
      <c r="L645" s="149"/>
      <c r="M645" s="149"/>
      <c r="N645" s="142"/>
      <c r="O645" s="33"/>
    </row>
    <row r="646" ht="15.75" customHeight="1">
      <c r="A646" s="142"/>
      <c r="B646" s="143"/>
      <c r="C646" s="144"/>
      <c r="D646" s="145"/>
      <c r="E646" s="142"/>
      <c r="F646" s="146"/>
      <c r="G646" s="174"/>
      <c r="H646" s="148"/>
      <c r="I646" s="148"/>
      <c r="J646" s="149"/>
      <c r="K646" s="149"/>
      <c r="L646" s="149"/>
      <c r="M646" s="149"/>
      <c r="N646" s="142"/>
      <c r="O646" s="33"/>
    </row>
    <row r="647" ht="15.75" customHeight="1">
      <c r="A647" s="142"/>
      <c r="B647" s="143"/>
      <c r="C647" s="144"/>
      <c r="D647" s="145"/>
      <c r="E647" s="142"/>
      <c r="F647" s="146"/>
      <c r="G647" s="174"/>
      <c r="H647" s="148"/>
      <c r="I647" s="148"/>
      <c r="J647" s="149"/>
      <c r="K647" s="149"/>
      <c r="L647" s="149"/>
      <c r="M647" s="149"/>
      <c r="N647" s="142"/>
      <c r="O647" s="33"/>
    </row>
    <row r="648" ht="15.75" customHeight="1">
      <c r="A648" s="142"/>
      <c r="B648" s="143"/>
      <c r="C648" s="144"/>
      <c r="D648" s="145"/>
      <c r="E648" s="142"/>
      <c r="F648" s="146"/>
      <c r="G648" s="174"/>
      <c r="H648" s="148"/>
      <c r="I648" s="148"/>
      <c r="J648" s="149"/>
      <c r="K648" s="149"/>
      <c r="L648" s="149"/>
      <c r="M648" s="149"/>
      <c r="N648" s="142"/>
      <c r="O648" s="33"/>
    </row>
    <row r="649" ht="15.75" customHeight="1">
      <c r="A649" s="142"/>
      <c r="B649" s="143"/>
      <c r="C649" s="144"/>
      <c r="D649" s="145"/>
      <c r="E649" s="142"/>
      <c r="F649" s="146"/>
      <c r="G649" s="174"/>
      <c r="H649" s="148"/>
      <c r="I649" s="148"/>
      <c r="J649" s="149"/>
      <c r="K649" s="149"/>
      <c r="L649" s="149"/>
      <c r="M649" s="149"/>
      <c r="N649" s="142"/>
      <c r="O649" s="33"/>
    </row>
    <row r="650" ht="15.75" customHeight="1">
      <c r="A650" s="142"/>
      <c r="B650" s="143"/>
      <c r="C650" s="144"/>
      <c r="D650" s="145"/>
      <c r="E650" s="142"/>
      <c r="F650" s="146"/>
      <c r="G650" s="174"/>
      <c r="H650" s="148"/>
      <c r="I650" s="148"/>
      <c r="J650" s="149"/>
      <c r="K650" s="149"/>
      <c r="L650" s="149"/>
      <c r="M650" s="149"/>
      <c r="N650" s="142"/>
      <c r="O650" s="33"/>
    </row>
    <row r="651" ht="15.75" customHeight="1">
      <c r="A651" s="142"/>
      <c r="B651" s="143"/>
      <c r="C651" s="144"/>
      <c r="D651" s="145"/>
      <c r="E651" s="142"/>
      <c r="F651" s="146"/>
      <c r="G651" s="174"/>
      <c r="H651" s="148"/>
      <c r="I651" s="148"/>
      <c r="J651" s="149"/>
      <c r="K651" s="149"/>
      <c r="L651" s="149"/>
      <c r="M651" s="149"/>
      <c r="N651" s="142"/>
      <c r="O651" s="33"/>
    </row>
    <row r="652" ht="15.75" customHeight="1">
      <c r="A652" s="142"/>
      <c r="B652" s="143"/>
      <c r="C652" s="144"/>
      <c r="D652" s="145"/>
      <c r="E652" s="142"/>
      <c r="F652" s="146"/>
      <c r="G652" s="174"/>
      <c r="H652" s="148"/>
      <c r="I652" s="148"/>
      <c r="J652" s="149"/>
      <c r="K652" s="149"/>
      <c r="L652" s="149"/>
      <c r="M652" s="149"/>
      <c r="N652" s="142"/>
      <c r="O652" s="33"/>
    </row>
    <row r="653" ht="15.75" customHeight="1">
      <c r="A653" s="142"/>
      <c r="B653" s="143"/>
      <c r="C653" s="144"/>
      <c r="D653" s="145"/>
      <c r="E653" s="142"/>
      <c r="F653" s="146"/>
      <c r="G653" s="174"/>
      <c r="H653" s="148"/>
      <c r="I653" s="148"/>
      <c r="J653" s="149"/>
      <c r="K653" s="149"/>
      <c r="L653" s="149"/>
      <c r="M653" s="149"/>
      <c r="N653" s="142"/>
      <c r="O653" s="33"/>
    </row>
    <row r="654" ht="15.75" customHeight="1">
      <c r="A654" s="142"/>
      <c r="B654" s="143"/>
      <c r="C654" s="144"/>
      <c r="D654" s="145"/>
      <c r="E654" s="142"/>
      <c r="F654" s="146"/>
      <c r="G654" s="174"/>
      <c r="H654" s="148"/>
      <c r="I654" s="148"/>
      <c r="J654" s="149"/>
      <c r="K654" s="149"/>
      <c r="L654" s="149"/>
      <c r="M654" s="149"/>
      <c r="N654" s="142"/>
      <c r="O654" s="33"/>
    </row>
    <row r="655" ht="15.75" customHeight="1">
      <c r="A655" s="142"/>
      <c r="B655" s="143"/>
      <c r="C655" s="144"/>
      <c r="D655" s="145"/>
      <c r="E655" s="142"/>
      <c r="F655" s="146"/>
      <c r="G655" s="174"/>
      <c r="H655" s="148"/>
      <c r="I655" s="148"/>
      <c r="J655" s="149"/>
      <c r="K655" s="149"/>
      <c r="L655" s="149"/>
      <c r="M655" s="149"/>
      <c r="N655" s="142"/>
      <c r="O655" s="33"/>
    </row>
    <row r="656" ht="15.75" customHeight="1">
      <c r="A656" s="142"/>
      <c r="B656" s="143"/>
      <c r="C656" s="144"/>
      <c r="D656" s="145"/>
      <c r="E656" s="142"/>
      <c r="F656" s="146"/>
      <c r="G656" s="174"/>
      <c r="H656" s="148"/>
      <c r="I656" s="148"/>
      <c r="J656" s="149"/>
      <c r="K656" s="149"/>
      <c r="L656" s="149"/>
      <c r="M656" s="149"/>
      <c r="N656" s="142"/>
      <c r="O656" s="33"/>
    </row>
    <row r="657" ht="15.75" customHeight="1">
      <c r="A657" s="142"/>
      <c r="B657" s="143"/>
      <c r="C657" s="144"/>
      <c r="D657" s="145"/>
      <c r="E657" s="142"/>
      <c r="F657" s="146"/>
      <c r="G657" s="174"/>
      <c r="H657" s="148"/>
      <c r="I657" s="148"/>
      <c r="J657" s="149"/>
      <c r="K657" s="149"/>
      <c r="L657" s="149"/>
      <c r="M657" s="149"/>
      <c r="N657" s="142"/>
      <c r="O657" s="33"/>
    </row>
    <row r="658" ht="15.75" customHeight="1">
      <c r="A658" s="142"/>
      <c r="B658" s="143"/>
      <c r="C658" s="144"/>
      <c r="D658" s="145"/>
      <c r="E658" s="142"/>
      <c r="F658" s="146"/>
      <c r="G658" s="174"/>
      <c r="H658" s="148"/>
      <c r="I658" s="148"/>
      <c r="J658" s="149"/>
      <c r="K658" s="149"/>
      <c r="L658" s="149"/>
      <c r="M658" s="149"/>
      <c r="N658" s="142"/>
      <c r="O658" s="33"/>
    </row>
    <row r="659" ht="15.75" customHeight="1">
      <c r="A659" s="142"/>
      <c r="B659" s="143"/>
      <c r="C659" s="144"/>
      <c r="D659" s="145"/>
      <c r="E659" s="142"/>
      <c r="F659" s="146"/>
      <c r="G659" s="174"/>
      <c r="H659" s="148"/>
      <c r="I659" s="148"/>
      <c r="J659" s="149"/>
      <c r="K659" s="149"/>
      <c r="L659" s="149"/>
      <c r="M659" s="149"/>
      <c r="N659" s="142"/>
      <c r="O659" s="33"/>
    </row>
    <row r="660" ht="15.75" customHeight="1">
      <c r="A660" s="142"/>
      <c r="B660" s="143"/>
      <c r="C660" s="144"/>
      <c r="D660" s="145"/>
      <c r="E660" s="142"/>
      <c r="F660" s="146"/>
      <c r="G660" s="174"/>
      <c r="H660" s="148"/>
      <c r="I660" s="148"/>
      <c r="J660" s="149"/>
      <c r="K660" s="149"/>
      <c r="L660" s="149"/>
      <c r="M660" s="149"/>
      <c r="N660" s="142"/>
      <c r="O660" s="33"/>
    </row>
    <row r="661" ht="15.75" customHeight="1">
      <c r="A661" s="142"/>
      <c r="B661" s="143"/>
      <c r="C661" s="144"/>
      <c r="D661" s="145"/>
      <c r="E661" s="142"/>
      <c r="F661" s="146"/>
      <c r="G661" s="174"/>
      <c r="H661" s="148"/>
      <c r="I661" s="148"/>
      <c r="J661" s="149"/>
      <c r="K661" s="149"/>
      <c r="L661" s="149"/>
      <c r="M661" s="149"/>
      <c r="N661" s="142"/>
      <c r="O661" s="33"/>
    </row>
    <row r="662" ht="15.75" customHeight="1">
      <c r="A662" s="142"/>
      <c r="B662" s="143"/>
      <c r="C662" s="144"/>
      <c r="D662" s="145"/>
      <c r="E662" s="142"/>
      <c r="F662" s="146"/>
      <c r="G662" s="174"/>
      <c r="H662" s="148"/>
      <c r="I662" s="148"/>
      <c r="J662" s="149"/>
      <c r="K662" s="149"/>
      <c r="L662" s="149"/>
      <c r="M662" s="149"/>
      <c r="N662" s="142"/>
      <c r="O662" s="33"/>
    </row>
    <row r="663" ht="15.75" customHeight="1">
      <c r="A663" s="142"/>
      <c r="B663" s="143"/>
      <c r="C663" s="144"/>
      <c r="D663" s="145"/>
      <c r="E663" s="142"/>
      <c r="F663" s="146"/>
      <c r="G663" s="174"/>
      <c r="H663" s="148"/>
      <c r="I663" s="148"/>
      <c r="J663" s="149"/>
      <c r="K663" s="149"/>
      <c r="L663" s="149"/>
      <c r="M663" s="149"/>
      <c r="N663" s="142"/>
      <c r="O663" s="33"/>
    </row>
    <row r="664" ht="15.75" customHeight="1">
      <c r="A664" s="142"/>
      <c r="B664" s="143"/>
      <c r="C664" s="144"/>
      <c r="D664" s="145"/>
      <c r="E664" s="142"/>
      <c r="F664" s="146"/>
      <c r="G664" s="174"/>
      <c r="H664" s="148"/>
      <c r="I664" s="148"/>
      <c r="J664" s="149"/>
      <c r="K664" s="149"/>
      <c r="L664" s="149"/>
      <c r="M664" s="149"/>
      <c r="N664" s="142"/>
      <c r="O664" s="33"/>
    </row>
    <row r="665" ht="15.75" customHeight="1">
      <c r="A665" s="142"/>
      <c r="B665" s="143"/>
      <c r="C665" s="144"/>
      <c r="D665" s="145"/>
      <c r="E665" s="142"/>
      <c r="F665" s="146"/>
      <c r="G665" s="174"/>
      <c r="H665" s="148"/>
      <c r="I665" s="148"/>
      <c r="J665" s="149"/>
      <c r="K665" s="149"/>
      <c r="L665" s="149"/>
      <c r="M665" s="149"/>
      <c r="N665" s="142"/>
      <c r="O665" s="33"/>
    </row>
    <row r="666" ht="15.75" customHeight="1">
      <c r="A666" s="142"/>
      <c r="B666" s="143"/>
      <c r="C666" s="144"/>
      <c r="D666" s="145"/>
      <c r="E666" s="142"/>
      <c r="F666" s="146"/>
      <c r="G666" s="174"/>
      <c r="H666" s="148"/>
      <c r="I666" s="148"/>
      <c r="J666" s="149"/>
      <c r="K666" s="149"/>
      <c r="L666" s="149"/>
      <c r="M666" s="149"/>
      <c r="N666" s="142"/>
      <c r="O666" s="33"/>
    </row>
    <row r="667" ht="15.75" customHeight="1">
      <c r="A667" s="142"/>
      <c r="B667" s="143"/>
      <c r="C667" s="144"/>
      <c r="D667" s="145"/>
      <c r="E667" s="142"/>
      <c r="F667" s="146"/>
      <c r="G667" s="174"/>
      <c r="H667" s="148"/>
      <c r="I667" s="148"/>
      <c r="J667" s="149"/>
      <c r="K667" s="149"/>
      <c r="L667" s="149"/>
      <c r="M667" s="149"/>
      <c r="N667" s="142"/>
      <c r="O667" s="33"/>
    </row>
    <row r="668" ht="15.75" customHeight="1">
      <c r="A668" s="142"/>
      <c r="B668" s="143"/>
      <c r="C668" s="144"/>
      <c r="D668" s="145"/>
      <c r="E668" s="142"/>
      <c r="F668" s="146"/>
      <c r="G668" s="174"/>
      <c r="H668" s="148"/>
      <c r="I668" s="148"/>
      <c r="J668" s="149"/>
      <c r="K668" s="149"/>
      <c r="L668" s="149"/>
      <c r="M668" s="149"/>
      <c r="N668" s="142"/>
      <c r="O668" s="33"/>
    </row>
    <row r="669" ht="15.75" customHeight="1">
      <c r="A669" s="142"/>
      <c r="B669" s="143"/>
      <c r="C669" s="144"/>
      <c r="D669" s="145"/>
      <c r="E669" s="142"/>
      <c r="F669" s="146"/>
      <c r="G669" s="174"/>
      <c r="H669" s="148"/>
      <c r="I669" s="148"/>
      <c r="J669" s="149"/>
      <c r="K669" s="149"/>
      <c r="L669" s="149"/>
      <c r="M669" s="149"/>
      <c r="N669" s="142"/>
      <c r="O669" s="33"/>
    </row>
    <row r="670" ht="15.75" customHeight="1">
      <c r="A670" s="142"/>
      <c r="B670" s="143"/>
      <c r="C670" s="144"/>
      <c r="D670" s="145"/>
      <c r="E670" s="142"/>
      <c r="F670" s="146"/>
      <c r="G670" s="174"/>
      <c r="H670" s="148"/>
      <c r="I670" s="148"/>
      <c r="J670" s="149"/>
      <c r="K670" s="149"/>
      <c r="L670" s="149"/>
      <c r="M670" s="149"/>
      <c r="N670" s="142"/>
      <c r="O670" s="33"/>
    </row>
    <row r="671" ht="15.75" customHeight="1">
      <c r="A671" s="142"/>
      <c r="B671" s="143"/>
      <c r="C671" s="144"/>
      <c r="D671" s="145"/>
      <c r="E671" s="142"/>
      <c r="F671" s="146"/>
      <c r="G671" s="174"/>
      <c r="H671" s="148"/>
      <c r="I671" s="148"/>
      <c r="J671" s="149"/>
      <c r="K671" s="149"/>
      <c r="L671" s="149"/>
      <c r="M671" s="149"/>
      <c r="N671" s="142"/>
      <c r="O671" s="33"/>
    </row>
    <row r="672" ht="15.75" customHeight="1">
      <c r="A672" s="142"/>
      <c r="B672" s="143"/>
      <c r="C672" s="144"/>
      <c r="D672" s="145"/>
      <c r="E672" s="142"/>
      <c r="F672" s="146"/>
      <c r="G672" s="174"/>
      <c r="H672" s="148"/>
      <c r="I672" s="148"/>
      <c r="J672" s="149"/>
      <c r="K672" s="149"/>
      <c r="L672" s="149"/>
      <c r="M672" s="149"/>
      <c r="N672" s="142"/>
      <c r="O672" s="33"/>
    </row>
    <row r="673" ht="15.75" customHeight="1">
      <c r="A673" s="142"/>
      <c r="B673" s="143"/>
      <c r="C673" s="144"/>
      <c r="D673" s="145"/>
      <c r="E673" s="142"/>
      <c r="F673" s="146"/>
      <c r="G673" s="174"/>
      <c r="H673" s="148"/>
      <c r="I673" s="148"/>
      <c r="J673" s="149"/>
      <c r="K673" s="149"/>
      <c r="L673" s="149"/>
      <c r="M673" s="149"/>
      <c r="N673" s="142"/>
      <c r="O673" s="33"/>
    </row>
    <row r="674" ht="15.75" customHeight="1">
      <c r="A674" s="142"/>
      <c r="B674" s="143"/>
      <c r="C674" s="144"/>
      <c r="D674" s="145"/>
      <c r="E674" s="142"/>
      <c r="F674" s="146"/>
      <c r="G674" s="174"/>
      <c r="H674" s="148"/>
      <c r="I674" s="148"/>
      <c r="J674" s="149"/>
      <c r="K674" s="149"/>
      <c r="L674" s="149"/>
      <c r="M674" s="149"/>
      <c r="N674" s="142"/>
      <c r="O674" s="33"/>
    </row>
    <row r="675" ht="15.75" customHeight="1">
      <c r="A675" s="142"/>
      <c r="B675" s="143"/>
      <c r="C675" s="144"/>
      <c r="D675" s="145"/>
      <c r="E675" s="142"/>
      <c r="F675" s="146"/>
      <c r="G675" s="174"/>
      <c r="H675" s="148"/>
      <c r="I675" s="148"/>
      <c r="J675" s="149"/>
      <c r="K675" s="149"/>
      <c r="L675" s="149"/>
      <c r="M675" s="149"/>
      <c r="N675" s="142"/>
      <c r="O675" s="33"/>
    </row>
    <row r="676" ht="15.75" customHeight="1">
      <c r="A676" s="142"/>
      <c r="B676" s="143"/>
      <c r="C676" s="144"/>
      <c r="D676" s="145"/>
      <c r="E676" s="142"/>
      <c r="F676" s="146"/>
      <c r="G676" s="174"/>
      <c r="H676" s="148"/>
      <c r="I676" s="148"/>
      <c r="J676" s="149"/>
      <c r="K676" s="149"/>
      <c r="L676" s="149"/>
      <c r="M676" s="149"/>
      <c r="N676" s="142"/>
      <c r="O676" s="33"/>
    </row>
    <row r="677" ht="15.75" customHeight="1">
      <c r="A677" s="142"/>
      <c r="B677" s="143"/>
      <c r="C677" s="144"/>
      <c r="D677" s="145"/>
      <c r="E677" s="142"/>
      <c r="F677" s="146"/>
      <c r="G677" s="174"/>
      <c r="H677" s="148"/>
      <c r="I677" s="148"/>
      <c r="J677" s="149"/>
      <c r="K677" s="149"/>
      <c r="L677" s="149"/>
      <c r="M677" s="149"/>
      <c r="N677" s="142"/>
      <c r="O677" s="33"/>
    </row>
    <row r="678" ht="15.75" customHeight="1">
      <c r="A678" s="142"/>
      <c r="B678" s="143"/>
      <c r="C678" s="144"/>
      <c r="D678" s="145"/>
      <c r="E678" s="142"/>
      <c r="F678" s="146"/>
      <c r="G678" s="174"/>
      <c r="H678" s="148"/>
      <c r="I678" s="148"/>
      <c r="J678" s="149"/>
      <c r="K678" s="149"/>
      <c r="L678" s="149"/>
      <c r="M678" s="149"/>
      <c r="N678" s="142"/>
      <c r="O678" s="33"/>
    </row>
    <row r="679" ht="15.75" customHeight="1">
      <c r="A679" s="142"/>
      <c r="B679" s="143"/>
      <c r="C679" s="144"/>
      <c r="D679" s="145"/>
      <c r="E679" s="142"/>
      <c r="F679" s="146"/>
      <c r="G679" s="174"/>
      <c r="H679" s="148"/>
      <c r="I679" s="148"/>
      <c r="J679" s="149"/>
      <c r="K679" s="149"/>
      <c r="L679" s="149"/>
      <c r="M679" s="149"/>
      <c r="N679" s="142"/>
      <c r="O679" s="33"/>
    </row>
    <row r="680" ht="15.75" customHeight="1">
      <c r="A680" s="142"/>
      <c r="B680" s="143"/>
      <c r="C680" s="144"/>
      <c r="D680" s="145"/>
      <c r="E680" s="142"/>
      <c r="F680" s="146"/>
      <c r="G680" s="174"/>
      <c r="H680" s="148"/>
      <c r="I680" s="148"/>
      <c r="J680" s="149"/>
      <c r="K680" s="149"/>
      <c r="L680" s="149"/>
      <c r="M680" s="149"/>
      <c r="N680" s="142"/>
      <c r="O680" s="33"/>
    </row>
    <row r="681" ht="15.75" customHeight="1">
      <c r="A681" s="142"/>
      <c r="B681" s="143"/>
      <c r="C681" s="144"/>
      <c r="D681" s="145"/>
      <c r="E681" s="142"/>
      <c r="F681" s="146"/>
      <c r="G681" s="174"/>
      <c r="H681" s="148"/>
      <c r="I681" s="148"/>
      <c r="J681" s="149"/>
      <c r="K681" s="149"/>
      <c r="L681" s="149"/>
      <c r="M681" s="149"/>
      <c r="N681" s="142"/>
      <c r="O681" s="33"/>
    </row>
    <row r="682" ht="15.75" customHeight="1">
      <c r="A682" s="142"/>
      <c r="B682" s="143"/>
      <c r="C682" s="144"/>
      <c r="D682" s="145"/>
      <c r="E682" s="142"/>
      <c r="F682" s="146"/>
      <c r="G682" s="174"/>
      <c r="H682" s="148"/>
      <c r="I682" s="148"/>
      <c r="J682" s="149"/>
      <c r="K682" s="149"/>
      <c r="L682" s="149"/>
      <c r="M682" s="149"/>
      <c r="N682" s="142"/>
      <c r="O682" s="33"/>
    </row>
    <row r="683" ht="15.75" customHeight="1">
      <c r="A683" s="142"/>
      <c r="B683" s="143"/>
      <c r="C683" s="144"/>
      <c r="D683" s="145"/>
      <c r="E683" s="142"/>
      <c r="F683" s="146"/>
      <c r="G683" s="174"/>
      <c r="H683" s="148"/>
      <c r="I683" s="148"/>
      <c r="J683" s="149"/>
      <c r="K683" s="149"/>
      <c r="L683" s="149"/>
      <c r="M683" s="149"/>
      <c r="N683" s="142"/>
      <c r="O683" s="33"/>
    </row>
    <row r="684" ht="15.75" customHeight="1">
      <c r="A684" s="142"/>
      <c r="B684" s="143"/>
      <c r="C684" s="144"/>
      <c r="D684" s="145"/>
      <c r="E684" s="142"/>
      <c r="F684" s="146"/>
      <c r="G684" s="174"/>
      <c r="H684" s="148"/>
      <c r="I684" s="148"/>
      <c r="J684" s="149"/>
      <c r="K684" s="149"/>
      <c r="L684" s="149"/>
      <c r="M684" s="149"/>
      <c r="N684" s="142"/>
      <c r="O684" s="33"/>
    </row>
    <row r="685" ht="15.75" customHeight="1">
      <c r="A685" s="142"/>
      <c r="B685" s="143"/>
      <c r="C685" s="144"/>
      <c r="D685" s="145"/>
      <c r="E685" s="142"/>
      <c r="F685" s="146"/>
      <c r="G685" s="174"/>
      <c r="H685" s="148"/>
      <c r="I685" s="148"/>
      <c r="J685" s="149"/>
      <c r="K685" s="149"/>
      <c r="L685" s="149"/>
      <c r="M685" s="149"/>
      <c r="N685" s="142"/>
      <c r="O685" s="33"/>
    </row>
    <row r="686" ht="15.75" customHeight="1">
      <c r="A686" s="142"/>
      <c r="B686" s="143"/>
      <c r="C686" s="144"/>
      <c r="D686" s="145"/>
      <c r="E686" s="142"/>
      <c r="F686" s="146"/>
      <c r="G686" s="174"/>
      <c r="H686" s="148"/>
      <c r="I686" s="148"/>
      <c r="J686" s="149"/>
      <c r="K686" s="149"/>
      <c r="L686" s="149"/>
      <c r="M686" s="149"/>
      <c r="N686" s="142"/>
      <c r="O686" s="33"/>
    </row>
    <row r="687" ht="15.75" customHeight="1">
      <c r="A687" s="142"/>
      <c r="B687" s="143"/>
      <c r="C687" s="144"/>
      <c r="D687" s="145"/>
      <c r="E687" s="142"/>
      <c r="F687" s="146"/>
      <c r="G687" s="174"/>
      <c r="H687" s="148"/>
      <c r="I687" s="148"/>
      <c r="J687" s="149"/>
      <c r="K687" s="149"/>
      <c r="L687" s="149"/>
      <c r="M687" s="149"/>
      <c r="N687" s="142"/>
      <c r="O687" s="33"/>
    </row>
    <row r="688" ht="15.75" customHeight="1">
      <c r="A688" s="142"/>
      <c r="B688" s="143"/>
      <c r="C688" s="144"/>
      <c r="D688" s="145"/>
      <c r="E688" s="142"/>
      <c r="F688" s="146"/>
      <c r="G688" s="174"/>
      <c r="H688" s="148"/>
      <c r="I688" s="148"/>
      <c r="J688" s="149"/>
      <c r="K688" s="149"/>
      <c r="L688" s="149"/>
      <c r="M688" s="149"/>
      <c r="N688" s="142"/>
      <c r="O688" s="33"/>
    </row>
    <row r="689" ht="15.75" customHeight="1">
      <c r="A689" s="142"/>
      <c r="B689" s="143"/>
      <c r="C689" s="144"/>
      <c r="D689" s="145"/>
      <c r="E689" s="142"/>
      <c r="F689" s="146"/>
      <c r="G689" s="174"/>
      <c r="H689" s="148"/>
      <c r="I689" s="148"/>
      <c r="J689" s="149"/>
      <c r="K689" s="149"/>
      <c r="L689" s="149"/>
      <c r="M689" s="149"/>
      <c r="N689" s="142"/>
      <c r="O689" s="33"/>
    </row>
    <row r="690" ht="15.75" customHeight="1">
      <c r="A690" s="142"/>
      <c r="B690" s="143"/>
      <c r="C690" s="144"/>
      <c r="D690" s="145"/>
      <c r="E690" s="142"/>
      <c r="F690" s="146"/>
      <c r="G690" s="174"/>
      <c r="H690" s="148"/>
      <c r="I690" s="148"/>
      <c r="J690" s="149"/>
      <c r="K690" s="149"/>
      <c r="L690" s="149"/>
      <c r="M690" s="149"/>
      <c r="N690" s="142"/>
      <c r="O690" s="33"/>
    </row>
    <row r="691" ht="15.75" customHeight="1">
      <c r="A691" s="142"/>
      <c r="B691" s="143"/>
      <c r="C691" s="144"/>
      <c r="D691" s="145"/>
      <c r="E691" s="142"/>
      <c r="F691" s="146"/>
      <c r="G691" s="174"/>
      <c r="H691" s="148"/>
      <c r="I691" s="148"/>
      <c r="J691" s="149"/>
      <c r="K691" s="149"/>
      <c r="L691" s="149"/>
      <c r="M691" s="149"/>
      <c r="N691" s="142"/>
      <c r="O691" s="33"/>
    </row>
    <row r="692" ht="15.75" customHeight="1">
      <c r="A692" s="142"/>
      <c r="B692" s="143"/>
      <c r="C692" s="144"/>
      <c r="D692" s="145"/>
      <c r="E692" s="142"/>
      <c r="F692" s="146"/>
      <c r="G692" s="174"/>
      <c r="H692" s="148"/>
      <c r="I692" s="148"/>
      <c r="J692" s="149"/>
      <c r="K692" s="149"/>
      <c r="L692" s="149"/>
      <c r="M692" s="149"/>
      <c r="N692" s="142"/>
      <c r="O692" s="33"/>
    </row>
    <row r="693" ht="15.75" customHeight="1">
      <c r="A693" s="142"/>
      <c r="B693" s="143"/>
      <c r="C693" s="144"/>
      <c r="D693" s="145"/>
      <c r="E693" s="142"/>
      <c r="F693" s="146"/>
      <c r="G693" s="174"/>
      <c r="H693" s="148"/>
      <c r="I693" s="148"/>
      <c r="J693" s="149"/>
      <c r="K693" s="149"/>
      <c r="L693" s="149"/>
      <c r="M693" s="149"/>
      <c r="N693" s="142"/>
      <c r="O693" s="33"/>
    </row>
    <row r="694" ht="15.75" customHeight="1">
      <c r="A694" s="142"/>
      <c r="B694" s="143"/>
      <c r="C694" s="144"/>
      <c r="D694" s="145"/>
      <c r="E694" s="142"/>
      <c r="F694" s="146"/>
      <c r="G694" s="174"/>
      <c r="H694" s="148"/>
      <c r="I694" s="148"/>
      <c r="J694" s="149"/>
      <c r="K694" s="149"/>
      <c r="L694" s="149"/>
      <c r="M694" s="149"/>
      <c r="N694" s="142"/>
      <c r="O694" s="33"/>
    </row>
    <row r="695" ht="15.75" customHeight="1">
      <c r="A695" s="142"/>
      <c r="B695" s="143"/>
      <c r="C695" s="144"/>
      <c r="D695" s="145"/>
      <c r="E695" s="142"/>
      <c r="F695" s="146"/>
      <c r="G695" s="174"/>
      <c r="H695" s="148"/>
      <c r="I695" s="148"/>
      <c r="J695" s="149"/>
      <c r="K695" s="149"/>
      <c r="L695" s="149"/>
      <c r="M695" s="149"/>
      <c r="N695" s="142"/>
      <c r="O695" s="33"/>
    </row>
    <row r="696" ht="15.75" customHeight="1">
      <c r="A696" s="142"/>
      <c r="B696" s="143"/>
      <c r="C696" s="144"/>
      <c r="D696" s="145"/>
      <c r="E696" s="142"/>
      <c r="F696" s="146"/>
      <c r="G696" s="174"/>
      <c r="H696" s="148"/>
      <c r="I696" s="148"/>
      <c r="J696" s="149"/>
      <c r="K696" s="149"/>
      <c r="L696" s="149"/>
      <c r="M696" s="149"/>
      <c r="N696" s="142"/>
      <c r="O696" s="33"/>
    </row>
    <row r="697" ht="15.75" customHeight="1">
      <c r="A697" s="142"/>
      <c r="B697" s="143"/>
      <c r="C697" s="144"/>
      <c r="D697" s="145"/>
      <c r="E697" s="142"/>
      <c r="F697" s="146"/>
      <c r="G697" s="174"/>
      <c r="H697" s="148"/>
      <c r="I697" s="148"/>
      <c r="J697" s="149"/>
      <c r="K697" s="149"/>
      <c r="L697" s="149"/>
      <c r="M697" s="149"/>
      <c r="N697" s="142"/>
      <c r="O697" s="33"/>
    </row>
    <row r="698" ht="15.75" customHeight="1">
      <c r="A698" s="142"/>
      <c r="B698" s="143"/>
      <c r="C698" s="144"/>
      <c r="D698" s="145"/>
      <c r="E698" s="142"/>
      <c r="F698" s="146"/>
      <c r="G698" s="174"/>
      <c r="H698" s="148"/>
      <c r="I698" s="148"/>
      <c r="J698" s="149"/>
      <c r="K698" s="149"/>
      <c r="L698" s="149"/>
      <c r="M698" s="149"/>
      <c r="N698" s="142"/>
      <c r="O698" s="33"/>
    </row>
    <row r="699" ht="15.75" customHeight="1">
      <c r="A699" s="142"/>
      <c r="B699" s="143"/>
      <c r="C699" s="144"/>
      <c r="D699" s="145"/>
      <c r="E699" s="142"/>
      <c r="F699" s="146"/>
      <c r="G699" s="174"/>
      <c r="H699" s="148"/>
      <c r="I699" s="148"/>
      <c r="J699" s="149"/>
      <c r="K699" s="149"/>
      <c r="L699" s="149"/>
      <c r="M699" s="149"/>
      <c r="N699" s="142"/>
      <c r="O699" s="33"/>
    </row>
    <row r="700" ht="15.75" customHeight="1">
      <c r="A700" s="142"/>
      <c r="B700" s="143"/>
      <c r="C700" s="144"/>
      <c r="D700" s="145"/>
      <c r="E700" s="142"/>
      <c r="F700" s="146"/>
      <c r="G700" s="174"/>
      <c r="H700" s="148"/>
      <c r="I700" s="148"/>
      <c r="J700" s="149"/>
      <c r="K700" s="149"/>
      <c r="L700" s="149"/>
      <c r="M700" s="149"/>
      <c r="N700" s="142"/>
      <c r="O700" s="33"/>
    </row>
    <row r="701" ht="15.75" customHeight="1">
      <c r="A701" s="142"/>
      <c r="B701" s="143"/>
      <c r="C701" s="144"/>
      <c r="D701" s="145"/>
      <c r="E701" s="142"/>
      <c r="F701" s="146"/>
      <c r="G701" s="174"/>
      <c r="H701" s="148"/>
      <c r="I701" s="148"/>
      <c r="J701" s="149"/>
      <c r="K701" s="149"/>
      <c r="L701" s="149"/>
      <c r="M701" s="149"/>
      <c r="N701" s="142"/>
      <c r="O701" s="33"/>
    </row>
    <row r="702" ht="15.75" customHeight="1">
      <c r="A702" s="142"/>
      <c r="B702" s="143"/>
      <c r="C702" s="144"/>
      <c r="D702" s="145"/>
      <c r="E702" s="142"/>
      <c r="F702" s="146"/>
      <c r="G702" s="174"/>
      <c r="H702" s="148"/>
      <c r="I702" s="148"/>
      <c r="J702" s="149"/>
      <c r="K702" s="149"/>
      <c r="L702" s="149"/>
      <c r="M702" s="149"/>
      <c r="N702" s="142"/>
      <c r="O702" s="33"/>
    </row>
    <row r="703" ht="15.75" customHeight="1">
      <c r="A703" s="142"/>
      <c r="B703" s="143"/>
      <c r="C703" s="144"/>
      <c r="D703" s="145"/>
      <c r="E703" s="142"/>
      <c r="F703" s="146"/>
      <c r="G703" s="174"/>
      <c r="H703" s="148"/>
      <c r="I703" s="148"/>
      <c r="J703" s="149"/>
      <c r="K703" s="149"/>
      <c r="L703" s="149"/>
      <c r="M703" s="149"/>
      <c r="N703" s="142"/>
      <c r="O703" s="33"/>
    </row>
    <row r="704" ht="15.75" customHeight="1">
      <c r="A704" s="142"/>
      <c r="B704" s="143"/>
      <c r="C704" s="144"/>
      <c r="D704" s="145"/>
      <c r="E704" s="142"/>
      <c r="F704" s="146"/>
      <c r="G704" s="174"/>
      <c r="H704" s="148"/>
      <c r="I704" s="148"/>
      <c r="J704" s="149"/>
      <c r="K704" s="149"/>
      <c r="L704" s="149"/>
      <c r="M704" s="149"/>
      <c r="N704" s="142"/>
      <c r="O704" s="33"/>
    </row>
    <row r="705" ht="15.75" customHeight="1">
      <c r="A705" s="142"/>
      <c r="B705" s="143"/>
      <c r="C705" s="144"/>
      <c r="D705" s="145"/>
      <c r="E705" s="142"/>
      <c r="F705" s="146"/>
      <c r="G705" s="174"/>
      <c r="H705" s="148"/>
      <c r="I705" s="148"/>
      <c r="J705" s="149"/>
      <c r="K705" s="149"/>
      <c r="L705" s="149"/>
      <c r="M705" s="149"/>
      <c r="N705" s="142"/>
      <c r="O705" s="33"/>
    </row>
    <row r="706" ht="15.75" customHeight="1">
      <c r="A706" s="142"/>
      <c r="B706" s="143"/>
      <c r="C706" s="144"/>
      <c r="D706" s="145"/>
      <c r="E706" s="142"/>
      <c r="F706" s="146"/>
      <c r="G706" s="174"/>
      <c r="H706" s="148"/>
      <c r="I706" s="148"/>
      <c r="J706" s="149"/>
      <c r="K706" s="149"/>
      <c r="L706" s="149"/>
      <c r="M706" s="149"/>
      <c r="N706" s="142"/>
      <c r="O706" s="33"/>
    </row>
    <row r="707" ht="15.75" customHeight="1">
      <c r="A707" s="142"/>
      <c r="B707" s="143"/>
      <c r="C707" s="144"/>
      <c r="D707" s="145"/>
      <c r="E707" s="142"/>
      <c r="F707" s="146"/>
      <c r="G707" s="174"/>
      <c r="H707" s="148"/>
      <c r="I707" s="148"/>
      <c r="J707" s="149"/>
      <c r="K707" s="149"/>
      <c r="L707" s="149"/>
      <c r="M707" s="149"/>
      <c r="N707" s="142"/>
      <c r="O707" s="33"/>
    </row>
    <row r="708" ht="15.75" customHeight="1">
      <c r="A708" s="142"/>
      <c r="B708" s="143"/>
      <c r="C708" s="144"/>
      <c r="D708" s="145"/>
      <c r="E708" s="142"/>
      <c r="F708" s="146"/>
      <c r="G708" s="174"/>
      <c r="H708" s="148"/>
      <c r="I708" s="148"/>
      <c r="J708" s="149"/>
      <c r="K708" s="149"/>
      <c r="L708" s="149"/>
      <c r="M708" s="149"/>
      <c r="N708" s="142"/>
      <c r="O708" s="33"/>
    </row>
    <row r="709" ht="15.75" customHeight="1">
      <c r="A709" s="142"/>
      <c r="B709" s="143"/>
      <c r="C709" s="144"/>
      <c r="D709" s="145"/>
      <c r="E709" s="142"/>
      <c r="F709" s="146"/>
      <c r="G709" s="174"/>
      <c r="H709" s="148"/>
      <c r="I709" s="148"/>
      <c r="J709" s="149"/>
      <c r="K709" s="149"/>
      <c r="L709" s="149"/>
      <c r="M709" s="149"/>
      <c r="N709" s="142"/>
      <c r="O709" s="33"/>
    </row>
    <row r="710" ht="15.75" customHeight="1">
      <c r="A710" s="142"/>
      <c r="B710" s="143"/>
      <c r="C710" s="144"/>
      <c r="D710" s="145"/>
      <c r="E710" s="142"/>
      <c r="F710" s="146"/>
      <c r="G710" s="174"/>
      <c r="H710" s="148"/>
      <c r="I710" s="148"/>
      <c r="J710" s="149"/>
      <c r="K710" s="149"/>
      <c r="L710" s="149"/>
      <c r="M710" s="149"/>
      <c r="N710" s="142"/>
      <c r="O710" s="33"/>
    </row>
    <row r="711" ht="15.75" customHeight="1">
      <c r="A711" s="142"/>
      <c r="B711" s="143"/>
      <c r="C711" s="144"/>
      <c r="D711" s="145"/>
      <c r="E711" s="142"/>
      <c r="F711" s="146"/>
      <c r="G711" s="174"/>
      <c r="H711" s="148"/>
      <c r="I711" s="148"/>
      <c r="J711" s="149"/>
      <c r="K711" s="149"/>
      <c r="L711" s="149"/>
      <c r="M711" s="149"/>
      <c r="N711" s="142"/>
      <c r="O711" s="33"/>
    </row>
    <row r="712" ht="15.75" customHeight="1">
      <c r="A712" s="142"/>
      <c r="B712" s="143"/>
      <c r="C712" s="144"/>
      <c r="D712" s="145"/>
      <c r="E712" s="142"/>
      <c r="F712" s="146"/>
      <c r="G712" s="174"/>
      <c r="H712" s="148"/>
      <c r="I712" s="148"/>
      <c r="J712" s="149"/>
      <c r="K712" s="149"/>
      <c r="L712" s="149"/>
      <c r="M712" s="149"/>
      <c r="N712" s="142"/>
      <c r="O712" s="33"/>
    </row>
    <row r="713" ht="15.75" customHeight="1">
      <c r="A713" s="142"/>
      <c r="B713" s="143"/>
      <c r="C713" s="144"/>
      <c r="D713" s="145"/>
      <c r="E713" s="142"/>
      <c r="F713" s="146"/>
      <c r="G713" s="174"/>
      <c r="H713" s="148"/>
      <c r="I713" s="148"/>
      <c r="J713" s="149"/>
      <c r="K713" s="149"/>
      <c r="L713" s="149"/>
      <c r="M713" s="149"/>
      <c r="N713" s="142"/>
      <c r="O713" s="33"/>
    </row>
    <row r="714" ht="15.75" customHeight="1">
      <c r="A714" s="142"/>
      <c r="B714" s="143"/>
      <c r="C714" s="144"/>
      <c r="D714" s="145"/>
      <c r="E714" s="142"/>
      <c r="F714" s="146"/>
      <c r="G714" s="174"/>
      <c r="H714" s="148"/>
      <c r="I714" s="148"/>
      <c r="J714" s="149"/>
      <c r="K714" s="149"/>
      <c r="L714" s="149"/>
      <c r="M714" s="149"/>
      <c r="N714" s="142"/>
      <c r="O714" s="33"/>
    </row>
    <row r="715" ht="15.75" customHeight="1">
      <c r="A715" s="142"/>
      <c r="B715" s="143"/>
      <c r="C715" s="144"/>
      <c r="D715" s="145"/>
      <c r="E715" s="142"/>
      <c r="F715" s="146"/>
      <c r="G715" s="174"/>
      <c r="H715" s="148"/>
      <c r="I715" s="148"/>
      <c r="J715" s="149"/>
      <c r="K715" s="149"/>
      <c r="L715" s="149"/>
      <c r="M715" s="149"/>
      <c r="N715" s="142"/>
      <c r="O715" s="33"/>
    </row>
    <row r="716" ht="15.75" customHeight="1">
      <c r="A716" s="142"/>
      <c r="B716" s="143"/>
      <c r="C716" s="144"/>
      <c r="D716" s="145"/>
      <c r="E716" s="142"/>
      <c r="F716" s="146"/>
      <c r="G716" s="174"/>
      <c r="H716" s="148"/>
      <c r="I716" s="148"/>
      <c r="J716" s="149"/>
      <c r="K716" s="149"/>
      <c r="L716" s="149"/>
      <c r="M716" s="149"/>
      <c r="N716" s="142"/>
      <c r="O716" s="33"/>
    </row>
    <row r="717" ht="15.75" customHeight="1">
      <c r="A717" s="142"/>
      <c r="B717" s="143"/>
      <c r="C717" s="144"/>
      <c r="D717" s="145"/>
      <c r="E717" s="142"/>
      <c r="F717" s="146"/>
      <c r="G717" s="174"/>
      <c r="H717" s="148"/>
      <c r="I717" s="148"/>
      <c r="J717" s="149"/>
      <c r="K717" s="149"/>
      <c r="L717" s="149"/>
      <c r="M717" s="149"/>
      <c r="N717" s="142"/>
      <c r="O717" s="33"/>
    </row>
    <row r="718" ht="15.75" customHeight="1">
      <c r="A718" s="142"/>
      <c r="B718" s="143"/>
      <c r="C718" s="144"/>
      <c r="D718" s="145"/>
      <c r="E718" s="142"/>
      <c r="F718" s="146"/>
      <c r="G718" s="174"/>
      <c r="H718" s="148"/>
      <c r="I718" s="148"/>
      <c r="J718" s="149"/>
      <c r="K718" s="149"/>
      <c r="L718" s="149"/>
      <c r="M718" s="149"/>
      <c r="N718" s="142"/>
      <c r="O718" s="33"/>
    </row>
    <row r="719" ht="15.75" customHeight="1">
      <c r="A719" s="142"/>
      <c r="B719" s="143"/>
      <c r="C719" s="144"/>
      <c r="D719" s="145"/>
      <c r="E719" s="142"/>
      <c r="F719" s="146"/>
      <c r="G719" s="174"/>
      <c r="H719" s="148"/>
      <c r="I719" s="148"/>
      <c r="J719" s="149"/>
      <c r="K719" s="149"/>
      <c r="L719" s="149"/>
      <c r="M719" s="149"/>
      <c r="N719" s="142"/>
      <c r="O719" s="33"/>
    </row>
    <row r="720" ht="15.75" customHeight="1">
      <c r="A720" s="142"/>
      <c r="B720" s="143"/>
      <c r="C720" s="144"/>
      <c r="D720" s="145"/>
      <c r="E720" s="142"/>
      <c r="F720" s="146"/>
      <c r="G720" s="174"/>
      <c r="H720" s="148"/>
      <c r="I720" s="148"/>
      <c r="J720" s="149"/>
      <c r="K720" s="149"/>
      <c r="L720" s="149"/>
      <c r="M720" s="149"/>
      <c r="N720" s="142"/>
      <c r="O720" s="33"/>
    </row>
    <row r="721" ht="15.75" customHeight="1">
      <c r="A721" s="142"/>
      <c r="B721" s="143"/>
      <c r="C721" s="144"/>
      <c r="D721" s="145"/>
      <c r="E721" s="142"/>
      <c r="F721" s="146"/>
      <c r="G721" s="174"/>
      <c r="H721" s="148"/>
      <c r="I721" s="148"/>
      <c r="J721" s="149"/>
      <c r="K721" s="149"/>
      <c r="L721" s="149"/>
      <c r="M721" s="149"/>
      <c r="N721" s="142"/>
      <c r="O721" s="33"/>
    </row>
    <row r="722" ht="15.75" customHeight="1">
      <c r="A722" s="142"/>
      <c r="B722" s="143"/>
      <c r="C722" s="144"/>
      <c r="D722" s="145"/>
      <c r="E722" s="142"/>
      <c r="F722" s="146"/>
      <c r="G722" s="174"/>
      <c r="H722" s="148"/>
      <c r="I722" s="148"/>
      <c r="J722" s="149"/>
      <c r="K722" s="149"/>
      <c r="L722" s="149"/>
      <c r="M722" s="149"/>
      <c r="N722" s="142"/>
      <c r="O722" s="33"/>
    </row>
    <row r="723" ht="15.75" customHeight="1">
      <c r="A723" s="142"/>
      <c r="B723" s="143"/>
      <c r="C723" s="144"/>
      <c r="D723" s="145"/>
      <c r="E723" s="142"/>
      <c r="F723" s="146"/>
      <c r="G723" s="174"/>
      <c r="H723" s="148"/>
      <c r="I723" s="148"/>
      <c r="J723" s="149"/>
      <c r="K723" s="149"/>
      <c r="L723" s="149"/>
      <c r="M723" s="149"/>
      <c r="N723" s="142"/>
      <c r="O723" s="33"/>
    </row>
    <row r="724" ht="15.75" customHeight="1">
      <c r="A724" s="142"/>
      <c r="B724" s="143"/>
      <c r="C724" s="144"/>
      <c r="D724" s="145"/>
      <c r="E724" s="142"/>
      <c r="F724" s="146"/>
      <c r="G724" s="174"/>
      <c r="H724" s="148"/>
      <c r="I724" s="148"/>
      <c r="J724" s="149"/>
      <c r="K724" s="149"/>
      <c r="L724" s="149"/>
      <c r="M724" s="149"/>
      <c r="N724" s="142"/>
      <c r="O724" s="33"/>
    </row>
    <row r="725" ht="15.75" customHeight="1">
      <c r="A725" s="142"/>
      <c r="B725" s="143"/>
      <c r="C725" s="144"/>
      <c r="D725" s="145"/>
      <c r="E725" s="142"/>
      <c r="F725" s="146"/>
      <c r="G725" s="174"/>
      <c r="H725" s="148"/>
      <c r="I725" s="148"/>
      <c r="J725" s="149"/>
      <c r="K725" s="149"/>
      <c r="L725" s="149"/>
      <c r="M725" s="149"/>
      <c r="N725" s="142"/>
      <c r="O725" s="33"/>
    </row>
    <row r="726" ht="15.75" customHeight="1">
      <c r="A726" s="142"/>
      <c r="B726" s="143"/>
      <c r="C726" s="144"/>
      <c r="D726" s="145"/>
      <c r="E726" s="142"/>
      <c r="F726" s="146"/>
      <c r="G726" s="174"/>
      <c r="H726" s="148"/>
      <c r="I726" s="148"/>
      <c r="J726" s="149"/>
      <c r="K726" s="149"/>
      <c r="L726" s="149"/>
      <c r="M726" s="149"/>
      <c r="N726" s="142"/>
      <c r="O726" s="33"/>
    </row>
    <row r="727" ht="15.75" customHeight="1">
      <c r="A727" s="142"/>
      <c r="B727" s="143"/>
      <c r="C727" s="144"/>
      <c r="D727" s="145"/>
      <c r="E727" s="142"/>
      <c r="F727" s="146"/>
      <c r="G727" s="174"/>
      <c r="H727" s="148"/>
      <c r="I727" s="148"/>
      <c r="J727" s="149"/>
      <c r="K727" s="149"/>
      <c r="L727" s="149"/>
      <c r="M727" s="149"/>
      <c r="N727" s="142"/>
      <c r="O727" s="33"/>
    </row>
    <row r="728" ht="15.75" customHeight="1">
      <c r="A728" s="142"/>
      <c r="B728" s="143"/>
      <c r="C728" s="144"/>
      <c r="D728" s="145"/>
      <c r="E728" s="142"/>
      <c r="F728" s="146"/>
      <c r="G728" s="174"/>
      <c r="H728" s="148"/>
      <c r="I728" s="148"/>
      <c r="J728" s="149"/>
      <c r="K728" s="149"/>
      <c r="L728" s="149"/>
      <c r="M728" s="149"/>
      <c r="N728" s="142"/>
      <c r="O728" s="33"/>
    </row>
    <row r="729" ht="15.75" customHeight="1">
      <c r="A729" s="142"/>
      <c r="B729" s="143"/>
      <c r="C729" s="144"/>
      <c r="D729" s="145"/>
      <c r="E729" s="142"/>
      <c r="F729" s="146"/>
      <c r="G729" s="174"/>
      <c r="H729" s="148"/>
      <c r="I729" s="148"/>
      <c r="J729" s="149"/>
      <c r="K729" s="149"/>
      <c r="L729" s="149"/>
      <c r="M729" s="149"/>
      <c r="N729" s="142"/>
      <c r="O729" s="33"/>
    </row>
    <row r="730" ht="15.75" customHeight="1">
      <c r="A730" s="142"/>
      <c r="B730" s="143"/>
      <c r="C730" s="144"/>
      <c r="D730" s="145"/>
      <c r="E730" s="142"/>
      <c r="F730" s="146"/>
      <c r="G730" s="174"/>
      <c r="H730" s="148"/>
      <c r="I730" s="148"/>
      <c r="J730" s="149"/>
      <c r="K730" s="149"/>
      <c r="L730" s="149"/>
      <c r="M730" s="149"/>
      <c r="N730" s="142"/>
      <c r="O730" s="33"/>
    </row>
    <row r="731" ht="15.75" customHeight="1">
      <c r="A731" s="142"/>
      <c r="B731" s="143"/>
      <c r="C731" s="144"/>
      <c r="D731" s="145"/>
      <c r="E731" s="142"/>
      <c r="F731" s="146"/>
      <c r="G731" s="174"/>
      <c r="H731" s="148"/>
      <c r="I731" s="148"/>
      <c r="J731" s="149"/>
      <c r="K731" s="149"/>
      <c r="L731" s="149"/>
      <c r="M731" s="149"/>
      <c r="N731" s="142"/>
      <c r="O731" s="33"/>
    </row>
    <row r="732" ht="15.75" customHeight="1">
      <c r="A732" s="142"/>
      <c r="B732" s="143"/>
      <c r="C732" s="144"/>
      <c r="D732" s="145"/>
      <c r="E732" s="142"/>
      <c r="F732" s="146"/>
      <c r="G732" s="174"/>
      <c r="H732" s="148"/>
      <c r="I732" s="148"/>
      <c r="J732" s="149"/>
      <c r="K732" s="149"/>
      <c r="L732" s="149"/>
      <c r="M732" s="149"/>
      <c r="N732" s="142"/>
      <c r="O732" s="33"/>
    </row>
    <row r="733" ht="15.75" customHeight="1">
      <c r="A733" s="142"/>
      <c r="B733" s="143"/>
      <c r="C733" s="144"/>
      <c r="D733" s="145"/>
      <c r="E733" s="142"/>
      <c r="F733" s="146"/>
      <c r="G733" s="174"/>
      <c r="H733" s="148"/>
      <c r="I733" s="148"/>
      <c r="J733" s="149"/>
      <c r="K733" s="149"/>
      <c r="L733" s="149"/>
      <c r="M733" s="149"/>
      <c r="N733" s="142"/>
      <c r="O733" s="33"/>
    </row>
    <row r="734" ht="15.75" customHeight="1">
      <c r="A734" s="142"/>
      <c r="B734" s="143"/>
      <c r="C734" s="144"/>
      <c r="D734" s="145"/>
      <c r="E734" s="142"/>
      <c r="F734" s="146"/>
      <c r="G734" s="174"/>
      <c r="H734" s="148"/>
      <c r="I734" s="148"/>
      <c r="J734" s="149"/>
      <c r="K734" s="149"/>
      <c r="L734" s="149"/>
      <c r="M734" s="149"/>
      <c r="N734" s="142"/>
      <c r="O734" s="33"/>
    </row>
    <row r="735" ht="15.75" customHeight="1">
      <c r="A735" s="142"/>
      <c r="B735" s="143"/>
      <c r="C735" s="144"/>
      <c r="D735" s="145"/>
      <c r="E735" s="142"/>
      <c r="F735" s="146"/>
      <c r="G735" s="174"/>
      <c r="H735" s="148"/>
      <c r="I735" s="148"/>
      <c r="J735" s="149"/>
      <c r="K735" s="149"/>
      <c r="L735" s="149"/>
      <c r="M735" s="149"/>
      <c r="N735" s="142"/>
      <c r="O735" s="33"/>
    </row>
    <row r="736" ht="15.75" customHeight="1">
      <c r="A736" s="142"/>
      <c r="B736" s="143"/>
      <c r="C736" s="144"/>
      <c r="D736" s="145"/>
      <c r="E736" s="142"/>
      <c r="F736" s="146"/>
      <c r="G736" s="174"/>
      <c r="H736" s="148"/>
      <c r="I736" s="148"/>
      <c r="J736" s="149"/>
      <c r="K736" s="149"/>
      <c r="L736" s="149"/>
      <c r="M736" s="149"/>
      <c r="N736" s="142"/>
      <c r="O736" s="33"/>
    </row>
    <row r="737" ht="15.75" customHeight="1">
      <c r="A737" s="142"/>
      <c r="B737" s="143"/>
      <c r="C737" s="144"/>
      <c r="D737" s="145"/>
      <c r="E737" s="142"/>
      <c r="F737" s="146"/>
      <c r="G737" s="174"/>
      <c r="H737" s="148"/>
      <c r="I737" s="148"/>
      <c r="J737" s="149"/>
      <c r="K737" s="149"/>
      <c r="L737" s="149"/>
      <c r="M737" s="149"/>
      <c r="N737" s="142"/>
      <c r="O737" s="33"/>
    </row>
    <row r="738" ht="15.75" customHeight="1">
      <c r="A738" s="142"/>
      <c r="B738" s="143"/>
      <c r="C738" s="144"/>
      <c r="D738" s="145"/>
      <c r="E738" s="142"/>
      <c r="F738" s="146"/>
      <c r="G738" s="174"/>
      <c r="H738" s="148"/>
      <c r="I738" s="148"/>
      <c r="J738" s="149"/>
      <c r="K738" s="149"/>
      <c r="L738" s="149"/>
      <c r="M738" s="149"/>
      <c r="N738" s="142"/>
      <c r="O738" s="33"/>
    </row>
    <row r="739" ht="15.75" customHeight="1">
      <c r="A739" s="142"/>
      <c r="B739" s="143"/>
      <c r="C739" s="144"/>
      <c r="D739" s="145"/>
      <c r="E739" s="142"/>
      <c r="F739" s="146"/>
      <c r="G739" s="174"/>
      <c r="H739" s="148"/>
      <c r="I739" s="148"/>
      <c r="J739" s="149"/>
      <c r="K739" s="149"/>
      <c r="L739" s="149"/>
      <c r="M739" s="149"/>
      <c r="N739" s="142"/>
      <c r="O739" s="33"/>
    </row>
    <row r="740" ht="15.75" customHeight="1">
      <c r="A740" s="142"/>
      <c r="B740" s="143"/>
      <c r="C740" s="144"/>
      <c r="D740" s="145"/>
      <c r="E740" s="142"/>
      <c r="F740" s="146"/>
      <c r="G740" s="174"/>
      <c r="H740" s="148"/>
      <c r="I740" s="148"/>
      <c r="J740" s="149"/>
      <c r="K740" s="149"/>
      <c r="L740" s="149"/>
      <c r="M740" s="149"/>
      <c r="N740" s="142"/>
      <c r="O740" s="33"/>
    </row>
    <row r="741" ht="15.75" customHeight="1">
      <c r="A741" s="142"/>
      <c r="B741" s="143"/>
      <c r="C741" s="144"/>
      <c r="D741" s="145"/>
      <c r="E741" s="142"/>
      <c r="F741" s="146"/>
      <c r="G741" s="174"/>
      <c r="H741" s="148"/>
      <c r="I741" s="148"/>
      <c r="J741" s="149"/>
      <c r="K741" s="149"/>
      <c r="L741" s="149"/>
      <c r="M741" s="149"/>
      <c r="N741" s="142"/>
      <c r="O741" s="33"/>
    </row>
    <row r="742" ht="15.75" customHeight="1">
      <c r="A742" s="142"/>
      <c r="B742" s="143"/>
      <c r="C742" s="144"/>
      <c r="D742" s="145"/>
      <c r="E742" s="142"/>
      <c r="F742" s="146"/>
      <c r="G742" s="174"/>
      <c r="H742" s="148"/>
      <c r="I742" s="148"/>
      <c r="J742" s="149"/>
      <c r="K742" s="149"/>
      <c r="L742" s="149"/>
      <c r="M742" s="149"/>
      <c r="N742" s="142"/>
      <c r="O742" s="33"/>
    </row>
    <row r="743" ht="15.75" customHeight="1">
      <c r="A743" s="142"/>
      <c r="B743" s="143"/>
      <c r="C743" s="144"/>
      <c r="D743" s="145"/>
      <c r="E743" s="142"/>
      <c r="F743" s="146"/>
      <c r="G743" s="174"/>
      <c r="H743" s="148"/>
      <c r="I743" s="148"/>
      <c r="J743" s="149"/>
      <c r="K743" s="149"/>
      <c r="L743" s="149"/>
      <c r="M743" s="149"/>
      <c r="N743" s="142"/>
      <c r="O743" s="33"/>
    </row>
    <row r="744" ht="15.75" customHeight="1">
      <c r="A744" s="142"/>
      <c r="B744" s="143"/>
      <c r="C744" s="144"/>
      <c r="D744" s="145"/>
      <c r="E744" s="142"/>
      <c r="F744" s="146"/>
      <c r="G744" s="174"/>
      <c r="H744" s="148"/>
      <c r="I744" s="148"/>
      <c r="J744" s="149"/>
      <c r="K744" s="149"/>
      <c r="L744" s="149"/>
      <c r="M744" s="149"/>
      <c r="N744" s="142"/>
      <c r="O744" s="33"/>
    </row>
    <row r="745" ht="15.75" customHeight="1">
      <c r="A745" s="142"/>
      <c r="B745" s="143"/>
      <c r="C745" s="144"/>
      <c r="D745" s="145"/>
      <c r="E745" s="142"/>
      <c r="F745" s="146"/>
      <c r="G745" s="174"/>
      <c r="H745" s="148"/>
      <c r="I745" s="148"/>
      <c r="J745" s="149"/>
      <c r="K745" s="149"/>
      <c r="L745" s="149"/>
      <c r="M745" s="149"/>
      <c r="N745" s="142"/>
      <c r="O745" s="33"/>
    </row>
    <row r="746" ht="15.75" customHeight="1">
      <c r="A746" s="142"/>
      <c r="B746" s="143"/>
      <c r="C746" s="144"/>
      <c r="D746" s="145"/>
      <c r="E746" s="142"/>
      <c r="F746" s="146"/>
      <c r="G746" s="174"/>
      <c r="H746" s="148"/>
      <c r="I746" s="148"/>
      <c r="J746" s="149"/>
      <c r="K746" s="149"/>
      <c r="L746" s="149"/>
      <c r="M746" s="149"/>
      <c r="N746" s="142"/>
      <c r="O746" s="33"/>
    </row>
    <row r="747" ht="15.75" customHeight="1">
      <c r="A747" s="142"/>
      <c r="B747" s="143"/>
      <c r="C747" s="144"/>
      <c r="D747" s="145"/>
      <c r="E747" s="142"/>
      <c r="F747" s="146"/>
      <c r="G747" s="174"/>
      <c r="H747" s="148"/>
      <c r="I747" s="148"/>
      <c r="J747" s="149"/>
      <c r="K747" s="149"/>
      <c r="L747" s="149"/>
      <c r="M747" s="149"/>
      <c r="N747" s="142"/>
      <c r="O747" s="33"/>
    </row>
    <row r="748" ht="15.75" customHeight="1">
      <c r="A748" s="142"/>
      <c r="B748" s="143"/>
      <c r="C748" s="144"/>
      <c r="D748" s="145"/>
      <c r="E748" s="142"/>
      <c r="F748" s="146"/>
      <c r="G748" s="174"/>
      <c r="H748" s="148"/>
      <c r="I748" s="148"/>
      <c r="J748" s="149"/>
      <c r="K748" s="149"/>
      <c r="L748" s="149"/>
      <c r="M748" s="149"/>
      <c r="N748" s="142"/>
      <c r="O748" s="33"/>
    </row>
    <row r="749" ht="15.75" customHeight="1">
      <c r="A749" s="142"/>
      <c r="B749" s="143"/>
      <c r="C749" s="144"/>
      <c r="D749" s="145"/>
      <c r="E749" s="142"/>
      <c r="F749" s="146"/>
      <c r="G749" s="174"/>
      <c r="H749" s="148"/>
      <c r="I749" s="148"/>
      <c r="J749" s="149"/>
      <c r="K749" s="149"/>
      <c r="L749" s="149"/>
      <c r="M749" s="149"/>
      <c r="N749" s="142"/>
      <c r="O749" s="33"/>
    </row>
    <row r="750" ht="15.75" customHeight="1">
      <c r="A750" s="142"/>
      <c r="B750" s="143"/>
      <c r="C750" s="144"/>
      <c r="D750" s="145"/>
      <c r="E750" s="142"/>
      <c r="F750" s="146"/>
      <c r="G750" s="174"/>
      <c r="H750" s="148"/>
      <c r="I750" s="148"/>
      <c r="J750" s="149"/>
      <c r="K750" s="149"/>
      <c r="L750" s="149"/>
      <c r="M750" s="149"/>
      <c r="N750" s="142"/>
      <c r="O750" s="33"/>
    </row>
    <row r="751" ht="15.75" customHeight="1">
      <c r="A751" s="142"/>
      <c r="B751" s="143"/>
      <c r="C751" s="144"/>
      <c r="D751" s="145"/>
      <c r="E751" s="142"/>
      <c r="F751" s="146"/>
      <c r="G751" s="174"/>
      <c r="H751" s="148"/>
      <c r="I751" s="148"/>
      <c r="J751" s="149"/>
      <c r="K751" s="149"/>
      <c r="L751" s="149"/>
      <c r="M751" s="149"/>
      <c r="N751" s="142"/>
      <c r="O751" s="33"/>
    </row>
    <row r="752" ht="15.75" customHeight="1">
      <c r="A752" s="142"/>
      <c r="B752" s="143"/>
      <c r="C752" s="144"/>
      <c r="D752" s="145"/>
      <c r="E752" s="142"/>
      <c r="F752" s="146"/>
      <c r="G752" s="174"/>
      <c r="H752" s="148"/>
      <c r="I752" s="148"/>
      <c r="J752" s="149"/>
      <c r="K752" s="149"/>
      <c r="L752" s="149"/>
      <c r="M752" s="149"/>
      <c r="N752" s="142"/>
      <c r="O752" s="33"/>
    </row>
    <row r="753" ht="15.75" customHeight="1">
      <c r="A753" s="142"/>
      <c r="B753" s="143"/>
      <c r="C753" s="144"/>
      <c r="D753" s="145"/>
      <c r="E753" s="142"/>
      <c r="F753" s="146"/>
      <c r="G753" s="174"/>
      <c r="H753" s="148"/>
      <c r="I753" s="148"/>
      <c r="J753" s="149"/>
      <c r="K753" s="149"/>
      <c r="L753" s="149"/>
      <c r="M753" s="149"/>
      <c r="N753" s="142"/>
      <c r="O753" s="33"/>
    </row>
    <row r="754" ht="15.75" customHeight="1">
      <c r="A754" s="142"/>
      <c r="B754" s="143"/>
      <c r="C754" s="144"/>
      <c r="D754" s="145"/>
      <c r="E754" s="142"/>
      <c r="F754" s="146"/>
      <c r="G754" s="174"/>
      <c r="H754" s="148"/>
      <c r="I754" s="148"/>
      <c r="J754" s="149"/>
      <c r="K754" s="149"/>
      <c r="L754" s="149"/>
      <c r="M754" s="149"/>
      <c r="N754" s="142"/>
      <c r="O754" s="33"/>
    </row>
    <row r="755" ht="15.75" customHeight="1">
      <c r="A755" s="142"/>
      <c r="B755" s="143"/>
      <c r="C755" s="144"/>
      <c r="D755" s="145"/>
      <c r="E755" s="142"/>
      <c r="F755" s="146"/>
      <c r="G755" s="174"/>
      <c r="H755" s="148"/>
      <c r="I755" s="148"/>
      <c r="J755" s="149"/>
      <c r="K755" s="149"/>
      <c r="L755" s="149"/>
      <c r="M755" s="149"/>
      <c r="N755" s="142"/>
      <c r="O755" s="33"/>
    </row>
    <row r="756" ht="15.75" customHeight="1">
      <c r="A756" s="142"/>
      <c r="B756" s="143"/>
      <c r="C756" s="144"/>
      <c r="D756" s="145"/>
      <c r="E756" s="142"/>
      <c r="F756" s="146"/>
      <c r="G756" s="174"/>
      <c r="H756" s="148"/>
      <c r="I756" s="148"/>
      <c r="J756" s="149"/>
      <c r="K756" s="149"/>
      <c r="L756" s="149"/>
      <c r="M756" s="149"/>
      <c r="N756" s="142"/>
      <c r="O756" s="33"/>
    </row>
    <row r="757" ht="15.75" customHeight="1">
      <c r="A757" s="142"/>
      <c r="B757" s="143"/>
      <c r="C757" s="144"/>
      <c r="D757" s="145"/>
      <c r="E757" s="142"/>
      <c r="F757" s="146"/>
      <c r="G757" s="174"/>
      <c r="H757" s="148"/>
      <c r="I757" s="148"/>
      <c r="J757" s="149"/>
      <c r="K757" s="149"/>
      <c r="L757" s="149"/>
      <c r="M757" s="149"/>
      <c r="N757" s="142"/>
      <c r="O757" s="33"/>
    </row>
    <row r="758" ht="15.75" customHeight="1">
      <c r="A758" s="142"/>
      <c r="B758" s="143"/>
      <c r="C758" s="144"/>
      <c r="D758" s="145"/>
      <c r="E758" s="142"/>
      <c r="F758" s="146"/>
      <c r="G758" s="174"/>
      <c r="H758" s="148"/>
      <c r="I758" s="148"/>
      <c r="J758" s="149"/>
      <c r="K758" s="149"/>
      <c r="L758" s="149"/>
      <c r="M758" s="149"/>
      <c r="N758" s="142"/>
      <c r="O758" s="33"/>
    </row>
    <row r="759" ht="15.75" customHeight="1">
      <c r="A759" s="142"/>
      <c r="B759" s="143"/>
      <c r="C759" s="144"/>
      <c r="D759" s="145"/>
      <c r="E759" s="142"/>
      <c r="F759" s="146"/>
      <c r="G759" s="174"/>
      <c r="H759" s="148"/>
      <c r="I759" s="148"/>
      <c r="J759" s="149"/>
      <c r="K759" s="149"/>
      <c r="L759" s="149"/>
      <c r="M759" s="149"/>
      <c r="N759" s="142"/>
      <c r="O759" s="33"/>
    </row>
    <row r="760" ht="15.75" customHeight="1">
      <c r="A760" s="142"/>
      <c r="B760" s="143"/>
      <c r="C760" s="144"/>
      <c r="D760" s="145"/>
      <c r="E760" s="142"/>
      <c r="F760" s="146"/>
      <c r="G760" s="174"/>
      <c r="H760" s="148"/>
      <c r="I760" s="148"/>
      <c r="J760" s="149"/>
      <c r="K760" s="149"/>
      <c r="L760" s="149"/>
      <c r="M760" s="149"/>
      <c r="N760" s="142"/>
      <c r="O760" s="33"/>
    </row>
    <row r="761" ht="15.75" customHeight="1">
      <c r="A761" s="142"/>
      <c r="B761" s="143"/>
      <c r="C761" s="144"/>
      <c r="D761" s="145"/>
      <c r="E761" s="142"/>
      <c r="F761" s="146"/>
      <c r="G761" s="174"/>
      <c r="H761" s="148"/>
      <c r="I761" s="148"/>
      <c r="J761" s="149"/>
      <c r="K761" s="149"/>
      <c r="L761" s="149"/>
      <c r="M761" s="149"/>
      <c r="N761" s="142"/>
      <c r="O761" s="33"/>
    </row>
    <row r="762" ht="15.75" customHeight="1">
      <c r="A762" s="142"/>
      <c r="B762" s="143"/>
      <c r="C762" s="144"/>
      <c r="D762" s="145"/>
      <c r="E762" s="142"/>
      <c r="F762" s="146"/>
      <c r="G762" s="174"/>
      <c r="H762" s="148"/>
      <c r="I762" s="148"/>
      <c r="J762" s="149"/>
      <c r="K762" s="149"/>
      <c r="L762" s="149"/>
      <c r="M762" s="149"/>
      <c r="N762" s="142"/>
      <c r="O762" s="33"/>
    </row>
    <row r="763" ht="15.75" customHeight="1">
      <c r="A763" s="142"/>
      <c r="B763" s="143"/>
      <c r="C763" s="144"/>
      <c r="D763" s="145"/>
      <c r="E763" s="142"/>
      <c r="F763" s="146"/>
      <c r="G763" s="174"/>
      <c r="H763" s="148"/>
      <c r="I763" s="148"/>
      <c r="J763" s="149"/>
      <c r="K763" s="149"/>
      <c r="L763" s="149"/>
      <c r="M763" s="149"/>
      <c r="N763" s="142"/>
      <c r="O763" s="33"/>
    </row>
    <row r="764" ht="15.75" customHeight="1">
      <c r="A764" s="142"/>
      <c r="B764" s="143"/>
      <c r="C764" s="144"/>
      <c r="D764" s="145"/>
      <c r="E764" s="142"/>
      <c r="F764" s="146"/>
      <c r="G764" s="174"/>
      <c r="H764" s="148"/>
      <c r="I764" s="148"/>
      <c r="J764" s="149"/>
      <c r="K764" s="149"/>
      <c r="L764" s="149"/>
      <c r="M764" s="149"/>
      <c r="N764" s="142"/>
      <c r="O764" s="33"/>
    </row>
    <row r="765" ht="15.75" customHeight="1">
      <c r="A765" s="142"/>
      <c r="B765" s="143"/>
      <c r="C765" s="144"/>
      <c r="D765" s="145"/>
      <c r="E765" s="142"/>
      <c r="F765" s="146"/>
      <c r="G765" s="174"/>
      <c r="H765" s="148"/>
      <c r="I765" s="148"/>
      <c r="J765" s="149"/>
      <c r="K765" s="149"/>
      <c r="L765" s="149"/>
      <c r="M765" s="149"/>
      <c r="N765" s="142"/>
      <c r="O765" s="33"/>
    </row>
    <row r="766" ht="15.75" customHeight="1">
      <c r="A766" s="142"/>
      <c r="B766" s="143"/>
      <c r="C766" s="144"/>
      <c r="D766" s="145"/>
      <c r="E766" s="142"/>
      <c r="F766" s="146"/>
      <c r="G766" s="174"/>
      <c r="H766" s="148"/>
      <c r="I766" s="148"/>
      <c r="J766" s="149"/>
      <c r="K766" s="149"/>
      <c r="L766" s="149"/>
      <c r="M766" s="149"/>
      <c r="N766" s="142"/>
      <c r="O766" s="33"/>
    </row>
    <row r="767" ht="15.75" customHeight="1">
      <c r="A767" s="142"/>
      <c r="B767" s="143"/>
      <c r="C767" s="144"/>
      <c r="D767" s="145"/>
      <c r="E767" s="142"/>
      <c r="F767" s="146"/>
      <c r="G767" s="174"/>
      <c r="H767" s="148"/>
      <c r="I767" s="148"/>
      <c r="J767" s="149"/>
      <c r="K767" s="149"/>
      <c r="L767" s="149"/>
      <c r="M767" s="149"/>
      <c r="N767" s="142"/>
      <c r="O767" s="33"/>
    </row>
    <row r="768" ht="15.75" customHeight="1">
      <c r="A768" s="142"/>
      <c r="B768" s="143"/>
      <c r="C768" s="144"/>
      <c r="D768" s="145"/>
      <c r="E768" s="142"/>
      <c r="F768" s="146"/>
      <c r="G768" s="174"/>
      <c r="H768" s="148"/>
      <c r="I768" s="148"/>
      <c r="J768" s="149"/>
      <c r="K768" s="149"/>
      <c r="L768" s="149"/>
      <c r="M768" s="149"/>
      <c r="N768" s="142"/>
      <c r="O768" s="33"/>
    </row>
    <row r="769" ht="15.75" customHeight="1">
      <c r="A769" s="142"/>
      <c r="B769" s="143"/>
      <c r="C769" s="144"/>
      <c r="D769" s="145"/>
      <c r="E769" s="142"/>
      <c r="F769" s="146"/>
      <c r="G769" s="174"/>
      <c r="H769" s="148"/>
      <c r="I769" s="148"/>
      <c r="J769" s="149"/>
      <c r="K769" s="149"/>
      <c r="L769" s="149"/>
      <c r="M769" s="149"/>
      <c r="N769" s="142"/>
      <c r="O769" s="33"/>
    </row>
    <row r="770" ht="15.75" customHeight="1">
      <c r="A770" s="142"/>
      <c r="B770" s="143"/>
      <c r="C770" s="144"/>
      <c r="D770" s="145"/>
      <c r="E770" s="142"/>
      <c r="F770" s="146"/>
      <c r="G770" s="174"/>
      <c r="H770" s="148"/>
      <c r="I770" s="148"/>
      <c r="J770" s="149"/>
      <c r="K770" s="149"/>
      <c r="L770" s="149"/>
      <c r="M770" s="149"/>
      <c r="N770" s="142"/>
      <c r="O770" s="33"/>
    </row>
    <row r="771" ht="15.75" customHeight="1">
      <c r="A771" s="142"/>
      <c r="B771" s="143"/>
      <c r="C771" s="144"/>
      <c r="D771" s="145"/>
      <c r="E771" s="142"/>
      <c r="F771" s="146"/>
      <c r="G771" s="174"/>
      <c r="H771" s="148"/>
      <c r="I771" s="148"/>
      <c r="J771" s="149"/>
      <c r="K771" s="149"/>
      <c r="L771" s="149"/>
      <c r="M771" s="149"/>
      <c r="N771" s="142"/>
      <c r="O771" s="33"/>
    </row>
    <row r="772" ht="15.75" customHeight="1">
      <c r="A772" s="142"/>
      <c r="B772" s="143"/>
      <c r="C772" s="144"/>
      <c r="D772" s="145"/>
      <c r="E772" s="142"/>
      <c r="F772" s="146"/>
      <c r="G772" s="174"/>
      <c r="H772" s="148"/>
      <c r="I772" s="148"/>
      <c r="J772" s="149"/>
      <c r="K772" s="149"/>
      <c r="L772" s="149"/>
      <c r="M772" s="149"/>
      <c r="N772" s="142"/>
      <c r="O772" s="33"/>
    </row>
    <row r="773" ht="15.75" customHeight="1">
      <c r="A773" s="142"/>
      <c r="B773" s="143"/>
      <c r="C773" s="144"/>
      <c r="D773" s="145"/>
      <c r="E773" s="142"/>
      <c r="F773" s="146"/>
      <c r="G773" s="174"/>
      <c r="H773" s="148"/>
      <c r="I773" s="148"/>
      <c r="J773" s="149"/>
      <c r="K773" s="149"/>
      <c r="L773" s="149"/>
      <c r="M773" s="149"/>
      <c r="N773" s="142"/>
      <c r="O773" s="33"/>
    </row>
    <row r="774" ht="15.75" customHeight="1">
      <c r="A774" s="142"/>
      <c r="B774" s="143"/>
      <c r="C774" s="144"/>
      <c r="D774" s="145"/>
      <c r="E774" s="142"/>
      <c r="F774" s="146"/>
      <c r="G774" s="174"/>
      <c r="H774" s="148"/>
      <c r="I774" s="148"/>
      <c r="J774" s="149"/>
      <c r="K774" s="149"/>
      <c r="L774" s="149"/>
      <c r="M774" s="149"/>
      <c r="N774" s="142"/>
      <c r="O774" s="33"/>
    </row>
    <row r="775" ht="15.75" customHeight="1">
      <c r="A775" s="142"/>
      <c r="B775" s="143"/>
      <c r="C775" s="144"/>
      <c r="D775" s="145"/>
      <c r="E775" s="142"/>
      <c r="F775" s="146"/>
      <c r="G775" s="174"/>
      <c r="H775" s="148"/>
      <c r="I775" s="148"/>
      <c r="J775" s="149"/>
      <c r="K775" s="149"/>
      <c r="L775" s="149"/>
      <c r="M775" s="149"/>
      <c r="N775" s="142"/>
      <c r="O775" s="33"/>
    </row>
    <row r="776" ht="15.75" customHeight="1">
      <c r="A776" s="142"/>
      <c r="B776" s="143"/>
      <c r="C776" s="144"/>
      <c r="D776" s="145"/>
      <c r="E776" s="142"/>
      <c r="F776" s="146"/>
      <c r="G776" s="174"/>
      <c r="H776" s="148"/>
      <c r="I776" s="148"/>
      <c r="J776" s="149"/>
      <c r="K776" s="149"/>
      <c r="L776" s="149"/>
      <c r="M776" s="149"/>
      <c r="N776" s="142"/>
      <c r="O776" s="33"/>
    </row>
    <row r="777" ht="15.75" customHeight="1">
      <c r="A777" s="142"/>
      <c r="B777" s="143"/>
      <c r="C777" s="144"/>
      <c r="D777" s="145"/>
      <c r="E777" s="142"/>
      <c r="F777" s="146"/>
      <c r="G777" s="174"/>
      <c r="H777" s="148"/>
      <c r="I777" s="148"/>
      <c r="J777" s="149"/>
      <c r="K777" s="149"/>
      <c r="L777" s="149"/>
      <c r="M777" s="149"/>
      <c r="N777" s="142"/>
      <c r="O777" s="33"/>
    </row>
    <row r="778" ht="15.75" customHeight="1">
      <c r="A778" s="142"/>
      <c r="B778" s="143"/>
      <c r="C778" s="144"/>
      <c r="D778" s="145"/>
      <c r="E778" s="142"/>
      <c r="F778" s="146"/>
      <c r="G778" s="174"/>
      <c r="H778" s="148"/>
      <c r="I778" s="148"/>
      <c r="J778" s="149"/>
      <c r="K778" s="149"/>
      <c r="L778" s="149"/>
      <c r="M778" s="149"/>
      <c r="N778" s="142"/>
      <c r="O778" s="33"/>
    </row>
    <row r="779" ht="15.75" customHeight="1">
      <c r="A779" s="142"/>
      <c r="B779" s="143"/>
      <c r="C779" s="144"/>
      <c r="D779" s="145"/>
      <c r="E779" s="142"/>
      <c r="F779" s="146"/>
      <c r="G779" s="174"/>
      <c r="H779" s="148"/>
      <c r="I779" s="148"/>
      <c r="J779" s="149"/>
      <c r="K779" s="149"/>
      <c r="L779" s="149"/>
      <c r="M779" s="149"/>
      <c r="N779" s="142"/>
      <c r="O779" s="33"/>
    </row>
    <row r="780" ht="15.75" customHeight="1">
      <c r="A780" s="142"/>
      <c r="B780" s="143"/>
      <c r="C780" s="144"/>
      <c r="D780" s="145"/>
      <c r="E780" s="142"/>
      <c r="F780" s="146"/>
      <c r="G780" s="174"/>
      <c r="H780" s="148"/>
      <c r="I780" s="148"/>
      <c r="J780" s="149"/>
      <c r="K780" s="149"/>
      <c r="L780" s="149"/>
      <c r="M780" s="149"/>
      <c r="N780" s="142"/>
      <c r="O780" s="33"/>
    </row>
    <row r="781" ht="15.75" customHeight="1">
      <c r="A781" s="142"/>
      <c r="B781" s="143"/>
      <c r="C781" s="144"/>
      <c r="D781" s="145"/>
      <c r="E781" s="142"/>
      <c r="F781" s="146"/>
      <c r="G781" s="174"/>
      <c r="H781" s="148"/>
      <c r="I781" s="148"/>
      <c r="J781" s="149"/>
      <c r="K781" s="149"/>
      <c r="L781" s="149"/>
      <c r="M781" s="149"/>
      <c r="N781" s="142"/>
      <c r="O781" s="33"/>
    </row>
    <row r="782" ht="15.75" customHeight="1">
      <c r="A782" s="142"/>
      <c r="B782" s="143"/>
      <c r="C782" s="144"/>
      <c r="D782" s="145"/>
      <c r="E782" s="142"/>
      <c r="F782" s="146"/>
      <c r="G782" s="174"/>
      <c r="H782" s="148"/>
      <c r="I782" s="148"/>
      <c r="J782" s="149"/>
      <c r="K782" s="149"/>
      <c r="L782" s="149"/>
      <c r="M782" s="149"/>
      <c r="N782" s="142"/>
      <c r="O782" s="33"/>
    </row>
    <row r="783" ht="15.75" customHeight="1">
      <c r="A783" s="142"/>
      <c r="B783" s="143"/>
      <c r="C783" s="144"/>
      <c r="D783" s="145"/>
      <c r="E783" s="142"/>
      <c r="F783" s="146"/>
      <c r="G783" s="174"/>
      <c r="H783" s="148"/>
      <c r="I783" s="148"/>
      <c r="J783" s="149"/>
      <c r="K783" s="149"/>
      <c r="L783" s="149"/>
      <c r="M783" s="149"/>
      <c r="N783" s="142"/>
      <c r="O783" s="33"/>
    </row>
    <row r="784" ht="15.75" customHeight="1">
      <c r="A784" s="142"/>
      <c r="B784" s="143"/>
      <c r="C784" s="144"/>
      <c r="D784" s="145"/>
      <c r="E784" s="142"/>
      <c r="F784" s="146"/>
      <c r="G784" s="174"/>
      <c r="H784" s="148"/>
      <c r="I784" s="148"/>
      <c r="J784" s="149"/>
      <c r="K784" s="149"/>
      <c r="L784" s="149"/>
      <c r="M784" s="149"/>
      <c r="N784" s="142"/>
      <c r="O784" s="33"/>
    </row>
    <row r="785" ht="15.75" customHeight="1">
      <c r="A785" s="142"/>
      <c r="B785" s="143"/>
      <c r="C785" s="144"/>
      <c r="D785" s="145"/>
      <c r="E785" s="142"/>
      <c r="F785" s="146"/>
      <c r="G785" s="174"/>
      <c r="H785" s="148"/>
      <c r="I785" s="148"/>
      <c r="J785" s="149"/>
      <c r="K785" s="149"/>
      <c r="L785" s="149"/>
      <c r="M785" s="149"/>
      <c r="N785" s="142"/>
      <c r="O785" s="33"/>
    </row>
    <row r="786" ht="15.75" customHeight="1">
      <c r="A786" s="142"/>
      <c r="B786" s="143"/>
      <c r="C786" s="144"/>
      <c r="D786" s="145"/>
      <c r="E786" s="142"/>
      <c r="F786" s="146"/>
      <c r="G786" s="174"/>
      <c r="H786" s="148"/>
      <c r="I786" s="148"/>
      <c r="J786" s="149"/>
      <c r="K786" s="149"/>
      <c r="L786" s="149"/>
      <c r="M786" s="149"/>
      <c r="N786" s="142"/>
      <c r="O786" s="33"/>
    </row>
    <row r="787" ht="15.75" customHeight="1">
      <c r="A787" s="142"/>
      <c r="B787" s="143"/>
      <c r="C787" s="144"/>
      <c r="D787" s="145"/>
      <c r="E787" s="142"/>
      <c r="F787" s="146"/>
      <c r="G787" s="174"/>
      <c r="H787" s="148"/>
      <c r="I787" s="148"/>
      <c r="J787" s="149"/>
      <c r="K787" s="149"/>
      <c r="L787" s="149"/>
      <c r="M787" s="149"/>
      <c r="N787" s="142"/>
      <c r="O787" s="33"/>
    </row>
    <row r="788" ht="15.75" customHeight="1">
      <c r="A788" s="142"/>
      <c r="B788" s="143"/>
      <c r="C788" s="144"/>
      <c r="D788" s="145"/>
      <c r="E788" s="142"/>
      <c r="F788" s="146"/>
      <c r="G788" s="174"/>
      <c r="H788" s="148"/>
      <c r="I788" s="148"/>
      <c r="J788" s="149"/>
      <c r="K788" s="149"/>
      <c r="L788" s="149"/>
      <c r="M788" s="149"/>
      <c r="N788" s="142"/>
      <c r="O788" s="33"/>
    </row>
    <row r="789" ht="15.75" customHeight="1">
      <c r="A789" s="142"/>
      <c r="B789" s="143"/>
      <c r="C789" s="144"/>
      <c r="D789" s="145"/>
      <c r="E789" s="142"/>
      <c r="F789" s="146"/>
      <c r="G789" s="174"/>
      <c r="H789" s="148"/>
      <c r="I789" s="148"/>
      <c r="J789" s="149"/>
      <c r="K789" s="149"/>
      <c r="L789" s="149"/>
      <c r="M789" s="149"/>
      <c r="N789" s="142"/>
      <c r="O789" s="33"/>
    </row>
    <row r="790" ht="15.75" customHeight="1">
      <c r="A790" s="142"/>
      <c r="B790" s="143"/>
      <c r="C790" s="144"/>
      <c r="D790" s="145"/>
      <c r="E790" s="142"/>
      <c r="F790" s="146"/>
      <c r="G790" s="174"/>
      <c r="H790" s="148"/>
      <c r="I790" s="148"/>
      <c r="J790" s="149"/>
      <c r="K790" s="149"/>
      <c r="L790" s="149"/>
      <c r="M790" s="149"/>
      <c r="N790" s="142"/>
      <c r="O790" s="33"/>
    </row>
    <row r="791" ht="15.75" customHeight="1">
      <c r="A791" s="142"/>
      <c r="B791" s="143"/>
      <c r="C791" s="144"/>
      <c r="D791" s="145"/>
      <c r="E791" s="142"/>
      <c r="F791" s="146"/>
      <c r="G791" s="174"/>
      <c r="H791" s="148"/>
      <c r="I791" s="148"/>
      <c r="J791" s="149"/>
      <c r="K791" s="149"/>
      <c r="L791" s="149"/>
      <c r="M791" s="149"/>
      <c r="N791" s="142"/>
      <c r="O791" s="33"/>
    </row>
    <row r="792" ht="15.75" customHeight="1">
      <c r="A792" s="142"/>
      <c r="B792" s="143"/>
      <c r="C792" s="144"/>
      <c r="D792" s="145"/>
      <c r="E792" s="142"/>
      <c r="F792" s="146"/>
      <c r="G792" s="174"/>
      <c r="H792" s="148"/>
      <c r="I792" s="148"/>
      <c r="J792" s="149"/>
      <c r="K792" s="149"/>
      <c r="L792" s="149"/>
      <c r="M792" s="149"/>
      <c r="N792" s="142"/>
      <c r="O792" s="33"/>
    </row>
    <row r="793" ht="15.75" customHeight="1">
      <c r="A793" s="142"/>
      <c r="B793" s="143"/>
      <c r="C793" s="144"/>
      <c r="D793" s="145"/>
      <c r="E793" s="142"/>
      <c r="F793" s="146"/>
      <c r="G793" s="174"/>
      <c r="H793" s="148"/>
      <c r="I793" s="148"/>
      <c r="J793" s="149"/>
      <c r="K793" s="149"/>
      <c r="L793" s="149"/>
      <c r="M793" s="149"/>
      <c r="N793" s="142"/>
      <c r="O793" s="33"/>
    </row>
    <row r="794" ht="15.75" customHeight="1">
      <c r="A794" s="142"/>
      <c r="B794" s="143"/>
      <c r="C794" s="144"/>
      <c r="D794" s="145"/>
      <c r="E794" s="142"/>
      <c r="F794" s="146"/>
      <c r="G794" s="174"/>
      <c r="H794" s="148"/>
      <c r="I794" s="148"/>
      <c r="J794" s="149"/>
      <c r="K794" s="149"/>
      <c r="L794" s="149"/>
      <c r="M794" s="149"/>
      <c r="N794" s="142"/>
      <c r="O794" s="33"/>
    </row>
    <row r="795" ht="15.75" customHeight="1">
      <c r="A795" s="142"/>
      <c r="B795" s="143"/>
      <c r="C795" s="144"/>
      <c r="D795" s="145"/>
      <c r="E795" s="142"/>
      <c r="F795" s="146"/>
      <c r="G795" s="174"/>
      <c r="H795" s="148"/>
      <c r="I795" s="148"/>
      <c r="J795" s="149"/>
      <c r="K795" s="149"/>
      <c r="L795" s="149"/>
      <c r="M795" s="149"/>
      <c r="N795" s="142"/>
      <c r="O795" s="33"/>
    </row>
    <row r="796" ht="15.75" customHeight="1">
      <c r="A796" s="142"/>
      <c r="B796" s="143"/>
      <c r="C796" s="144"/>
      <c r="D796" s="145"/>
      <c r="E796" s="142"/>
      <c r="F796" s="146"/>
      <c r="G796" s="174"/>
      <c r="H796" s="148"/>
      <c r="I796" s="148"/>
      <c r="J796" s="149"/>
      <c r="K796" s="149"/>
      <c r="L796" s="149"/>
      <c r="M796" s="149"/>
      <c r="N796" s="142"/>
      <c r="O796" s="33"/>
    </row>
    <row r="797" ht="15.75" customHeight="1">
      <c r="A797" s="142"/>
      <c r="B797" s="143"/>
      <c r="C797" s="144"/>
      <c r="D797" s="145"/>
      <c r="E797" s="142"/>
      <c r="F797" s="146"/>
      <c r="G797" s="174"/>
      <c r="H797" s="148"/>
      <c r="I797" s="148"/>
      <c r="J797" s="149"/>
      <c r="K797" s="149"/>
      <c r="L797" s="149"/>
      <c r="M797" s="149"/>
      <c r="N797" s="142"/>
      <c r="O797" s="33"/>
    </row>
    <row r="798" ht="15.75" customHeight="1">
      <c r="A798" s="142"/>
      <c r="B798" s="143"/>
      <c r="C798" s="144"/>
      <c r="D798" s="145"/>
      <c r="E798" s="142"/>
      <c r="F798" s="146"/>
      <c r="G798" s="174"/>
      <c r="H798" s="148"/>
      <c r="I798" s="148"/>
      <c r="J798" s="149"/>
      <c r="K798" s="149"/>
      <c r="L798" s="149"/>
      <c r="M798" s="149"/>
      <c r="N798" s="142"/>
      <c r="O798" s="33"/>
    </row>
    <row r="799" ht="15.75" customHeight="1">
      <c r="A799" s="142"/>
      <c r="B799" s="143"/>
      <c r="C799" s="144"/>
      <c r="D799" s="145"/>
      <c r="E799" s="142"/>
      <c r="F799" s="146"/>
      <c r="G799" s="174"/>
      <c r="H799" s="148"/>
      <c r="I799" s="148"/>
      <c r="J799" s="149"/>
      <c r="K799" s="149"/>
      <c r="L799" s="149"/>
      <c r="M799" s="149"/>
      <c r="N799" s="142"/>
      <c r="O799" s="33"/>
    </row>
    <row r="800" ht="15.75" customHeight="1">
      <c r="A800" s="142"/>
      <c r="B800" s="143"/>
      <c r="C800" s="144"/>
      <c r="D800" s="145"/>
      <c r="E800" s="142"/>
      <c r="F800" s="146"/>
      <c r="G800" s="174"/>
      <c r="H800" s="148"/>
      <c r="I800" s="148"/>
      <c r="J800" s="149"/>
      <c r="K800" s="149"/>
      <c r="L800" s="149"/>
      <c r="M800" s="149"/>
      <c r="N800" s="142"/>
      <c r="O800" s="33"/>
    </row>
    <row r="801" ht="15.75" customHeight="1">
      <c r="A801" s="142"/>
      <c r="B801" s="143"/>
      <c r="C801" s="144"/>
      <c r="D801" s="145"/>
      <c r="E801" s="142"/>
      <c r="F801" s="146"/>
      <c r="G801" s="174"/>
      <c r="H801" s="148"/>
      <c r="I801" s="148"/>
      <c r="J801" s="149"/>
      <c r="K801" s="149"/>
      <c r="L801" s="149"/>
      <c r="M801" s="149"/>
      <c r="N801" s="142"/>
      <c r="O801" s="33"/>
    </row>
    <row r="802" ht="15.75" customHeight="1">
      <c r="A802" s="142"/>
      <c r="B802" s="143"/>
      <c r="C802" s="144"/>
      <c r="D802" s="145"/>
      <c r="E802" s="142"/>
      <c r="F802" s="146"/>
      <c r="G802" s="174"/>
      <c r="H802" s="148"/>
      <c r="I802" s="148"/>
      <c r="J802" s="149"/>
      <c r="K802" s="149"/>
      <c r="L802" s="149"/>
      <c r="M802" s="149"/>
      <c r="N802" s="142"/>
      <c r="O802" s="33"/>
    </row>
    <row r="803" ht="15.75" customHeight="1">
      <c r="A803" s="142"/>
      <c r="B803" s="143"/>
      <c r="C803" s="144"/>
      <c r="D803" s="145"/>
      <c r="E803" s="142"/>
      <c r="F803" s="146"/>
      <c r="G803" s="174"/>
      <c r="H803" s="148"/>
      <c r="I803" s="148"/>
      <c r="J803" s="149"/>
      <c r="K803" s="149"/>
      <c r="L803" s="149"/>
      <c r="M803" s="149"/>
      <c r="N803" s="142"/>
      <c r="O803" s="33"/>
    </row>
    <row r="804" ht="15.75" customHeight="1">
      <c r="A804" s="142"/>
      <c r="B804" s="143"/>
      <c r="C804" s="144"/>
      <c r="D804" s="145"/>
      <c r="E804" s="142"/>
      <c r="F804" s="146"/>
      <c r="G804" s="174"/>
      <c r="H804" s="148"/>
      <c r="I804" s="148"/>
      <c r="J804" s="149"/>
      <c r="K804" s="149"/>
      <c r="L804" s="149"/>
      <c r="M804" s="149"/>
      <c r="N804" s="142"/>
      <c r="O804" s="33"/>
    </row>
    <row r="805" ht="15.75" customHeight="1">
      <c r="A805" s="142"/>
      <c r="B805" s="143"/>
      <c r="C805" s="144"/>
      <c r="D805" s="145"/>
      <c r="E805" s="142"/>
      <c r="F805" s="146"/>
      <c r="G805" s="174"/>
      <c r="H805" s="148"/>
      <c r="I805" s="148"/>
      <c r="J805" s="149"/>
      <c r="K805" s="149"/>
      <c r="L805" s="149"/>
      <c r="M805" s="149"/>
      <c r="N805" s="142"/>
      <c r="O805" s="33"/>
    </row>
    <row r="806" ht="15.75" customHeight="1">
      <c r="A806" s="142"/>
      <c r="B806" s="143"/>
      <c r="C806" s="144"/>
      <c r="D806" s="145"/>
      <c r="E806" s="142"/>
      <c r="F806" s="146"/>
      <c r="G806" s="174"/>
      <c r="H806" s="148"/>
      <c r="I806" s="148"/>
      <c r="J806" s="149"/>
      <c r="K806" s="149"/>
      <c r="L806" s="149"/>
      <c r="M806" s="149"/>
      <c r="N806" s="142"/>
      <c r="O806" s="33"/>
    </row>
    <row r="807" ht="15.75" customHeight="1">
      <c r="A807" s="142"/>
      <c r="B807" s="143"/>
      <c r="C807" s="144"/>
      <c r="D807" s="145"/>
      <c r="E807" s="142"/>
      <c r="F807" s="146"/>
      <c r="G807" s="174"/>
      <c r="H807" s="148"/>
      <c r="I807" s="148"/>
      <c r="J807" s="149"/>
      <c r="K807" s="149"/>
      <c r="L807" s="149"/>
      <c r="M807" s="149"/>
      <c r="N807" s="142"/>
      <c r="O807" s="33"/>
    </row>
    <row r="808" ht="15.75" customHeight="1">
      <c r="A808" s="142"/>
      <c r="B808" s="143"/>
      <c r="C808" s="144"/>
      <c r="D808" s="145"/>
      <c r="E808" s="142"/>
      <c r="F808" s="146"/>
      <c r="G808" s="174"/>
      <c r="H808" s="148"/>
      <c r="I808" s="148"/>
      <c r="J808" s="149"/>
      <c r="K808" s="149"/>
      <c r="L808" s="149"/>
      <c r="M808" s="149"/>
      <c r="N808" s="142"/>
      <c r="O808" s="33"/>
    </row>
    <row r="809" ht="15.75" customHeight="1">
      <c r="A809" s="142"/>
      <c r="B809" s="143"/>
      <c r="C809" s="144"/>
      <c r="D809" s="145"/>
      <c r="E809" s="142"/>
      <c r="F809" s="146"/>
      <c r="G809" s="174"/>
      <c r="H809" s="148"/>
      <c r="I809" s="148"/>
      <c r="J809" s="149"/>
      <c r="K809" s="149"/>
      <c r="L809" s="149"/>
      <c r="M809" s="149"/>
      <c r="N809" s="142"/>
      <c r="O809" s="33"/>
    </row>
    <row r="810" ht="15.75" customHeight="1">
      <c r="A810" s="142"/>
      <c r="B810" s="143"/>
      <c r="C810" s="144"/>
      <c r="D810" s="145"/>
      <c r="E810" s="142"/>
      <c r="F810" s="146"/>
      <c r="G810" s="174"/>
      <c r="H810" s="148"/>
      <c r="I810" s="148"/>
      <c r="J810" s="149"/>
      <c r="K810" s="149"/>
      <c r="L810" s="149"/>
      <c r="M810" s="149"/>
      <c r="N810" s="142"/>
      <c r="O810" s="33"/>
    </row>
    <row r="811" ht="15.75" customHeight="1">
      <c r="A811" s="142"/>
      <c r="B811" s="143"/>
      <c r="C811" s="144"/>
      <c r="D811" s="145"/>
      <c r="E811" s="142"/>
      <c r="F811" s="146"/>
      <c r="G811" s="174"/>
      <c r="H811" s="148"/>
      <c r="I811" s="148"/>
      <c r="J811" s="149"/>
      <c r="K811" s="149"/>
      <c r="L811" s="149"/>
      <c r="M811" s="149"/>
      <c r="N811" s="142"/>
      <c r="O811" s="33"/>
    </row>
    <row r="812" ht="15.75" customHeight="1">
      <c r="A812" s="142"/>
      <c r="B812" s="143"/>
      <c r="C812" s="144"/>
      <c r="D812" s="145"/>
      <c r="E812" s="142"/>
      <c r="F812" s="146"/>
      <c r="G812" s="174"/>
      <c r="H812" s="148"/>
      <c r="I812" s="148"/>
      <c r="J812" s="149"/>
      <c r="K812" s="149"/>
      <c r="L812" s="149"/>
      <c r="M812" s="149"/>
      <c r="N812" s="142"/>
      <c r="O812" s="33"/>
    </row>
    <row r="813" ht="15.75" customHeight="1">
      <c r="A813" s="142"/>
      <c r="B813" s="143"/>
      <c r="C813" s="144"/>
      <c r="D813" s="145"/>
      <c r="E813" s="142"/>
      <c r="F813" s="146"/>
      <c r="G813" s="174"/>
      <c r="H813" s="148"/>
      <c r="I813" s="148"/>
      <c r="J813" s="149"/>
      <c r="K813" s="149"/>
      <c r="L813" s="149"/>
      <c r="M813" s="149"/>
      <c r="N813" s="142"/>
      <c r="O813" s="33"/>
    </row>
    <row r="814" ht="15.75" customHeight="1">
      <c r="A814" s="142"/>
      <c r="B814" s="143"/>
      <c r="C814" s="144"/>
      <c r="D814" s="145"/>
      <c r="E814" s="142"/>
      <c r="F814" s="146"/>
      <c r="G814" s="174"/>
      <c r="H814" s="148"/>
      <c r="I814" s="148"/>
      <c r="J814" s="149"/>
      <c r="K814" s="149"/>
      <c r="L814" s="149"/>
      <c r="M814" s="149"/>
      <c r="N814" s="142"/>
      <c r="O814" s="33"/>
    </row>
    <row r="815" ht="15.75" customHeight="1">
      <c r="A815" s="142"/>
      <c r="B815" s="143"/>
      <c r="C815" s="144"/>
      <c r="D815" s="145"/>
      <c r="E815" s="142"/>
      <c r="F815" s="146"/>
      <c r="G815" s="174"/>
      <c r="H815" s="148"/>
      <c r="I815" s="148"/>
      <c r="J815" s="149"/>
      <c r="K815" s="149"/>
      <c r="L815" s="149"/>
      <c r="M815" s="149"/>
      <c r="N815" s="142"/>
      <c r="O815" s="33"/>
    </row>
    <row r="816" ht="15.75" customHeight="1">
      <c r="A816" s="142"/>
      <c r="B816" s="143"/>
      <c r="C816" s="144"/>
      <c r="D816" s="145"/>
      <c r="E816" s="142"/>
      <c r="F816" s="146"/>
      <c r="G816" s="174"/>
      <c r="H816" s="148"/>
      <c r="I816" s="148"/>
      <c r="J816" s="149"/>
      <c r="K816" s="149"/>
      <c r="L816" s="149"/>
      <c r="M816" s="149"/>
      <c r="N816" s="142"/>
      <c r="O816" s="33"/>
    </row>
    <row r="817" ht="15.75" customHeight="1">
      <c r="A817" s="142"/>
      <c r="B817" s="143"/>
      <c r="C817" s="144"/>
      <c r="D817" s="145"/>
      <c r="E817" s="142"/>
      <c r="F817" s="146"/>
      <c r="G817" s="174"/>
      <c r="H817" s="148"/>
      <c r="I817" s="148"/>
      <c r="J817" s="149"/>
      <c r="K817" s="149"/>
      <c r="L817" s="149"/>
      <c r="M817" s="149"/>
      <c r="N817" s="142"/>
      <c r="O817" s="33"/>
    </row>
    <row r="818" ht="15.75" customHeight="1">
      <c r="A818" s="142"/>
      <c r="B818" s="143"/>
      <c r="C818" s="144"/>
      <c r="D818" s="145"/>
      <c r="E818" s="142"/>
      <c r="F818" s="146"/>
      <c r="G818" s="174"/>
      <c r="H818" s="148"/>
      <c r="I818" s="148"/>
      <c r="J818" s="149"/>
      <c r="K818" s="149"/>
      <c r="L818" s="149"/>
      <c r="M818" s="149"/>
      <c r="N818" s="142"/>
      <c r="O818" s="33"/>
    </row>
    <row r="819" ht="15.75" customHeight="1">
      <c r="A819" s="142"/>
      <c r="B819" s="143"/>
      <c r="C819" s="144"/>
      <c r="D819" s="145"/>
      <c r="E819" s="142"/>
      <c r="F819" s="146"/>
      <c r="G819" s="174"/>
      <c r="H819" s="148"/>
      <c r="I819" s="148"/>
      <c r="J819" s="149"/>
      <c r="K819" s="149"/>
      <c r="L819" s="149"/>
      <c r="M819" s="149"/>
      <c r="N819" s="142"/>
      <c r="O819" s="33"/>
    </row>
    <row r="820" ht="15.75" customHeight="1">
      <c r="A820" s="142"/>
      <c r="B820" s="143"/>
      <c r="C820" s="144"/>
      <c r="D820" s="145"/>
      <c r="E820" s="142"/>
      <c r="F820" s="146"/>
      <c r="G820" s="174"/>
      <c r="H820" s="148"/>
      <c r="I820" s="148"/>
      <c r="J820" s="149"/>
      <c r="K820" s="149"/>
      <c r="L820" s="149"/>
      <c r="M820" s="149"/>
      <c r="N820" s="142"/>
      <c r="O820" s="33"/>
    </row>
    <row r="821" ht="15.75" customHeight="1">
      <c r="A821" s="142"/>
      <c r="B821" s="143"/>
      <c r="C821" s="144"/>
      <c r="D821" s="145"/>
      <c r="E821" s="142"/>
      <c r="F821" s="146"/>
      <c r="G821" s="174"/>
      <c r="H821" s="148"/>
      <c r="I821" s="148"/>
      <c r="J821" s="149"/>
      <c r="K821" s="149"/>
      <c r="L821" s="149"/>
      <c r="M821" s="149"/>
      <c r="N821" s="142"/>
      <c r="O821" s="33"/>
    </row>
    <row r="822" ht="15.75" customHeight="1">
      <c r="A822" s="142"/>
      <c r="B822" s="143"/>
      <c r="C822" s="144"/>
      <c r="D822" s="145"/>
      <c r="E822" s="142"/>
      <c r="F822" s="146"/>
      <c r="G822" s="174"/>
      <c r="H822" s="148"/>
      <c r="I822" s="148"/>
      <c r="J822" s="149"/>
      <c r="K822" s="149"/>
      <c r="L822" s="149"/>
      <c r="M822" s="149"/>
      <c r="N822" s="142"/>
      <c r="O822" s="33"/>
    </row>
    <row r="823" ht="15.75" customHeight="1">
      <c r="A823" s="142"/>
      <c r="B823" s="143"/>
      <c r="C823" s="144"/>
      <c r="D823" s="145"/>
      <c r="E823" s="142"/>
      <c r="F823" s="146"/>
      <c r="G823" s="174"/>
      <c r="H823" s="148"/>
      <c r="I823" s="148"/>
      <c r="J823" s="149"/>
      <c r="K823" s="149"/>
      <c r="L823" s="149"/>
      <c r="M823" s="149"/>
      <c r="N823" s="142"/>
      <c r="O823" s="33"/>
    </row>
    <row r="824" ht="15.75" customHeight="1">
      <c r="A824" s="142"/>
      <c r="B824" s="143"/>
      <c r="C824" s="144"/>
      <c r="D824" s="145"/>
      <c r="E824" s="142"/>
      <c r="F824" s="146"/>
      <c r="G824" s="174"/>
      <c r="H824" s="148"/>
      <c r="I824" s="148"/>
      <c r="J824" s="149"/>
      <c r="K824" s="149"/>
      <c r="L824" s="149"/>
      <c r="M824" s="149"/>
      <c r="N824" s="142"/>
      <c r="O824" s="33"/>
    </row>
    <row r="825" ht="15.75" customHeight="1">
      <c r="A825" s="142"/>
      <c r="B825" s="143"/>
      <c r="C825" s="144"/>
      <c r="D825" s="145"/>
      <c r="E825" s="142"/>
      <c r="F825" s="146"/>
      <c r="G825" s="174"/>
      <c r="H825" s="148"/>
      <c r="I825" s="148"/>
      <c r="J825" s="149"/>
      <c r="K825" s="149"/>
      <c r="L825" s="149"/>
      <c r="M825" s="149"/>
      <c r="N825" s="142"/>
      <c r="O825" s="33"/>
    </row>
    <row r="826" ht="15.75" customHeight="1">
      <c r="A826" s="142"/>
      <c r="B826" s="143"/>
      <c r="C826" s="144"/>
      <c r="D826" s="145"/>
      <c r="E826" s="142"/>
      <c r="F826" s="146"/>
      <c r="G826" s="174"/>
      <c r="H826" s="148"/>
      <c r="I826" s="148"/>
      <c r="J826" s="149"/>
      <c r="K826" s="149"/>
      <c r="L826" s="149"/>
      <c r="M826" s="149"/>
      <c r="N826" s="142"/>
      <c r="O826" s="33"/>
    </row>
    <row r="827" ht="15.75" customHeight="1">
      <c r="A827" s="142"/>
      <c r="B827" s="143"/>
      <c r="C827" s="144"/>
      <c r="D827" s="145"/>
      <c r="E827" s="142"/>
      <c r="F827" s="146"/>
      <c r="G827" s="174"/>
      <c r="H827" s="148"/>
      <c r="I827" s="148"/>
      <c r="J827" s="149"/>
      <c r="K827" s="149"/>
      <c r="L827" s="149"/>
      <c r="M827" s="149"/>
      <c r="N827" s="142"/>
      <c r="O827" s="33"/>
    </row>
    <row r="828" ht="15.75" customHeight="1">
      <c r="A828" s="142"/>
      <c r="B828" s="143"/>
      <c r="C828" s="144"/>
      <c r="D828" s="145"/>
      <c r="E828" s="142"/>
      <c r="F828" s="146"/>
      <c r="G828" s="174"/>
      <c r="H828" s="148"/>
      <c r="I828" s="148"/>
      <c r="J828" s="149"/>
      <c r="K828" s="149"/>
      <c r="L828" s="149"/>
      <c r="M828" s="149"/>
      <c r="N828" s="142"/>
      <c r="O828" s="33"/>
    </row>
    <row r="829" ht="15.75" customHeight="1">
      <c r="A829" s="142"/>
      <c r="B829" s="143"/>
      <c r="C829" s="144"/>
      <c r="D829" s="145"/>
      <c r="E829" s="142"/>
      <c r="F829" s="146"/>
      <c r="G829" s="174"/>
      <c r="H829" s="148"/>
      <c r="I829" s="148"/>
      <c r="J829" s="149"/>
      <c r="K829" s="149"/>
      <c r="L829" s="149"/>
      <c r="M829" s="149"/>
      <c r="N829" s="142"/>
      <c r="O829" s="33"/>
    </row>
    <row r="830" ht="15.75" customHeight="1">
      <c r="A830" s="142"/>
      <c r="B830" s="143"/>
      <c r="C830" s="144"/>
      <c r="D830" s="145"/>
      <c r="E830" s="142"/>
      <c r="F830" s="146"/>
      <c r="G830" s="174"/>
      <c r="H830" s="148"/>
      <c r="I830" s="148"/>
      <c r="J830" s="149"/>
      <c r="K830" s="149"/>
      <c r="L830" s="149"/>
      <c r="M830" s="149"/>
      <c r="N830" s="142"/>
      <c r="O830" s="33"/>
    </row>
    <row r="831" ht="15.75" customHeight="1">
      <c r="A831" s="142"/>
      <c r="B831" s="143"/>
      <c r="C831" s="144"/>
      <c r="D831" s="145"/>
      <c r="E831" s="142"/>
      <c r="F831" s="146"/>
      <c r="G831" s="174"/>
      <c r="H831" s="148"/>
      <c r="I831" s="148"/>
      <c r="J831" s="149"/>
      <c r="K831" s="149"/>
      <c r="L831" s="149"/>
      <c r="M831" s="149"/>
      <c r="N831" s="142"/>
      <c r="O831" s="33"/>
    </row>
    <row r="832" ht="15.75" customHeight="1">
      <c r="A832" s="142"/>
      <c r="B832" s="143"/>
      <c r="C832" s="144"/>
      <c r="D832" s="145"/>
      <c r="E832" s="142"/>
      <c r="F832" s="146"/>
      <c r="G832" s="174"/>
      <c r="H832" s="148"/>
      <c r="I832" s="148"/>
      <c r="J832" s="149"/>
      <c r="K832" s="149"/>
      <c r="L832" s="149"/>
      <c r="M832" s="149"/>
      <c r="N832" s="142"/>
      <c r="O832" s="33"/>
    </row>
    <row r="833" ht="15.75" customHeight="1">
      <c r="A833" s="142"/>
      <c r="B833" s="143"/>
      <c r="C833" s="144"/>
      <c r="D833" s="145"/>
      <c r="E833" s="142"/>
      <c r="F833" s="146"/>
      <c r="G833" s="174"/>
      <c r="H833" s="148"/>
      <c r="I833" s="148"/>
      <c r="J833" s="149"/>
      <c r="K833" s="149"/>
      <c r="L833" s="149"/>
      <c r="M833" s="149"/>
      <c r="N833" s="142"/>
      <c r="O833" s="33"/>
    </row>
    <row r="834" ht="15.75" customHeight="1">
      <c r="A834" s="142"/>
      <c r="B834" s="143"/>
      <c r="C834" s="144"/>
      <c r="D834" s="145"/>
      <c r="E834" s="142"/>
      <c r="F834" s="146"/>
      <c r="G834" s="174"/>
      <c r="H834" s="148"/>
      <c r="I834" s="148"/>
      <c r="J834" s="149"/>
      <c r="K834" s="149"/>
      <c r="L834" s="149"/>
      <c r="M834" s="149"/>
      <c r="N834" s="142"/>
      <c r="O834" s="33"/>
    </row>
    <row r="835" ht="15.75" customHeight="1">
      <c r="A835" s="142"/>
      <c r="B835" s="143"/>
      <c r="C835" s="144"/>
      <c r="D835" s="145"/>
      <c r="E835" s="142"/>
      <c r="F835" s="146"/>
      <c r="G835" s="174"/>
      <c r="H835" s="148"/>
      <c r="I835" s="148"/>
      <c r="J835" s="149"/>
      <c r="K835" s="149"/>
      <c r="L835" s="149"/>
      <c r="M835" s="149"/>
      <c r="N835" s="142"/>
      <c r="O835" s="33"/>
    </row>
    <row r="836" ht="15.75" customHeight="1">
      <c r="A836" s="142"/>
      <c r="B836" s="143"/>
      <c r="C836" s="144"/>
      <c r="D836" s="145"/>
      <c r="E836" s="142"/>
      <c r="F836" s="146"/>
      <c r="G836" s="174"/>
      <c r="H836" s="148"/>
      <c r="I836" s="148"/>
      <c r="J836" s="149"/>
      <c r="K836" s="149"/>
      <c r="L836" s="149"/>
      <c r="M836" s="149"/>
      <c r="N836" s="142"/>
      <c r="O836" s="33"/>
    </row>
    <row r="837" ht="15.75" customHeight="1">
      <c r="A837" s="142"/>
      <c r="B837" s="143"/>
      <c r="C837" s="144"/>
      <c r="D837" s="145"/>
      <c r="E837" s="142"/>
      <c r="F837" s="146"/>
      <c r="G837" s="174"/>
      <c r="H837" s="148"/>
      <c r="I837" s="148"/>
      <c r="J837" s="149"/>
      <c r="K837" s="149"/>
      <c r="L837" s="149"/>
      <c r="M837" s="149"/>
      <c r="N837" s="142"/>
      <c r="O837" s="33"/>
    </row>
    <row r="838" ht="15.75" customHeight="1">
      <c r="A838" s="142"/>
      <c r="B838" s="143"/>
      <c r="C838" s="144"/>
      <c r="D838" s="145"/>
      <c r="E838" s="142"/>
      <c r="F838" s="146"/>
      <c r="G838" s="174"/>
      <c r="H838" s="148"/>
      <c r="I838" s="148"/>
      <c r="J838" s="149"/>
      <c r="K838" s="149"/>
      <c r="L838" s="149"/>
      <c r="M838" s="149"/>
      <c r="N838" s="142"/>
      <c r="O838" s="33"/>
    </row>
    <row r="839" ht="15.75" customHeight="1">
      <c r="A839" s="142"/>
      <c r="B839" s="143"/>
      <c r="C839" s="144"/>
      <c r="D839" s="145"/>
      <c r="E839" s="142"/>
      <c r="F839" s="146"/>
      <c r="G839" s="174"/>
      <c r="H839" s="148"/>
      <c r="I839" s="148"/>
      <c r="J839" s="149"/>
      <c r="K839" s="149"/>
      <c r="L839" s="149"/>
      <c r="M839" s="149"/>
      <c r="N839" s="142"/>
      <c r="O839" s="33"/>
    </row>
    <row r="840" ht="15.75" customHeight="1">
      <c r="A840" s="142"/>
      <c r="B840" s="143"/>
      <c r="C840" s="144"/>
      <c r="D840" s="145"/>
      <c r="E840" s="142"/>
      <c r="F840" s="146"/>
      <c r="G840" s="174"/>
      <c r="H840" s="148"/>
      <c r="I840" s="148"/>
      <c r="J840" s="149"/>
      <c r="K840" s="149"/>
      <c r="L840" s="149"/>
      <c r="M840" s="149"/>
      <c r="N840" s="142"/>
      <c r="O840" s="33"/>
    </row>
    <row r="841" ht="15.75" customHeight="1">
      <c r="A841" s="142"/>
      <c r="B841" s="143"/>
      <c r="C841" s="144"/>
      <c r="D841" s="145"/>
      <c r="E841" s="142"/>
      <c r="F841" s="146"/>
      <c r="G841" s="174"/>
      <c r="H841" s="148"/>
      <c r="I841" s="148"/>
      <c r="J841" s="149"/>
      <c r="K841" s="149"/>
      <c r="L841" s="149"/>
      <c r="M841" s="149"/>
      <c r="N841" s="142"/>
      <c r="O841" s="33"/>
    </row>
    <row r="842" ht="15.75" customHeight="1">
      <c r="A842" s="142"/>
      <c r="B842" s="143"/>
      <c r="C842" s="144"/>
      <c r="D842" s="145"/>
      <c r="E842" s="142"/>
      <c r="F842" s="146"/>
      <c r="G842" s="174"/>
      <c r="H842" s="148"/>
      <c r="I842" s="148"/>
      <c r="J842" s="149"/>
      <c r="K842" s="149"/>
      <c r="L842" s="149"/>
      <c r="M842" s="149"/>
      <c r="N842" s="142"/>
      <c r="O842" s="33"/>
    </row>
    <row r="843" ht="15.75" customHeight="1">
      <c r="A843" s="142"/>
      <c r="B843" s="143"/>
      <c r="C843" s="144"/>
      <c r="D843" s="145"/>
      <c r="E843" s="142"/>
      <c r="F843" s="146"/>
      <c r="G843" s="174"/>
      <c r="H843" s="148"/>
      <c r="I843" s="148"/>
      <c r="J843" s="149"/>
      <c r="K843" s="149"/>
      <c r="L843" s="149"/>
      <c r="M843" s="149"/>
      <c r="N843" s="142"/>
      <c r="O843" s="33"/>
    </row>
    <row r="844" ht="15.75" customHeight="1">
      <c r="A844" s="142"/>
      <c r="B844" s="143"/>
      <c r="C844" s="144"/>
      <c r="D844" s="145"/>
      <c r="E844" s="142"/>
      <c r="F844" s="146"/>
      <c r="G844" s="174"/>
      <c r="H844" s="148"/>
      <c r="I844" s="148"/>
      <c r="J844" s="149"/>
      <c r="K844" s="149"/>
      <c r="L844" s="149"/>
      <c r="M844" s="149"/>
      <c r="N844" s="142"/>
      <c r="O844" s="33"/>
    </row>
    <row r="845" ht="15.75" customHeight="1">
      <c r="A845" s="142"/>
      <c r="B845" s="143"/>
      <c r="C845" s="144"/>
      <c r="D845" s="145"/>
      <c r="E845" s="142"/>
      <c r="F845" s="146"/>
      <c r="G845" s="174"/>
      <c r="H845" s="148"/>
      <c r="I845" s="148"/>
      <c r="J845" s="149"/>
      <c r="K845" s="149"/>
      <c r="L845" s="149"/>
      <c r="M845" s="149"/>
      <c r="N845" s="142"/>
      <c r="O845" s="33"/>
    </row>
    <row r="846" ht="15.75" customHeight="1">
      <c r="A846" s="142"/>
      <c r="B846" s="143"/>
      <c r="C846" s="144"/>
      <c r="D846" s="145"/>
      <c r="E846" s="142"/>
      <c r="F846" s="146"/>
      <c r="G846" s="174"/>
      <c r="H846" s="148"/>
      <c r="I846" s="148"/>
      <c r="J846" s="149"/>
      <c r="K846" s="149"/>
      <c r="L846" s="149"/>
      <c r="M846" s="149"/>
      <c r="N846" s="142"/>
      <c r="O846" s="33"/>
    </row>
    <row r="847" ht="15.75" customHeight="1">
      <c r="A847" s="142"/>
      <c r="B847" s="143"/>
      <c r="C847" s="144"/>
      <c r="D847" s="145"/>
      <c r="E847" s="142"/>
      <c r="F847" s="146"/>
      <c r="G847" s="174"/>
      <c r="H847" s="148"/>
      <c r="I847" s="148"/>
      <c r="J847" s="149"/>
      <c r="K847" s="149"/>
      <c r="L847" s="149"/>
      <c r="M847" s="149"/>
      <c r="N847" s="142"/>
      <c r="O847" s="33"/>
    </row>
    <row r="848" ht="15.75" customHeight="1">
      <c r="A848" s="142"/>
      <c r="B848" s="143"/>
      <c r="C848" s="144"/>
      <c r="D848" s="145"/>
      <c r="E848" s="142"/>
      <c r="F848" s="146"/>
      <c r="G848" s="174"/>
      <c r="H848" s="148"/>
      <c r="I848" s="148"/>
      <c r="J848" s="149"/>
      <c r="K848" s="149"/>
      <c r="L848" s="149"/>
      <c r="M848" s="149"/>
      <c r="N848" s="142"/>
      <c r="O848" s="33"/>
    </row>
    <row r="849" ht="15.75" customHeight="1">
      <c r="A849" s="142"/>
      <c r="B849" s="143"/>
      <c r="C849" s="144"/>
      <c r="D849" s="145"/>
      <c r="E849" s="142"/>
      <c r="F849" s="146"/>
      <c r="G849" s="174"/>
      <c r="H849" s="148"/>
      <c r="I849" s="148"/>
      <c r="J849" s="149"/>
      <c r="K849" s="149"/>
      <c r="L849" s="149"/>
      <c r="M849" s="149"/>
      <c r="N849" s="142"/>
      <c r="O849" s="33"/>
    </row>
    <row r="850" ht="15.75" customHeight="1">
      <c r="A850" s="142"/>
      <c r="B850" s="143"/>
      <c r="C850" s="144"/>
      <c r="D850" s="145"/>
      <c r="E850" s="142"/>
      <c r="F850" s="146"/>
      <c r="G850" s="174"/>
      <c r="H850" s="148"/>
      <c r="I850" s="148"/>
      <c r="J850" s="149"/>
      <c r="K850" s="149"/>
      <c r="L850" s="149"/>
      <c r="M850" s="149"/>
      <c r="N850" s="142"/>
      <c r="O850" s="33"/>
    </row>
    <row r="851" ht="15.75" customHeight="1">
      <c r="A851" s="142"/>
      <c r="B851" s="143"/>
      <c r="C851" s="144"/>
      <c r="D851" s="145"/>
      <c r="E851" s="142"/>
      <c r="F851" s="146"/>
      <c r="G851" s="174"/>
      <c r="H851" s="148"/>
      <c r="I851" s="148"/>
      <c r="J851" s="149"/>
      <c r="K851" s="149"/>
      <c r="L851" s="149"/>
      <c r="M851" s="149"/>
      <c r="N851" s="142"/>
      <c r="O851" s="33"/>
    </row>
    <row r="852" ht="15.75" customHeight="1">
      <c r="A852" s="142"/>
      <c r="B852" s="143"/>
      <c r="C852" s="144"/>
      <c r="D852" s="145"/>
      <c r="E852" s="142"/>
      <c r="F852" s="146"/>
      <c r="G852" s="174"/>
      <c r="H852" s="148"/>
      <c r="I852" s="148"/>
      <c r="J852" s="149"/>
      <c r="K852" s="149"/>
      <c r="L852" s="149"/>
      <c r="M852" s="149"/>
      <c r="N852" s="142"/>
      <c r="O852" s="33"/>
    </row>
    <row r="853" ht="15.75" customHeight="1">
      <c r="A853" s="142"/>
      <c r="B853" s="143"/>
      <c r="C853" s="144"/>
      <c r="D853" s="145"/>
      <c r="E853" s="142"/>
      <c r="F853" s="146"/>
      <c r="G853" s="174"/>
      <c r="H853" s="148"/>
      <c r="I853" s="148"/>
      <c r="J853" s="149"/>
      <c r="K853" s="149"/>
      <c r="L853" s="149"/>
      <c r="M853" s="149"/>
      <c r="N853" s="142"/>
      <c r="O853" s="33"/>
    </row>
    <row r="854" ht="15.75" customHeight="1">
      <c r="A854" s="142"/>
      <c r="B854" s="143"/>
      <c r="C854" s="144"/>
      <c r="D854" s="145"/>
      <c r="E854" s="142"/>
      <c r="F854" s="146"/>
      <c r="G854" s="174"/>
      <c r="H854" s="148"/>
      <c r="I854" s="148"/>
      <c r="J854" s="149"/>
      <c r="K854" s="149"/>
      <c r="L854" s="149"/>
      <c r="M854" s="149"/>
      <c r="N854" s="142"/>
      <c r="O854" s="33"/>
    </row>
    <row r="855" ht="15.75" customHeight="1">
      <c r="A855" s="142"/>
      <c r="B855" s="143"/>
      <c r="C855" s="144"/>
      <c r="D855" s="145"/>
      <c r="E855" s="142"/>
      <c r="F855" s="146"/>
      <c r="G855" s="174"/>
      <c r="H855" s="148"/>
      <c r="I855" s="148"/>
      <c r="J855" s="149"/>
      <c r="K855" s="149"/>
      <c r="L855" s="149"/>
      <c r="M855" s="149"/>
      <c r="N855" s="142"/>
      <c r="O855" s="33"/>
    </row>
    <row r="856" ht="15.75" customHeight="1">
      <c r="A856" s="142"/>
      <c r="B856" s="143"/>
      <c r="C856" s="144"/>
      <c r="D856" s="145"/>
      <c r="E856" s="142"/>
      <c r="F856" s="146"/>
      <c r="G856" s="174"/>
      <c r="H856" s="148"/>
      <c r="I856" s="148"/>
      <c r="J856" s="149"/>
      <c r="K856" s="149"/>
      <c r="L856" s="149"/>
      <c r="M856" s="149"/>
      <c r="N856" s="142"/>
      <c r="O856" s="33"/>
    </row>
    <row r="857" ht="15.75" customHeight="1">
      <c r="A857" s="142"/>
      <c r="B857" s="143"/>
      <c r="C857" s="144"/>
      <c r="D857" s="145"/>
      <c r="E857" s="142"/>
      <c r="F857" s="146"/>
      <c r="G857" s="174"/>
      <c r="H857" s="148"/>
      <c r="I857" s="148"/>
      <c r="J857" s="149"/>
      <c r="K857" s="149"/>
      <c r="L857" s="149"/>
      <c r="M857" s="149"/>
      <c r="N857" s="142"/>
      <c r="O857" s="33"/>
    </row>
    <row r="858" ht="15.75" customHeight="1">
      <c r="A858" s="142"/>
      <c r="B858" s="143"/>
      <c r="C858" s="144"/>
      <c r="D858" s="145"/>
      <c r="E858" s="142"/>
      <c r="F858" s="146"/>
      <c r="G858" s="174"/>
      <c r="H858" s="148"/>
      <c r="I858" s="148"/>
      <c r="J858" s="149"/>
      <c r="K858" s="149"/>
      <c r="L858" s="149"/>
      <c r="M858" s="149"/>
      <c r="N858" s="142"/>
      <c r="O858" s="33"/>
    </row>
    <row r="859" ht="15.75" customHeight="1">
      <c r="A859" s="142"/>
      <c r="B859" s="143"/>
      <c r="C859" s="144"/>
      <c r="D859" s="145"/>
      <c r="E859" s="142"/>
      <c r="F859" s="146"/>
      <c r="G859" s="174"/>
      <c r="H859" s="148"/>
      <c r="I859" s="148"/>
      <c r="J859" s="149"/>
      <c r="K859" s="149"/>
      <c r="L859" s="149"/>
      <c r="M859" s="149"/>
      <c r="N859" s="142"/>
      <c r="O859" s="33"/>
    </row>
    <row r="860" ht="15.75" customHeight="1">
      <c r="A860" s="142"/>
      <c r="B860" s="143"/>
      <c r="C860" s="144"/>
      <c r="D860" s="145"/>
      <c r="E860" s="142"/>
      <c r="F860" s="146"/>
      <c r="G860" s="174"/>
      <c r="H860" s="148"/>
      <c r="I860" s="148"/>
      <c r="J860" s="149"/>
      <c r="K860" s="149"/>
      <c r="L860" s="149"/>
      <c r="M860" s="149"/>
      <c r="N860" s="142"/>
      <c r="O860" s="33"/>
    </row>
    <row r="861" ht="15.75" customHeight="1">
      <c r="A861" s="142"/>
      <c r="B861" s="143"/>
      <c r="C861" s="144"/>
      <c r="D861" s="145"/>
      <c r="E861" s="142"/>
      <c r="F861" s="146"/>
      <c r="G861" s="174"/>
      <c r="H861" s="148"/>
      <c r="I861" s="148"/>
      <c r="J861" s="149"/>
      <c r="K861" s="149"/>
      <c r="L861" s="149"/>
      <c r="M861" s="149"/>
      <c r="N861" s="142"/>
      <c r="O861" s="33"/>
    </row>
    <row r="862" ht="15.75" customHeight="1">
      <c r="A862" s="142"/>
      <c r="B862" s="143"/>
      <c r="C862" s="144"/>
      <c r="D862" s="145"/>
      <c r="E862" s="142"/>
      <c r="F862" s="146"/>
      <c r="G862" s="174"/>
      <c r="H862" s="148"/>
      <c r="I862" s="148"/>
      <c r="J862" s="149"/>
      <c r="K862" s="149"/>
      <c r="L862" s="149"/>
      <c r="M862" s="149"/>
      <c r="N862" s="142"/>
      <c r="O862" s="33"/>
    </row>
    <row r="863" ht="15.75" customHeight="1">
      <c r="A863" s="142"/>
      <c r="B863" s="143"/>
      <c r="C863" s="144"/>
      <c r="D863" s="145"/>
      <c r="E863" s="142"/>
      <c r="F863" s="146"/>
      <c r="G863" s="174"/>
      <c r="H863" s="148"/>
      <c r="I863" s="148"/>
      <c r="J863" s="149"/>
      <c r="K863" s="149"/>
      <c r="L863" s="149"/>
      <c r="M863" s="149"/>
      <c r="N863" s="142"/>
      <c r="O863" s="33"/>
    </row>
    <row r="864" ht="15.75" customHeight="1">
      <c r="A864" s="142"/>
      <c r="B864" s="143"/>
      <c r="C864" s="144"/>
      <c r="D864" s="145"/>
      <c r="E864" s="142"/>
      <c r="F864" s="146"/>
      <c r="G864" s="174"/>
      <c r="H864" s="148"/>
      <c r="I864" s="148"/>
      <c r="J864" s="149"/>
      <c r="K864" s="149"/>
      <c r="L864" s="149"/>
      <c r="M864" s="149"/>
      <c r="N864" s="142"/>
      <c r="O864" s="33"/>
    </row>
    <row r="865" ht="15.75" customHeight="1">
      <c r="A865" s="142"/>
      <c r="B865" s="143"/>
      <c r="C865" s="144"/>
      <c r="D865" s="145"/>
      <c r="E865" s="142"/>
      <c r="F865" s="146"/>
      <c r="G865" s="174"/>
      <c r="H865" s="148"/>
      <c r="I865" s="148"/>
      <c r="J865" s="149"/>
      <c r="K865" s="149"/>
      <c r="L865" s="149"/>
      <c r="M865" s="149"/>
      <c r="N865" s="142"/>
      <c r="O865" s="33"/>
    </row>
    <row r="866" ht="15.75" customHeight="1">
      <c r="A866" s="142"/>
      <c r="B866" s="143"/>
      <c r="C866" s="144"/>
      <c r="D866" s="145"/>
      <c r="E866" s="142"/>
      <c r="F866" s="146"/>
      <c r="G866" s="174"/>
      <c r="H866" s="148"/>
      <c r="I866" s="148"/>
      <c r="J866" s="149"/>
      <c r="K866" s="149"/>
      <c r="L866" s="149"/>
      <c r="M866" s="149"/>
      <c r="N866" s="142"/>
      <c r="O866" s="33"/>
    </row>
    <row r="867" ht="15.75" customHeight="1">
      <c r="A867" s="142"/>
      <c r="B867" s="143"/>
      <c r="C867" s="144"/>
      <c r="D867" s="145"/>
      <c r="E867" s="142"/>
      <c r="F867" s="146"/>
      <c r="G867" s="174"/>
      <c r="H867" s="148"/>
      <c r="I867" s="148"/>
      <c r="J867" s="149"/>
      <c r="K867" s="149"/>
      <c r="L867" s="149"/>
      <c r="M867" s="149"/>
      <c r="N867" s="142"/>
      <c r="O867" s="33"/>
    </row>
    <row r="868" ht="15.75" customHeight="1">
      <c r="A868" s="142"/>
      <c r="B868" s="143"/>
      <c r="C868" s="144"/>
      <c r="D868" s="145"/>
      <c r="E868" s="142"/>
      <c r="F868" s="146"/>
      <c r="G868" s="174"/>
      <c r="H868" s="148"/>
      <c r="I868" s="148"/>
      <c r="J868" s="149"/>
      <c r="K868" s="149"/>
      <c r="L868" s="149"/>
      <c r="M868" s="149"/>
      <c r="N868" s="142"/>
      <c r="O868" s="33"/>
    </row>
    <row r="869" ht="15.75" customHeight="1">
      <c r="A869" s="142"/>
      <c r="B869" s="143"/>
      <c r="C869" s="144"/>
      <c r="D869" s="145"/>
      <c r="E869" s="142"/>
      <c r="F869" s="146"/>
      <c r="G869" s="174"/>
      <c r="H869" s="148"/>
      <c r="I869" s="148"/>
      <c r="J869" s="149"/>
      <c r="K869" s="149"/>
      <c r="L869" s="149"/>
      <c r="M869" s="149"/>
      <c r="N869" s="142"/>
      <c r="O869" s="33"/>
    </row>
    <row r="870" ht="15.75" customHeight="1">
      <c r="A870" s="142"/>
      <c r="B870" s="143"/>
      <c r="C870" s="144"/>
      <c r="D870" s="145"/>
      <c r="E870" s="142"/>
      <c r="F870" s="146"/>
      <c r="G870" s="174"/>
      <c r="H870" s="148"/>
      <c r="I870" s="148"/>
      <c r="J870" s="149"/>
      <c r="K870" s="149"/>
      <c r="L870" s="149"/>
      <c r="M870" s="149"/>
      <c r="N870" s="142"/>
      <c r="O870" s="33"/>
    </row>
    <row r="871" ht="15.75" customHeight="1">
      <c r="A871" s="142"/>
      <c r="B871" s="143"/>
      <c r="C871" s="144"/>
      <c r="D871" s="145"/>
      <c r="E871" s="142"/>
      <c r="F871" s="146"/>
      <c r="G871" s="174"/>
      <c r="H871" s="148"/>
      <c r="I871" s="148"/>
      <c r="J871" s="149"/>
      <c r="K871" s="149"/>
      <c r="L871" s="149"/>
      <c r="M871" s="149"/>
      <c r="N871" s="142"/>
      <c r="O871" s="33"/>
    </row>
    <row r="872" ht="15.75" customHeight="1">
      <c r="A872" s="142"/>
      <c r="B872" s="143"/>
      <c r="C872" s="144"/>
      <c r="D872" s="145"/>
      <c r="E872" s="142"/>
      <c r="F872" s="146"/>
      <c r="G872" s="174"/>
      <c r="H872" s="148"/>
      <c r="I872" s="148"/>
      <c r="J872" s="149"/>
      <c r="K872" s="149"/>
      <c r="L872" s="149"/>
      <c r="M872" s="149"/>
      <c r="N872" s="142"/>
      <c r="O872" s="33"/>
    </row>
    <row r="873" ht="15.75" customHeight="1">
      <c r="A873" s="142"/>
      <c r="B873" s="143"/>
      <c r="C873" s="144"/>
      <c r="D873" s="145"/>
      <c r="E873" s="142"/>
      <c r="F873" s="146"/>
      <c r="G873" s="174"/>
      <c r="H873" s="148"/>
      <c r="I873" s="148"/>
      <c r="J873" s="149"/>
      <c r="K873" s="149"/>
      <c r="L873" s="149"/>
      <c r="M873" s="149"/>
      <c r="N873" s="142"/>
      <c r="O873" s="33"/>
    </row>
    <row r="874" ht="15.75" customHeight="1">
      <c r="A874" s="142"/>
      <c r="B874" s="143"/>
      <c r="C874" s="144"/>
      <c r="D874" s="145"/>
      <c r="E874" s="142"/>
      <c r="F874" s="146"/>
      <c r="G874" s="174"/>
      <c r="H874" s="148"/>
      <c r="I874" s="148"/>
      <c r="J874" s="149"/>
      <c r="K874" s="149"/>
      <c r="L874" s="149"/>
      <c r="M874" s="149"/>
      <c r="N874" s="142"/>
      <c r="O874" s="33"/>
    </row>
    <row r="875" ht="15.75" customHeight="1">
      <c r="A875" s="142"/>
      <c r="B875" s="143"/>
      <c r="C875" s="144"/>
      <c r="D875" s="145"/>
      <c r="E875" s="142"/>
      <c r="F875" s="146"/>
      <c r="G875" s="174"/>
      <c r="H875" s="148"/>
      <c r="I875" s="148"/>
      <c r="J875" s="149"/>
      <c r="K875" s="149"/>
      <c r="L875" s="149"/>
      <c r="M875" s="149"/>
      <c r="N875" s="142"/>
      <c r="O875" s="33"/>
    </row>
    <row r="876" ht="15.75" customHeight="1">
      <c r="A876" s="142"/>
      <c r="B876" s="143"/>
      <c r="C876" s="144"/>
      <c r="D876" s="145"/>
      <c r="E876" s="142"/>
      <c r="F876" s="146"/>
      <c r="G876" s="174"/>
      <c r="H876" s="148"/>
      <c r="I876" s="148"/>
      <c r="J876" s="149"/>
      <c r="K876" s="149"/>
      <c r="L876" s="149"/>
      <c r="M876" s="149"/>
      <c r="N876" s="142"/>
      <c r="O876" s="33"/>
    </row>
    <row r="877" ht="15.75" customHeight="1">
      <c r="A877" s="142"/>
      <c r="B877" s="143"/>
      <c r="C877" s="144"/>
      <c r="D877" s="145"/>
      <c r="E877" s="142"/>
      <c r="F877" s="146"/>
      <c r="G877" s="174"/>
      <c r="H877" s="148"/>
      <c r="I877" s="148"/>
      <c r="J877" s="149"/>
      <c r="K877" s="149"/>
      <c r="L877" s="149"/>
      <c r="M877" s="149"/>
      <c r="N877" s="142"/>
      <c r="O877" s="33"/>
    </row>
    <row r="878" ht="15.75" customHeight="1">
      <c r="A878" s="142"/>
      <c r="B878" s="143"/>
      <c r="C878" s="144"/>
      <c r="D878" s="145"/>
      <c r="E878" s="142"/>
      <c r="F878" s="146"/>
      <c r="G878" s="174"/>
      <c r="H878" s="148"/>
      <c r="I878" s="148"/>
      <c r="J878" s="149"/>
      <c r="K878" s="149"/>
      <c r="L878" s="149"/>
      <c r="M878" s="149"/>
      <c r="N878" s="142"/>
      <c r="O878" s="33"/>
    </row>
    <row r="879" ht="15.75" customHeight="1">
      <c r="A879" s="142"/>
      <c r="B879" s="143"/>
      <c r="C879" s="144"/>
      <c r="D879" s="145"/>
      <c r="E879" s="142"/>
      <c r="F879" s="146"/>
      <c r="G879" s="174"/>
      <c r="H879" s="148"/>
      <c r="I879" s="148"/>
      <c r="J879" s="149"/>
      <c r="K879" s="149"/>
      <c r="L879" s="149"/>
      <c r="M879" s="149"/>
      <c r="N879" s="142"/>
      <c r="O879" s="33"/>
    </row>
    <row r="880" ht="15.75" customHeight="1">
      <c r="A880" s="142"/>
      <c r="B880" s="143"/>
      <c r="C880" s="144"/>
      <c r="D880" s="145"/>
      <c r="E880" s="142"/>
      <c r="F880" s="146"/>
      <c r="G880" s="174"/>
      <c r="H880" s="148"/>
      <c r="I880" s="148"/>
      <c r="J880" s="149"/>
      <c r="K880" s="149"/>
      <c r="L880" s="149"/>
      <c r="M880" s="149"/>
      <c r="N880" s="142"/>
      <c r="O880" s="33"/>
    </row>
    <row r="881" ht="15.75" customHeight="1">
      <c r="A881" s="142"/>
      <c r="B881" s="143"/>
      <c r="C881" s="144"/>
      <c r="D881" s="145"/>
      <c r="E881" s="142"/>
      <c r="F881" s="146"/>
      <c r="G881" s="174"/>
      <c r="H881" s="148"/>
      <c r="I881" s="148"/>
      <c r="J881" s="149"/>
      <c r="K881" s="149"/>
      <c r="L881" s="149"/>
      <c r="M881" s="149"/>
      <c r="N881" s="142"/>
      <c r="O881" s="33"/>
    </row>
    <row r="882" ht="15.75" customHeight="1">
      <c r="A882" s="142"/>
      <c r="B882" s="143"/>
      <c r="C882" s="144"/>
      <c r="D882" s="145"/>
      <c r="E882" s="142"/>
      <c r="F882" s="146"/>
      <c r="G882" s="174"/>
      <c r="H882" s="148"/>
      <c r="I882" s="148"/>
      <c r="J882" s="149"/>
      <c r="K882" s="149"/>
      <c r="L882" s="149"/>
      <c r="M882" s="149"/>
      <c r="N882" s="142"/>
      <c r="O882" s="33"/>
    </row>
    <row r="883" ht="15.75" customHeight="1">
      <c r="A883" s="142"/>
      <c r="B883" s="143"/>
      <c r="C883" s="144"/>
      <c r="D883" s="145"/>
      <c r="E883" s="142"/>
      <c r="F883" s="146"/>
      <c r="G883" s="174"/>
      <c r="H883" s="148"/>
      <c r="I883" s="148"/>
      <c r="J883" s="149"/>
      <c r="K883" s="149"/>
      <c r="L883" s="149"/>
      <c r="M883" s="149"/>
      <c r="N883" s="142"/>
      <c r="O883" s="33"/>
    </row>
    <row r="884" ht="15.75" customHeight="1">
      <c r="A884" s="142"/>
      <c r="B884" s="143"/>
      <c r="C884" s="144"/>
      <c r="D884" s="145"/>
      <c r="E884" s="142"/>
      <c r="F884" s="146"/>
      <c r="G884" s="174"/>
      <c r="H884" s="148"/>
      <c r="I884" s="148"/>
      <c r="J884" s="149"/>
      <c r="K884" s="149"/>
      <c r="L884" s="149"/>
      <c r="M884" s="149"/>
      <c r="N884" s="142"/>
      <c r="O884" s="33"/>
    </row>
    <row r="885" ht="15.75" customHeight="1">
      <c r="A885" s="142"/>
      <c r="B885" s="143"/>
      <c r="C885" s="144"/>
      <c r="D885" s="145"/>
      <c r="E885" s="142"/>
      <c r="F885" s="146"/>
      <c r="G885" s="174"/>
      <c r="H885" s="148"/>
      <c r="I885" s="148"/>
      <c r="J885" s="149"/>
      <c r="K885" s="149"/>
      <c r="L885" s="149"/>
      <c r="M885" s="149"/>
      <c r="N885" s="142"/>
      <c r="O885" s="33"/>
    </row>
    <row r="886" ht="15.75" customHeight="1">
      <c r="A886" s="142"/>
      <c r="B886" s="143"/>
      <c r="C886" s="144"/>
      <c r="D886" s="145"/>
      <c r="E886" s="142"/>
      <c r="F886" s="146"/>
      <c r="G886" s="174"/>
      <c r="H886" s="148"/>
      <c r="I886" s="148"/>
      <c r="J886" s="149"/>
      <c r="K886" s="149"/>
      <c r="L886" s="149"/>
      <c r="M886" s="149"/>
      <c r="N886" s="142"/>
      <c r="O886" s="33"/>
    </row>
    <row r="887" ht="15.75" customHeight="1">
      <c r="A887" s="142"/>
      <c r="B887" s="143"/>
      <c r="C887" s="144"/>
      <c r="D887" s="145"/>
      <c r="E887" s="142"/>
      <c r="F887" s="146"/>
      <c r="G887" s="174"/>
      <c r="H887" s="148"/>
      <c r="I887" s="148"/>
      <c r="J887" s="149"/>
      <c r="K887" s="149"/>
      <c r="L887" s="149"/>
      <c r="M887" s="149"/>
      <c r="N887" s="142"/>
      <c r="O887" s="33"/>
    </row>
    <row r="888" ht="15.75" customHeight="1">
      <c r="A888" s="142"/>
      <c r="B888" s="143"/>
      <c r="C888" s="144"/>
      <c r="D888" s="145"/>
      <c r="E888" s="142"/>
      <c r="F888" s="146"/>
      <c r="G888" s="174"/>
      <c r="H888" s="148"/>
      <c r="I888" s="148"/>
      <c r="J888" s="149"/>
      <c r="K888" s="149"/>
      <c r="L888" s="149"/>
      <c r="M888" s="149"/>
      <c r="N888" s="142"/>
      <c r="O888" s="33"/>
    </row>
    <row r="889" ht="15.75" customHeight="1">
      <c r="A889" s="142"/>
      <c r="B889" s="143"/>
      <c r="C889" s="144"/>
      <c r="D889" s="145"/>
      <c r="E889" s="142"/>
      <c r="F889" s="146"/>
      <c r="G889" s="174"/>
      <c r="H889" s="148"/>
      <c r="I889" s="148"/>
      <c r="J889" s="149"/>
      <c r="K889" s="149"/>
      <c r="L889" s="149"/>
      <c r="M889" s="149"/>
      <c r="N889" s="142"/>
      <c r="O889" s="33"/>
    </row>
    <row r="890" ht="15.75" customHeight="1">
      <c r="A890" s="142"/>
      <c r="B890" s="143"/>
      <c r="C890" s="144"/>
      <c r="D890" s="145"/>
      <c r="E890" s="142"/>
      <c r="F890" s="146"/>
      <c r="G890" s="174"/>
      <c r="H890" s="148"/>
      <c r="I890" s="148"/>
      <c r="J890" s="149"/>
      <c r="K890" s="149"/>
      <c r="L890" s="149"/>
      <c r="M890" s="149"/>
      <c r="N890" s="142"/>
      <c r="O890" s="33"/>
    </row>
    <row r="891" ht="15.75" customHeight="1">
      <c r="A891" s="142"/>
      <c r="B891" s="143"/>
      <c r="C891" s="144"/>
      <c r="D891" s="145"/>
      <c r="E891" s="142"/>
      <c r="F891" s="146"/>
      <c r="G891" s="174"/>
      <c r="H891" s="148"/>
      <c r="I891" s="148"/>
      <c r="J891" s="149"/>
      <c r="K891" s="149"/>
      <c r="L891" s="149"/>
      <c r="M891" s="149"/>
      <c r="N891" s="142"/>
      <c r="O891" s="33"/>
    </row>
    <row r="892" ht="15.75" customHeight="1">
      <c r="A892" s="142"/>
      <c r="B892" s="143"/>
      <c r="C892" s="144"/>
      <c r="D892" s="145"/>
      <c r="E892" s="142"/>
      <c r="F892" s="146"/>
      <c r="G892" s="174"/>
      <c r="H892" s="148"/>
      <c r="I892" s="148"/>
      <c r="J892" s="149"/>
      <c r="K892" s="149"/>
      <c r="L892" s="149"/>
      <c r="M892" s="149"/>
      <c r="N892" s="142"/>
      <c r="O892" s="33"/>
    </row>
    <row r="893" ht="15.75" customHeight="1">
      <c r="A893" s="142"/>
      <c r="B893" s="143"/>
      <c r="C893" s="144"/>
      <c r="D893" s="145"/>
      <c r="E893" s="142"/>
      <c r="F893" s="146"/>
      <c r="G893" s="174"/>
      <c r="H893" s="148"/>
      <c r="I893" s="148"/>
      <c r="J893" s="149"/>
      <c r="K893" s="149"/>
      <c r="L893" s="149"/>
      <c r="M893" s="149"/>
      <c r="N893" s="142"/>
      <c r="O893" s="33"/>
    </row>
    <row r="894" ht="15.75" customHeight="1">
      <c r="A894" s="142"/>
      <c r="B894" s="143"/>
      <c r="C894" s="144"/>
      <c r="D894" s="145"/>
      <c r="E894" s="142"/>
      <c r="F894" s="146"/>
      <c r="G894" s="174"/>
      <c r="H894" s="148"/>
      <c r="I894" s="148"/>
      <c r="J894" s="149"/>
      <c r="K894" s="149"/>
      <c r="L894" s="149"/>
      <c r="M894" s="149"/>
      <c r="N894" s="142"/>
      <c r="O894" s="33"/>
    </row>
    <row r="895" ht="15.75" customHeight="1">
      <c r="A895" s="142"/>
      <c r="B895" s="143"/>
      <c r="C895" s="144"/>
      <c r="D895" s="145"/>
      <c r="E895" s="142"/>
      <c r="F895" s="146"/>
      <c r="G895" s="174"/>
      <c r="H895" s="148"/>
      <c r="I895" s="148"/>
      <c r="J895" s="149"/>
      <c r="K895" s="149"/>
      <c r="L895" s="149"/>
      <c r="M895" s="149"/>
      <c r="N895" s="142"/>
      <c r="O895" s="33"/>
    </row>
    <row r="896" ht="15.75" customHeight="1">
      <c r="A896" s="142"/>
      <c r="B896" s="143"/>
      <c r="C896" s="144"/>
      <c r="D896" s="145"/>
      <c r="E896" s="142"/>
      <c r="F896" s="146"/>
      <c r="G896" s="174"/>
      <c r="H896" s="148"/>
      <c r="I896" s="148"/>
      <c r="J896" s="149"/>
      <c r="K896" s="149"/>
      <c r="L896" s="149"/>
      <c r="M896" s="149"/>
      <c r="N896" s="142"/>
      <c r="O896" s="33"/>
    </row>
    <row r="897" ht="15.75" customHeight="1">
      <c r="A897" s="142"/>
      <c r="B897" s="143"/>
      <c r="C897" s="144"/>
      <c r="D897" s="145"/>
      <c r="E897" s="142"/>
      <c r="F897" s="146"/>
      <c r="G897" s="174"/>
      <c r="H897" s="148"/>
      <c r="I897" s="148"/>
      <c r="J897" s="149"/>
      <c r="K897" s="149"/>
      <c r="L897" s="149"/>
      <c r="M897" s="149"/>
      <c r="N897" s="142"/>
      <c r="O897" s="33"/>
    </row>
    <row r="898" ht="15.75" customHeight="1">
      <c r="A898" s="142"/>
      <c r="B898" s="143"/>
      <c r="C898" s="144"/>
      <c r="D898" s="145"/>
      <c r="E898" s="142"/>
      <c r="F898" s="146"/>
      <c r="G898" s="174"/>
      <c r="H898" s="148"/>
      <c r="I898" s="148"/>
      <c r="J898" s="149"/>
      <c r="K898" s="149"/>
      <c r="L898" s="149"/>
      <c r="M898" s="149"/>
      <c r="N898" s="142"/>
      <c r="O898" s="33"/>
    </row>
    <row r="899" ht="15.75" customHeight="1">
      <c r="A899" s="142"/>
      <c r="B899" s="143"/>
      <c r="C899" s="144"/>
      <c r="D899" s="145"/>
      <c r="E899" s="142"/>
      <c r="F899" s="146"/>
      <c r="G899" s="174"/>
      <c r="H899" s="148"/>
      <c r="I899" s="148"/>
      <c r="J899" s="149"/>
      <c r="K899" s="149"/>
      <c r="L899" s="149"/>
      <c r="M899" s="149"/>
      <c r="N899" s="142"/>
      <c r="O899" s="33"/>
    </row>
    <row r="900" ht="15.75" customHeight="1">
      <c r="A900" s="142"/>
      <c r="B900" s="143"/>
      <c r="C900" s="144"/>
      <c r="D900" s="145"/>
      <c r="E900" s="142"/>
      <c r="F900" s="146"/>
      <c r="G900" s="174"/>
      <c r="H900" s="148"/>
      <c r="I900" s="148"/>
      <c r="J900" s="149"/>
      <c r="K900" s="149"/>
      <c r="L900" s="149"/>
      <c r="M900" s="149"/>
      <c r="N900" s="142"/>
      <c r="O900" s="33"/>
    </row>
    <row r="901" ht="15.75" customHeight="1">
      <c r="A901" s="142"/>
      <c r="B901" s="143"/>
      <c r="C901" s="144"/>
      <c r="D901" s="145"/>
      <c r="E901" s="142"/>
      <c r="F901" s="146"/>
      <c r="G901" s="174"/>
      <c r="H901" s="148"/>
      <c r="I901" s="148"/>
      <c r="J901" s="149"/>
      <c r="K901" s="149"/>
      <c r="L901" s="149"/>
      <c r="M901" s="149"/>
      <c r="N901" s="142"/>
      <c r="O901" s="33"/>
    </row>
    <row r="902" ht="15.75" customHeight="1">
      <c r="A902" s="142"/>
      <c r="B902" s="143"/>
      <c r="C902" s="144"/>
      <c r="D902" s="145"/>
      <c r="E902" s="142"/>
      <c r="F902" s="146"/>
      <c r="G902" s="174"/>
      <c r="H902" s="148"/>
      <c r="I902" s="148"/>
      <c r="J902" s="149"/>
      <c r="K902" s="149"/>
      <c r="L902" s="149"/>
      <c r="M902" s="149"/>
      <c r="N902" s="142"/>
      <c r="O902" s="33"/>
    </row>
    <row r="903" ht="15.75" customHeight="1">
      <c r="A903" s="142"/>
      <c r="B903" s="143"/>
      <c r="C903" s="144"/>
      <c r="D903" s="145"/>
      <c r="E903" s="142"/>
      <c r="F903" s="146"/>
      <c r="G903" s="174"/>
      <c r="H903" s="148"/>
      <c r="I903" s="148"/>
      <c r="J903" s="149"/>
      <c r="K903" s="149"/>
      <c r="L903" s="149"/>
      <c r="M903" s="149"/>
      <c r="N903" s="142"/>
      <c r="O903" s="33"/>
    </row>
    <row r="904" ht="15.75" customHeight="1">
      <c r="A904" s="142"/>
      <c r="B904" s="143"/>
      <c r="C904" s="144"/>
      <c r="D904" s="145"/>
      <c r="E904" s="142"/>
      <c r="F904" s="146"/>
      <c r="G904" s="174"/>
      <c r="H904" s="148"/>
      <c r="I904" s="148"/>
      <c r="J904" s="149"/>
      <c r="K904" s="149"/>
      <c r="L904" s="149"/>
      <c r="M904" s="149"/>
      <c r="N904" s="142"/>
      <c r="O904" s="33"/>
    </row>
    <row r="905" ht="15.75" customHeight="1">
      <c r="A905" s="142"/>
      <c r="B905" s="143"/>
      <c r="C905" s="144"/>
      <c r="D905" s="145"/>
      <c r="E905" s="142"/>
      <c r="F905" s="146"/>
      <c r="G905" s="174"/>
      <c r="H905" s="148"/>
      <c r="I905" s="148"/>
      <c r="J905" s="149"/>
      <c r="K905" s="149"/>
      <c r="L905" s="149"/>
      <c r="M905" s="149"/>
      <c r="N905" s="142"/>
      <c r="O905" s="33"/>
    </row>
    <row r="906" ht="15.75" customHeight="1">
      <c r="A906" s="142"/>
      <c r="B906" s="143"/>
      <c r="C906" s="144"/>
      <c r="D906" s="145"/>
      <c r="E906" s="142"/>
      <c r="F906" s="146"/>
      <c r="G906" s="174"/>
      <c r="H906" s="148"/>
      <c r="I906" s="148"/>
      <c r="J906" s="149"/>
      <c r="K906" s="149"/>
      <c r="L906" s="149"/>
      <c r="M906" s="149"/>
      <c r="N906" s="142"/>
      <c r="O906" s="33"/>
    </row>
    <row r="907" ht="15.75" customHeight="1">
      <c r="A907" s="142"/>
      <c r="B907" s="143"/>
      <c r="C907" s="144"/>
      <c r="D907" s="145"/>
      <c r="E907" s="142"/>
      <c r="F907" s="146"/>
      <c r="G907" s="174"/>
      <c r="H907" s="148"/>
      <c r="I907" s="148"/>
      <c r="J907" s="149"/>
      <c r="K907" s="149"/>
      <c r="L907" s="149"/>
      <c r="M907" s="149"/>
      <c r="N907" s="142"/>
      <c r="O907" s="33"/>
    </row>
    <row r="908" ht="15.75" customHeight="1">
      <c r="A908" s="142"/>
      <c r="B908" s="143"/>
      <c r="C908" s="144"/>
      <c r="D908" s="145"/>
      <c r="E908" s="142"/>
      <c r="F908" s="146"/>
      <c r="G908" s="174"/>
      <c r="H908" s="148"/>
      <c r="I908" s="148"/>
      <c r="J908" s="149"/>
      <c r="K908" s="149"/>
      <c r="L908" s="149"/>
      <c r="M908" s="149"/>
      <c r="N908" s="142"/>
      <c r="O908" s="33"/>
    </row>
    <row r="909" ht="15.75" customHeight="1">
      <c r="A909" s="142"/>
      <c r="B909" s="143"/>
      <c r="C909" s="144"/>
      <c r="D909" s="145"/>
      <c r="E909" s="142"/>
      <c r="F909" s="146"/>
      <c r="G909" s="174"/>
      <c r="H909" s="148"/>
      <c r="I909" s="148"/>
      <c r="J909" s="149"/>
      <c r="K909" s="149"/>
      <c r="L909" s="149"/>
      <c r="M909" s="149"/>
      <c r="N909" s="142"/>
      <c r="O909" s="33"/>
    </row>
    <row r="910" ht="15.75" customHeight="1">
      <c r="A910" s="142"/>
      <c r="B910" s="143"/>
      <c r="C910" s="144"/>
      <c r="D910" s="145"/>
      <c r="E910" s="142"/>
      <c r="F910" s="146"/>
      <c r="G910" s="174"/>
      <c r="H910" s="148"/>
      <c r="I910" s="148"/>
      <c r="J910" s="149"/>
      <c r="K910" s="149"/>
      <c r="L910" s="149"/>
      <c r="M910" s="149"/>
      <c r="N910" s="142"/>
      <c r="O910" s="33"/>
    </row>
    <row r="911" ht="15.75" customHeight="1">
      <c r="A911" s="142"/>
      <c r="B911" s="143"/>
      <c r="C911" s="144"/>
      <c r="D911" s="145"/>
      <c r="E911" s="142"/>
      <c r="F911" s="146"/>
      <c r="G911" s="174"/>
      <c r="H911" s="148"/>
      <c r="I911" s="148"/>
      <c r="J911" s="149"/>
      <c r="K911" s="149"/>
      <c r="L911" s="149"/>
      <c r="M911" s="149"/>
      <c r="N911" s="142"/>
      <c r="O911" s="33"/>
    </row>
    <row r="912" ht="15.75" customHeight="1">
      <c r="A912" s="142"/>
      <c r="B912" s="143"/>
      <c r="C912" s="144"/>
      <c r="D912" s="145"/>
      <c r="E912" s="142"/>
      <c r="F912" s="146"/>
      <c r="G912" s="174"/>
      <c r="H912" s="148"/>
      <c r="I912" s="148"/>
      <c r="J912" s="149"/>
      <c r="K912" s="149"/>
      <c r="L912" s="149"/>
      <c r="M912" s="149"/>
      <c r="N912" s="142"/>
      <c r="O912" s="33"/>
    </row>
    <row r="913" ht="15.75" customHeight="1">
      <c r="A913" s="142"/>
      <c r="B913" s="143"/>
      <c r="C913" s="144"/>
      <c r="D913" s="145"/>
      <c r="E913" s="142"/>
      <c r="F913" s="146"/>
      <c r="G913" s="174"/>
      <c r="H913" s="148"/>
      <c r="I913" s="148"/>
      <c r="J913" s="149"/>
      <c r="K913" s="149"/>
      <c r="L913" s="149"/>
      <c r="M913" s="149"/>
      <c r="N913" s="142"/>
      <c r="O913" s="33"/>
    </row>
    <row r="914" ht="15.75" customHeight="1">
      <c r="A914" s="142"/>
      <c r="B914" s="143"/>
      <c r="C914" s="144"/>
      <c r="D914" s="145"/>
      <c r="E914" s="142"/>
      <c r="F914" s="146"/>
      <c r="G914" s="174"/>
      <c r="H914" s="148"/>
      <c r="I914" s="148"/>
      <c r="J914" s="149"/>
      <c r="K914" s="149"/>
      <c r="L914" s="149"/>
      <c r="M914" s="149"/>
      <c r="N914" s="142"/>
      <c r="O914" s="33"/>
    </row>
    <row r="915" ht="15.75" customHeight="1">
      <c r="A915" s="142"/>
      <c r="B915" s="143"/>
      <c r="C915" s="144"/>
      <c r="D915" s="145"/>
      <c r="E915" s="142"/>
      <c r="F915" s="146"/>
      <c r="G915" s="174"/>
      <c r="H915" s="148"/>
      <c r="I915" s="148"/>
      <c r="J915" s="149"/>
      <c r="K915" s="149"/>
      <c r="L915" s="149"/>
      <c r="M915" s="149"/>
      <c r="N915" s="142"/>
      <c r="O915" s="33"/>
    </row>
  </sheetData>
  <mergeCells count="11">
    <mergeCell ref="H1:I1"/>
    <mergeCell ref="J1:K1"/>
    <mergeCell ref="L1:M1"/>
    <mergeCell ref="N1:N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14"/>
    <col customWidth="1" min="2" max="2" width="15.14"/>
    <col customWidth="1" min="3" max="3" width="21.0"/>
    <col customWidth="1" min="4" max="4" width="30.86"/>
    <col customWidth="1" min="5" max="6" width="16.71"/>
    <col customWidth="1" min="7" max="7" width="11.14"/>
    <col customWidth="1" min="8" max="13" width="13.0"/>
    <col customWidth="1" min="14" max="14" width="29.14"/>
    <col customWidth="1" min="15" max="15" width="13.57"/>
    <col customWidth="1" min="16" max="16" width="15.14"/>
    <col customWidth="1" min="17" max="17" width="43.0"/>
    <col customWidth="1" min="18" max="26" width="9.86"/>
  </cols>
  <sheetData>
    <row r="1" ht="24.75" customHeight="1">
      <c r="A1" s="1" t="s">
        <v>0</v>
      </c>
      <c r="B1" s="2" t="s">
        <v>1</v>
      </c>
      <c r="C1" s="2" t="s">
        <v>2</v>
      </c>
      <c r="D1" s="2" t="s">
        <v>3</v>
      </c>
      <c r="E1" s="175" t="s">
        <v>5</v>
      </c>
      <c r="F1" s="176" t="s">
        <v>256</v>
      </c>
      <c r="G1" s="158" t="s">
        <v>6</v>
      </c>
      <c r="H1" s="5" t="s">
        <v>7</v>
      </c>
      <c r="I1" s="6"/>
      <c r="J1" s="7" t="s">
        <v>8</v>
      </c>
      <c r="K1" s="6"/>
      <c r="L1" s="8" t="s">
        <v>9</v>
      </c>
      <c r="M1" s="6"/>
      <c r="N1" s="9" t="s">
        <v>10</v>
      </c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31.5" customHeight="1">
      <c r="A2" s="12"/>
      <c r="B2" s="13"/>
      <c r="C2" s="13"/>
      <c r="D2" s="13"/>
      <c r="E2" s="13"/>
      <c r="F2" s="13"/>
      <c r="G2" s="13"/>
      <c r="H2" s="14" t="s">
        <v>257</v>
      </c>
      <c r="I2" s="15" t="s">
        <v>258</v>
      </c>
      <c r="J2" s="16" t="s">
        <v>259</v>
      </c>
      <c r="K2" s="17" t="s">
        <v>260</v>
      </c>
      <c r="L2" s="18" t="s">
        <v>261</v>
      </c>
      <c r="M2" s="19" t="s">
        <v>262</v>
      </c>
      <c r="N2" s="20"/>
      <c r="O2" s="10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177" t="s">
        <v>263</v>
      </c>
      <c r="B3" s="178"/>
      <c r="C3" s="179" t="s">
        <v>264</v>
      </c>
      <c r="D3" s="179" t="s">
        <v>265</v>
      </c>
      <c r="E3" s="180">
        <v>35.0</v>
      </c>
      <c r="F3" s="180">
        <v>60.0</v>
      </c>
      <c r="G3" s="161"/>
      <c r="H3" s="181">
        <f t="shared" ref="H3:H24" si="1">E3*0.5+E3</f>
        <v>52.5</v>
      </c>
      <c r="I3" s="29">
        <f t="shared" ref="I3:I24" si="2">E3*0.3+E3</f>
        <v>45.5</v>
      </c>
      <c r="J3" s="30">
        <f t="shared" ref="J3:J24" si="3">E3*0.3+E3</f>
        <v>45.5</v>
      </c>
      <c r="K3" s="31">
        <f t="shared" ref="K3:K24" si="4">E3*0.2+E3</f>
        <v>42</v>
      </c>
      <c r="L3" s="30">
        <f t="shared" ref="L3:L24" si="5">E3*0.15+E3</f>
        <v>40.25</v>
      </c>
      <c r="M3" s="31">
        <f t="shared" ref="M3:M24" si="6">E3*0.1+E3</f>
        <v>38.5</v>
      </c>
      <c r="N3" s="32"/>
      <c r="O3" s="33"/>
    </row>
    <row r="4" ht="15.75" customHeight="1">
      <c r="A4" s="177" t="s">
        <v>263</v>
      </c>
      <c r="B4" s="178"/>
      <c r="C4" s="182" t="s">
        <v>266</v>
      </c>
      <c r="D4" s="182" t="s">
        <v>267</v>
      </c>
      <c r="E4" s="180">
        <v>25.0</v>
      </c>
      <c r="F4" s="180">
        <v>45.0</v>
      </c>
      <c r="G4" s="162"/>
      <c r="H4" s="181">
        <f t="shared" si="1"/>
        <v>37.5</v>
      </c>
      <c r="I4" s="29">
        <f t="shared" si="2"/>
        <v>32.5</v>
      </c>
      <c r="J4" s="30">
        <f t="shared" si="3"/>
        <v>32.5</v>
      </c>
      <c r="K4" s="31">
        <f t="shared" si="4"/>
        <v>30</v>
      </c>
      <c r="L4" s="30">
        <f t="shared" si="5"/>
        <v>28.75</v>
      </c>
      <c r="M4" s="31">
        <f t="shared" si="6"/>
        <v>27.5</v>
      </c>
      <c r="N4" s="32"/>
      <c r="O4" s="33"/>
    </row>
    <row r="5" ht="15.75" customHeight="1">
      <c r="A5" s="177" t="s">
        <v>263</v>
      </c>
      <c r="B5" s="178"/>
      <c r="C5" s="182" t="s">
        <v>268</v>
      </c>
      <c r="D5" s="182" t="s">
        <v>269</v>
      </c>
      <c r="E5" s="180">
        <v>65.0</v>
      </c>
      <c r="F5" s="180"/>
      <c r="G5" s="162"/>
      <c r="H5" s="181">
        <f t="shared" si="1"/>
        <v>97.5</v>
      </c>
      <c r="I5" s="29">
        <f t="shared" si="2"/>
        <v>84.5</v>
      </c>
      <c r="J5" s="30">
        <f t="shared" si="3"/>
        <v>84.5</v>
      </c>
      <c r="K5" s="31">
        <f t="shared" si="4"/>
        <v>78</v>
      </c>
      <c r="L5" s="30">
        <f t="shared" si="5"/>
        <v>74.75</v>
      </c>
      <c r="M5" s="31">
        <f t="shared" si="6"/>
        <v>71.5</v>
      </c>
      <c r="N5" s="32"/>
      <c r="O5" s="33"/>
    </row>
    <row r="6" ht="15.75" customHeight="1">
      <c r="A6" s="177" t="s">
        <v>263</v>
      </c>
      <c r="B6" s="178"/>
      <c r="C6" s="182" t="s">
        <v>270</v>
      </c>
      <c r="D6" s="182" t="s">
        <v>271</v>
      </c>
      <c r="E6" s="180">
        <v>55.0</v>
      </c>
      <c r="F6" s="180"/>
      <c r="G6" s="161"/>
      <c r="H6" s="181">
        <f t="shared" si="1"/>
        <v>82.5</v>
      </c>
      <c r="I6" s="29">
        <f t="shared" si="2"/>
        <v>71.5</v>
      </c>
      <c r="J6" s="30">
        <f t="shared" si="3"/>
        <v>71.5</v>
      </c>
      <c r="K6" s="31">
        <f t="shared" si="4"/>
        <v>66</v>
      </c>
      <c r="L6" s="30">
        <f t="shared" si="5"/>
        <v>63.25</v>
      </c>
      <c r="M6" s="31">
        <f t="shared" si="6"/>
        <v>60.5</v>
      </c>
      <c r="N6" s="32"/>
      <c r="O6" s="33"/>
    </row>
    <row r="7" ht="15.75" customHeight="1">
      <c r="A7" s="177" t="s">
        <v>263</v>
      </c>
      <c r="B7" s="178"/>
      <c r="C7" s="182" t="s">
        <v>272</v>
      </c>
      <c r="D7" s="182" t="s">
        <v>273</v>
      </c>
      <c r="E7" s="180">
        <v>35.0</v>
      </c>
      <c r="F7" s="180"/>
      <c r="G7" s="164"/>
      <c r="H7" s="181">
        <f t="shared" si="1"/>
        <v>52.5</v>
      </c>
      <c r="I7" s="29">
        <f t="shared" si="2"/>
        <v>45.5</v>
      </c>
      <c r="J7" s="30">
        <f t="shared" si="3"/>
        <v>45.5</v>
      </c>
      <c r="K7" s="31">
        <f t="shared" si="4"/>
        <v>42</v>
      </c>
      <c r="L7" s="30">
        <f t="shared" si="5"/>
        <v>40.25</v>
      </c>
      <c r="M7" s="31">
        <f t="shared" si="6"/>
        <v>38.5</v>
      </c>
      <c r="N7" s="32"/>
      <c r="O7" s="33"/>
    </row>
    <row r="8" ht="15.75" customHeight="1">
      <c r="A8" s="177" t="s">
        <v>263</v>
      </c>
      <c r="B8" s="178"/>
      <c r="C8" s="182" t="s">
        <v>274</v>
      </c>
      <c r="D8" s="182" t="s">
        <v>275</v>
      </c>
      <c r="E8" s="180">
        <v>55.0</v>
      </c>
      <c r="F8" s="180"/>
      <c r="G8" s="164"/>
      <c r="H8" s="181">
        <f t="shared" si="1"/>
        <v>82.5</v>
      </c>
      <c r="I8" s="29">
        <f t="shared" si="2"/>
        <v>71.5</v>
      </c>
      <c r="J8" s="30">
        <f t="shared" si="3"/>
        <v>71.5</v>
      </c>
      <c r="K8" s="31">
        <f t="shared" si="4"/>
        <v>66</v>
      </c>
      <c r="L8" s="30">
        <f t="shared" si="5"/>
        <v>63.25</v>
      </c>
      <c r="M8" s="31">
        <f t="shared" si="6"/>
        <v>60.5</v>
      </c>
      <c r="N8" s="32"/>
      <c r="O8" s="33"/>
    </row>
    <row r="9" ht="15.75" customHeight="1">
      <c r="A9" s="177" t="s">
        <v>263</v>
      </c>
      <c r="B9" s="178"/>
      <c r="C9" s="182" t="s">
        <v>276</v>
      </c>
      <c r="D9" s="182" t="s">
        <v>277</v>
      </c>
      <c r="E9" s="180">
        <v>190.0</v>
      </c>
      <c r="F9" s="180"/>
      <c r="G9" s="164"/>
      <c r="H9" s="181">
        <f t="shared" si="1"/>
        <v>285</v>
      </c>
      <c r="I9" s="29">
        <f t="shared" si="2"/>
        <v>247</v>
      </c>
      <c r="J9" s="30">
        <f t="shared" si="3"/>
        <v>247</v>
      </c>
      <c r="K9" s="31">
        <f t="shared" si="4"/>
        <v>228</v>
      </c>
      <c r="L9" s="30">
        <f t="shared" si="5"/>
        <v>218.5</v>
      </c>
      <c r="M9" s="31">
        <f t="shared" si="6"/>
        <v>209</v>
      </c>
      <c r="N9" s="32"/>
      <c r="O9" s="33"/>
    </row>
    <row r="10" ht="15.75" customHeight="1">
      <c r="A10" s="177" t="s">
        <v>263</v>
      </c>
      <c r="B10" s="178"/>
      <c r="C10" s="182" t="s">
        <v>278</v>
      </c>
      <c r="D10" s="182" t="s">
        <v>279</v>
      </c>
      <c r="E10" s="180">
        <v>90.0</v>
      </c>
      <c r="F10" s="180">
        <v>90.0</v>
      </c>
      <c r="G10" s="161"/>
      <c r="H10" s="181">
        <f t="shared" si="1"/>
        <v>135</v>
      </c>
      <c r="I10" s="29">
        <f t="shared" si="2"/>
        <v>117</v>
      </c>
      <c r="J10" s="30">
        <f t="shared" si="3"/>
        <v>117</v>
      </c>
      <c r="K10" s="31">
        <f t="shared" si="4"/>
        <v>108</v>
      </c>
      <c r="L10" s="30">
        <f t="shared" si="5"/>
        <v>103.5</v>
      </c>
      <c r="M10" s="31">
        <f t="shared" si="6"/>
        <v>99</v>
      </c>
      <c r="N10" s="32"/>
      <c r="O10" s="33"/>
    </row>
    <row r="11" ht="15.75" customHeight="1">
      <c r="A11" s="177" t="s">
        <v>263</v>
      </c>
      <c r="B11" s="178"/>
      <c r="C11" s="182" t="s">
        <v>280</v>
      </c>
      <c r="D11" s="182" t="s">
        <v>281</v>
      </c>
      <c r="E11" s="180">
        <v>3.0</v>
      </c>
      <c r="F11" s="180"/>
      <c r="G11" s="161"/>
      <c r="H11" s="181">
        <f t="shared" si="1"/>
        <v>4.5</v>
      </c>
      <c r="I11" s="29">
        <f t="shared" si="2"/>
        <v>3.9</v>
      </c>
      <c r="J11" s="30">
        <f t="shared" si="3"/>
        <v>3.9</v>
      </c>
      <c r="K11" s="31">
        <f t="shared" si="4"/>
        <v>3.6</v>
      </c>
      <c r="L11" s="30">
        <f t="shared" si="5"/>
        <v>3.45</v>
      </c>
      <c r="M11" s="31">
        <f t="shared" si="6"/>
        <v>3.3</v>
      </c>
      <c r="N11" s="32"/>
      <c r="O11" s="33"/>
    </row>
    <row r="12" ht="15.75" customHeight="1">
      <c r="A12" s="177" t="s">
        <v>263</v>
      </c>
      <c r="B12" s="178"/>
      <c r="C12" s="182" t="s">
        <v>282</v>
      </c>
      <c r="D12" s="182" t="s">
        <v>283</v>
      </c>
      <c r="E12" s="180">
        <v>4.0</v>
      </c>
      <c r="F12" s="180">
        <v>4.0</v>
      </c>
      <c r="G12" s="161"/>
      <c r="H12" s="181">
        <f t="shared" si="1"/>
        <v>6</v>
      </c>
      <c r="I12" s="29">
        <f t="shared" si="2"/>
        <v>5.2</v>
      </c>
      <c r="J12" s="30">
        <f t="shared" si="3"/>
        <v>5.2</v>
      </c>
      <c r="K12" s="31">
        <f t="shared" si="4"/>
        <v>4.8</v>
      </c>
      <c r="L12" s="30">
        <f t="shared" si="5"/>
        <v>4.6</v>
      </c>
      <c r="M12" s="31">
        <f t="shared" si="6"/>
        <v>4.4</v>
      </c>
      <c r="N12" s="32"/>
      <c r="O12" s="33"/>
    </row>
    <row r="13" ht="15.75" customHeight="1">
      <c r="A13" s="177" t="s">
        <v>263</v>
      </c>
      <c r="B13" s="178"/>
      <c r="C13" s="182" t="s">
        <v>284</v>
      </c>
      <c r="D13" s="182" t="s">
        <v>285</v>
      </c>
      <c r="E13" s="180">
        <v>2.0</v>
      </c>
      <c r="F13" s="180"/>
      <c r="G13" s="161"/>
      <c r="H13" s="181">
        <f t="shared" si="1"/>
        <v>3</v>
      </c>
      <c r="I13" s="29">
        <f t="shared" si="2"/>
        <v>2.6</v>
      </c>
      <c r="J13" s="30">
        <f t="shared" si="3"/>
        <v>2.6</v>
      </c>
      <c r="K13" s="31">
        <f t="shared" si="4"/>
        <v>2.4</v>
      </c>
      <c r="L13" s="30">
        <f t="shared" si="5"/>
        <v>2.3</v>
      </c>
      <c r="M13" s="31">
        <f t="shared" si="6"/>
        <v>2.2</v>
      </c>
      <c r="N13" s="32"/>
      <c r="O13" s="33"/>
    </row>
    <row r="14" ht="15.75" customHeight="1">
      <c r="A14" s="177" t="s">
        <v>263</v>
      </c>
      <c r="B14" s="178"/>
      <c r="C14" s="182" t="s">
        <v>286</v>
      </c>
      <c r="D14" s="182" t="s">
        <v>287</v>
      </c>
      <c r="E14" s="180">
        <v>2.0</v>
      </c>
      <c r="F14" s="180">
        <v>5.0</v>
      </c>
      <c r="G14" s="161"/>
      <c r="H14" s="181">
        <f t="shared" si="1"/>
        <v>3</v>
      </c>
      <c r="I14" s="29">
        <f t="shared" si="2"/>
        <v>2.6</v>
      </c>
      <c r="J14" s="30">
        <f t="shared" si="3"/>
        <v>2.6</v>
      </c>
      <c r="K14" s="31">
        <f t="shared" si="4"/>
        <v>2.4</v>
      </c>
      <c r="L14" s="30">
        <f t="shared" si="5"/>
        <v>2.3</v>
      </c>
      <c r="M14" s="31">
        <f t="shared" si="6"/>
        <v>2.2</v>
      </c>
      <c r="N14" s="32"/>
      <c r="O14" s="33"/>
    </row>
    <row r="15" ht="17.25" customHeight="1">
      <c r="A15" s="177" t="s">
        <v>263</v>
      </c>
      <c r="B15" s="183"/>
      <c r="C15" s="182" t="s">
        <v>288</v>
      </c>
      <c r="D15" s="182" t="s">
        <v>289</v>
      </c>
      <c r="E15" s="180">
        <v>1.0</v>
      </c>
      <c r="F15" s="180"/>
      <c r="G15" s="165"/>
      <c r="H15" s="181">
        <f t="shared" si="1"/>
        <v>1.5</v>
      </c>
      <c r="I15" s="29">
        <f t="shared" si="2"/>
        <v>1.3</v>
      </c>
      <c r="J15" s="30">
        <f t="shared" si="3"/>
        <v>1.3</v>
      </c>
      <c r="K15" s="31">
        <f t="shared" si="4"/>
        <v>1.2</v>
      </c>
      <c r="L15" s="30">
        <f t="shared" si="5"/>
        <v>1.15</v>
      </c>
      <c r="M15" s="31">
        <f t="shared" si="6"/>
        <v>1.1</v>
      </c>
      <c r="N15" s="32"/>
      <c r="O15" s="33"/>
    </row>
    <row r="16" ht="15.75" customHeight="1">
      <c r="A16" s="177" t="s">
        <v>290</v>
      </c>
      <c r="B16" s="183"/>
      <c r="C16" s="182" t="s">
        <v>291</v>
      </c>
      <c r="D16" s="182" t="s">
        <v>292</v>
      </c>
      <c r="E16" s="180">
        <v>1.0</v>
      </c>
      <c r="F16" s="180"/>
      <c r="G16" s="165"/>
      <c r="H16" s="181">
        <f t="shared" si="1"/>
        <v>1.5</v>
      </c>
      <c r="I16" s="29">
        <f t="shared" si="2"/>
        <v>1.3</v>
      </c>
      <c r="J16" s="30">
        <f t="shared" si="3"/>
        <v>1.3</v>
      </c>
      <c r="K16" s="31">
        <f t="shared" si="4"/>
        <v>1.2</v>
      </c>
      <c r="L16" s="30">
        <f t="shared" si="5"/>
        <v>1.15</v>
      </c>
      <c r="M16" s="31">
        <f t="shared" si="6"/>
        <v>1.1</v>
      </c>
      <c r="N16" s="32"/>
      <c r="O16" s="33"/>
    </row>
    <row r="17" ht="15.75" customHeight="1">
      <c r="A17" s="177" t="s">
        <v>290</v>
      </c>
      <c r="B17" s="183"/>
      <c r="C17" s="182" t="s">
        <v>293</v>
      </c>
      <c r="D17" s="182" t="s">
        <v>294</v>
      </c>
      <c r="E17" s="180">
        <v>1.0</v>
      </c>
      <c r="F17" s="180"/>
      <c r="G17" s="162"/>
      <c r="H17" s="181">
        <f t="shared" si="1"/>
        <v>1.5</v>
      </c>
      <c r="I17" s="29">
        <f t="shared" si="2"/>
        <v>1.3</v>
      </c>
      <c r="J17" s="30">
        <f t="shared" si="3"/>
        <v>1.3</v>
      </c>
      <c r="K17" s="31">
        <f t="shared" si="4"/>
        <v>1.2</v>
      </c>
      <c r="L17" s="30">
        <f t="shared" si="5"/>
        <v>1.15</v>
      </c>
      <c r="M17" s="31">
        <f t="shared" si="6"/>
        <v>1.1</v>
      </c>
      <c r="N17" s="32"/>
      <c r="O17" s="33"/>
    </row>
    <row r="18" ht="15.75" customHeight="1">
      <c r="A18" s="177" t="s">
        <v>290</v>
      </c>
      <c r="B18" s="178"/>
      <c r="C18" s="182" t="s">
        <v>295</v>
      </c>
      <c r="D18" s="182" t="s">
        <v>296</v>
      </c>
      <c r="E18" s="180">
        <v>1.0</v>
      </c>
      <c r="F18" s="180"/>
      <c r="G18" s="162"/>
      <c r="H18" s="181">
        <f t="shared" si="1"/>
        <v>1.5</v>
      </c>
      <c r="I18" s="29">
        <f t="shared" si="2"/>
        <v>1.3</v>
      </c>
      <c r="J18" s="30">
        <f t="shared" si="3"/>
        <v>1.3</v>
      </c>
      <c r="K18" s="31">
        <f t="shared" si="4"/>
        <v>1.2</v>
      </c>
      <c r="L18" s="30">
        <f t="shared" si="5"/>
        <v>1.15</v>
      </c>
      <c r="M18" s="31">
        <f t="shared" si="6"/>
        <v>1.1</v>
      </c>
      <c r="N18" s="32"/>
      <c r="O18" s="33"/>
    </row>
    <row r="19" ht="15.75" customHeight="1">
      <c r="A19" s="177" t="s">
        <v>290</v>
      </c>
      <c r="B19" s="178"/>
      <c r="C19" s="182" t="s">
        <v>297</v>
      </c>
      <c r="D19" s="182" t="s">
        <v>298</v>
      </c>
      <c r="E19" s="180">
        <v>1.0</v>
      </c>
      <c r="F19" s="180"/>
      <c r="G19" s="161"/>
      <c r="H19" s="181">
        <f t="shared" si="1"/>
        <v>1.5</v>
      </c>
      <c r="I19" s="29">
        <f t="shared" si="2"/>
        <v>1.3</v>
      </c>
      <c r="J19" s="30">
        <f t="shared" si="3"/>
        <v>1.3</v>
      </c>
      <c r="K19" s="31">
        <f t="shared" si="4"/>
        <v>1.2</v>
      </c>
      <c r="L19" s="30">
        <f t="shared" si="5"/>
        <v>1.15</v>
      </c>
      <c r="M19" s="31">
        <f t="shared" si="6"/>
        <v>1.1</v>
      </c>
      <c r="N19" s="32"/>
      <c r="O19" s="33"/>
    </row>
    <row r="20" ht="15.75" customHeight="1">
      <c r="A20" s="177" t="s">
        <v>290</v>
      </c>
      <c r="B20" s="178"/>
      <c r="C20" s="182" t="s">
        <v>299</v>
      </c>
      <c r="D20" s="182" t="s">
        <v>300</v>
      </c>
      <c r="E20" s="180">
        <v>300.0</v>
      </c>
      <c r="F20" s="180"/>
      <c r="G20" s="161"/>
      <c r="H20" s="181">
        <f t="shared" si="1"/>
        <v>450</v>
      </c>
      <c r="I20" s="29">
        <f t="shared" si="2"/>
        <v>390</v>
      </c>
      <c r="J20" s="30">
        <f t="shared" si="3"/>
        <v>390</v>
      </c>
      <c r="K20" s="31">
        <f t="shared" si="4"/>
        <v>360</v>
      </c>
      <c r="L20" s="30">
        <f t="shared" si="5"/>
        <v>345</v>
      </c>
      <c r="M20" s="31">
        <f t="shared" si="6"/>
        <v>330</v>
      </c>
      <c r="N20" s="32"/>
      <c r="O20" s="33"/>
    </row>
    <row r="21" ht="15.75" customHeight="1">
      <c r="A21" s="177" t="s">
        <v>290</v>
      </c>
      <c r="B21" s="178"/>
      <c r="C21" s="182" t="s">
        <v>301</v>
      </c>
      <c r="D21" s="182" t="s">
        <v>302</v>
      </c>
      <c r="E21" s="180">
        <v>1.0</v>
      </c>
      <c r="F21" s="180"/>
      <c r="G21" s="172"/>
      <c r="H21" s="181">
        <f t="shared" si="1"/>
        <v>1.5</v>
      </c>
      <c r="I21" s="29">
        <f t="shared" si="2"/>
        <v>1.3</v>
      </c>
      <c r="J21" s="30">
        <f t="shared" si="3"/>
        <v>1.3</v>
      </c>
      <c r="K21" s="31">
        <f t="shared" si="4"/>
        <v>1.2</v>
      </c>
      <c r="L21" s="30">
        <f t="shared" si="5"/>
        <v>1.15</v>
      </c>
      <c r="M21" s="31">
        <f t="shared" si="6"/>
        <v>1.1</v>
      </c>
      <c r="N21" s="32"/>
      <c r="O21" s="33"/>
    </row>
    <row r="22" ht="15.75" customHeight="1">
      <c r="A22" s="177" t="s">
        <v>290</v>
      </c>
      <c r="B22" s="178"/>
      <c r="C22" s="182" t="s">
        <v>303</v>
      </c>
      <c r="D22" s="182" t="s">
        <v>304</v>
      </c>
      <c r="E22" s="180">
        <v>1.0</v>
      </c>
      <c r="F22" s="180"/>
      <c r="G22" s="172"/>
      <c r="H22" s="181">
        <f t="shared" si="1"/>
        <v>1.5</v>
      </c>
      <c r="I22" s="29">
        <f t="shared" si="2"/>
        <v>1.3</v>
      </c>
      <c r="J22" s="30">
        <f t="shared" si="3"/>
        <v>1.3</v>
      </c>
      <c r="K22" s="31">
        <f t="shared" si="4"/>
        <v>1.2</v>
      </c>
      <c r="L22" s="30">
        <f t="shared" si="5"/>
        <v>1.15</v>
      </c>
      <c r="M22" s="31">
        <f t="shared" si="6"/>
        <v>1.1</v>
      </c>
      <c r="N22" s="32"/>
      <c r="O22" s="33"/>
    </row>
    <row r="23" ht="14.25" customHeight="1">
      <c r="A23" s="177" t="s">
        <v>290</v>
      </c>
      <c r="B23" s="178"/>
      <c r="C23" s="182" t="s">
        <v>305</v>
      </c>
      <c r="D23" s="182" t="s">
        <v>306</v>
      </c>
      <c r="E23" s="180">
        <v>1.0</v>
      </c>
      <c r="F23" s="180"/>
      <c r="G23" s="172"/>
      <c r="H23" s="181">
        <f t="shared" si="1"/>
        <v>1.5</v>
      </c>
      <c r="I23" s="29">
        <f t="shared" si="2"/>
        <v>1.3</v>
      </c>
      <c r="J23" s="30">
        <f t="shared" si="3"/>
        <v>1.3</v>
      </c>
      <c r="K23" s="31">
        <f t="shared" si="4"/>
        <v>1.2</v>
      </c>
      <c r="L23" s="30">
        <f t="shared" si="5"/>
        <v>1.15</v>
      </c>
      <c r="M23" s="31">
        <f t="shared" si="6"/>
        <v>1.1</v>
      </c>
      <c r="N23" s="32"/>
      <c r="O23" s="33"/>
    </row>
    <row r="24" ht="15.75" customHeight="1">
      <c r="A24" s="177" t="s">
        <v>290</v>
      </c>
      <c r="B24" s="178"/>
      <c r="C24" s="182" t="s">
        <v>307</v>
      </c>
      <c r="D24" s="182" t="s">
        <v>308</v>
      </c>
      <c r="E24" s="180">
        <v>25.0</v>
      </c>
      <c r="F24" s="180">
        <v>89.0</v>
      </c>
      <c r="G24" s="172"/>
      <c r="H24" s="181">
        <f t="shared" si="1"/>
        <v>37.5</v>
      </c>
      <c r="I24" s="29">
        <f t="shared" si="2"/>
        <v>32.5</v>
      </c>
      <c r="J24" s="30">
        <f t="shared" si="3"/>
        <v>32.5</v>
      </c>
      <c r="K24" s="31">
        <f t="shared" si="4"/>
        <v>30</v>
      </c>
      <c r="L24" s="30">
        <f t="shared" si="5"/>
        <v>28.75</v>
      </c>
      <c r="M24" s="31">
        <f t="shared" si="6"/>
        <v>27.5</v>
      </c>
      <c r="N24" s="32"/>
      <c r="O24" s="33"/>
    </row>
    <row r="25" ht="15.75" customHeight="1">
      <c r="A25" s="177"/>
      <c r="B25" s="178"/>
      <c r="C25" s="182"/>
      <c r="D25" s="182" t="s">
        <v>309</v>
      </c>
      <c r="E25" s="180"/>
      <c r="F25" s="180">
        <v>94.0</v>
      </c>
      <c r="G25" s="172"/>
      <c r="H25" s="181"/>
      <c r="I25" s="29"/>
      <c r="J25" s="30"/>
      <c r="K25" s="31"/>
      <c r="L25" s="30"/>
      <c r="M25" s="31"/>
      <c r="N25" s="32"/>
      <c r="O25" s="33"/>
    </row>
    <row r="26" ht="15.75" customHeight="1">
      <c r="A26" s="177" t="s">
        <v>290</v>
      </c>
      <c r="B26" s="178"/>
      <c r="C26" s="182" t="s">
        <v>310</v>
      </c>
      <c r="D26" s="182" t="s">
        <v>311</v>
      </c>
      <c r="E26" s="180">
        <v>25.0</v>
      </c>
      <c r="F26" s="180">
        <v>30.0</v>
      </c>
      <c r="G26" s="172"/>
      <c r="H26" s="181">
        <f t="shared" ref="H26:H247" si="7">E26*0.5+E26</f>
        <v>37.5</v>
      </c>
      <c r="I26" s="29">
        <f t="shared" ref="I26:I247" si="8">E26*0.3+E26</f>
        <v>32.5</v>
      </c>
      <c r="J26" s="30">
        <f t="shared" ref="J26:J247" si="9">E26*0.3+E26</f>
        <v>32.5</v>
      </c>
      <c r="K26" s="31">
        <f t="shared" ref="K26:K247" si="10">E26*0.2+E26</f>
        <v>30</v>
      </c>
      <c r="L26" s="30">
        <f t="shared" ref="L26:L247" si="11">E26*0.15+E26</f>
        <v>28.75</v>
      </c>
      <c r="M26" s="31">
        <f t="shared" ref="M26:M247" si="12">E26*0.1+E26</f>
        <v>27.5</v>
      </c>
      <c r="N26" s="32"/>
      <c r="O26" s="33"/>
    </row>
    <row r="27" ht="14.25" customHeight="1">
      <c r="A27" s="177" t="s">
        <v>290</v>
      </c>
      <c r="B27" s="178"/>
      <c r="C27" s="182" t="s">
        <v>312</v>
      </c>
      <c r="D27" s="182" t="s">
        <v>313</v>
      </c>
      <c r="E27" s="180">
        <v>35.0</v>
      </c>
      <c r="F27" s="180">
        <v>30.0</v>
      </c>
      <c r="G27" s="184"/>
      <c r="H27" s="181">
        <f t="shared" si="7"/>
        <v>52.5</v>
      </c>
      <c r="I27" s="29">
        <f t="shared" si="8"/>
        <v>45.5</v>
      </c>
      <c r="J27" s="30">
        <f t="shared" si="9"/>
        <v>45.5</v>
      </c>
      <c r="K27" s="31">
        <f t="shared" si="10"/>
        <v>42</v>
      </c>
      <c r="L27" s="30">
        <f t="shared" si="11"/>
        <v>40.25</v>
      </c>
      <c r="M27" s="31">
        <f t="shared" si="12"/>
        <v>38.5</v>
      </c>
      <c r="N27" s="32"/>
      <c r="O27" s="33"/>
    </row>
    <row r="28" ht="15.75" customHeight="1">
      <c r="A28" s="177" t="s">
        <v>290</v>
      </c>
      <c r="B28" s="178"/>
      <c r="C28" s="182" t="s">
        <v>314</v>
      </c>
      <c r="D28" s="182" t="s">
        <v>315</v>
      </c>
      <c r="E28" s="180">
        <v>25.0</v>
      </c>
      <c r="F28" s="180">
        <v>79.0</v>
      </c>
      <c r="G28" s="172"/>
      <c r="H28" s="181">
        <f t="shared" si="7"/>
        <v>37.5</v>
      </c>
      <c r="I28" s="29">
        <f t="shared" si="8"/>
        <v>32.5</v>
      </c>
      <c r="J28" s="30">
        <f t="shared" si="9"/>
        <v>32.5</v>
      </c>
      <c r="K28" s="31">
        <f t="shared" si="10"/>
        <v>30</v>
      </c>
      <c r="L28" s="30">
        <f t="shared" si="11"/>
        <v>28.75</v>
      </c>
      <c r="M28" s="31">
        <f t="shared" si="12"/>
        <v>27.5</v>
      </c>
      <c r="N28" s="32"/>
      <c r="O28" s="33"/>
    </row>
    <row r="29" ht="15.75" customHeight="1">
      <c r="A29" s="177" t="s">
        <v>290</v>
      </c>
      <c r="B29" s="178"/>
      <c r="C29" s="182" t="s">
        <v>316</v>
      </c>
      <c r="D29" s="182" t="s">
        <v>39</v>
      </c>
      <c r="E29" s="180">
        <v>520.0</v>
      </c>
      <c r="F29" s="180"/>
      <c r="G29" s="172"/>
      <c r="H29" s="181">
        <f t="shared" si="7"/>
        <v>780</v>
      </c>
      <c r="I29" s="29">
        <f t="shared" si="8"/>
        <v>676</v>
      </c>
      <c r="J29" s="30">
        <f t="shared" si="9"/>
        <v>676</v>
      </c>
      <c r="K29" s="31">
        <f t="shared" si="10"/>
        <v>624</v>
      </c>
      <c r="L29" s="30">
        <f t="shared" si="11"/>
        <v>598</v>
      </c>
      <c r="M29" s="31">
        <f t="shared" si="12"/>
        <v>572</v>
      </c>
      <c r="N29" s="32"/>
      <c r="O29" s="33"/>
    </row>
    <row r="30" ht="15.75" customHeight="1">
      <c r="A30" s="177" t="s">
        <v>290</v>
      </c>
      <c r="B30" s="178"/>
      <c r="C30" s="182" t="s">
        <v>317</v>
      </c>
      <c r="D30" s="182" t="s">
        <v>40</v>
      </c>
      <c r="E30" s="180">
        <v>1.0</v>
      </c>
      <c r="F30" s="180"/>
      <c r="G30" s="172"/>
      <c r="H30" s="181">
        <f t="shared" si="7"/>
        <v>1.5</v>
      </c>
      <c r="I30" s="29">
        <f t="shared" si="8"/>
        <v>1.3</v>
      </c>
      <c r="J30" s="30">
        <f t="shared" si="9"/>
        <v>1.3</v>
      </c>
      <c r="K30" s="31">
        <f t="shared" si="10"/>
        <v>1.2</v>
      </c>
      <c r="L30" s="30">
        <f t="shared" si="11"/>
        <v>1.15</v>
      </c>
      <c r="M30" s="31">
        <f t="shared" si="12"/>
        <v>1.1</v>
      </c>
      <c r="N30" s="32"/>
      <c r="O30" s="33"/>
    </row>
    <row r="31" ht="15.75" customHeight="1">
      <c r="A31" s="177" t="s">
        <v>290</v>
      </c>
      <c r="B31" s="178"/>
      <c r="C31" s="182" t="s">
        <v>318</v>
      </c>
      <c r="D31" s="182" t="s">
        <v>319</v>
      </c>
      <c r="E31" s="180">
        <v>1.0</v>
      </c>
      <c r="F31" s="180"/>
      <c r="G31" s="172"/>
      <c r="H31" s="181">
        <f t="shared" si="7"/>
        <v>1.5</v>
      </c>
      <c r="I31" s="29">
        <f t="shared" si="8"/>
        <v>1.3</v>
      </c>
      <c r="J31" s="30">
        <f t="shared" si="9"/>
        <v>1.3</v>
      </c>
      <c r="K31" s="31">
        <f t="shared" si="10"/>
        <v>1.2</v>
      </c>
      <c r="L31" s="30">
        <f t="shared" si="11"/>
        <v>1.15</v>
      </c>
      <c r="M31" s="31">
        <f t="shared" si="12"/>
        <v>1.1</v>
      </c>
      <c r="N31" s="32"/>
      <c r="O31" s="33"/>
    </row>
    <row r="32" ht="15.75" customHeight="1">
      <c r="A32" s="177" t="s">
        <v>290</v>
      </c>
      <c r="B32" s="178"/>
      <c r="C32" s="182" t="s">
        <v>320</v>
      </c>
      <c r="D32" s="182" t="s">
        <v>321</v>
      </c>
      <c r="E32" s="180">
        <v>1.0</v>
      </c>
      <c r="F32" s="180"/>
      <c r="G32" s="172"/>
      <c r="H32" s="181">
        <f t="shared" si="7"/>
        <v>1.5</v>
      </c>
      <c r="I32" s="29">
        <f t="shared" si="8"/>
        <v>1.3</v>
      </c>
      <c r="J32" s="30">
        <f t="shared" si="9"/>
        <v>1.3</v>
      </c>
      <c r="K32" s="31">
        <f t="shared" si="10"/>
        <v>1.2</v>
      </c>
      <c r="L32" s="30">
        <f t="shared" si="11"/>
        <v>1.15</v>
      </c>
      <c r="M32" s="31">
        <f t="shared" si="12"/>
        <v>1.1</v>
      </c>
      <c r="N32" s="32"/>
      <c r="O32" s="33"/>
    </row>
    <row r="33" ht="15.75" customHeight="1">
      <c r="A33" s="177" t="s">
        <v>290</v>
      </c>
      <c r="B33" s="178"/>
      <c r="C33" s="182" t="s">
        <v>322</v>
      </c>
      <c r="D33" s="182" t="s">
        <v>323</v>
      </c>
      <c r="E33" s="180">
        <v>1.0</v>
      </c>
      <c r="F33" s="180"/>
      <c r="G33" s="172"/>
      <c r="H33" s="181">
        <f t="shared" si="7"/>
        <v>1.5</v>
      </c>
      <c r="I33" s="29">
        <f t="shared" si="8"/>
        <v>1.3</v>
      </c>
      <c r="J33" s="30">
        <f t="shared" si="9"/>
        <v>1.3</v>
      </c>
      <c r="K33" s="31">
        <f t="shared" si="10"/>
        <v>1.2</v>
      </c>
      <c r="L33" s="30">
        <f t="shared" si="11"/>
        <v>1.15</v>
      </c>
      <c r="M33" s="31">
        <f t="shared" si="12"/>
        <v>1.1</v>
      </c>
      <c r="N33" s="32"/>
      <c r="O33" s="33"/>
    </row>
    <row r="34" ht="15.75" customHeight="1">
      <c r="A34" s="177" t="s">
        <v>290</v>
      </c>
      <c r="B34" s="178"/>
      <c r="C34" s="182" t="s">
        <v>324</v>
      </c>
      <c r="D34" s="182" t="s">
        <v>325</v>
      </c>
      <c r="E34" s="180">
        <v>1.0</v>
      </c>
      <c r="F34" s="180"/>
      <c r="G34" s="172"/>
      <c r="H34" s="181">
        <f t="shared" si="7"/>
        <v>1.5</v>
      </c>
      <c r="I34" s="29">
        <f t="shared" si="8"/>
        <v>1.3</v>
      </c>
      <c r="J34" s="30">
        <f t="shared" si="9"/>
        <v>1.3</v>
      </c>
      <c r="K34" s="31">
        <f t="shared" si="10"/>
        <v>1.2</v>
      </c>
      <c r="L34" s="30">
        <f t="shared" si="11"/>
        <v>1.15</v>
      </c>
      <c r="M34" s="31">
        <f t="shared" si="12"/>
        <v>1.1</v>
      </c>
      <c r="N34" s="32"/>
      <c r="O34" s="33"/>
    </row>
    <row r="35" ht="15.75" customHeight="1">
      <c r="A35" s="177" t="s">
        <v>290</v>
      </c>
      <c r="B35" s="178"/>
      <c r="C35" s="182" t="s">
        <v>326</v>
      </c>
      <c r="D35" s="182" t="s">
        <v>327</v>
      </c>
      <c r="E35" s="180">
        <v>1.0</v>
      </c>
      <c r="F35" s="180"/>
      <c r="G35" s="172"/>
      <c r="H35" s="181">
        <f t="shared" si="7"/>
        <v>1.5</v>
      </c>
      <c r="I35" s="29">
        <f t="shared" si="8"/>
        <v>1.3</v>
      </c>
      <c r="J35" s="30">
        <f t="shared" si="9"/>
        <v>1.3</v>
      </c>
      <c r="K35" s="31">
        <f t="shared" si="10"/>
        <v>1.2</v>
      </c>
      <c r="L35" s="30">
        <f t="shared" si="11"/>
        <v>1.15</v>
      </c>
      <c r="M35" s="31">
        <f t="shared" si="12"/>
        <v>1.1</v>
      </c>
      <c r="N35" s="32"/>
      <c r="O35" s="33"/>
    </row>
    <row r="36" ht="15.75" customHeight="1">
      <c r="A36" s="177" t="s">
        <v>290</v>
      </c>
      <c r="B36" s="178"/>
      <c r="C36" s="182" t="s">
        <v>328</v>
      </c>
      <c r="D36" s="182" t="s">
        <v>329</v>
      </c>
      <c r="E36" s="180">
        <v>1.0</v>
      </c>
      <c r="F36" s="180"/>
      <c r="G36" s="172"/>
      <c r="H36" s="181">
        <f t="shared" si="7"/>
        <v>1.5</v>
      </c>
      <c r="I36" s="29">
        <f t="shared" si="8"/>
        <v>1.3</v>
      </c>
      <c r="J36" s="30">
        <f t="shared" si="9"/>
        <v>1.3</v>
      </c>
      <c r="K36" s="31">
        <f t="shared" si="10"/>
        <v>1.2</v>
      </c>
      <c r="L36" s="30">
        <f t="shared" si="11"/>
        <v>1.15</v>
      </c>
      <c r="M36" s="31">
        <f t="shared" si="12"/>
        <v>1.1</v>
      </c>
      <c r="N36" s="32"/>
      <c r="O36" s="33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ht="15.75" customHeight="1">
      <c r="A37" s="177" t="s">
        <v>290</v>
      </c>
      <c r="B37" s="178"/>
      <c r="C37" s="182" t="s">
        <v>330</v>
      </c>
      <c r="D37" s="182" t="s">
        <v>331</v>
      </c>
      <c r="E37" s="180">
        <v>1.0</v>
      </c>
      <c r="F37" s="180"/>
      <c r="G37" s="172"/>
      <c r="H37" s="181">
        <f t="shared" si="7"/>
        <v>1.5</v>
      </c>
      <c r="I37" s="29">
        <f t="shared" si="8"/>
        <v>1.3</v>
      </c>
      <c r="J37" s="30">
        <f t="shared" si="9"/>
        <v>1.3</v>
      </c>
      <c r="K37" s="31">
        <f t="shared" si="10"/>
        <v>1.2</v>
      </c>
      <c r="L37" s="30">
        <f t="shared" si="11"/>
        <v>1.15</v>
      </c>
      <c r="M37" s="31">
        <f t="shared" si="12"/>
        <v>1.1</v>
      </c>
      <c r="N37" s="32"/>
      <c r="O37" s="33"/>
    </row>
    <row r="38" ht="15.75" customHeight="1">
      <c r="A38" s="177" t="s">
        <v>290</v>
      </c>
      <c r="B38" s="178"/>
      <c r="C38" s="182" t="s">
        <v>332</v>
      </c>
      <c r="D38" s="182" t="s">
        <v>333</v>
      </c>
      <c r="E38" s="180">
        <v>1.0</v>
      </c>
      <c r="F38" s="180"/>
      <c r="G38" s="172"/>
      <c r="H38" s="181">
        <f t="shared" si="7"/>
        <v>1.5</v>
      </c>
      <c r="I38" s="29">
        <f t="shared" si="8"/>
        <v>1.3</v>
      </c>
      <c r="J38" s="30">
        <f t="shared" si="9"/>
        <v>1.3</v>
      </c>
      <c r="K38" s="31">
        <f t="shared" si="10"/>
        <v>1.2</v>
      </c>
      <c r="L38" s="30">
        <f t="shared" si="11"/>
        <v>1.15</v>
      </c>
      <c r="M38" s="31">
        <f t="shared" si="12"/>
        <v>1.1</v>
      </c>
      <c r="N38" s="32"/>
      <c r="O38" s="33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ht="15.75" customHeight="1">
      <c r="A39" s="177" t="s">
        <v>263</v>
      </c>
      <c r="B39" s="178"/>
      <c r="C39" s="182" t="s">
        <v>334</v>
      </c>
      <c r="D39" s="182" t="s">
        <v>335</v>
      </c>
      <c r="E39" s="180">
        <v>1.0</v>
      </c>
      <c r="F39" s="180"/>
      <c r="G39" s="172"/>
      <c r="H39" s="181">
        <f t="shared" si="7"/>
        <v>1.5</v>
      </c>
      <c r="I39" s="29">
        <f t="shared" si="8"/>
        <v>1.3</v>
      </c>
      <c r="J39" s="30">
        <f t="shared" si="9"/>
        <v>1.3</v>
      </c>
      <c r="K39" s="31">
        <f t="shared" si="10"/>
        <v>1.2</v>
      </c>
      <c r="L39" s="30">
        <f t="shared" si="11"/>
        <v>1.15</v>
      </c>
      <c r="M39" s="31">
        <f t="shared" si="12"/>
        <v>1.1</v>
      </c>
      <c r="N39" s="32"/>
      <c r="O39" s="33"/>
    </row>
    <row r="40" ht="15.75" customHeight="1">
      <c r="A40" s="177" t="s">
        <v>263</v>
      </c>
      <c r="B40" s="178"/>
      <c r="C40" s="182" t="s">
        <v>336</v>
      </c>
      <c r="D40" s="182" t="s">
        <v>302</v>
      </c>
      <c r="E40" s="180">
        <v>1.0</v>
      </c>
      <c r="F40" s="180"/>
      <c r="G40" s="172"/>
      <c r="H40" s="181">
        <f t="shared" si="7"/>
        <v>1.5</v>
      </c>
      <c r="I40" s="29">
        <f t="shared" si="8"/>
        <v>1.3</v>
      </c>
      <c r="J40" s="30">
        <f t="shared" si="9"/>
        <v>1.3</v>
      </c>
      <c r="K40" s="31">
        <f t="shared" si="10"/>
        <v>1.2</v>
      </c>
      <c r="L40" s="30">
        <f t="shared" si="11"/>
        <v>1.15</v>
      </c>
      <c r="M40" s="31">
        <f t="shared" si="12"/>
        <v>1.1</v>
      </c>
      <c r="N40" s="32"/>
      <c r="O40" s="33"/>
    </row>
    <row r="41" ht="15.75" customHeight="1">
      <c r="A41" s="177" t="s">
        <v>263</v>
      </c>
      <c r="B41" s="178"/>
      <c r="C41" s="182" t="s">
        <v>337</v>
      </c>
      <c r="D41" s="182" t="s">
        <v>304</v>
      </c>
      <c r="E41" s="180">
        <v>1.0</v>
      </c>
      <c r="F41" s="180"/>
      <c r="G41" s="172"/>
      <c r="H41" s="181">
        <f t="shared" si="7"/>
        <v>1.5</v>
      </c>
      <c r="I41" s="29">
        <f t="shared" si="8"/>
        <v>1.3</v>
      </c>
      <c r="J41" s="30">
        <f t="shared" si="9"/>
        <v>1.3</v>
      </c>
      <c r="K41" s="31">
        <f t="shared" si="10"/>
        <v>1.2</v>
      </c>
      <c r="L41" s="30">
        <f t="shared" si="11"/>
        <v>1.15</v>
      </c>
      <c r="M41" s="31">
        <f t="shared" si="12"/>
        <v>1.1</v>
      </c>
      <c r="N41" s="32"/>
      <c r="O41" s="33"/>
    </row>
    <row r="42" ht="15.75" customHeight="1">
      <c r="A42" s="177" t="s">
        <v>263</v>
      </c>
      <c r="B42" s="178"/>
      <c r="C42" s="182" t="s">
        <v>338</v>
      </c>
      <c r="D42" s="182" t="s">
        <v>306</v>
      </c>
      <c r="E42" s="180">
        <v>1.0</v>
      </c>
      <c r="F42" s="180"/>
      <c r="G42" s="172"/>
      <c r="H42" s="181">
        <f t="shared" si="7"/>
        <v>1.5</v>
      </c>
      <c r="I42" s="29">
        <f t="shared" si="8"/>
        <v>1.3</v>
      </c>
      <c r="J42" s="30">
        <f t="shared" si="9"/>
        <v>1.3</v>
      </c>
      <c r="K42" s="31">
        <f t="shared" si="10"/>
        <v>1.2</v>
      </c>
      <c r="L42" s="30">
        <f t="shared" si="11"/>
        <v>1.15</v>
      </c>
      <c r="M42" s="31">
        <f t="shared" si="12"/>
        <v>1.1</v>
      </c>
      <c r="N42" s="32"/>
      <c r="O42" s="33"/>
    </row>
    <row r="43" ht="15.75" customHeight="1">
      <c r="A43" s="177" t="s">
        <v>263</v>
      </c>
      <c r="B43" s="178"/>
      <c r="C43" s="182" t="s">
        <v>339</v>
      </c>
      <c r="D43" s="182" t="s">
        <v>340</v>
      </c>
      <c r="E43" s="180">
        <v>1.0</v>
      </c>
      <c r="F43" s="180"/>
      <c r="G43" s="185"/>
      <c r="H43" s="181">
        <f t="shared" si="7"/>
        <v>1.5</v>
      </c>
      <c r="I43" s="29">
        <f t="shared" si="8"/>
        <v>1.3</v>
      </c>
      <c r="J43" s="30">
        <f t="shared" si="9"/>
        <v>1.3</v>
      </c>
      <c r="K43" s="31">
        <f t="shared" si="10"/>
        <v>1.2</v>
      </c>
      <c r="L43" s="30">
        <f t="shared" si="11"/>
        <v>1.15</v>
      </c>
      <c r="M43" s="31">
        <f t="shared" si="12"/>
        <v>1.1</v>
      </c>
      <c r="N43" s="32"/>
      <c r="O43" s="33"/>
    </row>
    <row r="44" ht="15.75" customHeight="1">
      <c r="A44" s="21"/>
      <c r="B44" s="70"/>
      <c r="C44" s="186" t="s">
        <v>341</v>
      </c>
      <c r="D44" s="186" t="s">
        <v>342</v>
      </c>
      <c r="E44" s="187">
        <v>1.0</v>
      </c>
      <c r="F44" s="187"/>
      <c r="G44" s="185"/>
      <c r="H44" s="181">
        <f t="shared" si="7"/>
        <v>1.5</v>
      </c>
      <c r="I44" s="29">
        <f t="shared" si="8"/>
        <v>1.3</v>
      </c>
      <c r="J44" s="30">
        <f t="shared" si="9"/>
        <v>1.3</v>
      </c>
      <c r="K44" s="31">
        <f t="shared" si="10"/>
        <v>1.2</v>
      </c>
      <c r="L44" s="30">
        <f t="shared" si="11"/>
        <v>1.15</v>
      </c>
      <c r="M44" s="31">
        <f t="shared" si="12"/>
        <v>1.1</v>
      </c>
      <c r="N44" s="32"/>
      <c r="O44" s="33"/>
    </row>
    <row r="45" ht="15.75" customHeight="1">
      <c r="A45" s="21"/>
      <c r="B45" s="70"/>
      <c r="C45" s="186" t="s">
        <v>343</v>
      </c>
      <c r="D45" s="186" t="s">
        <v>344</v>
      </c>
      <c r="E45" s="187">
        <v>30.0</v>
      </c>
      <c r="F45" s="187"/>
      <c r="G45" s="185"/>
      <c r="H45" s="181">
        <f t="shared" si="7"/>
        <v>45</v>
      </c>
      <c r="I45" s="29">
        <f t="shared" si="8"/>
        <v>39</v>
      </c>
      <c r="J45" s="30">
        <f t="shared" si="9"/>
        <v>39</v>
      </c>
      <c r="K45" s="31">
        <f t="shared" si="10"/>
        <v>36</v>
      </c>
      <c r="L45" s="30">
        <f t="shared" si="11"/>
        <v>34.5</v>
      </c>
      <c r="M45" s="31">
        <f t="shared" si="12"/>
        <v>33</v>
      </c>
      <c r="N45" s="32"/>
      <c r="O45" s="33"/>
    </row>
    <row r="46" ht="15.75" customHeight="1">
      <c r="A46" s="21"/>
      <c r="B46" s="70"/>
      <c r="C46" s="186" t="s">
        <v>345</v>
      </c>
      <c r="D46" s="186" t="s">
        <v>346</v>
      </c>
      <c r="E46" s="187">
        <v>1.0</v>
      </c>
      <c r="F46" s="187"/>
      <c r="G46" s="185"/>
      <c r="H46" s="181">
        <f t="shared" si="7"/>
        <v>1.5</v>
      </c>
      <c r="I46" s="29">
        <f t="shared" si="8"/>
        <v>1.3</v>
      </c>
      <c r="J46" s="30">
        <f t="shared" si="9"/>
        <v>1.3</v>
      </c>
      <c r="K46" s="31">
        <f t="shared" si="10"/>
        <v>1.2</v>
      </c>
      <c r="L46" s="30">
        <f t="shared" si="11"/>
        <v>1.15</v>
      </c>
      <c r="M46" s="31">
        <f t="shared" si="12"/>
        <v>1.1</v>
      </c>
      <c r="N46" s="32"/>
      <c r="O46" s="33"/>
    </row>
    <row r="47" ht="15.75" customHeight="1">
      <c r="A47" s="21"/>
      <c r="B47" s="70"/>
      <c r="C47" s="186" t="s">
        <v>347</v>
      </c>
      <c r="D47" s="186" t="s">
        <v>348</v>
      </c>
      <c r="E47" s="187">
        <v>1.0</v>
      </c>
      <c r="F47" s="187">
        <v>95.0</v>
      </c>
      <c r="G47" s="185"/>
      <c r="H47" s="181">
        <f t="shared" si="7"/>
        <v>1.5</v>
      </c>
      <c r="I47" s="29">
        <f t="shared" si="8"/>
        <v>1.3</v>
      </c>
      <c r="J47" s="30">
        <f t="shared" si="9"/>
        <v>1.3</v>
      </c>
      <c r="K47" s="31">
        <f t="shared" si="10"/>
        <v>1.2</v>
      </c>
      <c r="L47" s="30">
        <f t="shared" si="11"/>
        <v>1.15</v>
      </c>
      <c r="M47" s="31">
        <f t="shared" si="12"/>
        <v>1.1</v>
      </c>
      <c r="N47" s="32"/>
      <c r="O47" s="33"/>
    </row>
    <row r="48" ht="15.75" customHeight="1">
      <c r="A48" s="21"/>
      <c r="B48" s="70"/>
      <c r="C48" s="186" t="s">
        <v>349</v>
      </c>
      <c r="D48" s="186" t="s">
        <v>350</v>
      </c>
      <c r="E48" s="187">
        <v>1.0</v>
      </c>
      <c r="F48" s="187"/>
      <c r="G48" s="185"/>
      <c r="H48" s="181">
        <f t="shared" si="7"/>
        <v>1.5</v>
      </c>
      <c r="I48" s="29">
        <f t="shared" si="8"/>
        <v>1.3</v>
      </c>
      <c r="J48" s="30">
        <f t="shared" si="9"/>
        <v>1.3</v>
      </c>
      <c r="K48" s="31">
        <f t="shared" si="10"/>
        <v>1.2</v>
      </c>
      <c r="L48" s="30">
        <f t="shared" si="11"/>
        <v>1.15</v>
      </c>
      <c r="M48" s="31">
        <f t="shared" si="12"/>
        <v>1.1</v>
      </c>
      <c r="N48" s="32"/>
      <c r="O48" s="33"/>
    </row>
    <row r="49" ht="15.75" customHeight="1">
      <c r="A49" s="21"/>
      <c r="B49" s="70"/>
      <c r="C49" s="186" t="s">
        <v>351</v>
      </c>
      <c r="D49" s="186" t="s">
        <v>352</v>
      </c>
      <c r="E49" s="187">
        <v>1.0</v>
      </c>
      <c r="F49" s="187">
        <v>164.0</v>
      </c>
      <c r="G49" s="185"/>
      <c r="H49" s="181">
        <f t="shared" si="7"/>
        <v>1.5</v>
      </c>
      <c r="I49" s="29">
        <f t="shared" si="8"/>
        <v>1.3</v>
      </c>
      <c r="J49" s="30">
        <f t="shared" si="9"/>
        <v>1.3</v>
      </c>
      <c r="K49" s="31">
        <f t="shared" si="10"/>
        <v>1.2</v>
      </c>
      <c r="L49" s="30">
        <f t="shared" si="11"/>
        <v>1.15</v>
      </c>
      <c r="M49" s="31">
        <f t="shared" si="12"/>
        <v>1.1</v>
      </c>
      <c r="N49" s="32"/>
      <c r="O49" s="33"/>
    </row>
    <row r="50" ht="15.75" customHeight="1">
      <c r="A50" s="21"/>
      <c r="B50" s="70"/>
      <c r="C50" s="186" t="s">
        <v>353</v>
      </c>
      <c r="D50" s="186" t="s">
        <v>354</v>
      </c>
      <c r="E50" s="187">
        <v>1.0</v>
      </c>
      <c r="F50" s="187"/>
      <c r="G50" s="185"/>
      <c r="H50" s="181">
        <f t="shared" si="7"/>
        <v>1.5</v>
      </c>
      <c r="I50" s="29">
        <f t="shared" si="8"/>
        <v>1.3</v>
      </c>
      <c r="J50" s="30">
        <f t="shared" si="9"/>
        <v>1.3</v>
      </c>
      <c r="K50" s="31">
        <f t="shared" si="10"/>
        <v>1.2</v>
      </c>
      <c r="L50" s="30">
        <f t="shared" si="11"/>
        <v>1.15</v>
      </c>
      <c r="M50" s="31">
        <f t="shared" si="12"/>
        <v>1.1</v>
      </c>
      <c r="N50" s="32"/>
      <c r="O50" s="33"/>
    </row>
    <row r="51" ht="15.75" customHeight="1">
      <c r="A51" s="21"/>
      <c r="B51" s="70"/>
      <c r="C51" s="186" t="s">
        <v>355</v>
      </c>
      <c r="D51" s="186" t="s">
        <v>356</v>
      </c>
      <c r="E51" s="187">
        <v>1.0</v>
      </c>
      <c r="F51" s="187"/>
      <c r="G51" s="185"/>
      <c r="H51" s="181">
        <f t="shared" si="7"/>
        <v>1.5</v>
      </c>
      <c r="I51" s="29">
        <f t="shared" si="8"/>
        <v>1.3</v>
      </c>
      <c r="J51" s="30">
        <f t="shared" si="9"/>
        <v>1.3</v>
      </c>
      <c r="K51" s="31">
        <f t="shared" si="10"/>
        <v>1.2</v>
      </c>
      <c r="L51" s="30">
        <f t="shared" si="11"/>
        <v>1.15</v>
      </c>
      <c r="M51" s="31">
        <f t="shared" si="12"/>
        <v>1.1</v>
      </c>
      <c r="N51" s="32"/>
      <c r="O51" s="33"/>
    </row>
    <row r="52" ht="15.75" customHeight="1">
      <c r="A52" s="21"/>
      <c r="B52" s="70"/>
      <c r="C52" s="186" t="s">
        <v>357</v>
      </c>
      <c r="D52" s="186" t="s">
        <v>358</v>
      </c>
      <c r="E52" s="187">
        <v>1.0</v>
      </c>
      <c r="F52" s="187"/>
      <c r="G52" s="185"/>
      <c r="H52" s="181">
        <f t="shared" si="7"/>
        <v>1.5</v>
      </c>
      <c r="I52" s="29">
        <f t="shared" si="8"/>
        <v>1.3</v>
      </c>
      <c r="J52" s="30">
        <f t="shared" si="9"/>
        <v>1.3</v>
      </c>
      <c r="K52" s="31">
        <f t="shared" si="10"/>
        <v>1.2</v>
      </c>
      <c r="L52" s="30">
        <f t="shared" si="11"/>
        <v>1.15</v>
      </c>
      <c r="M52" s="31">
        <f t="shared" si="12"/>
        <v>1.1</v>
      </c>
      <c r="N52" s="32"/>
      <c r="O52" s="33"/>
    </row>
    <row r="53" ht="15.75" customHeight="1">
      <c r="A53" s="21"/>
      <c r="B53" s="70"/>
      <c r="C53" s="186" t="s">
        <v>359</v>
      </c>
      <c r="D53" s="186" t="s">
        <v>360</v>
      </c>
      <c r="E53" s="187">
        <v>1.0</v>
      </c>
      <c r="F53" s="187"/>
      <c r="G53" s="185"/>
      <c r="H53" s="181">
        <f t="shared" si="7"/>
        <v>1.5</v>
      </c>
      <c r="I53" s="29">
        <f t="shared" si="8"/>
        <v>1.3</v>
      </c>
      <c r="J53" s="30">
        <f t="shared" si="9"/>
        <v>1.3</v>
      </c>
      <c r="K53" s="31">
        <f t="shared" si="10"/>
        <v>1.2</v>
      </c>
      <c r="L53" s="30">
        <f t="shared" si="11"/>
        <v>1.15</v>
      </c>
      <c r="M53" s="31">
        <f t="shared" si="12"/>
        <v>1.1</v>
      </c>
      <c r="N53" s="32"/>
      <c r="O53" s="86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ht="15.75" customHeight="1">
      <c r="A54" s="21"/>
      <c r="B54" s="70"/>
      <c r="C54" s="186" t="s">
        <v>361</v>
      </c>
      <c r="D54" s="186" t="s">
        <v>362</v>
      </c>
      <c r="E54" s="187">
        <v>1.0</v>
      </c>
      <c r="F54" s="187"/>
      <c r="G54" s="185"/>
      <c r="H54" s="181">
        <f t="shared" si="7"/>
        <v>1.5</v>
      </c>
      <c r="I54" s="29">
        <f t="shared" si="8"/>
        <v>1.3</v>
      </c>
      <c r="J54" s="30">
        <f t="shared" si="9"/>
        <v>1.3</v>
      </c>
      <c r="K54" s="31">
        <f t="shared" si="10"/>
        <v>1.2</v>
      </c>
      <c r="L54" s="30">
        <f t="shared" si="11"/>
        <v>1.15</v>
      </c>
      <c r="M54" s="31">
        <f t="shared" si="12"/>
        <v>1.1</v>
      </c>
      <c r="N54" s="32"/>
      <c r="O54" s="86"/>
    </row>
    <row r="55" ht="15.75" customHeight="1">
      <c r="A55" s="21"/>
      <c r="B55" s="70"/>
      <c r="C55" s="186" t="s">
        <v>363</v>
      </c>
      <c r="D55" s="186" t="s">
        <v>364</v>
      </c>
      <c r="E55" s="187">
        <v>100.0</v>
      </c>
      <c r="F55" s="187"/>
      <c r="G55" s="185"/>
      <c r="H55" s="181">
        <f t="shared" si="7"/>
        <v>150</v>
      </c>
      <c r="I55" s="29">
        <f t="shared" si="8"/>
        <v>130</v>
      </c>
      <c r="J55" s="30">
        <f t="shared" si="9"/>
        <v>130</v>
      </c>
      <c r="K55" s="31">
        <f t="shared" si="10"/>
        <v>120</v>
      </c>
      <c r="L55" s="30">
        <f t="shared" si="11"/>
        <v>115</v>
      </c>
      <c r="M55" s="31">
        <f t="shared" si="12"/>
        <v>110</v>
      </c>
      <c r="N55" s="32"/>
      <c r="O55" s="86"/>
    </row>
    <row r="56" ht="15.75" customHeight="1">
      <c r="A56" s="21"/>
      <c r="B56" s="70"/>
      <c r="C56" s="186" t="s">
        <v>365</v>
      </c>
      <c r="D56" s="186" t="s">
        <v>366</v>
      </c>
      <c r="E56" s="187">
        <v>1.0</v>
      </c>
      <c r="F56" s="187"/>
      <c r="G56" s="185"/>
      <c r="H56" s="181">
        <f t="shared" si="7"/>
        <v>1.5</v>
      </c>
      <c r="I56" s="29">
        <f t="shared" si="8"/>
        <v>1.3</v>
      </c>
      <c r="J56" s="30">
        <f t="shared" si="9"/>
        <v>1.3</v>
      </c>
      <c r="K56" s="31">
        <f t="shared" si="10"/>
        <v>1.2</v>
      </c>
      <c r="L56" s="30">
        <f t="shared" si="11"/>
        <v>1.15</v>
      </c>
      <c r="M56" s="31">
        <f t="shared" si="12"/>
        <v>1.1</v>
      </c>
      <c r="N56" s="32"/>
      <c r="O56" s="33"/>
    </row>
    <row r="57" ht="15.75" customHeight="1">
      <c r="A57" s="21"/>
      <c r="B57" s="70"/>
      <c r="C57" s="186" t="s">
        <v>367</v>
      </c>
      <c r="D57" s="186" t="s">
        <v>368</v>
      </c>
      <c r="E57" s="187">
        <v>1.0</v>
      </c>
      <c r="F57" s="187"/>
      <c r="G57" s="185"/>
      <c r="H57" s="181">
        <f t="shared" si="7"/>
        <v>1.5</v>
      </c>
      <c r="I57" s="29">
        <f t="shared" si="8"/>
        <v>1.3</v>
      </c>
      <c r="J57" s="30">
        <f t="shared" si="9"/>
        <v>1.3</v>
      </c>
      <c r="K57" s="31">
        <f t="shared" si="10"/>
        <v>1.2</v>
      </c>
      <c r="L57" s="30">
        <f t="shared" si="11"/>
        <v>1.15</v>
      </c>
      <c r="M57" s="31">
        <f t="shared" si="12"/>
        <v>1.1</v>
      </c>
      <c r="N57" s="32"/>
      <c r="O57" s="86"/>
    </row>
    <row r="58" ht="15.75" customHeight="1">
      <c r="A58" s="21"/>
      <c r="B58" s="70"/>
      <c r="C58" s="186" t="s">
        <v>369</v>
      </c>
      <c r="D58" s="186" t="s">
        <v>370</v>
      </c>
      <c r="E58" s="187">
        <v>1.0</v>
      </c>
      <c r="F58" s="187"/>
      <c r="G58" s="185"/>
      <c r="H58" s="181">
        <f t="shared" si="7"/>
        <v>1.5</v>
      </c>
      <c r="I58" s="29">
        <f t="shared" si="8"/>
        <v>1.3</v>
      </c>
      <c r="J58" s="30">
        <f t="shared" si="9"/>
        <v>1.3</v>
      </c>
      <c r="K58" s="31">
        <f t="shared" si="10"/>
        <v>1.2</v>
      </c>
      <c r="L58" s="30">
        <f t="shared" si="11"/>
        <v>1.15</v>
      </c>
      <c r="M58" s="31">
        <f t="shared" si="12"/>
        <v>1.1</v>
      </c>
      <c r="N58" s="32"/>
      <c r="O58" s="33"/>
    </row>
    <row r="59" ht="15.75" customHeight="1">
      <c r="A59" s="21"/>
      <c r="B59" s="70"/>
      <c r="C59" s="186" t="s">
        <v>371</v>
      </c>
      <c r="D59" s="186" t="s">
        <v>372</v>
      </c>
      <c r="E59" s="187">
        <v>1.0</v>
      </c>
      <c r="F59" s="187"/>
      <c r="G59" s="185"/>
      <c r="H59" s="181">
        <f t="shared" si="7"/>
        <v>1.5</v>
      </c>
      <c r="I59" s="29">
        <f t="shared" si="8"/>
        <v>1.3</v>
      </c>
      <c r="J59" s="30">
        <f t="shared" si="9"/>
        <v>1.3</v>
      </c>
      <c r="K59" s="31">
        <f t="shared" si="10"/>
        <v>1.2</v>
      </c>
      <c r="L59" s="30">
        <f t="shared" si="11"/>
        <v>1.15</v>
      </c>
      <c r="M59" s="31">
        <f t="shared" si="12"/>
        <v>1.1</v>
      </c>
      <c r="N59" s="32"/>
      <c r="O59" s="86"/>
    </row>
    <row r="60" ht="15.75" customHeight="1">
      <c r="A60" s="21"/>
      <c r="B60" s="70"/>
      <c r="C60" s="186" t="s">
        <v>373</v>
      </c>
      <c r="D60" s="186" t="s">
        <v>374</v>
      </c>
      <c r="E60" s="187">
        <v>1.0</v>
      </c>
      <c r="F60" s="187"/>
      <c r="G60" s="185"/>
      <c r="H60" s="181">
        <f t="shared" si="7"/>
        <v>1.5</v>
      </c>
      <c r="I60" s="29">
        <f t="shared" si="8"/>
        <v>1.3</v>
      </c>
      <c r="J60" s="30">
        <f t="shared" si="9"/>
        <v>1.3</v>
      </c>
      <c r="K60" s="31">
        <f t="shared" si="10"/>
        <v>1.2</v>
      </c>
      <c r="L60" s="30">
        <f t="shared" si="11"/>
        <v>1.15</v>
      </c>
      <c r="M60" s="31">
        <f t="shared" si="12"/>
        <v>1.1</v>
      </c>
      <c r="N60" s="32"/>
      <c r="O60" s="86"/>
    </row>
    <row r="61" ht="15.75" customHeight="1">
      <c r="A61" s="21"/>
      <c r="B61" s="70"/>
      <c r="C61" s="186" t="s">
        <v>375</v>
      </c>
      <c r="D61" s="186" t="s">
        <v>376</v>
      </c>
      <c r="E61" s="187">
        <v>1.0</v>
      </c>
      <c r="F61" s="187"/>
      <c r="G61" s="185"/>
      <c r="H61" s="181">
        <f t="shared" si="7"/>
        <v>1.5</v>
      </c>
      <c r="I61" s="29">
        <f t="shared" si="8"/>
        <v>1.3</v>
      </c>
      <c r="J61" s="30">
        <f t="shared" si="9"/>
        <v>1.3</v>
      </c>
      <c r="K61" s="31">
        <f t="shared" si="10"/>
        <v>1.2</v>
      </c>
      <c r="L61" s="30">
        <f t="shared" si="11"/>
        <v>1.15</v>
      </c>
      <c r="M61" s="31">
        <f t="shared" si="12"/>
        <v>1.1</v>
      </c>
      <c r="N61" s="32"/>
      <c r="O61" s="86"/>
    </row>
    <row r="62" ht="15.75" customHeight="1">
      <c r="A62" s="21"/>
      <c r="B62" s="70"/>
      <c r="C62" s="186" t="s">
        <v>377</v>
      </c>
      <c r="D62" s="186" t="s">
        <v>378</v>
      </c>
      <c r="E62" s="187">
        <v>1.0</v>
      </c>
      <c r="F62" s="187"/>
      <c r="G62" s="185"/>
      <c r="H62" s="181">
        <f t="shared" si="7"/>
        <v>1.5</v>
      </c>
      <c r="I62" s="29">
        <f t="shared" si="8"/>
        <v>1.3</v>
      </c>
      <c r="J62" s="30">
        <f t="shared" si="9"/>
        <v>1.3</v>
      </c>
      <c r="K62" s="31">
        <f t="shared" si="10"/>
        <v>1.2</v>
      </c>
      <c r="L62" s="30">
        <f t="shared" si="11"/>
        <v>1.15</v>
      </c>
      <c r="M62" s="31">
        <f t="shared" si="12"/>
        <v>1.1</v>
      </c>
      <c r="N62" s="32"/>
      <c r="O62" s="33"/>
    </row>
    <row r="63" ht="15.75" customHeight="1">
      <c r="A63" s="21"/>
      <c r="B63" s="70"/>
      <c r="C63" s="186" t="s">
        <v>379</v>
      </c>
      <c r="D63" s="186" t="s">
        <v>380</v>
      </c>
      <c r="E63" s="187">
        <v>1.0</v>
      </c>
      <c r="F63" s="187"/>
      <c r="G63" s="185"/>
      <c r="H63" s="181">
        <f t="shared" si="7"/>
        <v>1.5</v>
      </c>
      <c r="I63" s="29">
        <f t="shared" si="8"/>
        <v>1.3</v>
      </c>
      <c r="J63" s="30">
        <f t="shared" si="9"/>
        <v>1.3</v>
      </c>
      <c r="K63" s="31">
        <f t="shared" si="10"/>
        <v>1.2</v>
      </c>
      <c r="L63" s="30">
        <f t="shared" si="11"/>
        <v>1.15</v>
      </c>
      <c r="M63" s="31">
        <f t="shared" si="12"/>
        <v>1.1</v>
      </c>
      <c r="N63" s="32"/>
      <c r="O63" s="33"/>
    </row>
    <row r="64" ht="15.75" customHeight="1">
      <c r="A64" s="21"/>
      <c r="B64" s="70"/>
      <c r="C64" s="186" t="s">
        <v>381</v>
      </c>
      <c r="D64" s="186" t="s">
        <v>382</v>
      </c>
      <c r="E64" s="187">
        <v>1.0</v>
      </c>
      <c r="F64" s="187"/>
      <c r="G64" s="185"/>
      <c r="H64" s="181">
        <f t="shared" si="7"/>
        <v>1.5</v>
      </c>
      <c r="I64" s="29">
        <f t="shared" si="8"/>
        <v>1.3</v>
      </c>
      <c r="J64" s="30">
        <f t="shared" si="9"/>
        <v>1.3</v>
      </c>
      <c r="K64" s="31">
        <f t="shared" si="10"/>
        <v>1.2</v>
      </c>
      <c r="L64" s="30">
        <f t="shared" si="11"/>
        <v>1.15</v>
      </c>
      <c r="M64" s="31">
        <f t="shared" si="12"/>
        <v>1.1</v>
      </c>
      <c r="N64" s="32"/>
      <c r="O64" s="33"/>
    </row>
    <row r="65" ht="15.75" customHeight="1">
      <c r="A65" s="21"/>
      <c r="B65" s="70"/>
      <c r="C65" s="186" t="s">
        <v>383</v>
      </c>
      <c r="D65" s="186" t="s">
        <v>384</v>
      </c>
      <c r="E65" s="187">
        <v>1.0</v>
      </c>
      <c r="F65" s="187"/>
      <c r="G65" s="185"/>
      <c r="H65" s="181">
        <f t="shared" si="7"/>
        <v>1.5</v>
      </c>
      <c r="I65" s="29">
        <f t="shared" si="8"/>
        <v>1.3</v>
      </c>
      <c r="J65" s="30">
        <f t="shared" si="9"/>
        <v>1.3</v>
      </c>
      <c r="K65" s="31">
        <f t="shared" si="10"/>
        <v>1.2</v>
      </c>
      <c r="L65" s="30">
        <f t="shared" si="11"/>
        <v>1.15</v>
      </c>
      <c r="M65" s="31">
        <f t="shared" si="12"/>
        <v>1.1</v>
      </c>
      <c r="N65" s="32"/>
      <c r="O65" s="33"/>
    </row>
    <row r="66" ht="15.75" customHeight="1">
      <c r="A66" s="21"/>
      <c r="B66" s="70"/>
      <c r="C66" s="186" t="s">
        <v>385</v>
      </c>
      <c r="D66" s="186" t="s">
        <v>386</v>
      </c>
      <c r="E66" s="187">
        <v>1.0</v>
      </c>
      <c r="F66" s="187"/>
      <c r="G66" s="185"/>
      <c r="H66" s="181">
        <f t="shared" si="7"/>
        <v>1.5</v>
      </c>
      <c r="I66" s="29">
        <f t="shared" si="8"/>
        <v>1.3</v>
      </c>
      <c r="J66" s="30">
        <f t="shared" si="9"/>
        <v>1.3</v>
      </c>
      <c r="K66" s="31">
        <f t="shared" si="10"/>
        <v>1.2</v>
      </c>
      <c r="L66" s="30">
        <f t="shared" si="11"/>
        <v>1.15</v>
      </c>
      <c r="M66" s="31">
        <f t="shared" si="12"/>
        <v>1.1</v>
      </c>
      <c r="N66" s="32"/>
      <c r="O66" s="33"/>
    </row>
    <row r="67" ht="15.75" customHeight="1">
      <c r="A67" s="21"/>
      <c r="B67" s="70"/>
      <c r="C67" s="186" t="s">
        <v>387</v>
      </c>
      <c r="D67" s="186" t="s">
        <v>388</v>
      </c>
      <c r="E67" s="187">
        <v>1.0</v>
      </c>
      <c r="F67" s="187"/>
      <c r="G67" s="185"/>
      <c r="H67" s="181">
        <f t="shared" si="7"/>
        <v>1.5</v>
      </c>
      <c r="I67" s="29">
        <f t="shared" si="8"/>
        <v>1.3</v>
      </c>
      <c r="J67" s="30">
        <f t="shared" si="9"/>
        <v>1.3</v>
      </c>
      <c r="K67" s="31">
        <f t="shared" si="10"/>
        <v>1.2</v>
      </c>
      <c r="L67" s="30">
        <f t="shared" si="11"/>
        <v>1.15</v>
      </c>
      <c r="M67" s="31">
        <f t="shared" si="12"/>
        <v>1.1</v>
      </c>
      <c r="N67" s="32"/>
      <c r="O67" s="33"/>
    </row>
    <row r="68" ht="15.75" customHeight="1">
      <c r="A68" s="21"/>
      <c r="B68" s="70"/>
      <c r="C68" s="186" t="s">
        <v>389</v>
      </c>
      <c r="D68" s="186" t="s">
        <v>390</v>
      </c>
      <c r="E68" s="187">
        <v>1.0</v>
      </c>
      <c r="F68" s="187">
        <v>100.0</v>
      </c>
      <c r="G68" s="185"/>
      <c r="H68" s="181">
        <f t="shared" si="7"/>
        <v>1.5</v>
      </c>
      <c r="I68" s="29">
        <f t="shared" si="8"/>
        <v>1.3</v>
      </c>
      <c r="J68" s="30">
        <f t="shared" si="9"/>
        <v>1.3</v>
      </c>
      <c r="K68" s="31">
        <f t="shared" si="10"/>
        <v>1.2</v>
      </c>
      <c r="L68" s="30">
        <f t="shared" si="11"/>
        <v>1.15</v>
      </c>
      <c r="M68" s="31">
        <f t="shared" si="12"/>
        <v>1.1</v>
      </c>
      <c r="N68" s="32"/>
      <c r="O68" s="33"/>
    </row>
    <row r="69" ht="15.75" customHeight="1">
      <c r="A69" s="21"/>
      <c r="B69" s="70"/>
      <c r="C69" s="186" t="s">
        <v>391</v>
      </c>
      <c r="D69" s="186" t="s">
        <v>392</v>
      </c>
      <c r="E69" s="187">
        <v>1.0</v>
      </c>
      <c r="F69" s="187"/>
      <c r="G69" s="185"/>
      <c r="H69" s="181">
        <f t="shared" si="7"/>
        <v>1.5</v>
      </c>
      <c r="I69" s="29">
        <f t="shared" si="8"/>
        <v>1.3</v>
      </c>
      <c r="J69" s="30">
        <f t="shared" si="9"/>
        <v>1.3</v>
      </c>
      <c r="K69" s="31">
        <f t="shared" si="10"/>
        <v>1.2</v>
      </c>
      <c r="L69" s="30">
        <f t="shared" si="11"/>
        <v>1.15</v>
      </c>
      <c r="M69" s="31">
        <f t="shared" si="12"/>
        <v>1.1</v>
      </c>
      <c r="N69" s="32"/>
      <c r="O69" s="86"/>
    </row>
    <row r="70" ht="15.75" customHeight="1">
      <c r="A70" s="21"/>
      <c r="B70" s="70"/>
      <c r="C70" s="186" t="s">
        <v>393</v>
      </c>
      <c r="D70" s="186" t="s">
        <v>394</v>
      </c>
      <c r="E70" s="187">
        <v>1.0</v>
      </c>
      <c r="F70" s="187"/>
      <c r="G70" s="185"/>
      <c r="H70" s="181">
        <f t="shared" si="7"/>
        <v>1.5</v>
      </c>
      <c r="I70" s="29">
        <f t="shared" si="8"/>
        <v>1.3</v>
      </c>
      <c r="J70" s="30">
        <f t="shared" si="9"/>
        <v>1.3</v>
      </c>
      <c r="K70" s="31">
        <f t="shared" si="10"/>
        <v>1.2</v>
      </c>
      <c r="L70" s="30">
        <f t="shared" si="11"/>
        <v>1.15</v>
      </c>
      <c r="M70" s="31">
        <f t="shared" si="12"/>
        <v>1.1</v>
      </c>
      <c r="N70" s="32"/>
      <c r="O70" s="86"/>
    </row>
    <row r="71" ht="15.75" customHeight="1">
      <c r="A71" s="21"/>
      <c r="B71" s="70"/>
      <c r="C71" s="186" t="s">
        <v>395</v>
      </c>
      <c r="D71" s="186" t="s">
        <v>396</v>
      </c>
      <c r="E71" s="187">
        <v>1.0</v>
      </c>
      <c r="F71" s="187"/>
      <c r="G71" s="185"/>
      <c r="H71" s="181">
        <f t="shared" si="7"/>
        <v>1.5</v>
      </c>
      <c r="I71" s="29">
        <f t="shared" si="8"/>
        <v>1.3</v>
      </c>
      <c r="J71" s="30">
        <f t="shared" si="9"/>
        <v>1.3</v>
      </c>
      <c r="K71" s="31">
        <f t="shared" si="10"/>
        <v>1.2</v>
      </c>
      <c r="L71" s="30">
        <f t="shared" si="11"/>
        <v>1.15</v>
      </c>
      <c r="M71" s="31">
        <f t="shared" si="12"/>
        <v>1.1</v>
      </c>
      <c r="N71" s="32"/>
      <c r="O71" s="86"/>
    </row>
    <row r="72" ht="15.75" customHeight="1">
      <c r="A72" s="21"/>
      <c r="B72" s="70"/>
      <c r="C72" s="186" t="s">
        <v>397</v>
      </c>
      <c r="D72" s="186" t="s">
        <v>398</v>
      </c>
      <c r="E72" s="187">
        <v>1.0</v>
      </c>
      <c r="F72" s="187"/>
      <c r="G72" s="185"/>
      <c r="H72" s="181">
        <f t="shared" si="7"/>
        <v>1.5</v>
      </c>
      <c r="I72" s="29">
        <f t="shared" si="8"/>
        <v>1.3</v>
      </c>
      <c r="J72" s="30">
        <f t="shared" si="9"/>
        <v>1.3</v>
      </c>
      <c r="K72" s="31">
        <f t="shared" si="10"/>
        <v>1.2</v>
      </c>
      <c r="L72" s="30">
        <f t="shared" si="11"/>
        <v>1.15</v>
      </c>
      <c r="M72" s="31">
        <f t="shared" si="12"/>
        <v>1.1</v>
      </c>
      <c r="N72" s="32"/>
      <c r="O72" s="86"/>
    </row>
    <row r="73" ht="15.75" customHeight="1">
      <c r="A73" s="21"/>
      <c r="B73" s="70"/>
      <c r="C73" s="186" t="s">
        <v>399</v>
      </c>
      <c r="D73" s="186" t="s">
        <v>400</v>
      </c>
      <c r="E73" s="187">
        <v>1.0</v>
      </c>
      <c r="F73" s="187"/>
      <c r="G73" s="185"/>
      <c r="H73" s="181">
        <f t="shared" si="7"/>
        <v>1.5</v>
      </c>
      <c r="I73" s="29">
        <f t="shared" si="8"/>
        <v>1.3</v>
      </c>
      <c r="J73" s="30">
        <f t="shared" si="9"/>
        <v>1.3</v>
      </c>
      <c r="K73" s="31">
        <f t="shared" si="10"/>
        <v>1.2</v>
      </c>
      <c r="L73" s="30">
        <f t="shared" si="11"/>
        <v>1.15</v>
      </c>
      <c r="M73" s="31">
        <f t="shared" si="12"/>
        <v>1.1</v>
      </c>
      <c r="N73" s="32"/>
      <c r="O73" s="86"/>
    </row>
    <row r="74" ht="15.75" customHeight="1">
      <c r="A74" s="21"/>
      <c r="B74" s="70"/>
      <c r="C74" s="186" t="s">
        <v>401</v>
      </c>
      <c r="D74" s="186" t="s">
        <v>402</v>
      </c>
      <c r="E74" s="187">
        <v>1.0</v>
      </c>
      <c r="F74" s="187"/>
      <c r="G74" s="185"/>
      <c r="H74" s="181">
        <f t="shared" si="7"/>
        <v>1.5</v>
      </c>
      <c r="I74" s="29">
        <f t="shared" si="8"/>
        <v>1.3</v>
      </c>
      <c r="J74" s="30">
        <f t="shared" si="9"/>
        <v>1.3</v>
      </c>
      <c r="K74" s="31">
        <f t="shared" si="10"/>
        <v>1.2</v>
      </c>
      <c r="L74" s="30">
        <f t="shared" si="11"/>
        <v>1.15</v>
      </c>
      <c r="M74" s="31">
        <f t="shared" si="12"/>
        <v>1.1</v>
      </c>
      <c r="N74" s="32"/>
      <c r="O74" s="86"/>
    </row>
    <row r="75" ht="15.75" customHeight="1">
      <c r="A75" s="21"/>
      <c r="B75" s="70"/>
      <c r="C75" s="186" t="s">
        <v>403</v>
      </c>
      <c r="D75" s="186" t="s">
        <v>404</v>
      </c>
      <c r="E75" s="187">
        <v>1.0</v>
      </c>
      <c r="F75" s="187"/>
      <c r="G75" s="185"/>
      <c r="H75" s="181">
        <f t="shared" si="7"/>
        <v>1.5</v>
      </c>
      <c r="I75" s="29">
        <f t="shared" si="8"/>
        <v>1.3</v>
      </c>
      <c r="J75" s="30">
        <f t="shared" si="9"/>
        <v>1.3</v>
      </c>
      <c r="K75" s="31">
        <f t="shared" si="10"/>
        <v>1.2</v>
      </c>
      <c r="L75" s="30">
        <f t="shared" si="11"/>
        <v>1.15</v>
      </c>
      <c r="M75" s="31">
        <f t="shared" si="12"/>
        <v>1.1</v>
      </c>
      <c r="N75" s="32"/>
      <c r="O75" s="86"/>
    </row>
    <row r="76" ht="15.75" customHeight="1">
      <c r="A76" s="21"/>
      <c r="B76" s="70"/>
      <c r="C76" s="186" t="s">
        <v>405</v>
      </c>
      <c r="D76" s="186" t="s">
        <v>406</v>
      </c>
      <c r="E76" s="187">
        <v>1.0</v>
      </c>
      <c r="F76" s="187"/>
      <c r="G76" s="185"/>
      <c r="H76" s="181">
        <f t="shared" si="7"/>
        <v>1.5</v>
      </c>
      <c r="I76" s="29">
        <f t="shared" si="8"/>
        <v>1.3</v>
      </c>
      <c r="J76" s="30">
        <f t="shared" si="9"/>
        <v>1.3</v>
      </c>
      <c r="K76" s="31">
        <f t="shared" si="10"/>
        <v>1.2</v>
      </c>
      <c r="L76" s="30">
        <f t="shared" si="11"/>
        <v>1.15</v>
      </c>
      <c r="M76" s="31">
        <f t="shared" si="12"/>
        <v>1.1</v>
      </c>
      <c r="N76" s="32"/>
      <c r="O76" s="86"/>
    </row>
    <row r="77" ht="15.75" customHeight="1">
      <c r="A77" s="21"/>
      <c r="B77" s="70"/>
      <c r="C77" s="186" t="s">
        <v>407</v>
      </c>
      <c r="D77" s="186" t="s">
        <v>408</v>
      </c>
      <c r="E77" s="187">
        <v>1.0</v>
      </c>
      <c r="F77" s="187"/>
      <c r="G77" s="185"/>
      <c r="H77" s="181">
        <f t="shared" si="7"/>
        <v>1.5</v>
      </c>
      <c r="I77" s="29">
        <f t="shared" si="8"/>
        <v>1.3</v>
      </c>
      <c r="J77" s="30">
        <f t="shared" si="9"/>
        <v>1.3</v>
      </c>
      <c r="K77" s="31">
        <f t="shared" si="10"/>
        <v>1.2</v>
      </c>
      <c r="L77" s="30">
        <f t="shared" si="11"/>
        <v>1.15</v>
      </c>
      <c r="M77" s="31">
        <f t="shared" si="12"/>
        <v>1.1</v>
      </c>
      <c r="N77" s="32"/>
      <c r="O77" s="86"/>
    </row>
    <row r="78" ht="15.75" customHeight="1">
      <c r="A78" s="21"/>
      <c r="B78" s="70"/>
      <c r="C78" s="186" t="s">
        <v>409</v>
      </c>
      <c r="D78" s="186" t="s">
        <v>410</v>
      </c>
      <c r="E78" s="187">
        <v>1.0</v>
      </c>
      <c r="F78" s="187"/>
      <c r="G78" s="185"/>
      <c r="H78" s="181">
        <f t="shared" si="7"/>
        <v>1.5</v>
      </c>
      <c r="I78" s="29">
        <f t="shared" si="8"/>
        <v>1.3</v>
      </c>
      <c r="J78" s="30">
        <f t="shared" si="9"/>
        <v>1.3</v>
      </c>
      <c r="K78" s="31">
        <f t="shared" si="10"/>
        <v>1.2</v>
      </c>
      <c r="L78" s="30">
        <f t="shared" si="11"/>
        <v>1.15</v>
      </c>
      <c r="M78" s="31">
        <f t="shared" si="12"/>
        <v>1.1</v>
      </c>
      <c r="N78" s="32"/>
      <c r="O78" s="86"/>
    </row>
    <row r="79" ht="15.75" customHeight="1">
      <c r="A79" s="21"/>
      <c r="B79" s="70"/>
      <c r="C79" s="186" t="s">
        <v>411</v>
      </c>
      <c r="D79" s="186" t="s">
        <v>412</v>
      </c>
      <c r="E79" s="187">
        <v>1.0</v>
      </c>
      <c r="F79" s="187"/>
      <c r="G79" s="185"/>
      <c r="H79" s="181">
        <f t="shared" si="7"/>
        <v>1.5</v>
      </c>
      <c r="I79" s="29">
        <f t="shared" si="8"/>
        <v>1.3</v>
      </c>
      <c r="J79" s="30">
        <f t="shared" si="9"/>
        <v>1.3</v>
      </c>
      <c r="K79" s="31">
        <f t="shared" si="10"/>
        <v>1.2</v>
      </c>
      <c r="L79" s="30">
        <f t="shared" si="11"/>
        <v>1.15</v>
      </c>
      <c r="M79" s="31">
        <f t="shared" si="12"/>
        <v>1.1</v>
      </c>
      <c r="N79" s="32"/>
      <c r="O79" s="86"/>
    </row>
    <row r="80" ht="15.75" customHeight="1">
      <c r="A80" s="21"/>
      <c r="B80" s="70"/>
      <c r="C80" s="186" t="s">
        <v>413</v>
      </c>
      <c r="D80" s="186" t="s">
        <v>414</v>
      </c>
      <c r="E80" s="187">
        <v>1.0</v>
      </c>
      <c r="F80" s="187"/>
      <c r="G80" s="185"/>
      <c r="H80" s="181">
        <f t="shared" si="7"/>
        <v>1.5</v>
      </c>
      <c r="I80" s="29">
        <f t="shared" si="8"/>
        <v>1.3</v>
      </c>
      <c r="J80" s="30">
        <f t="shared" si="9"/>
        <v>1.3</v>
      </c>
      <c r="K80" s="31">
        <f t="shared" si="10"/>
        <v>1.2</v>
      </c>
      <c r="L80" s="30">
        <f t="shared" si="11"/>
        <v>1.15</v>
      </c>
      <c r="M80" s="31">
        <f t="shared" si="12"/>
        <v>1.1</v>
      </c>
      <c r="N80" s="32"/>
      <c r="O80" s="86"/>
    </row>
    <row r="81" ht="15.75" customHeight="1">
      <c r="A81" s="21"/>
      <c r="B81" s="70"/>
      <c r="C81" s="186" t="s">
        <v>415</v>
      </c>
      <c r="D81" s="186" t="s">
        <v>416</v>
      </c>
      <c r="E81" s="187">
        <v>1.0</v>
      </c>
      <c r="F81" s="187"/>
      <c r="G81" s="185"/>
      <c r="H81" s="181">
        <f t="shared" si="7"/>
        <v>1.5</v>
      </c>
      <c r="I81" s="29">
        <f t="shared" si="8"/>
        <v>1.3</v>
      </c>
      <c r="J81" s="30">
        <f t="shared" si="9"/>
        <v>1.3</v>
      </c>
      <c r="K81" s="31">
        <f t="shared" si="10"/>
        <v>1.2</v>
      </c>
      <c r="L81" s="30">
        <f t="shared" si="11"/>
        <v>1.15</v>
      </c>
      <c r="M81" s="31">
        <f t="shared" si="12"/>
        <v>1.1</v>
      </c>
      <c r="N81" s="32"/>
      <c r="O81" s="86"/>
    </row>
    <row r="82" ht="15.75" customHeight="1">
      <c r="A82" s="21"/>
      <c r="B82" s="70"/>
      <c r="C82" s="186" t="s">
        <v>417</v>
      </c>
      <c r="D82" s="186" t="s">
        <v>418</v>
      </c>
      <c r="E82" s="187">
        <v>1.0</v>
      </c>
      <c r="F82" s="187"/>
      <c r="G82" s="185"/>
      <c r="H82" s="181">
        <f t="shared" si="7"/>
        <v>1.5</v>
      </c>
      <c r="I82" s="29">
        <f t="shared" si="8"/>
        <v>1.3</v>
      </c>
      <c r="J82" s="30">
        <f t="shared" si="9"/>
        <v>1.3</v>
      </c>
      <c r="K82" s="31">
        <f t="shared" si="10"/>
        <v>1.2</v>
      </c>
      <c r="L82" s="30">
        <f t="shared" si="11"/>
        <v>1.15</v>
      </c>
      <c r="M82" s="31">
        <f t="shared" si="12"/>
        <v>1.1</v>
      </c>
      <c r="N82" s="32"/>
      <c r="O82" s="86"/>
    </row>
    <row r="83" ht="15.75" customHeight="1">
      <c r="A83" s="21"/>
      <c r="B83" s="70"/>
      <c r="C83" s="186" t="s">
        <v>419</v>
      </c>
      <c r="D83" s="186" t="s">
        <v>420</v>
      </c>
      <c r="E83" s="187">
        <v>1.0</v>
      </c>
      <c r="F83" s="187"/>
      <c r="G83" s="185"/>
      <c r="H83" s="181">
        <f t="shared" si="7"/>
        <v>1.5</v>
      </c>
      <c r="I83" s="29">
        <f t="shared" si="8"/>
        <v>1.3</v>
      </c>
      <c r="J83" s="30">
        <f t="shared" si="9"/>
        <v>1.3</v>
      </c>
      <c r="K83" s="31">
        <f t="shared" si="10"/>
        <v>1.2</v>
      </c>
      <c r="L83" s="30">
        <f t="shared" si="11"/>
        <v>1.15</v>
      </c>
      <c r="M83" s="31">
        <f t="shared" si="12"/>
        <v>1.1</v>
      </c>
      <c r="N83" s="32"/>
      <c r="O83" s="86"/>
    </row>
    <row r="84" ht="15.75" customHeight="1">
      <c r="A84" s="21"/>
      <c r="B84" s="70"/>
      <c r="C84" s="186" t="s">
        <v>421</v>
      </c>
      <c r="D84" s="186" t="s">
        <v>422</v>
      </c>
      <c r="E84" s="187">
        <v>1.0</v>
      </c>
      <c r="F84" s="187"/>
      <c r="G84" s="185"/>
      <c r="H84" s="181">
        <f t="shared" si="7"/>
        <v>1.5</v>
      </c>
      <c r="I84" s="29">
        <f t="shared" si="8"/>
        <v>1.3</v>
      </c>
      <c r="J84" s="30">
        <f t="shared" si="9"/>
        <v>1.3</v>
      </c>
      <c r="K84" s="31">
        <f t="shared" si="10"/>
        <v>1.2</v>
      </c>
      <c r="L84" s="30">
        <f t="shared" si="11"/>
        <v>1.15</v>
      </c>
      <c r="M84" s="31">
        <f t="shared" si="12"/>
        <v>1.1</v>
      </c>
      <c r="N84" s="32"/>
      <c r="O84" s="86"/>
    </row>
    <row r="85" ht="15.75" customHeight="1">
      <c r="A85" s="21"/>
      <c r="B85" s="70"/>
      <c r="C85" s="186" t="s">
        <v>423</v>
      </c>
      <c r="D85" s="186" t="s">
        <v>424</v>
      </c>
      <c r="E85" s="187">
        <v>1.0</v>
      </c>
      <c r="F85" s="187"/>
      <c r="G85" s="185"/>
      <c r="H85" s="181">
        <f t="shared" si="7"/>
        <v>1.5</v>
      </c>
      <c r="I85" s="29">
        <f t="shared" si="8"/>
        <v>1.3</v>
      </c>
      <c r="J85" s="30">
        <f t="shared" si="9"/>
        <v>1.3</v>
      </c>
      <c r="K85" s="31">
        <f t="shared" si="10"/>
        <v>1.2</v>
      </c>
      <c r="L85" s="30">
        <f t="shared" si="11"/>
        <v>1.15</v>
      </c>
      <c r="M85" s="31">
        <f t="shared" si="12"/>
        <v>1.1</v>
      </c>
      <c r="N85" s="32"/>
      <c r="O85" s="86"/>
    </row>
    <row r="86" ht="15.75" customHeight="1">
      <c r="A86" s="21"/>
      <c r="B86" s="70"/>
      <c r="C86" s="186" t="s">
        <v>425</v>
      </c>
      <c r="D86" s="186" t="s">
        <v>426</v>
      </c>
      <c r="E86" s="187">
        <v>1.0</v>
      </c>
      <c r="F86" s="187"/>
      <c r="G86" s="185"/>
      <c r="H86" s="181">
        <f t="shared" si="7"/>
        <v>1.5</v>
      </c>
      <c r="I86" s="29">
        <f t="shared" si="8"/>
        <v>1.3</v>
      </c>
      <c r="J86" s="30">
        <f t="shared" si="9"/>
        <v>1.3</v>
      </c>
      <c r="K86" s="31">
        <f t="shared" si="10"/>
        <v>1.2</v>
      </c>
      <c r="L86" s="30">
        <f t="shared" si="11"/>
        <v>1.15</v>
      </c>
      <c r="M86" s="31">
        <f t="shared" si="12"/>
        <v>1.1</v>
      </c>
      <c r="N86" s="32"/>
      <c r="O86" s="86"/>
    </row>
    <row r="87" ht="15.75" customHeight="1">
      <c r="A87" s="21"/>
      <c r="B87" s="70"/>
      <c r="C87" s="186" t="s">
        <v>427</v>
      </c>
      <c r="D87" s="186" t="s">
        <v>428</v>
      </c>
      <c r="E87" s="187">
        <v>1.0</v>
      </c>
      <c r="F87" s="187"/>
      <c r="G87" s="185"/>
      <c r="H87" s="181">
        <f t="shared" si="7"/>
        <v>1.5</v>
      </c>
      <c r="I87" s="29">
        <f t="shared" si="8"/>
        <v>1.3</v>
      </c>
      <c r="J87" s="30">
        <f t="shared" si="9"/>
        <v>1.3</v>
      </c>
      <c r="K87" s="31">
        <f t="shared" si="10"/>
        <v>1.2</v>
      </c>
      <c r="L87" s="30">
        <f t="shared" si="11"/>
        <v>1.15</v>
      </c>
      <c r="M87" s="31">
        <f t="shared" si="12"/>
        <v>1.1</v>
      </c>
      <c r="N87" s="32"/>
      <c r="O87" s="86"/>
    </row>
    <row r="88" ht="15.75" customHeight="1">
      <c r="A88" s="21"/>
      <c r="B88" s="70"/>
      <c r="C88" s="186" t="s">
        <v>429</v>
      </c>
      <c r="D88" s="186" t="s">
        <v>430</v>
      </c>
      <c r="E88" s="187">
        <v>1.0</v>
      </c>
      <c r="F88" s="187"/>
      <c r="G88" s="185"/>
      <c r="H88" s="181">
        <f t="shared" si="7"/>
        <v>1.5</v>
      </c>
      <c r="I88" s="29">
        <f t="shared" si="8"/>
        <v>1.3</v>
      </c>
      <c r="J88" s="30">
        <f t="shared" si="9"/>
        <v>1.3</v>
      </c>
      <c r="K88" s="31">
        <f t="shared" si="10"/>
        <v>1.2</v>
      </c>
      <c r="L88" s="30">
        <f t="shared" si="11"/>
        <v>1.15</v>
      </c>
      <c r="M88" s="31">
        <f t="shared" si="12"/>
        <v>1.1</v>
      </c>
      <c r="N88" s="32"/>
      <c r="O88" s="86"/>
    </row>
    <row r="89" ht="15.75" customHeight="1">
      <c r="A89" s="21"/>
      <c r="B89" s="70"/>
      <c r="C89" s="186" t="s">
        <v>431</v>
      </c>
      <c r="D89" s="186" t="s">
        <v>432</v>
      </c>
      <c r="E89" s="187">
        <v>1.0</v>
      </c>
      <c r="F89" s="187"/>
      <c r="G89" s="185"/>
      <c r="H89" s="181">
        <f t="shared" si="7"/>
        <v>1.5</v>
      </c>
      <c r="I89" s="29">
        <f t="shared" si="8"/>
        <v>1.3</v>
      </c>
      <c r="J89" s="30">
        <f t="shared" si="9"/>
        <v>1.3</v>
      </c>
      <c r="K89" s="31">
        <f t="shared" si="10"/>
        <v>1.2</v>
      </c>
      <c r="L89" s="30">
        <f t="shared" si="11"/>
        <v>1.15</v>
      </c>
      <c r="M89" s="31">
        <f t="shared" si="12"/>
        <v>1.1</v>
      </c>
      <c r="N89" s="32"/>
      <c r="O89" s="86"/>
    </row>
    <row r="90" ht="15.75" customHeight="1">
      <c r="A90" s="21"/>
      <c r="B90" s="70"/>
      <c r="C90" s="186" t="s">
        <v>433</v>
      </c>
      <c r="D90" s="186" t="s">
        <v>434</v>
      </c>
      <c r="E90" s="187">
        <v>1.0</v>
      </c>
      <c r="F90" s="187"/>
      <c r="G90" s="185"/>
      <c r="H90" s="181">
        <f t="shared" si="7"/>
        <v>1.5</v>
      </c>
      <c r="I90" s="29">
        <f t="shared" si="8"/>
        <v>1.3</v>
      </c>
      <c r="J90" s="30">
        <f t="shared" si="9"/>
        <v>1.3</v>
      </c>
      <c r="K90" s="31">
        <f t="shared" si="10"/>
        <v>1.2</v>
      </c>
      <c r="L90" s="30">
        <f t="shared" si="11"/>
        <v>1.15</v>
      </c>
      <c r="M90" s="31">
        <f t="shared" si="12"/>
        <v>1.1</v>
      </c>
      <c r="N90" s="32"/>
      <c r="O90" s="86"/>
    </row>
    <row r="91" ht="15.75" customHeight="1">
      <c r="A91" s="21"/>
      <c r="B91" s="70"/>
      <c r="C91" s="186" t="s">
        <v>435</v>
      </c>
      <c r="D91" s="186" t="s">
        <v>436</v>
      </c>
      <c r="E91" s="187">
        <v>1.0</v>
      </c>
      <c r="F91" s="187"/>
      <c r="G91" s="185"/>
      <c r="H91" s="181">
        <f t="shared" si="7"/>
        <v>1.5</v>
      </c>
      <c r="I91" s="29">
        <f t="shared" si="8"/>
        <v>1.3</v>
      </c>
      <c r="J91" s="30">
        <f t="shared" si="9"/>
        <v>1.3</v>
      </c>
      <c r="K91" s="31">
        <f t="shared" si="10"/>
        <v>1.2</v>
      </c>
      <c r="L91" s="30">
        <f t="shared" si="11"/>
        <v>1.15</v>
      </c>
      <c r="M91" s="31">
        <f t="shared" si="12"/>
        <v>1.1</v>
      </c>
      <c r="N91" s="32"/>
      <c r="O91" s="86"/>
    </row>
    <row r="92" ht="15.75" customHeight="1">
      <c r="A92" s="21"/>
      <c r="B92" s="70"/>
      <c r="C92" s="186" t="s">
        <v>437</v>
      </c>
      <c r="D92" s="186" t="s">
        <v>438</v>
      </c>
      <c r="E92" s="187">
        <v>1.0</v>
      </c>
      <c r="F92" s="187"/>
      <c r="G92" s="185"/>
      <c r="H92" s="181">
        <f t="shared" si="7"/>
        <v>1.5</v>
      </c>
      <c r="I92" s="29">
        <f t="shared" si="8"/>
        <v>1.3</v>
      </c>
      <c r="J92" s="30">
        <f t="shared" si="9"/>
        <v>1.3</v>
      </c>
      <c r="K92" s="31">
        <f t="shared" si="10"/>
        <v>1.2</v>
      </c>
      <c r="L92" s="30">
        <f t="shared" si="11"/>
        <v>1.15</v>
      </c>
      <c r="M92" s="31">
        <f t="shared" si="12"/>
        <v>1.1</v>
      </c>
      <c r="N92" s="32"/>
      <c r="O92" s="86"/>
    </row>
    <row r="93" ht="15.75" customHeight="1">
      <c r="A93" s="21"/>
      <c r="B93" s="70"/>
      <c r="C93" s="186" t="s">
        <v>439</v>
      </c>
      <c r="D93" s="186" t="s">
        <v>440</v>
      </c>
      <c r="E93" s="187">
        <v>1.0</v>
      </c>
      <c r="F93" s="187"/>
      <c r="G93" s="185"/>
      <c r="H93" s="181">
        <f t="shared" si="7"/>
        <v>1.5</v>
      </c>
      <c r="I93" s="29">
        <f t="shared" si="8"/>
        <v>1.3</v>
      </c>
      <c r="J93" s="30">
        <f t="shared" si="9"/>
        <v>1.3</v>
      </c>
      <c r="K93" s="31">
        <f t="shared" si="10"/>
        <v>1.2</v>
      </c>
      <c r="L93" s="30">
        <f t="shared" si="11"/>
        <v>1.15</v>
      </c>
      <c r="M93" s="31">
        <f t="shared" si="12"/>
        <v>1.1</v>
      </c>
      <c r="N93" s="32"/>
      <c r="O93" s="86"/>
    </row>
    <row r="94" ht="15.75" customHeight="1">
      <c r="A94" s="21"/>
      <c r="B94" s="70"/>
      <c r="C94" s="186" t="s">
        <v>441</v>
      </c>
      <c r="D94" s="186" t="s">
        <v>442</v>
      </c>
      <c r="E94" s="187">
        <v>1.0</v>
      </c>
      <c r="F94" s="187"/>
      <c r="G94" s="185"/>
      <c r="H94" s="181">
        <f t="shared" si="7"/>
        <v>1.5</v>
      </c>
      <c r="I94" s="29">
        <f t="shared" si="8"/>
        <v>1.3</v>
      </c>
      <c r="J94" s="30">
        <f t="shared" si="9"/>
        <v>1.3</v>
      </c>
      <c r="K94" s="31">
        <f t="shared" si="10"/>
        <v>1.2</v>
      </c>
      <c r="L94" s="30">
        <f t="shared" si="11"/>
        <v>1.15</v>
      </c>
      <c r="M94" s="31">
        <f t="shared" si="12"/>
        <v>1.1</v>
      </c>
      <c r="N94" s="32"/>
      <c r="O94" s="86"/>
    </row>
    <row r="95" ht="15.75" customHeight="1">
      <c r="A95" s="21"/>
      <c r="B95" s="70"/>
      <c r="C95" s="186" t="s">
        <v>443</v>
      </c>
      <c r="D95" s="186" t="s">
        <v>444</v>
      </c>
      <c r="E95" s="187">
        <v>1.0</v>
      </c>
      <c r="F95" s="187"/>
      <c r="G95" s="185"/>
      <c r="H95" s="181">
        <f t="shared" si="7"/>
        <v>1.5</v>
      </c>
      <c r="I95" s="29">
        <f t="shared" si="8"/>
        <v>1.3</v>
      </c>
      <c r="J95" s="30">
        <f t="shared" si="9"/>
        <v>1.3</v>
      </c>
      <c r="K95" s="31">
        <f t="shared" si="10"/>
        <v>1.2</v>
      </c>
      <c r="L95" s="30">
        <f t="shared" si="11"/>
        <v>1.15</v>
      </c>
      <c r="M95" s="31">
        <f t="shared" si="12"/>
        <v>1.1</v>
      </c>
      <c r="N95" s="32"/>
      <c r="O95" s="86"/>
    </row>
    <row r="96" ht="15.75" customHeight="1">
      <c r="A96" s="21"/>
      <c r="B96" s="70"/>
      <c r="C96" s="186" t="s">
        <v>445</v>
      </c>
      <c r="D96" s="186" t="s">
        <v>446</v>
      </c>
      <c r="E96" s="187">
        <v>1.0</v>
      </c>
      <c r="F96" s="187"/>
      <c r="G96" s="185"/>
      <c r="H96" s="181">
        <f t="shared" si="7"/>
        <v>1.5</v>
      </c>
      <c r="I96" s="29">
        <f t="shared" si="8"/>
        <v>1.3</v>
      </c>
      <c r="J96" s="30">
        <f t="shared" si="9"/>
        <v>1.3</v>
      </c>
      <c r="K96" s="31">
        <f t="shared" si="10"/>
        <v>1.2</v>
      </c>
      <c r="L96" s="30">
        <f t="shared" si="11"/>
        <v>1.15</v>
      </c>
      <c r="M96" s="31">
        <f t="shared" si="12"/>
        <v>1.1</v>
      </c>
      <c r="N96" s="32"/>
      <c r="O96" s="86"/>
    </row>
    <row r="97" ht="15.75" customHeight="1">
      <c r="A97" s="21"/>
      <c r="B97" s="70"/>
      <c r="C97" s="186" t="s">
        <v>447</v>
      </c>
      <c r="D97" s="186" t="s">
        <v>448</v>
      </c>
      <c r="E97" s="187">
        <v>130.0</v>
      </c>
      <c r="F97" s="187">
        <v>135.0</v>
      </c>
      <c r="G97" s="185"/>
      <c r="H97" s="181">
        <f t="shared" si="7"/>
        <v>195</v>
      </c>
      <c r="I97" s="29">
        <f t="shared" si="8"/>
        <v>169</v>
      </c>
      <c r="J97" s="30">
        <f t="shared" si="9"/>
        <v>169</v>
      </c>
      <c r="K97" s="31">
        <f t="shared" si="10"/>
        <v>156</v>
      </c>
      <c r="L97" s="30">
        <f t="shared" si="11"/>
        <v>149.5</v>
      </c>
      <c r="M97" s="31">
        <f t="shared" si="12"/>
        <v>143</v>
      </c>
      <c r="N97" s="32"/>
      <c r="O97" s="86"/>
    </row>
    <row r="98" ht="15.75" customHeight="1">
      <c r="A98" s="21"/>
      <c r="B98" s="70"/>
      <c r="C98" s="186" t="s">
        <v>449</v>
      </c>
      <c r="D98" s="186" t="s">
        <v>450</v>
      </c>
      <c r="E98" s="187">
        <v>1.0</v>
      </c>
      <c r="F98" s="187"/>
      <c r="G98" s="185"/>
      <c r="H98" s="181">
        <f t="shared" si="7"/>
        <v>1.5</v>
      </c>
      <c r="I98" s="29">
        <f t="shared" si="8"/>
        <v>1.3</v>
      </c>
      <c r="J98" s="30">
        <f t="shared" si="9"/>
        <v>1.3</v>
      </c>
      <c r="K98" s="31">
        <f t="shared" si="10"/>
        <v>1.2</v>
      </c>
      <c r="L98" s="30">
        <f t="shared" si="11"/>
        <v>1.15</v>
      </c>
      <c r="M98" s="31">
        <f t="shared" si="12"/>
        <v>1.1</v>
      </c>
      <c r="N98" s="32"/>
      <c r="O98" s="86"/>
    </row>
    <row r="99" ht="15.75" customHeight="1">
      <c r="A99" s="21"/>
      <c r="B99" s="70"/>
      <c r="C99" s="186" t="s">
        <v>451</v>
      </c>
      <c r="D99" s="186" t="s">
        <v>452</v>
      </c>
      <c r="E99" s="187">
        <v>1.0</v>
      </c>
      <c r="F99" s="187"/>
      <c r="G99" s="185"/>
      <c r="H99" s="181">
        <f t="shared" si="7"/>
        <v>1.5</v>
      </c>
      <c r="I99" s="29">
        <f t="shared" si="8"/>
        <v>1.3</v>
      </c>
      <c r="J99" s="30">
        <f t="shared" si="9"/>
        <v>1.3</v>
      </c>
      <c r="K99" s="31">
        <f t="shared" si="10"/>
        <v>1.2</v>
      </c>
      <c r="L99" s="30">
        <f t="shared" si="11"/>
        <v>1.15</v>
      </c>
      <c r="M99" s="31">
        <f t="shared" si="12"/>
        <v>1.1</v>
      </c>
      <c r="N99" s="32"/>
      <c r="O99" s="86"/>
    </row>
    <row r="100" ht="15.75" customHeight="1">
      <c r="A100" s="21"/>
      <c r="B100" s="70"/>
      <c r="C100" s="186" t="s">
        <v>453</v>
      </c>
      <c r="D100" s="186" t="s">
        <v>454</v>
      </c>
      <c r="E100" s="187">
        <v>1.0</v>
      </c>
      <c r="F100" s="187"/>
      <c r="G100" s="185"/>
      <c r="H100" s="181">
        <f t="shared" si="7"/>
        <v>1.5</v>
      </c>
      <c r="I100" s="29">
        <f t="shared" si="8"/>
        <v>1.3</v>
      </c>
      <c r="J100" s="30">
        <f t="shared" si="9"/>
        <v>1.3</v>
      </c>
      <c r="K100" s="31">
        <f t="shared" si="10"/>
        <v>1.2</v>
      </c>
      <c r="L100" s="30">
        <f t="shared" si="11"/>
        <v>1.15</v>
      </c>
      <c r="M100" s="31">
        <f t="shared" si="12"/>
        <v>1.1</v>
      </c>
      <c r="N100" s="32"/>
      <c r="O100" s="86"/>
    </row>
    <row r="101" ht="15.75" customHeight="1">
      <c r="A101" s="21"/>
      <c r="B101" s="70"/>
      <c r="C101" s="186" t="s">
        <v>455</v>
      </c>
      <c r="D101" s="186" t="s">
        <v>456</v>
      </c>
      <c r="E101" s="187">
        <v>1.0</v>
      </c>
      <c r="F101" s="187"/>
      <c r="G101" s="185"/>
      <c r="H101" s="181">
        <f t="shared" si="7"/>
        <v>1.5</v>
      </c>
      <c r="I101" s="29">
        <f t="shared" si="8"/>
        <v>1.3</v>
      </c>
      <c r="J101" s="30">
        <f t="shared" si="9"/>
        <v>1.3</v>
      </c>
      <c r="K101" s="31">
        <f t="shared" si="10"/>
        <v>1.2</v>
      </c>
      <c r="L101" s="30">
        <f t="shared" si="11"/>
        <v>1.15</v>
      </c>
      <c r="M101" s="31">
        <f t="shared" si="12"/>
        <v>1.1</v>
      </c>
      <c r="N101" s="32"/>
      <c r="O101" s="86"/>
    </row>
    <row r="102" ht="15.75" customHeight="1">
      <c r="A102" s="21"/>
      <c r="B102" s="70"/>
      <c r="C102" s="186" t="s">
        <v>457</v>
      </c>
      <c r="D102" s="186" t="s">
        <v>458</v>
      </c>
      <c r="E102" s="187">
        <v>1.0</v>
      </c>
      <c r="F102" s="187"/>
      <c r="G102" s="185"/>
      <c r="H102" s="181">
        <f t="shared" si="7"/>
        <v>1.5</v>
      </c>
      <c r="I102" s="29">
        <f t="shared" si="8"/>
        <v>1.3</v>
      </c>
      <c r="J102" s="30">
        <f t="shared" si="9"/>
        <v>1.3</v>
      </c>
      <c r="K102" s="31">
        <f t="shared" si="10"/>
        <v>1.2</v>
      </c>
      <c r="L102" s="30">
        <f t="shared" si="11"/>
        <v>1.15</v>
      </c>
      <c r="M102" s="31">
        <f t="shared" si="12"/>
        <v>1.1</v>
      </c>
      <c r="N102" s="32"/>
      <c r="O102" s="86"/>
    </row>
    <row r="103" ht="15.75" customHeight="1">
      <c r="A103" s="21"/>
      <c r="B103" s="70"/>
      <c r="C103" s="186" t="s">
        <v>459</v>
      </c>
      <c r="D103" s="186" t="s">
        <v>460</v>
      </c>
      <c r="E103" s="187">
        <v>1.0</v>
      </c>
      <c r="F103" s="187"/>
      <c r="G103" s="185"/>
      <c r="H103" s="181">
        <f t="shared" si="7"/>
        <v>1.5</v>
      </c>
      <c r="I103" s="29">
        <f t="shared" si="8"/>
        <v>1.3</v>
      </c>
      <c r="J103" s="30">
        <f t="shared" si="9"/>
        <v>1.3</v>
      </c>
      <c r="K103" s="31">
        <f t="shared" si="10"/>
        <v>1.2</v>
      </c>
      <c r="L103" s="30">
        <f t="shared" si="11"/>
        <v>1.15</v>
      </c>
      <c r="M103" s="31">
        <f t="shared" si="12"/>
        <v>1.1</v>
      </c>
      <c r="N103" s="32"/>
      <c r="O103" s="86"/>
    </row>
    <row r="104" ht="15.75" customHeight="1">
      <c r="A104" s="21"/>
      <c r="B104" s="70"/>
      <c r="C104" s="186" t="s">
        <v>461</v>
      </c>
      <c r="D104" s="186" t="s">
        <v>462</v>
      </c>
      <c r="E104" s="187">
        <v>1.0</v>
      </c>
      <c r="F104" s="187"/>
      <c r="G104" s="185"/>
      <c r="H104" s="181">
        <f t="shared" si="7"/>
        <v>1.5</v>
      </c>
      <c r="I104" s="29">
        <f t="shared" si="8"/>
        <v>1.3</v>
      </c>
      <c r="J104" s="30">
        <f t="shared" si="9"/>
        <v>1.3</v>
      </c>
      <c r="K104" s="31">
        <f t="shared" si="10"/>
        <v>1.2</v>
      </c>
      <c r="L104" s="30">
        <f t="shared" si="11"/>
        <v>1.15</v>
      </c>
      <c r="M104" s="31">
        <f t="shared" si="12"/>
        <v>1.1</v>
      </c>
      <c r="N104" s="32"/>
      <c r="O104" s="86"/>
    </row>
    <row r="105" ht="15.75" customHeight="1">
      <c r="A105" s="21"/>
      <c r="B105" s="70"/>
      <c r="C105" s="186" t="s">
        <v>463</v>
      </c>
      <c r="D105" s="186" t="s">
        <v>464</v>
      </c>
      <c r="E105" s="187">
        <v>1.0</v>
      </c>
      <c r="F105" s="187"/>
      <c r="G105" s="185"/>
      <c r="H105" s="181">
        <f t="shared" si="7"/>
        <v>1.5</v>
      </c>
      <c r="I105" s="29">
        <f t="shared" si="8"/>
        <v>1.3</v>
      </c>
      <c r="J105" s="30">
        <f t="shared" si="9"/>
        <v>1.3</v>
      </c>
      <c r="K105" s="31">
        <f t="shared" si="10"/>
        <v>1.2</v>
      </c>
      <c r="L105" s="30">
        <f t="shared" si="11"/>
        <v>1.15</v>
      </c>
      <c r="M105" s="31">
        <f t="shared" si="12"/>
        <v>1.1</v>
      </c>
      <c r="N105" s="32"/>
      <c r="O105" s="86"/>
    </row>
    <row r="106" ht="15.75" customHeight="1">
      <c r="A106" s="21"/>
      <c r="B106" s="70"/>
      <c r="C106" s="186" t="s">
        <v>465</v>
      </c>
      <c r="D106" s="186" t="s">
        <v>466</v>
      </c>
      <c r="E106" s="187">
        <v>1.0</v>
      </c>
      <c r="F106" s="187"/>
      <c r="G106" s="185"/>
      <c r="H106" s="181">
        <f t="shared" si="7"/>
        <v>1.5</v>
      </c>
      <c r="I106" s="29">
        <f t="shared" si="8"/>
        <v>1.3</v>
      </c>
      <c r="J106" s="30">
        <f t="shared" si="9"/>
        <v>1.3</v>
      </c>
      <c r="K106" s="31">
        <f t="shared" si="10"/>
        <v>1.2</v>
      </c>
      <c r="L106" s="30">
        <f t="shared" si="11"/>
        <v>1.15</v>
      </c>
      <c r="M106" s="31">
        <f t="shared" si="12"/>
        <v>1.1</v>
      </c>
      <c r="N106" s="32"/>
      <c r="O106" s="86"/>
    </row>
    <row r="107" ht="15.75" customHeight="1">
      <c r="A107" s="21"/>
      <c r="B107" s="70"/>
      <c r="C107" s="186" t="s">
        <v>467</v>
      </c>
      <c r="D107" s="186" t="s">
        <v>468</v>
      </c>
      <c r="E107" s="187">
        <v>1.0</v>
      </c>
      <c r="F107" s="187"/>
      <c r="G107" s="185"/>
      <c r="H107" s="181">
        <f t="shared" si="7"/>
        <v>1.5</v>
      </c>
      <c r="I107" s="29">
        <f t="shared" si="8"/>
        <v>1.3</v>
      </c>
      <c r="J107" s="30">
        <f t="shared" si="9"/>
        <v>1.3</v>
      </c>
      <c r="K107" s="31">
        <f t="shared" si="10"/>
        <v>1.2</v>
      </c>
      <c r="L107" s="30">
        <f t="shared" si="11"/>
        <v>1.15</v>
      </c>
      <c r="M107" s="31">
        <f t="shared" si="12"/>
        <v>1.1</v>
      </c>
      <c r="N107" s="32"/>
      <c r="O107" s="86"/>
    </row>
    <row r="108" ht="15.75" customHeight="1">
      <c r="A108" s="21"/>
      <c r="B108" s="70"/>
      <c r="C108" s="186" t="s">
        <v>469</v>
      </c>
      <c r="D108" s="186" t="s">
        <v>470</v>
      </c>
      <c r="E108" s="187">
        <v>1.0</v>
      </c>
      <c r="F108" s="187"/>
      <c r="G108" s="185"/>
      <c r="H108" s="181">
        <f t="shared" si="7"/>
        <v>1.5</v>
      </c>
      <c r="I108" s="29">
        <f t="shared" si="8"/>
        <v>1.3</v>
      </c>
      <c r="J108" s="30">
        <f t="shared" si="9"/>
        <v>1.3</v>
      </c>
      <c r="K108" s="31">
        <f t="shared" si="10"/>
        <v>1.2</v>
      </c>
      <c r="L108" s="30">
        <f t="shared" si="11"/>
        <v>1.15</v>
      </c>
      <c r="M108" s="31">
        <f t="shared" si="12"/>
        <v>1.1</v>
      </c>
      <c r="N108" s="32"/>
      <c r="O108" s="86"/>
    </row>
    <row r="109" ht="15.75" customHeight="1">
      <c r="A109" s="21"/>
      <c r="B109" s="70"/>
      <c r="C109" s="186" t="s">
        <v>471</v>
      </c>
      <c r="D109" s="186" t="s">
        <v>472</v>
      </c>
      <c r="E109" s="187">
        <v>1.0</v>
      </c>
      <c r="F109" s="187"/>
      <c r="G109" s="185"/>
      <c r="H109" s="181">
        <f t="shared" si="7"/>
        <v>1.5</v>
      </c>
      <c r="I109" s="29">
        <f t="shared" si="8"/>
        <v>1.3</v>
      </c>
      <c r="J109" s="30">
        <f t="shared" si="9"/>
        <v>1.3</v>
      </c>
      <c r="K109" s="31">
        <f t="shared" si="10"/>
        <v>1.2</v>
      </c>
      <c r="L109" s="30">
        <f t="shared" si="11"/>
        <v>1.15</v>
      </c>
      <c r="M109" s="31">
        <f t="shared" si="12"/>
        <v>1.1</v>
      </c>
      <c r="N109" s="32"/>
      <c r="O109" s="86"/>
    </row>
    <row r="110" ht="15.75" customHeight="1">
      <c r="A110" s="21"/>
      <c r="B110" s="70"/>
      <c r="C110" s="186" t="s">
        <v>473</v>
      </c>
      <c r="D110" s="186" t="s">
        <v>474</v>
      </c>
      <c r="E110" s="187">
        <v>1.0</v>
      </c>
      <c r="F110" s="187"/>
      <c r="G110" s="185"/>
      <c r="H110" s="181">
        <f t="shared" si="7"/>
        <v>1.5</v>
      </c>
      <c r="I110" s="29">
        <f t="shared" si="8"/>
        <v>1.3</v>
      </c>
      <c r="J110" s="30">
        <f t="shared" si="9"/>
        <v>1.3</v>
      </c>
      <c r="K110" s="31">
        <f t="shared" si="10"/>
        <v>1.2</v>
      </c>
      <c r="L110" s="30">
        <f t="shared" si="11"/>
        <v>1.15</v>
      </c>
      <c r="M110" s="31">
        <f t="shared" si="12"/>
        <v>1.1</v>
      </c>
      <c r="N110" s="32"/>
      <c r="O110" s="86"/>
    </row>
    <row r="111" ht="15.75" customHeight="1">
      <c r="A111" s="21"/>
      <c r="B111" s="70"/>
      <c r="C111" s="186" t="s">
        <v>475</v>
      </c>
      <c r="D111" s="186" t="s">
        <v>476</v>
      </c>
      <c r="E111" s="187">
        <v>1.0</v>
      </c>
      <c r="F111" s="187"/>
      <c r="G111" s="185"/>
      <c r="H111" s="181">
        <f t="shared" si="7"/>
        <v>1.5</v>
      </c>
      <c r="I111" s="29">
        <f t="shared" si="8"/>
        <v>1.3</v>
      </c>
      <c r="J111" s="30">
        <f t="shared" si="9"/>
        <v>1.3</v>
      </c>
      <c r="K111" s="31">
        <f t="shared" si="10"/>
        <v>1.2</v>
      </c>
      <c r="L111" s="30">
        <f t="shared" si="11"/>
        <v>1.15</v>
      </c>
      <c r="M111" s="31">
        <f t="shared" si="12"/>
        <v>1.1</v>
      </c>
      <c r="N111" s="32"/>
      <c r="O111" s="86"/>
    </row>
    <row r="112" ht="15.75" customHeight="1">
      <c r="A112" s="21"/>
      <c r="B112" s="70"/>
      <c r="C112" s="186" t="s">
        <v>477</v>
      </c>
      <c r="D112" s="186" t="s">
        <v>478</v>
      </c>
      <c r="E112" s="187">
        <v>1.0</v>
      </c>
      <c r="F112" s="187"/>
      <c r="G112" s="185"/>
      <c r="H112" s="181">
        <f t="shared" si="7"/>
        <v>1.5</v>
      </c>
      <c r="I112" s="29">
        <f t="shared" si="8"/>
        <v>1.3</v>
      </c>
      <c r="J112" s="30">
        <f t="shared" si="9"/>
        <v>1.3</v>
      </c>
      <c r="K112" s="31">
        <f t="shared" si="10"/>
        <v>1.2</v>
      </c>
      <c r="L112" s="30">
        <f t="shared" si="11"/>
        <v>1.15</v>
      </c>
      <c r="M112" s="31">
        <f t="shared" si="12"/>
        <v>1.1</v>
      </c>
      <c r="N112" s="32"/>
      <c r="O112" s="33"/>
    </row>
    <row r="113" ht="15.75" customHeight="1">
      <c r="A113" s="21"/>
      <c r="B113" s="70"/>
      <c r="C113" s="186" t="s">
        <v>479</v>
      </c>
      <c r="D113" s="186" t="s">
        <v>480</v>
      </c>
      <c r="E113" s="187">
        <v>1.0</v>
      </c>
      <c r="F113" s="187"/>
      <c r="G113" s="185"/>
      <c r="H113" s="181">
        <f t="shared" si="7"/>
        <v>1.5</v>
      </c>
      <c r="I113" s="29">
        <f t="shared" si="8"/>
        <v>1.3</v>
      </c>
      <c r="J113" s="30">
        <f t="shared" si="9"/>
        <v>1.3</v>
      </c>
      <c r="K113" s="31">
        <f t="shared" si="10"/>
        <v>1.2</v>
      </c>
      <c r="L113" s="30">
        <f t="shared" si="11"/>
        <v>1.15</v>
      </c>
      <c r="M113" s="31">
        <f t="shared" si="12"/>
        <v>1.1</v>
      </c>
      <c r="N113" s="32"/>
      <c r="O113" s="33"/>
    </row>
    <row r="114" ht="15.75" customHeight="1">
      <c r="A114" s="21"/>
      <c r="B114" s="70"/>
      <c r="C114" s="186" t="s">
        <v>481</v>
      </c>
      <c r="D114" s="186" t="s">
        <v>482</v>
      </c>
      <c r="E114" s="187">
        <v>1.0</v>
      </c>
      <c r="F114" s="187"/>
      <c r="G114" s="185"/>
      <c r="H114" s="181">
        <f t="shared" si="7"/>
        <v>1.5</v>
      </c>
      <c r="I114" s="29">
        <f t="shared" si="8"/>
        <v>1.3</v>
      </c>
      <c r="J114" s="30">
        <f t="shared" si="9"/>
        <v>1.3</v>
      </c>
      <c r="K114" s="31">
        <f t="shared" si="10"/>
        <v>1.2</v>
      </c>
      <c r="L114" s="30">
        <f t="shared" si="11"/>
        <v>1.15</v>
      </c>
      <c r="M114" s="31">
        <f t="shared" si="12"/>
        <v>1.1</v>
      </c>
      <c r="N114" s="32"/>
      <c r="O114" s="33"/>
    </row>
    <row r="115" ht="15.75" customHeight="1">
      <c r="A115" s="21"/>
      <c r="B115" s="70"/>
      <c r="C115" s="186" t="s">
        <v>483</v>
      </c>
      <c r="D115" s="186" t="s">
        <v>484</v>
      </c>
      <c r="E115" s="187">
        <v>1.0</v>
      </c>
      <c r="F115" s="187"/>
      <c r="G115" s="185"/>
      <c r="H115" s="181">
        <f t="shared" si="7"/>
        <v>1.5</v>
      </c>
      <c r="I115" s="29">
        <f t="shared" si="8"/>
        <v>1.3</v>
      </c>
      <c r="J115" s="30">
        <f t="shared" si="9"/>
        <v>1.3</v>
      </c>
      <c r="K115" s="31">
        <f t="shared" si="10"/>
        <v>1.2</v>
      </c>
      <c r="L115" s="30">
        <f t="shared" si="11"/>
        <v>1.15</v>
      </c>
      <c r="M115" s="31">
        <f t="shared" si="12"/>
        <v>1.1</v>
      </c>
      <c r="N115" s="32"/>
      <c r="O115" s="33"/>
    </row>
    <row r="116" ht="15.75" customHeight="1">
      <c r="A116" s="21"/>
      <c r="B116" s="70"/>
      <c r="C116" s="186" t="s">
        <v>485</v>
      </c>
      <c r="D116" s="186" t="s">
        <v>486</v>
      </c>
      <c r="E116" s="187">
        <v>1.0</v>
      </c>
      <c r="F116" s="187"/>
      <c r="G116" s="185"/>
      <c r="H116" s="181">
        <f t="shared" si="7"/>
        <v>1.5</v>
      </c>
      <c r="I116" s="29">
        <f t="shared" si="8"/>
        <v>1.3</v>
      </c>
      <c r="J116" s="30">
        <f t="shared" si="9"/>
        <v>1.3</v>
      </c>
      <c r="K116" s="31">
        <f t="shared" si="10"/>
        <v>1.2</v>
      </c>
      <c r="L116" s="30">
        <f t="shared" si="11"/>
        <v>1.15</v>
      </c>
      <c r="M116" s="31">
        <f t="shared" si="12"/>
        <v>1.1</v>
      </c>
      <c r="N116" s="32"/>
      <c r="O116" s="33"/>
    </row>
    <row r="117" ht="15.75" customHeight="1">
      <c r="A117" s="21"/>
      <c r="B117" s="70"/>
      <c r="C117" s="186" t="s">
        <v>487</v>
      </c>
      <c r="D117" s="186" t="s">
        <v>488</v>
      </c>
      <c r="E117" s="187">
        <v>1.0</v>
      </c>
      <c r="F117" s="187"/>
      <c r="G117" s="185"/>
      <c r="H117" s="181">
        <f t="shared" si="7"/>
        <v>1.5</v>
      </c>
      <c r="I117" s="29">
        <f t="shared" si="8"/>
        <v>1.3</v>
      </c>
      <c r="J117" s="30">
        <f t="shared" si="9"/>
        <v>1.3</v>
      </c>
      <c r="K117" s="31">
        <f t="shared" si="10"/>
        <v>1.2</v>
      </c>
      <c r="L117" s="30">
        <f t="shared" si="11"/>
        <v>1.15</v>
      </c>
      <c r="M117" s="31">
        <f t="shared" si="12"/>
        <v>1.1</v>
      </c>
      <c r="N117" s="32"/>
      <c r="O117" s="33"/>
    </row>
    <row r="118" ht="15.75" customHeight="1">
      <c r="A118" s="21"/>
      <c r="B118" s="70"/>
      <c r="C118" s="186" t="s">
        <v>489</v>
      </c>
      <c r="D118" s="186" t="s">
        <v>490</v>
      </c>
      <c r="E118" s="187">
        <v>1.0</v>
      </c>
      <c r="F118" s="187"/>
      <c r="G118" s="185"/>
      <c r="H118" s="181">
        <f t="shared" si="7"/>
        <v>1.5</v>
      </c>
      <c r="I118" s="29">
        <f t="shared" si="8"/>
        <v>1.3</v>
      </c>
      <c r="J118" s="30">
        <f t="shared" si="9"/>
        <v>1.3</v>
      </c>
      <c r="K118" s="31">
        <f t="shared" si="10"/>
        <v>1.2</v>
      </c>
      <c r="L118" s="30">
        <f t="shared" si="11"/>
        <v>1.15</v>
      </c>
      <c r="M118" s="31">
        <f t="shared" si="12"/>
        <v>1.1</v>
      </c>
      <c r="N118" s="32"/>
      <c r="O118" s="86"/>
    </row>
    <row r="119" ht="15.75" customHeight="1">
      <c r="A119" s="21"/>
      <c r="B119" s="70"/>
      <c r="C119" s="186" t="s">
        <v>491</v>
      </c>
      <c r="D119" s="186" t="s">
        <v>492</v>
      </c>
      <c r="E119" s="187">
        <v>1.0</v>
      </c>
      <c r="F119" s="187"/>
      <c r="G119" s="185"/>
      <c r="H119" s="181">
        <f t="shared" si="7"/>
        <v>1.5</v>
      </c>
      <c r="I119" s="29">
        <f t="shared" si="8"/>
        <v>1.3</v>
      </c>
      <c r="J119" s="30">
        <f t="shared" si="9"/>
        <v>1.3</v>
      </c>
      <c r="K119" s="31">
        <f t="shared" si="10"/>
        <v>1.2</v>
      </c>
      <c r="L119" s="30">
        <f t="shared" si="11"/>
        <v>1.15</v>
      </c>
      <c r="M119" s="31">
        <f t="shared" si="12"/>
        <v>1.1</v>
      </c>
      <c r="N119" s="32"/>
      <c r="O119" s="86"/>
    </row>
    <row r="120" ht="15.75" customHeight="1">
      <c r="A120" s="21"/>
      <c r="B120" s="70"/>
      <c r="C120" s="186" t="s">
        <v>493</v>
      </c>
      <c r="D120" s="186" t="s">
        <v>494</v>
      </c>
      <c r="E120" s="187">
        <v>1.0</v>
      </c>
      <c r="F120" s="187"/>
      <c r="G120" s="185"/>
      <c r="H120" s="181">
        <f t="shared" si="7"/>
        <v>1.5</v>
      </c>
      <c r="I120" s="29">
        <f t="shared" si="8"/>
        <v>1.3</v>
      </c>
      <c r="J120" s="30">
        <f t="shared" si="9"/>
        <v>1.3</v>
      </c>
      <c r="K120" s="31">
        <f t="shared" si="10"/>
        <v>1.2</v>
      </c>
      <c r="L120" s="30">
        <f t="shared" si="11"/>
        <v>1.15</v>
      </c>
      <c r="M120" s="31">
        <f t="shared" si="12"/>
        <v>1.1</v>
      </c>
      <c r="N120" s="32"/>
      <c r="O120" s="86"/>
    </row>
    <row r="121" ht="15.75" customHeight="1">
      <c r="A121" s="21"/>
      <c r="B121" s="70"/>
      <c r="C121" s="186" t="s">
        <v>495</v>
      </c>
      <c r="D121" s="186" t="s">
        <v>496</v>
      </c>
      <c r="E121" s="187">
        <v>10.0</v>
      </c>
      <c r="F121" s="187">
        <v>15.0</v>
      </c>
      <c r="G121" s="185"/>
      <c r="H121" s="181">
        <f t="shared" si="7"/>
        <v>15</v>
      </c>
      <c r="I121" s="29">
        <f t="shared" si="8"/>
        <v>13</v>
      </c>
      <c r="J121" s="30">
        <f t="shared" si="9"/>
        <v>13</v>
      </c>
      <c r="K121" s="31">
        <f t="shared" si="10"/>
        <v>12</v>
      </c>
      <c r="L121" s="30">
        <f t="shared" si="11"/>
        <v>11.5</v>
      </c>
      <c r="M121" s="31">
        <f t="shared" si="12"/>
        <v>11</v>
      </c>
      <c r="N121" s="32"/>
      <c r="O121" s="86"/>
    </row>
    <row r="122" ht="15.75" customHeight="1">
      <c r="A122" s="21"/>
      <c r="B122" s="70"/>
      <c r="C122" s="186" t="s">
        <v>497</v>
      </c>
      <c r="D122" s="186" t="s">
        <v>498</v>
      </c>
      <c r="E122" s="187">
        <v>1.0</v>
      </c>
      <c r="F122" s="187"/>
      <c r="G122" s="185"/>
      <c r="H122" s="181">
        <f t="shared" si="7"/>
        <v>1.5</v>
      </c>
      <c r="I122" s="29">
        <f t="shared" si="8"/>
        <v>1.3</v>
      </c>
      <c r="J122" s="30">
        <f t="shared" si="9"/>
        <v>1.3</v>
      </c>
      <c r="K122" s="31">
        <f t="shared" si="10"/>
        <v>1.2</v>
      </c>
      <c r="L122" s="30">
        <f t="shared" si="11"/>
        <v>1.15</v>
      </c>
      <c r="M122" s="31">
        <f t="shared" si="12"/>
        <v>1.1</v>
      </c>
      <c r="N122" s="32"/>
      <c r="O122" s="86"/>
    </row>
    <row r="123" ht="15.75" customHeight="1">
      <c r="A123" s="21"/>
      <c r="B123" s="70"/>
      <c r="C123" s="186" t="s">
        <v>499</v>
      </c>
      <c r="D123" s="186" t="s">
        <v>500</v>
      </c>
      <c r="E123" s="187">
        <v>1.0</v>
      </c>
      <c r="F123" s="187"/>
      <c r="G123" s="185"/>
      <c r="H123" s="181">
        <f t="shared" si="7"/>
        <v>1.5</v>
      </c>
      <c r="I123" s="29">
        <f t="shared" si="8"/>
        <v>1.3</v>
      </c>
      <c r="J123" s="30">
        <f t="shared" si="9"/>
        <v>1.3</v>
      </c>
      <c r="K123" s="31">
        <f t="shared" si="10"/>
        <v>1.2</v>
      </c>
      <c r="L123" s="30">
        <f t="shared" si="11"/>
        <v>1.15</v>
      </c>
      <c r="M123" s="31">
        <f t="shared" si="12"/>
        <v>1.1</v>
      </c>
      <c r="N123" s="32"/>
      <c r="O123" s="86"/>
    </row>
    <row r="124" ht="15.75" customHeight="1">
      <c r="A124" s="21"/>
      <c r="B124" s="70"/>
      <c r="C124" s="186" t="s">
        <v>501</v>
      </c>
      <c r="D124" s="186" t="s">
        <v>502</v>
      </c>
      <c r="E124" s="187">
        <v>1.0</v>
      </c>
      <c r="F124" s="187"/>
      <c r="G124" s="185"/>
      <c r="H124" s="181">
        <f t="shared" si="7"/>
        <v>1.5</v>
      </c>
      <c r="I124" s="29">
        <f t="shared" si="8"/>
        <v>1.3</v>
      </c>
      <c r="J124" s="30">
        <f t="shared" si="9"/>
        <v>1.3</v>
      </c>
      <c r="K124" s="31">
        <f t="shared" si="10"/>
        <v>1.2</v>
      </c>
      <c r="L124" s="30">
        <f t="shared" si="11"/>
        <v>1.15</v>
      </c>
      <c r="M124" s="31">
        <f t="shared" si="12"/>
        <v>1.1</v>
      </c>
      <c r="N124" s="32"/>
      <c r="O124" s="86"/>
    </row>
    <row r="125" ht="15.75" customHeight="1">
      <c r="A125" s="21"/>
      <c r="B125" s="70"/>
      <c r="C125" s="186" t="s">
        <v>503</v>
      </c>
      <c r="D125" s="186" t="s">
        <v>504</v>
      </c>
      <c r="E125" s="187">
        <v>1.0</v>
      </c>
      <c r="F125" s="187"/>
      <c r="G125" s="185"/>
      <c r="H125" s="181">
        <f t="shared" si="7"/>
        <v>1.5</v>
      </c>
      <c r="I125" s="29">
        <f t="shared" si="8"/>
        <v>1.3</v>
      </c>
      <c r="J125" s="30">
        <f t="shared" si="9"/>
        <v>1.3</v>
      </c>
      <c r="K125" s="31">
        <f t="shared" si="10"/>
        <v>1.2</v>
      </c>
      <c r="L125" s="30">
        <f t="shared" si="11"/>
        <v>1.15</v>
      </c>
      <c r="M125" s="31">
        <f t="shared" si="12"/>
        <v>1.1</v>
      </c>
      <c r="N125" s="32"/>
      <c r="O125" s="86"/>
    </row>
    <row r="126" ht="15.75" customHeight="1">
      <c r="A126" s="21"/>
      <c r="B126" s="70"/>
      <c r="C126" s="186" t="s">
        <v>505</v>
      </c>
      <c r="D126" s="186" t="s">
        <v>506</v>
      </c>
      <c r="E126" s="187">
        <v>1.0</v>
      </c>
      <c r="F126" s="187"/>
      <c r="G126" s="185"/>
      <c r="H126" s="181">
        <f t="shared" si="7"/>
        <v>1.5</v>
      </c>
      <c r="I126" s="29">
        <f t="shared" si="8"/>
        <v>1.3</v>
      </c>
      <c r="J126" s="30">
        <f t="shared" si="9"/>
        <v>1.3</v>
      </c>
      <c r="K126" s="31">
        <f t="shared" si="10"/>
        <v>1.2</v>
      </c>
      <c r="L126" s="30">
        <f t="shared" si="11"/>
        <v>1.15</v>
      </c>
      <c r="M126" s="31">
        <f t="shared" si="12"/>
        <v>1.1</v>
      </c>
      <c r="N126" s="32"/>
      <c r="O126" s="86"/>
    </row>
    <row r="127" ht="15.75" customHeight="1">
      <c r="A127" s="21"/>
      <c r="B127" s="70"/>
      <c r="C127" s="186" t="s">
        <v>507</v>
      </c>
      <c r="D127" s="186" t="s">
        <v>508</v>
      </c>
      <c r="E127" s="187">
        <v>1.0</v>
      </c>
      <c r="F127" s="187"/>
      <c r="G127" s="185"/>
      <c r="H127" s="181">
        <f t="shared" si="7"/>
        <v>1.5</v>
      </c>
      <c r="I127" s="29">
        <f t="shared" si="8"/>
        <v>1.3</v>
      </c>
      <c r="J127" s="30">
        <f t="shared" si="9"/>
        <v>1.3</v>
      </c>
      <c r="K127" s="31">
        <f t="shared" si="10"/>
        <v>1.2</v>
      </c>
      <c r="L127" s="30">
        <f t="shared" si="11"/>
        <v>1.15</v>
      </c>
      <c r="M127" s="31">
        <f t="shared" si="12"/>
        <v>1.1</v>
      </c>
      <c r="N127" s="32"/>
      <c r="O127" s="86"/>
    </row>
    <row r="128" ht="15.75" customHeight="1">
      <c r="A128" s="21"/>
      <c r="B128" s="70"/>
      <c r="C128" s="186" t="s">
        <v>509</v>
      </c>
      <c r="D128" s="186" t="s">
        <v>510</v>
      </c>
      <c r="E128" s="187">
        <v>1.0</v>
      </c>
      <c r="F128" s="187"/>
      <c r="G128" s="185"/>
      <c r="H128" s="181">
        <f t="shared" si="7"/>
        <v>1.5</v>
      </c>
      <c r="I128" s="29">
        <f t="shared" si="8"/>
        <v>1.3</v>
      </c>
      <c r="J128" s="30">
        <f t="shared" si="9"/>
        <v>1.3</v>
      </c>
      <c r="K128" s="31">
        <f t="shared" si="10"/>
        <v>1.2</v>
      </c>
      <c r="L128" s="30">
        <f t="shared" si="11"/>
        <v>1.15</v>
      </c>
      <c r="M128" s="31">
        <f t="shared" si="12"/>
        <v>1.1</v>
      </c>
      <c r="N128" s="32"/>
      <c r="O128" s="86"/>
    </row>
    <row r="129" ht="15.75" customHeight="1">
      <c r="A129" s="21"/>
      <c r="B129" s="70"/>
      <c r="C129" s="186" t="s">
        <v>511</v>
      </c>
      <c r="D129" s="186" t="s">
        <v>512</v>
      </c>
      <c r="E129" s="187">
        <v>10.0</v>
      </c>
      <c r="F129" s="187">
        <v>15.0</v>
      </c>
      <c r="G129" s="185"/>
      <c r="H129" s="181">
        <f t="shared" si="7"/>
        <v>15</v>
      </c>
      <c r="I129" s="29">
        <f t="shared" si="8"/>
        <v>13</v>
      </c>
      <c r="J129" s="30">
        <f t="shared" si="9"/>
        <v>13</v>
      </c>
      <c r="K129" s="31">
        <f t="shared" si="10"/>
        <v>12</v>
      </c>
      <c r="L129" s="30">
        <f t="shared" si="11"/>
        <v>11.5</v>
      </c>
      <c r="M129" s="31">
        <f t="shared" si="12"/>
        <v>11</v>
      </c>
      <c r="N129" s="32"/>
      <c r="O129" s="86"/>
    </row>
    <row r="130" ht="15.75" customHeight="1">
      <c r="A130" s="21"/>
      <c r="B130" s="70"/>
      <c r="C130" s="186" t="s">
        <v>513</v>
      </c>
      <c r="D130" s="186" t="s">
        <v>514</v>
      </c>
      <c r="E130" s="187">
        <v>1.0</v>
      </c>
      <c r="F130" s="187"/>
      <c r="G130" s="185"/>
      <c r="H130" s="181">
        <f t="shared" si="7"/>
        <v>1.5</v>
      </c>
      <c r="I130" s="29">
        <f t="shared" si="8"/>
        <v>1.3</v>
      </c>
      <c r="J130" s="30">
        <f t="shared" si="9"/>
        <v>1.3</v>
      </c>
      <c r="K130" s="31">
        <f t="shared" si="10"/>
        <v>1.2</v>
      </c>
      <c r="L130" s="30">
        <f t="shared" si="11"/>
        <v>1.15</v>
      </c>
      <c r="M130" s="31">
        <f t="shared" si="12"/>
        <v>1.1</v>
      </c>
      <c r="N130" s="32"/>
      <c r="O130" s="86"/>
    </row>
    <row r="131" ht="15.75" customHeight="1">
      <c r="A131" s="21"/>
      <c r="B131" s="70"/>
      <c r="C131" s="186" t="s">
        <v>515</v>
      </c>
      <c r="D131" s="186" t="s">
        <v>516</v>
      </c>
      <c r="E131" s="187">
        <v>1.0</v>
      </c>
      <c r="F131" s="187"/>
      <c r="G131" s="185"/>
      <c r="H131" s="181">
        <f t="shared" si="7"/>
        <v>1.5</v>
      </c>
      <c r="I131" s="29">
        <f t="shared" si="8"/>
        <v>1.3</v>
      </c>
      <c r="J131" s="30">
        <f t="shared" si="9"/>
        <v>1.3</v>
      </c>
      <c r="K131" s="31">
        <f t="shared" si="10"/>
        <v>1.2</v>
      </c>
      <c r="L131" s="30">
        <f t="shared" si="11"/>
        <v>1.15</v>
      </c>
      <c r="M131" s="31">
        <f t="shared" si="12"/>
        <v>1.1</v>
      </c>
      <c r="N131" s="32"/>
      <c r="O131" s="86"/>
    </row>
    <row r="132" ht="15.75" customHeight="1">
      <c r="A132" s="21"/>
      <c r="B132" s="70"/>
      <c r="C132" s="186" t="s">
        <v>517</v>
      </c>
      <c r="D132" s="186" t="s">
        <v>518</v>
      </c>
      <c r="E132" s="187">
        <v>1.0</v>
      </c>
      <c r="F132" s="187"/>
      <c r="G132" s="185"/>
      <c r="H132" s="181">
        <f t="shared" si="7"/>
        <v>1.5</v>
      </c>
      <c r="I132" s="29">
        <f t="shared" si="8"/>
        <v>1.3</v>
      </c>
      <c r="J132" s="30">
        <f t="shared" si="9"/>
        <v>1.3</v>
      </c>
      <c r="K132" s="31">
        <f t="shared" si="10"/>
        <v>1.2</v>
      </c>
      <c r="L132" s="30">
        <f t="shared" si="11"/>
        <v>1.15</v>
      </c>
      <c r="M132" s="31">
        <f t="shared" si="12"/>
        <v>1.1</v>
      </c>
      <c r="N132" s="32"/>
      <c r="O132" s="86"/>
    </row>
    <row r="133" ht="15.75" customHeight="1">
      <c r="A133" s="21"/>
      <c r="B133" s="70"/>
      <c r="C133" s="186" t="s">
        <v>519</v>
      </c>
      <c r="D133" s="186" t="s">
        <v>520</v>
      </c>
      <c r="E133" s="187">
        <v>1.0</v>
      </c>
      <c r="F133" s="187"/>
      <c r="G133" s="185"/>
      <c r="H133" s="181">
        <f t="shared" si="7"/>
        <v>1.5</v>
      </c>
      <c r="I133" s="29">
        <f t="shared" si="8"/>
        <v>1.3</v>
      </c>
      <c r="J133" s="30">
        <f t="shared" si="9"/>
        <v>1.3</v>
      </c>
      <c r="K133" s="31">
        <f t="shared" si="10"/>
        <v>1.2</v>
      </c>
      <c r="L133" s="30">
        <f t="shared" si="11"/>
        <v>1.15</v>
      </c>
      <c r="M133" s="31">
        <f t="shared" si="12"/>
        <v>1.1</v>
      </c>
      <c r="N133" s="32"/>
      <c r="O133" s="86"/>
    </row>
    <row r="134" ht="15.75" customHeight="1">
      <c r="A134" s="21"/>
      <c r="B134" s="70"/>
      <c r="C134" s="186" t="s">
        <v>521</v>
      </c>
      <c r="D134" s="186" t="s">
        <v>522</v>
      </c>
      <c r="E134" s="187">
        <v>1.0</v>
      </c>
      <c r="F134" s="187"/>
      <c r="G134" s="185"/>
      <c r="H134" s="181">
        <f t="shared" si="7"/>
        <v>1.5</v>
      </c>
      <c r="I134" s="29">
        <f t="shared" si="8"/>
        <v>1.3</v>
      </c>
      <c r="J134" s="30">
        <f t="shared" si="9"/>
        <v>1.3</v>
      </c>
      <c r="K134" s="31">
        <f t="shared" si="10"/>
        <v>1.2</v>
      </c>
      <c r="L134" s="30">
        <f t="shared" si="11"/>
        <v>1.15</v>
      </c>
      <c r="M134" s="31">
        <f t="shared" si="12"/>
        <v>1.1</v>
      </c>
      <c r="N134" s="32"/>
      <c r="O134" s="86"/>
    </row>
    <row r="135" ht="15.75" customHeight="1">
      <c r="A135" s="21"/>
      <c r="B135" s="70"/>
      <c r="C135" s="186" t="s">
        <v>523</v>
      </c>
      <c r="D135" s="186" t="s">
        <v>524</v>
      </c>
      <c r="E135" s="187">
        <v>1.0</v>
      </c>
      <c r="F135" s="187"/>
      <c r="G135" s="185"/>
      <c r="H135" s="181">
        <f t="shared" si="7"/>
        <v>1.5</v>
      </c>
      <c r="I135" s="29">
        <f t="shared" si="8"/>
        <v>1.3</v>
      </c>
      <c r="J135" s="30">
        <f t="shared" si="9"/>
        <v>1.3</v>
      </c>
      <c r="K135" s="31">
        <f t="shared" si="10"/>
        <v>1.2</v>
      </c>
      <c r="L135" s="30">
        <f t="shared" si="11"/>
        <v>1.15</v>
      </c>
      <c r="M135" s="31">
        <f t="shared" si="12"/>
        <v>1.1</v>
      </c>
      <c r="N135" s="32"/>
      <c r="O135" s="86"/>
    </row>
    <row r="136" ht="15.75" customHeight="1">
      <c r="A136" s="21"/>
      <c r="B136" s="70"/>
      <c r="C136" s="186" t="s">
        <v>525</v>
      </c>
      <c r="D136" s="186" t="s">
        <v>526</v>
      </c>
      <c r="E136" s="187">
        <v>1.0</v>
      </c>
      <c r="F136" s="187"/>
      <c r="G136" s="185"/>
      <c r="H136" s="181">
        <f t="shared" si="7"/>
        <v>1.5</v>
      </c>
      <c r="I136" s="29">
        <f t="shared" si="8"/>
        <v>1.3</v>
      </c>
      <c r="J136" s="30">
        <f t="shared" si="9"/>
        <v>1.3</v>
      </c>
      <c r="K136" s="31">
        <f t="shared" si="10"/>
        <v>1.2</v>
      </c>
      <c r="L136" s="30">
        <f t="shared" si="11"/>
        <v>1.15</v>
      </c>
      <c r="M136" s="31">
        <f t="shared" si="12"/>
        <v>1.1</v>
      </c>
      <c r="N136" s="32"/>
      <c r="O136" s="33"/>
      <c r="P136" s="109"/>
      <c r="Q136" s="109"/>
    </row>
    <row r="137" ht="15.75" customHeight="1">
      <c r="A137" s="21"/>
      <c r="B137" s="70"/>
      <c r="C137" s="186" t="s">
        <v>527</v>
      </c>
      <c r="D137" s="186" t="s">
        <v>528</v>
      </c>
      <c r="E137" s="187">
        <v>1.0</v>
      </c>
      <c r="F137" s="187">
        <v>45.0</v>
      </c>
      <c r="G137" s="185"/>
      <c r="H137" s="181">
        <f t="shared" si="7"/>
        <v>1.5</v>
      </c>
      <c r="I137" s="29">
        <f t="shared" si="8"/>
        <v>1.3</v>
      </c>
      <c r="J137" s="30">
        <f t="shared" si="9"/>
        <v>1.3</v>
      </c>
      <c r="K137" s="31">
        <f t="shared" si="10"/>
        <v>1.2</v>
      </c>
      <c r="L137" s="30">
        <f t="shared" si="11"/>
        <v>1.15</v>
      </c>
      <c r="M137" s="31">
        <f t="shared" si="12"/>
        <v>1.1</v>
      </c>
      <c r="N137" s="32"/>
      <c r="O137" s="33"/>
      <c r="P137" s="109"/>
      <c r="Q137" s="109"/>
    </row>
    <row r="138" ht="15.75" customHeight="1">
      <c r="A138" s="21"/>
      <c r="B138" s="70"/>
      <c r="C138" s="186" t="s">
        <v>529</v>
      </c>
      <c r="D138" s="186" t="s">
        <v>530</v>
      </c>
      <c r="E138" s="187">
        <v>1.0</v>
      </c>
      <c r="F138" s="187"/>
      <c r="G138" s="185"/>
      <c r="H138" s="181">
        <f t="shared" si="7"/>
        <v>1.5</v>
      </c>
      <c r="I138" s="29">
        <f t="shared" si="8"/>
        <v>1.3</v>
      </c>
      <c r="J138" s="30">
        <f t="shared" si="9"/>
        <v>1.3</v>
      </c>
      <c r="K138" s="31">
        <f t="shared" si="10"/>
        <v>1.2</v>
      </c>
      <c r="L138" s="30">
        <f t="shared" si="11"/>
        <v>1.15</v>
      </c>
      <c r="M138" s="31">
        <f t="shared" si="12"/>
        <v>1.1</v>
      </c>
      <c r="N138" s="32"/>
      <c r="O138" s="33"/>
      <c r="P138" s="109"/>
      <c r="Q138" s="109"/>
    </row>
    <row r="139" ht="15.75" customHeight="1">
      <c r="A139" s="21"/>
      <c r="B139" s="70"/>
      <c r="C139" s="186" t="s">
        <v>531</v>
      </c>
      <c r="D139" s="186" t="s">
        <v>532</v>
      </c>
      <c r="E139" s="187">
        <v>1.0</v>
      </c>
      <c r="F139" s="187"/>
      <c r="G139" s="185"/>
      <c r="H139" s="181">
        <f t="shared" si="7"/>
        <v>1.5</v>
      </c>
      <c r="I139" s="29">
        <f t="shared" si="8"/>
        <v>1.3</v>
      </c>
      <c r="J139" s="30">
        <f t="shared" si="9"/>
        <v>1.3</v>
      </c>
      <c r="K139" s="31">
        <f t="shared" si="10"/>
        <v>1.2</v>
      </c>
      <c r="L139" s="30">
        <f t="shared" si="11"/>
        <v>1.15</v>
      </c>
      <c r="M139" s="31">
        <f t="shared" si="12"/>
        <v>1.1</v>
      </c>
      <c r="N139" s="32"/>
      <c r="O139" s="33"/>
      <c r="P139" s="109"/>
      <c r="Q139" s="109"/>
    </row>
    <row r="140" ht="15.75" customHeight="1">
      <c r="A140" s="21"/>
      <c r="B140" s="70"/>
      <c r="C140" s="186" t="s">
        <v>533</v>
      </c>
      <c r="D140" s="186" t="s">
        <v>534</v>
      </c>
      <c r="E140" s="187">
        <v>1.0</v>
      </c>
      <c r="F140" s="187"/>
      <c r="G140" s="185"/>
      <c r="H140" s="181">
        <f t="shared" si="7"/>
        <v>1.5</v>
      </c>
      <c r="I140" s="29">
        <f t="shared" si="8"/>
        <v>1.3</v>
      </c>
      <c r="J140" s="30">
        <f t="shared" si="9"/>
        <v>1.3</v>
      </c>
      <c r="K140" s="31">
        <f t="shared" si="10"/>
        <v>1.2</v>
      </c>
      <c r="L140" s="30">
        <f t="shared" si="11"/>
        <v>1.15</v>
      </c>
      <c r="M140" s="31">
        <f t="shared" si="12"/>
        <v>1.1</v>
      </c>
      <c r="N140" s="32"/>
      <c r="O140" s="33"/>
      <c r="P140" s="109"/>
      <c r="Q140" s="109"/>
    </row>
    <row r="141" ht="15.75" customHeight="1">
      <c r="A141" s="21"/>
      <c r="B141" s="70"/>
      <c r="C141" s="186" t="s">
        <v>535</v>
      </c>
      <c r="D141" s="186" t="s">
        <v>536</v>
      </c>
      <c r="E141" s="187">
        <v>1.0</v>
      </c>
      <c r="F141" s="187"/>
      <c r="G141" s="185"/>
      <c r="H141" s="181">
        <f t="shared" si="7"/>
        <v>1.5</v>
      </c>
      <c r="I141" s="29">
        <f t="shared" si="8"/>
        <v>1.3</v>
      </c>
      <c r="J141" s="30">
        <f t="shared" si="9"/>
        <v>1.3</v>
      </c>
      <c r="K141" s="31">
        <f t="shared" si="10"/>
        <v>1.2</v>
      </c>
      <c r="L141" s="30">
        <f t="shared" si="11"/>
        <v>1.15</v>
      </c>
      <c r="M141" s="31">
        <f t="shared" si="12"/>
        <v>1.1</v>
      </c>
      <c r="N141" s="32"/>
      <c r="O141" s="33"/>
      <c r="P141" s="109"/>
      <c r="Q141" s="109"/>
    </row>
    <row r="142" ht="15.75" customHeight="1">
      <c r="A142" s="21"/>
      <c r="B142" s="70"/>
      <c r="C142" s="186" t="s">
        <v>537</v>
      </c>
      <c r="D142" s="186" t="s">
        <v>538</v>
      </c>
      <c r="E142" s="187">
        <v>1.0</v>
      </c>
      <c r="F142" s="187"/>
      <c r="G142" s="185"/>
      <c r="H142" s="181">
        <f t="shared" si="7"/>
        <v>1.5</v>
      </c>
      <c r="I142" s="29">
        <f t="shared" si="8"/>
        <v>1.3</v>
      </c>
      <c r="J142" s="30">
        <f t="shared" si="9"/>
        <v>1.3</v>
      </c>
      <c r="K142" s="31">
        <f t="shared" si="10"/>
        <v>1.2</v>
      </c>
      <c r="L142" s="30">
        <f t="shared" si="11"/>
        <v>1.15</v>
      </c>
      <c r="M142" s="31">
        <f t="shared" si="12"/>
        <v>1.1</v>
      </c>
      <c r="N142" s="32"/>
      <c r="O142" s="33"/>
      <c r="P142" s="109"/>
      <c r="Q142" s="109"/>
    </row>
    <row r="143" ht="15.75" customHeight="1">
      <c r="A143" s="21"/>
      <c r="B143" s="70"/>
      <c r="C143" s="186" t="s">
        <v>539</v>
      </c>
      <c r="D143" s="186" t="s">
        <v>540</v>
      </c>
      <c r="E143" s="187">
        <v>1.0</v>
      </c>
      <c r="F143" s="187"/>
      <c r="G143" s="185"/>
      <c r="H143" s="181">
        <f t="shared" si="7"/>
        <v>1.5</v>
      </c>
      <c r="I143" s="29">
        <f t="shared" si="8"/>
        <v>1.3</v>
      </c>
      <c r="J143" s="30">
        <f t="shared" si="9"/>
        <v>1.3</v>
      </c>
      <c r="K143" s="31">
        <f t="shared" si="10"/>
        <v>1.2</v>
      </c>
      <c r="L143" s="30">
        <f t="shared" si="11"/>
        <v>1.15</v>
      </c>
      <c r="M143" s="31">
        <f t="shared" si="12"/>
        <v>1.1</v>
      </c>
      <c r="N143" s="32"/>
      <c r="O143" s="33"/>
      <c r="P143" s="109"/>
      <c r="Q143" s="109"/>
    </row>
    <row r="144" ht="15.75" customHeight="1">
      <c r="A144" s="21"/>
      <c r="B144" s="70"/>
      <c r="C144" s="186" t="s">
        <v>541</v>
      </c>
      <c r="D144" s="188" t="s">
        <v>542</v>
      </c>
      <c r="E144" s="187">
        <v>1.0</v>
      </c>
      <c r="F144" s="187"/>
      <c r="G144" s="185"/>
      <c r="H144" s="181">
        <f t="shared" si="7"/>
        <v>1.5</v>
      </c>
      <c r="I144" s="29">
        <f t="shared" si="8"/>
        <v>1.3</v>
      </c>
      <c r="J144" s="30">
        <f t="shared" si="9"/>
        <v>1.3</v>
      </c>
      <c r="K144" s="31">
        <f t="shared" si="10"/>
        <v>1.2</v>
      </c>
      <c r="L144" s="30">
        <f t="shared" si="11"/>
        <v>1.15</v>
      </c>
      <c r="M144" s="31">
        <f t="shared" si="12"/>
        <v>1.1</v>
      </c>
      <c r="N144" s="32"/>
      <c r="O144" s="33"/>
      <c r="P144" s="109"/>
      <c r="Q144" s="109"/>
    </row>
    <row r="145" ht="15.75" customHeight="1">
      <c r="A145" s="21"/>
      <c r="B145" s="70"/>
      <c r="C145" s="186" t="s">
        <v>543</v>
      </c>
      <c r="D145" s="186" t="s">
        <v>544</v>
      </c>
      <c r="E145" s="187">
        <v>1.0</v>
      </c>
      <c r="F145" s="187"/>
      <c r="G145" s="185"/>
      <c r="H145" s="181">
        <f t="shared" si="7"/>
        <v>1.5</v>
      </c>
      <c r="I145" s="29">
        <f t="shared" si="8"/>
        <v>1.3</v>
      </c>
      <c r="J145" s="30">
        <f t="shared" si="9"/>
        <v>1.3</v>
      </c>
      <c r="K145" s="31">
        <f t="shared" si="10"/>
        <v>1.2</v>
      </c>
      <c r="L145" s="30">
        <f t="shared" si="11"/>
        <v>1.15</v>
      </c>
      <c r="M145" s="31">
        <f t="shared" si="12"/>
        <v>1.1</v>
      </c>
      <c r="N145" s="32"/>
      <c r="O145" s="33"/>
      <c r="P145" s="109"/>
      <c r="Q145" s="109"/>
    </row>
    <row r="146" ht="15.75" customHeight="1">
      <c r="A146" s="21"/>
      <c r="B146" s="70"/>
      <c r="C146" s="186" t="s">
        <v>545</v>
      </c>
      <c r="D146" s="186" t="s">
        <v>546</v>
      </c>
      <c r="E146" s="187">
        <v>1.0</v>
      </c>
      <c r="F146" s="187"/>
      <c r="G146" s="185"/>
      <c r="H146" s="181">
        <f t="shared" si="7"/>
        <v>1.5</v>
      </c>
      <c r="I146" s="29">
        <f t="shared" si="8"/>
        <v>1.3</v>
      </c>
      <c r="J146" s="30">
        <f t="shared" si="9"/>
        <v>1.3</v>
      </c>
      <c r="K146" s="31">
        <f t="shared" si="10"/>
        <v>1.2</v>
      </c>
      <c r="L146" s="30">
        <f t="shared" si="11"/>
        <v>1.15</v>
      </c>
      <c r="M146" s="31">
        <f t="shared" si="12"/>
        <v>1.1</v>
      </c>
      <c r="N146" s="32"/>
      <c r="O146" s="33"/>
      <c r="P146" s="109"/>
      <c r="Q146" s="109"/>
    </row>
    <row r="147" ht="15.75" customHeight="1">
      <c r="A147" s="21"/>
      <c r="B147" s="70"/>
      <c r="C147" s="186" t="s">
        <v>547</v>
      </c>
      <c r="D147" s="186" t="s">
        <v>548</v>
      </c>
      <c r="E147" s="187">
        <v>1.0</v>
      </c>
      <c r="F147" s="187"/>
      <c r="G147" s="185"/>
      <c r="H147" s="181">
        <f t="shared" si="7"/>
        <v>1.5</v>
      </c>
      <c r="I147" s="29">
        <f t="shared" si="8"/>
        <v>1.3</v>
      </c>
      <c r="J147" s="30">
        <f t="shared" si="9"/>
        <v>1.3</v>
      </c>
      <c r="K147" s="31">
        <f t="shared" si="10"/>
        <v>1.2</v>
      </c>
      <c r="L147" s="30">
        <f t="shared" si="11"/>
        <v>1.15</v>
      </c>
      <c r="M147" s="31">
        <f t="shared" si="12"/>
        <v>1.1</v>
      </c>
      <c r="N147" s="32"/>
      <c r="O147" s="33"/>
      <c r="P147" s="109"/>
      <c r="Q147" s="109"/>
    </row>
    <row r="148" ht="15.75" customHeight="1">
      <c r="A148" s="21"/>
      <c r="B148" s="70"/>
      <c r="C148" s="186" t="s">
        <v>549</v>
      </c>
      <c r="D148" s="186" t="s">
        <v>550</v>
      </c>
      <c r="E148" s="187">
        <v>1.0</v>
      </c>
      <c r="F148" s="187"/>
      <c r="G148" s="185"/>
      <c r="H148" s="181">
        <f t="shared" si="7"/>
        <v>1.5</v>
      </c>
      <c r="I148" s="29">
        <f t="shared" si="8"/>
        <v>1.3</v>
      </c>
      <c r="J148" s="30">
        <f t="shared" si="9"/>
        <v>1.3</v>
      </c>
      <c r="K148" s="31">
        <f t="shared" si="10"/>
        <v>1.2</v>
      </c>
      <c r="L148" s="30">
        <f t="shared" si="11"/>
        <v>1.15</v>
      </c>
      <c r="M148" s="31">
        <f t="shared" si="12"/>
        <v>1.1</v>
      </c>
      <c r="N148" s="32"/>
      <c r="O148" s="33"/>
      <c r="P148" s="109"/>
      <c r="Q148" s="109"/>
    </row>
    <row r="149" ht="15.75" customHeight="1">
      <c r="A149" s="21"/>
      <c r="B149" s="70"/>
      <c r="C149" s="188" t="s">
        <v>551</v>
      </c>
      <c r="D149" s="186" t="s">
        <v>552</v>
      </c>
      <c r="E149" s="187">
        <v>1.0</v>
      </c>
      <c r="F149" s="187"/>
      <c r="G149" s="185"/>
      <c r="H149" s="181">
        <f t="shared" si="7"/>
        <v>1.5</v>
      </c>
      <c r="I149" s="29">
        <f t="shared" si="8"/>
        <v>1.3</v>
      </c>
      <c r="J149" s="30">
        <f t="shared" si="9"/>
        <v>1.3</v>
      </c>
      <c r="K149" s="31">
        <f t="shared" si="10"/>
        <v>1.2</v>
      </c>
      <c r="L149" s="30">
        <f t="shared" si="11"/>
        <v>1.15</v>
      </c>
      <c r="M149" s="31">
        <f t="shared" si="12"/>
        <v>1.1</v>
      </c>
      <c r="N149" s="32"/>
      <c r="O149" s="33"/>
      <c r="P149" s="109"/>
      <c r="Q149" s="109"/>
    </row>
    <row r="150" ht="15.75" customHeight="1">
      <c r="A150" s="21"/>
      <c r="B150" s="70"/>
      <c r="C150" s="188" t="s">
        <v>553</v>
      </c>
      <c r="D150" s="186" t="s">
        <v>554</v>
      </c>
      <c r="E150" s="187">
        <v>1.0</v>
      </c>
      <c r="F150" s="187"/>
      <c r="G150" s="185"/>
      <c r="H150" s="181">
        <f t="shared" si="7"/>
        <v>1.5</v>
      </c>
      <c r="I150" s="29">
        <f t="shared" si="8"/>
        <v>1.3</v>
      </c>
      <c r="J150" s="30">
        <f t="shared" si="9"/>
        <v>1.3</v>
      </c>
      <c r="K150" s="31">
        <f t="shared" si="10"/>
        <v>1.2</v>
      </c>
      <c r="L150" s="30">
        <f t="shared" si="11"/>
        <v>1.15</v>
      </c>
      <c r="M150" s="31">
        <f t="shared" si="12"/>
        <v>1.1</v>
      </c>
      <c r="N150" s="32"/>
      <c r="O150" s="33"/>
      <c r="P150" s="109"/>
      <c r="Q150" s="109"/>
    </row>
    <row r="151" ht="15.75" customHeight="1">
      <c r="A151" s="21"/>
      <c r="B151" s="70"/>
      <c r="C151" s="188" t="s">
        <v>555</v>
      </c>
      <c r="D151" s="186" t="s">
        <v>556</v>
      </c>
      <c r="E151" s="187">
        <v>1.0</v>
      </c>
      <c r="F151" s="187"/>
      <c r="G151" s="185"/>
      <c r="H151" s="181">
        <f t="shared" si="7"/>
        <v>1.5</v>
      </c>
      <c r="I151" s="29">
        <f t="shared" si="8"/>
        <v>1.3</v>
      </c>
      <c r="J151" s="30">
        <f t="shared" si="9"/>
        <v>1.3</v>
      </c>
      <c r="K151" s="31">
        <f t="shared" si="10"/>
        <v>1.2</v>
      </c>
      <c r="L151" s="30">
        <f t="shared" si="11"/>
        <v>1.15</v>
      </c>
      <c r="M151" s="31">
        <f t="shared" si="12"/>
        <v>1.1</v>
      </c>
      <c r="N151" s="32"/>
      <c r="O151" s="33"/>
      <c r="P151" s="109"/>
      <c r="Q151" s="109"/>
    </row>
    <row r="152" ht="15.75" customHeight="1">
      <c r="A152" s="21"/>
      <c r="B152" s="70"/>
      <c r="C152" s="188" t="s">
        <v>557</v>
      </c>
      <c r="D152" s="186" t="s">
        <v>558</v>
      </c>
      <c r="E152" s="187">
        <v>1.0</v>
      </c>
      <c r="F152" s="187"/>
      <c r="G152" s="185"/>
      <c r="H152" s="181">
        <f t="shared" si="7"/>
        <v>1.5</v>
      </c>
      <c r="I152" s="29">
        <f t="shared" si="8"/>
        <v>1.3</v>
      </c>
      <c r="J152" s="30">
        <f t="shared" si="9"/>
        <v>1.3</v>
      </c>
      <c r="K152" s="31">
        <f t="shared" si="10"/>
        <v>1.2</v>
      </c>
      <c r="L152" s="30">
        <f t="shared" si="11"/>
        <v>1.15</v>
      </c>
      <c r="M152" s="31">
        <f t="shared" si="12"/>
        <v>1.1</v>
      </c>
      <c r="N152" s="32"/>
      <c r="O152" s="33"/>
      <c r="P152" s="109"/>
      <c r="Q152" s="109"/>
    </row>
    <row r="153" ht="15.75" customHeight="1">
      <c r="A153" s="21"/>
      <c r="B153" s="70"/>
      <c r="C153" s="188" t="s">
        <v>559</v>
      </c>
      <c r="D153" s="186" t="s">
        <v>560</v>
      </c>
      <c r="E153" s="187">
        <v>1.0</v>
      </c>
      <c r="F153" s="187"/>
      <c r="G153" s="185"/>
      <c r="H153" s="181">
        <f t="shared" si="7"/>
        <v>1.5</v>
      </c>
      <c r="I153" s="29">
        <f t="shared" si="8"/>
        <v>1.3</v>
      </c>
      <c r="J153" s="30">
        <f t="shared" si="9"/>
        <v>1.3</v>
      </c>
      <c r="K153" s="31">
        <f t="shared" si="10"/>
        <v>1.2</v>
      </c>
      <c r="L153" s="30">
        <f t="shared" si="11"/>
        <v>1.15</v>
      </c>
      <c r="M153" s="31">
        <f t="shared" si="12"/>
        <v>1.1</v>
      </c>
      <c r="N153" s="32"/>
      <c r="O153" s="33"/>
      <c r="P153" s="109"/>
      <c r="Q153" s="109"/>
    </row>
    <row r="154" ht="15.75" customHeight="1">
      <c r="A154" s="21"/>
      <c r="B154" s="70"/>
      <c r="C154" s="188" t="s">
        <v>561</v>
      </c>
      <c r="D154" s="186" t="s">
        <v>562</v>
      </c>
      <c r="E154" s="187">
        <v>1.0</v>
      </c>
      <c r="F154" s="187"/>
      <c r="G154" s="185"/>
      <c r="H154" s="181">
        <f t="shared" si="7"/>
        <v>1.5</v>
      </c>
      <c r="I154" s="29">
        <f t="shared" si="8"/>
        <v>1.3</v>
      </c>
      <c r="J154" s="30">
        <f t="shared" si="9"/>
        <v>1.3</v>
      </c>
      <c r="K154" s="31">
        <f t="shared" si="10"/>
        <v>1.2</v>
      </c>
      <c r="L154" s="30">
        <f t="shared" si="11"/>
        <v>1.15</v>
      </c>
      <c r="M154" s="31">
        <f t="shared" si="12"/>
        <v>1.1</v>
      </c>
      <c r="N154" s="32"/>
      <c r="O154" s="33"/>
      <c r="P154" s="109"/>
      <c r="Q154" s="109"/>
    </row>
    <row r="155" ht="15.75" customHeight="1">
      <c r="A155" s="21"/>
      <c r="B155" s="70"/>
      <c r="C155" s="188" t="s">
        <v>563</v>
      </c>
      <c r="D155" s="186" t="s">
        <v>564</v>
      </c>
      <c r="E155" s="187">
        <v>1.0</v>
      </c>
      <c r="F155" s="187"/>
      <c r="G155" s="185"/>
      <c r="H155" s="181">
        <f t="shared" si="7"/>
        <v>1.5</v>
      </c>
      <c r="I155" s="29">
        <f t="shared" si="8"/>
        <v>1.3</v>
      </c>
      <c r="J155" s="30">
        <f t="shared" si="9"/>
        <v>1.3</v>
      </c>
      <c r="K155" s="31">
        <f t="shared" si="10"/>
        <v>1.2</v>
      </c>
      <c r="L155" s="30">
        <f t="shared" si="11"/>
        <v>1.15</v>
      </c>
      <c r="M155" s="31">
        <f t="shared" si="12"/>
        <v>1.1</v>
      </c>
      <c r="N155" s="32"/>
      <c r="O155" s="33"/>
      <c r="P155" s="109"/>
      <c r="Q155" s="109"/>
    </row>
    <row r="156" ht="15.75" customHeight="1">
      <c r="A156" s="21"/>
      <c r="B156" s="70"/>
      <c r="C156" s="188" t="s">
        <v>565</v>
      </c>
      <c r="D156" s="186" t="s">
        <v>566</v>
      </c>
      <c r="E156" s="187">
        <v>1.0</v>
      </c>
      <c r="F156" s="187"/>
      <c r="G156" s="185"/>
      <c r="H156" s="181">
        <f t="shared" si="7"/>
        <v>1.5</v>
      </c>
      <c r="I156" s="29">
        <f t="shared" si="8"/>
        <v>1.3</v>
      </c>
      <c r="J156" s="30">
        <f t="shared" si="9"/>
        <v>1.3</v>
      </c>
      <c r="K156" s="31">
        <f t="shared" si="10"/>
        <v>1.2</v>
      </c>
      <c r="L156" s="30">
        <f t="shared" si="11"/>
        <v>1.15</v>
      </c>
      <c r="M156" s="31">
        <f t="shared" si="12"/>
        <v>1.1</v>
      </c>
      <c r="N156" s="32"/>
      <c r="O156" s="33"/>
      <c r="P156" s="109"/>
      <c r="Q156" s="109"/>
    </row>
    <row r="157" ht="15.75" customHeight="1">
      <c r="A157" s="21"/>
      <c r="B157" s="70"/>
      <c r="C157" s="188" t="s">
        <v>567</v>
      </c>
      <c r="D157" s="186" t="s">
        <v>568</v>
      </c>
      <c r="E157" s="187">
        <v>1.0</v>
      </c>
      <c r="F157" s="187"/>
      <c r="G157" s="185"/>
      <c r="H157" s="181">
        <f t="shared" si="7"/>
        <v>1.5</v>
      </c>
      <c r="I157" s="29">
        <f t="shared" si="8"/>
        <v>1.3</v>
      </c>
      <c r="J157" s="30">
        <f t="shared" si="9"/>
        <v>1.3</v>
      </c>
      <c r="K157" s="31">
        <f t="shared" si="10"/>
        <v>1.2</v>
      </c>
      <c r="L157" s="30">
        <f t="shared" si="11"/>
        <v>1.15</v>
      </c>
      <c r="M157" s="31">
        <f t="shared" si="12"/>
        <v>1.1</v>
      </c>
      <c r="N157" s="32"/>
      <c r="O157" s="33"/>
      <c r="P157" s="109"/>
      <c r="Q157" s="109"/>
    </row>
    <row r="158" ht="15.75" customHeight="1">
      <c r="A158" s="21"/>
      <c r="B158" s="70"/>
      <c r="C158" s="188" t="s">
        <v>569</v>
      </c>
      <c r="D158" s="186" t="s">
        <v>570</v>
      </c>
      <c r="E158" s="187">
        <v>1.0</v>
      </c>
      <c r="F158" s="187"/>
      <c r="G158" s="185"/>
      <c r="H158" s="181">
        <f t="shared" si="7"/>
        <v>1.5</v>
      </c>
      <c r="I158" s="29">
        <f t="shared" si="8"/>
        <v>1.3</v>
      </c>
      <c r="J158" s="30">
        <f t="shared" si="9"/>
        <v>1.3</v>
      </c>
      <c r="K158" s="31">
        <f t="shared" si="10"/>
        <v>1.2</v>
      </c>
      <c r="L158" s="30">
        <f t="shared" si="11"/>
        <v>1.15</v>
      </c>
      <c r="M158" s="31">
        <f t="shared" si="12"/>
        <v>1.1</v>
      </c>
      <c r="N158" s="32"/>
      <c r="O158" s="33"/>
      <c r="P158" s="109"/>
      <c r="Q158" s="109"/>
    </row>
    <row r="159" ht="15.75" customHeight="1">
      <c r="A159" s="21"/>
      <c r="B159" s="70"/>
      <c r="C159" s="188" t="s">
        <v>571</v>
      </c>
      <c r="D159" s="186" t="s">
        <v>572</v>
      </c>
      <c r="E159" s="187">
        <v>1.0</v>
      </c>
      <c r="F159" s="187"/>
      <c r="G159" s="185"/>
      <c r="H159" s="181">
        <f t="shared" si="7"/>
        <v>1.5</v>
      </c>
      <c r="I159" s="29">
        <f t="shared" si="8"/>
        <v>1.3</v>
      </c>
      <c r="J159" s="30">
        <f t="shared" si="9"/>
        <v>1.3</v>
      </c>
      <c r="K159" s="31">
        <f t="shared" si="10"/>
        <v>1.2</v>
      </c>
      <c r="L159" s="30">
        <f t="shared" si="11"/>
        <v>1.15</v>
      </c>
      <c r="M159" s="31">
        <f t="shared" si="12"/>
        <v>1.1</v>
      </c>
      <c r="N159" s="32"/>
      <c r="O159" s="33"/>
      <c r="P159" s="109"/>
      <c r="Q159" s="109"/>
    </row>
    <row r="160" ht="15.75" customHeight="1">
      <c r="A160" s="21"/>
      <c r="B160" s="70"/>
      <c r="C160" s="186" t="s">
        <v>573</v>
      </c>
      <c r="D160" s="188" t="s">
        <v>574</v>
      </c>
      <c r="E160" s="187">
        <v>1.0</v>
      </c>
      <c r="F160" s="187"/>
      <c r="G160" s="185"/>
      <c r="H160" s="181">
        <f t="shared" si="7"/>
        <v>1.5</v>
      </c>
      <c r="I160" s="29">
        <f t="shared" si="8"/>
        <v>1.3</v>
      </c>
      <c r="J160" s="30">
        <f t="shared" si="9"/>
        <v>1.3</v>
      </c>
      <c r="K160" s="31">
        <f t="shared" si="10"/>
        <v>1.2</v>
      </c>
      <c r="L160" s="30">
        <f t="shared" si="11"/>
        <v>1.15</v>
      </c>
      <c r="M160" s="31">
        <f t="shared" si="12"/>
        <v>1.1</v>
      </c>
      <c r="N160" s="32"/>
      <c r="O160" s="33"/>
      <c r="P160" s="109"/>
      <c r="Q160" s="109"/>
    </row>
    <row r="161" ht="15.75" customHeight="1">
      <c r="A161" s="21"/>
      <c r="B161" s="70"/>
      <c r="C161" s="186" t="s">
        <v>575</v>
      </c>
      <c r="D161" s="188" t="s">
        <v>576</v>
      </c>
      <c r="E161" s="187">
        <v>1.0</v>
      </c>
      <c r="F161" s="187"/>
      <c r="G161" s="185"/>
      <c r="H161" s="181">
        <f t="shared" si="7"/>
        <v>1.5</v>
      </c>
      <c r="I161" s="29">
        <f t="shared" si="8"/>
        <v>1.3</v>
      </c>
      <c r="J161" s="30">
        <f t="shared" si="9"/>
        <v>1.3</v>
      </c>
      <c r="K161" s="31">
        <f t="shared" si="10"/>
        <v>1.2</v>
      </c>
      <c r="L161" s="30">
        <f t="shared" si="11"/>
        <v>1.15</v>
      </c>
      <c r="M161" s="31">
        <f t="shared" si="12"/>
        <v>1.1</v>
      </c>
      <c r="N161" s="32"/>
      <c r="O161" s="33"/>
      <c r="P161" s="109"/>
      <c r="Q161" s="109"/>
    </row>
    <row r="162" ht="15.75" customHeight="1">
      <c r="A162" s="21"/>
      <c r="B162" s="70"/>
      <c r="C162" s="188" t="s">
        <v>577</v>
      </c>
      <c r="D162" s="186" t="s">
        <v>578</v>
      </c>
      <c r="E162" s="187">
        <v>270.0</v>
      </c>
      <c r="F162" s="187"/>
      <c r="G162" s="185"/>
      <c r="H162" s="181">
        <f t="shared" si="7"/>
        <v>405</v>
      </c>
      <c r="I162" s="29">
        <f t="shared" si="8"/>
        <v>351</v>
      </c>
      <c r="J162" s="30">
        <f t="shared" si="9"/>
        <v>351</v>
      </c>
      <c r="K162" s="31">
        <f t="shared" si="10"/>
        <v>324</v>
      </c>
      <c r="L162" s="30">
        <f t="shared" si="11"/>
        <v>310.5</v>
      </c>
      <c r="M162" s="31">
        <f t="shared" si="12"/>
        <v>297</v>
      </c>
      <c r="N162" s="32"/>
      <c r="O162" s="33"/>
      <c r="P162" s="109"/>
      <c r="Q162" s="109"/>
    </row>
    <row r="163" ht="15.75" customHeight="1">
      <c r="A163" s="21"/>
      <c r="B163" s="70"/>
      <c r="C163" s="188" t="s">
        <v>579</v>
      </c>
      <c r="D163" s="186" t="s">
        <v>580</v>
      </c>
      <c r="E163" s="187">
        <v>1.0</v>
      </c>
      <c r="F163" s="187"/>
      <c r="G163" s="185"/>
      <c r="H163" s="181">
        <f t="shared" si="7"/>
        <v>1.5</v>
      </c>
      <c r="I163" s="29">
        <f t="shared" si="8"/>
        <v>1.3</v>
      </c>
      <c r="J163" s="30">
        <f t="shared" si="9"/>
        <v>1.3</v>
      </c>
      <c r="K163" s="31">
        <f t="shared" si="10"/>
        <v>1.2</v>
      </c>
      <c r="L163" s="30">
        <f t="shared" si="11"/>
        <v>1.15</v>
      </c>
      <c r="M163" s="31">
        <f t="shared" si="12"/>
        <v>1.1</v>
      </c>
      <c r="N163" s="32"/>
      <c r="O163" s="33"/>
      <c r="P163" s="109"/>
      <c r="Q163" s="109"/>
    </row>
    <row r="164" ht="15.75" customHeight="1">
      <c r="A164" s="21"/>
      <c r="B164" s="70"/>
      <c r="C164" s="188" t="s">
        <v>581</v>
      </c>
      <c r="D164" s="186" t="s">
        <v>582</v>
      </c>
      <c r="E164" s="187">
        <v>1.0</v>
      </c>
      <c r="F164" s="187"/>
      <c r="G164" s="185"/>
      <c r="H164" s="181">
        <f t="shared" si="7"/>
        <v>1.5</v>
      </c>
      <c r="I164" s="29">
        <f t="shared" si="8"/>
        <v>1.3</v>
      </c>
      <c r="J164" s="30">
        <f t="shared" si="9"/>
        <v>1.3</v>
      </c>
      <c r="K164" s="31">
        <f t="shared" si="10"/>
        <v>1.2</v>
      </c>
      <c r="L164" s="30">
        <f t="shared" si="11"/>
        <v>1.15</v>
      </c>
      <c r="M164" s="31">
        <f t="shared" si="12"/>
        <v>1.1</v>
      </c>
      <c r="N164" s="32"/>
      <c r="O164" s="33"/>
      <c r="P164" s="109"/>
      <c r="Q164" s="109"/>
    </row>
    <row r="165" ht="15.75" customHeight="1">
      <c r="A165" s="21"/>
      <c r="B165" s="70"/>
      <c r="C165" s="188" t="s">
        <v>583</v>
      </c>
      <c r="D165" s="186" t="s">
        <v>584</v>
      </c>
      <c r="E165" s="187">
        <v>1.0</v>
      </c>
      <c r="F165" s="187"/>
      <c r="G165" s="185"/>
      <c r="H165" s="181">
        <f t="shared" si="7"/>
        <v>1.5</v>
      </c>
      <c r="I165" s="29">
        <f t="shared" si="8"/>
        <v>1.3</v>
      </c>
      <c r="J165" s="30">
        <f t="shared" si="9"/>
        <v>1.3</v>
      </c>
      <c r="K165" s="31">
        <f t="shared" si="10"/>
        <v>1.2</v>
      </c>
      <c r="L165" s="30">
        <f t="shared" si="11"/>
        <v>1.15</v>
      </c>
      <c r="M165" s="31">
        <f t="shared" si="12"/>
        <v>1.1</v>
      </c>
      <c r="N165" s="32"/>
      <c r="O165" s="33"/>
      <c r="P165" s="109"/>
      <c r="Q165" s="109"/>
    </row>
    <row r="166" ht="15.75" customHeight="1">
      <c r="A166" s="21"/>
      <c r="B166" s="70"/>
      <c r="C166" s="188" t="s">
        <v>585</v>
      </c>
      <c r="D166" s="186" t="s">
        <v>586</v>
      </c>
      <c r="E166" s="187">
        <v>1.0</v>
      </c>
      <c r="F166" s="187"/>
      <c r="G166" s="185"/>
      <c r="H166" s="181">
        <f t="shared" si="7"/>
        <v>1.5</v>
      </c>
      <c r="I166" s="29">
        <f t="shared" si="8"/>
        <v>1.3</v>
      </c>
      <c r="J166" s="30">
        <f t="shared" si="9"/>
        <v>1.3</v>
      </c>
      <c r="K166" s="31">
        <f t="shared" si="10"/>
        <v>1.2</v>
      </c>
      <c r="L166" s="30">
        <f t="shared" si="11"/>
        <v>1.15</v>
      </c>
      <c r="M166" s="31">
        <f t="shared" si="12"/>
        <v>1.1</v>
      </c>
      <c r="N166" s="32"/>
      <c r="O166" s="33"/>
      <c r="P166" s="109"/>
      <c r="Q166" s="109"/>
    </row>
    <row r="167" ht="15.75" customHeight="1">
      <c r="A167" s="21"/>
      <c r="B167" s="70"/>
      <c r="C167" s="186" t="s">
        <v>587</v>
      </c>
      <c r="D167" s="186" t="s">
        <v>588</v>
      </c>
      <c r="E167" s="187">
        <v>1.0</v>
      </c>
      <c r="F167" s="187"/>
      <c r="G167" s="185"/>
      <c r="H167" s="181">
        <f t="shared" si="7"/>
        <v>1.5</v>
      </c>
      <c r="I167" s="29">
        <f t="shared" si="8"/>
        <v>1.3</v>
      </c>
      <c r="J167" s="30">
        <f t="shared" si="9"/>
        <v>1.3</v>
      </c>
      <c r="K167" s="31">
        <f t="shared" si="10"/>
        <v>1.2</v>
      </c>
      <c r="L167" s="30">
        <f t="shared" si="11"/>
        <v>1.15</v>
      </c>
      <c r="M167" s="31">
        <f t="shared" si="12"/>
        <v>1.1</v>
      </c>
      <c r="N167" s="32"/>
      <c r="O167" s="33"/>
      <c r="P167" s="109"/>
      <c r="Q167" s="109"/>
    </row>
    <row r="168" ht="15.75" customHeight="1">
      <c r="A168" s="21"/>
      <c r="B168" s="70"/>
      <c r="C168" s="188" t="s">
        <v>589</v>
      </c>
      <c r="D168" s="186" t="s">
        <v>590</v>
      </c>
      <c r="E168" s="187">
        <v>1.0</v>
      </c>
      <c r="F168" s="187"/>
      <c r="G168" s="185"/>
      <c r="H168" s="181">
        <f t="shared" si="7"/>
        <v>1.5</v>
      </c>
      <c r="I168" s="29">
        <f t="shared" si="8"/>
        <v>1.3</v>
      </c>
      <c r="J168" s="30">
        <f t="shared" si="9"/>
        <v>1.3</v>
      </c>
      <c r="K168" s="31">
        <f t="shared" si="10"/>
        <v>1.2</v>
      </c>
      <c r="L168" s="30">
        <f t="shared" si="11"/>
        <v>1.15</v>
      </c>
      <c r="M168" s="31">
        <f t="shared" si="12"/>
        <v>1.1</v>
      </c>
      <c r="N168" s="32"/>
      <c r="O168" s="33"/>
      <c r="P168" s="109"/>
      <c r="Q168" s="109"/>
    </row>
    <row r="169" ht="15.75" customHeight="1">
      <c r="A169" s="21"/>
      <c r="B169" s="70"/>
      <c r="C169" s="188" t="s">
        <v>591</v>
      </c>
      <c r="D169" s="186" t="s">
        <v>592</v>
      </c>
      <c r="E169" s="187">
        <v>1.0</v>
      </c>
      <c r="F169" s="187"/>
      <c r="G169" s="185"/>
      <c r="H169" s="181">
        <f t="shared" si="7"/>
        <v>1.5</v>
      </c>
      <c r="I169" s="29">
        <f t="shared" si="8"/>
        <v>1.3</v>
      </c>
      <c r="J169" s="30">
        <f t="shared" si="9"/>
        <v>1.3</v>
      </c>
      <c r="K169" s="31">
        <f t="shared" si="10"/>
        <v>1.2</v>
      </c>
      <c r="L169" s="30">
        <f t="shared" si="11"/>
        <v>1.15</v>
      </c>
      <c r="M169" s="31">
        <f t="shared" si="12"/>
        <v>1.1</v>
      </c>
      <c r="N169" s="32"/>
      <c r="O169" s="33"/>
      <c r="P169" s="109"/>
      <c r="Q169" s="109"/>
    </row>
    <row r="170" ht="15.75" customHeight="1">
      <c r="A170" s="21"/>
      <c r="B170" s="70"/>
      <c r="C170" s="188" t="s">
        <v>593</v>
      </c>
      <c r="D170" s="188" t="s">
        <v>594</v>
      </c>
      <c r="E170" s="187">
        <v>1.0</v>
      </c>
      <c r="F170" s="187"/>
      <c r="G170" s="185"/>
      <c r="H170" s="181">
        <f t="shared" si="7"/>
        <v>1.5</v>
      </c>
      <c r="I170" s="29">
        <f t="shared" si="8"/>
        <v>1.3</v>
      </c>
      <c r="J170" s="30">
        <f t="shared" si="9"/>
        <v>1.3</v>
      </c>
      <c r="K170" s="31">
        <f t="shared" si="10"/>
        <v>1.2</v>
      </c>
      <c r="L170" s="30">
        <f t="shared" si="11"/>
        <v>1.15</v>
      </c>
      <c r="M170" s="31">
        <f t="shared" si="12"/>
        <v>1.1</v>
      </c>
      <c r="N170" s="32"/>
      <c r="O170" s="33"/>
      <c r="P170" s="109"/>
      <c r="Q170" s="109"/>
    </row>
    <row r="171" ht="15.75" customHeight="1">
      <c r="A171" s="21"/>
      <c r="B171" s="70"/>
      <c r="C171" s="186" t="s">
        <v>595</v>
      </c>
      <c r="D171" s="188" t="s">
        <v>596</v>
      </c>
      <c r="E171" s="187">
        <v>1.0</v>
      </c>
      <c r="F171" s="187"/>
      <c r="G171" s="185"/>
      <c r="H171" s="181">
        <f t="shared" si="7"/>
        <v>1.5</v>
      </c>
      <c r="I171" s="29">
        <f t="shared" si="8"/>
        <v>1.3</v>
      </c>
      <c r="J171" s="30">
        <f t="shared" si="9"/>
        <v>1.3</v>
      </c>
      <c r="K171" s="31">
        <f t="shared" si="10"/>
        <v>1.2</v>
      </c>
      <c r="L171" s="30">
        <f t="shared" si="11"/>
        <v>1.15</v>
      </c>
      <c r="M171" s="31">
        <f t="shared" si="12"/>
        <v>1.1</v>
      </c>
      <c r="N171" s="32"/>
      <c r="O171" s="33"/>
      <c r="P171" s="109"/>
      <c r="Q171" s="109"/>
    </row>
    <row r="172" ht="15.75" customHeight="1">
      <c r="A172" s="21"/>
      <c r="B172" s="70"/>
      <c r="C172" s="186" t="s">
        <v>597</v>
      </c>
      <c r="D172" s="188" t="s">
        <v>598</v>
      </c>
      <c r="E172" s="187">
        <v>1.0</v>
      </c>
      <c r="F172" s="187"/>
      <c r="G172" s="185"/>
      <c r="H172" s="181">
        <f t="shared" si="7"/>
        <v>1.5</v>
      </c>
      <c r="I172" s="29">
        <f t="shared" si="8"/>
        <v>1.3</v>
      </c>
      <c r="J172" s="30">
        <f t="shared" si="9"/>
        <v>1.3</v>
      </c>
      <c r="K172" s="31">
        <f t="shared" si="10"/>
        <v>1.2</v>
      </c>
      <c r="L172" s="30">
        <f t="shared" si="11"/>
        <v>1.15</v>
      </c>
      <c r="M172" s="31">
        <f t="shared" si="12"/>
        <v>1.1</v>
      </c>
      <c r="N172" s="32"/>
      <c r="O172" s="33"/>
      <c r="P172" s="109"/>
      <c r="Q172" s="109"/>
    </row>
    <row r="173" ht="15.75" customHeight="1">
      <c r="A173" s="21"/>
      <c r="B173" s="70"/>
      <c r="C173" s="188" t="s">
        <v>599</v>
      </c>
      <c r="D173" s="188" t="s">
        <v>600</v>
      </c>
      <c r="E173" s="187">
        <v>1.0</v>
      </c>
      <c r="F173" s="187"/>
      <c r="G173" s="185"/>
      <c r="H173" s="181">
        <f t="shared" si="7"/>
        <v>1.5</v>
      </c>
      <c r="I173" s="29">
        <f t="shared" si="8"/>
        <v>1.3</v>
      </c>
      <c r="J173" s="30">
        <f t="shared" si="9"/>
        <v>1.3</v>
      </c>
      <c r="K173" s="31">
        <f t="shared" si="10"/>
        <v>1.2</v>
      </c>
      <c r="L173" s="30">
        <f t="shared" si="11"/>
        <v>1.15</v>
      </c>
      <c r="M173" s="31">
        <f t="shared" si="12"/>
        <v>1.1</v>
      </c>
      <c r="N173" s="32"/>
      <c r="O173" s="33"/>
    </row>
    <row r="174" ht="15.75" customHeight="1">
      <c r="A174" s="21"/>
      <c r="B174" s="70"/>
      <c r="C174" s="188" t="s">
        <v>601</v>
      </c>
      <c r="D174" s="188" t="s">
        <v>602</v>
      </c>
      <c r="E174" s="187">
        <v>1.0</v>
      </c>
      <c r="F174" s="187"/>
      <c r="G174" s="185"/>
      <c r="H174" s="181">
        <f t="shared" si="7"/>
        <v>1.5</v>
      </c>
      <c r="I174" s="29">
        <f t="shared" si="8"/>
        <v>1.3</v>
      </c>
      <c r="J174" s="30">
        <f t="shared" si="9"/>
        <v>1.3</v>
      </c>
      <c r="K174" s="31">
        <f t="shared" si="10"/>
        <v>1.2</v>
      </c>
      <c r="L174" s="30">
        <f t="shared" si="11"/>
        <v>1.15</v>
      </c>
      <c r="M174" s="31">
        <f t="shared" si="12"/>
        <v>1.1</v>
      </c>
      <c r="N174" s="32"/>
      <c r="O174" s="33"/>
    </row>
    <row r="175" ht="15.75" customHeight="1">
      <c r="A175" s="21"/>
      <c r="B175" s="70"/>
      <c r="C175" s="188" t="s">
        <v>603</v>
      </c>
      <c r="D175" s="188" t="s">
        <v>604</v>
      </c>
      <c r="E175" s="187">
        <v>1.0</v>
      </c>
      <c r="F175" s="187"/>
      <c r="G175" s="185"/>
      <c r="H175" s="181">
        <f t="shared" si="7"/>
        <v>1.5</v>
      </c>
      <c r="I175" s="29">
        <f t="shared" si="8"/>
        <v>1.3</v>
      </c>
      <c r="J175" s="30">
        <f t="shared" si="9"/>
        <v>1.3</v>
      </c>
      <c r="K175" s="31">
        <f t="shared" si="10"/>
        <v>1.2</v>
      </c>
      <c r="L175" s="30">
        <f t="shared" si="11"/>
        <v>1.15</v>
      </c>
      <c r="M175" s="31">
        <f t="shared" si="12"/>
        <v>1.1</v>
      </c>
      <c r="N175" s="32"/>
      <c r="O175" s="33"/>
    </row>
    <row r="176" ht="15.75" customHeight="1">
      <c r="A176" s="21"/>
      <c r="B176" s="70"/>
      <c r="C176" s="188" t="s">
        <v>605</v>
      </c>
      <c r="D176" s="188" t="s">
        <v>606</v>
      </c>
      <c r="E176" s="187">
        <v>1.0</v>
      </c>
      <c r="F176" s="187"/>
      <c r="G176" s="185"/>
      <c r="H176" s="181">
        <f t="shared" si="7"/>
        <v>1.5</v>
      </c>
      <c r="I176" s="29">
        <f t="shared" si="8"/>
        <v>1.3</v>
      </c>
      <c r="J176" s="30">
        <f t="shared" si="9"/>
        <v>1.3</v>
      </c>
      <c r="K176" s="31">
        <f t="shared" si="10"/>
        <v>1.2</v>
      </c>
      <c r="L176" s="30">
        <f t="shared" si="11"/>
        <v>1.15</v>
      </c>
      <c r="M176" s="31">
        <f t="shared" si="12"/>
        <v>1.1</v>
      </c>
      <c r="N176" s="32"/>
      <c r="O176" s="33"/>
    </row>
    <row r="177" ht="15.75" customHeight="1">
      <c r="A177" s="21"/>
      <c r="B177" s="70"/>
      <c r="C177" s="188" t="s">
        <v>607</v>
      </c>
      <c r="D177" s="188" t="s">
        <v>608</v>
      </c>
      <c r="E177" s="187">
        <v>1.0</v>
      </c>
      <c r="F177" s="187"/>
      <c r="G177" s="185"/>
      <c r="H177" s="181">
        <f t="shared" si="7"/>
        <v>1.5</v>
      </c>
      <c r="I177" s="29">
        <f t="shared" si="8"/>
        <v>1.3</v>
      </c>
      <c r="J177" s="30">
        <f t="shared" si="9"/>
        <v>1.3</v>
      </c>
      <c r="K177" s="31">
        <f t="shared" si="10"/>
        <v>1.2</v>
      </c>
      <c r="L177" s="30">
        <f t="shared" si="11"/>
        <v>1.15</v>
      </c>
      <c r="M177" s="31">
        <f t="shared" si="12"/>
        <v>1.1</v>
      </c>
      <c r="N177" s="32"/>
      <c r="O177" s="33"/>
    </row>
    <row r="178" ht="15.75" customHeight="1">
      <c r="A178" s="21"/>
      <c r="B178" s="70"/>
      <c r="C178" s="188" t="s">
        <v>609</v>
      </c>
      <c r="D178" s="188" t="s">
        <v>610</v>
      </c>
      <c r="E178" s="187">
        <v>1.0</v>
      </c>
      <c r="F178" s="187"/>
      <c r="G178" s="185"/>
      <c r="H178" s="181">
        <f t="shared" si="7"/>
        <v>1.5</v>
      </c>
      <c r="I178" s="29">
        <f t="shared" si="8"/>
        <v>1.3</v>
      </c>
      <c r="J178" s="30">
        <f t="shared" si="9"/>
        <v>1.3</v>
      </c>
      <c r="K178" s="31">
        <f t="shared" si="10"/>
        <v>1.2</v>
      </c>
      <c r="L178" s="30">
        <f t="shared" si="11"/>
        <v>1.15</v>
      </c>
      <c r="M178" s="31">
        <f t="shared" si="12"/>
        <v>1.1</v>
      </c>
      <c r="N178" s="32"/>
      <c r="O178" s="33"/>
    </row>
    <row r="179" ht="15.75" customHeight="1">
      <c r="A179" s="21"/>
      <c r="B179" s="70"/>
      <c r="C179" s="188" t="s">
        <v>611</v>
      </c>
      <c r="D179" s="188" t="s">
        <v>612</v>
      </c>
      <c r="E179" s="187">
        <v>1.0</v>
      </c>
      <c r="F179" s="187"/>
      <c r="G179" s="185"/>
      <c r="H179" s="181">
        <f t="shared" si="7"/>
        <v>1.5</v>
      </c>
      <c r="I179" s="29">
        <f t="shared" si="8"/>
        <v>1.3</v>
      </c>
      <c r="J179" s="30">
        <f t="shared" si="9"/>
        <v>1.3</v>
      </c>
      <c r="K179" s="31">
        <f t="shared" si="10"/>
        <v>1.2</v>
      </c>
      <c r="L179" s="30">
        <f t="shared" si="11"/>
        <v>1.15</v>
      </c>
      <c r="M179" s="31">
        <f t="shared" si="12"/>
        <v>1.1</v>
      </c>
      <c r="N179" s="32"/>
      <c r="O179" s="33"/>
    </row>
    <row r="180" ht="15.75" customHeight="1">
      <c r="A180" s="21"/>
      <c r="B180" s="70"/>
      <c r="C180" s="188" t="s">
        <v>613</v>
      </c>
      <c r="D180" s="188" t="s">
        <v>614</v>
      </c>
      <c r="E180" s="187">
        <v>1.0</v>
      </c>
      <c r="F180" s="187"/>
      <c r="G180" s="185"/>
      <c r="H180" s="181">
        <f t="shared" si="7"/>
        <v>1.5</v>
      </c>
      <c r="I180" s="29">
        <f t="shared" si="8"/>
        <v>1.3</v>
      </c>
      <c r="J180" s="30">
        <f t="shared" si="9"/>
        <v>1.3</v>
      </c>
      <c r="K180" s="31">
        <f t="shared" si="10"/>
        <v>1.2</v>
      </c>
      <c r="L180" s="30">
        <f t="shared" si="11"/>
        <v>1.15</v>
      </c>
      <c r="M180" s="31">
        <f t="shared" si="12"/>
        <v>1.1</v>
      </c>
      <c r="N180" s="32"/>
      <c r="O180" s="33"/>
    </row>
    <row r="181" ht="15.75" customHeight="1">
      <c r="A181" s="21"/>
      <c r="B181" s="70"/>
      <c r="C181" s="188" t="s">
        <v>615</v>
      </c>
      <c r="D181" s="188" t="s">
        <v>616</v>
      </c>
      <c r="E181" s="187">
        <v>1.0</v>
      </c>
      <c r="F181" s="187"/>
      <c r="G181" s="185"/>
      <c r="H181" s="181">
        <f t="shared" si="7"/>
        <v>1.5</v>
      </c>
      <c r="I181" s="29">
        <f t="shared" si="8"/>
        <v>1.3</v>
      </c>
      <c r="J181" s="30">
        <f t="shared" si="9"/>
        <v>1.3</v>
      </c>
      <c r="K181" s="31">
        <f t="shared" si="10"/>
        <v>1.2</v>
      </c>
      <c r="L181" s="30">
        <f t="shared" si="11"/>
        <v>1.15</v>
      </c>
      <c r="M181" s="31">
        <f t="shared" si="12"/>
        <v>1.1</v>
      </c>
      <c r="N181" s="32"/>
      <c r="O181" s="33"/>
    </row>
    <row r="182" ht="15.75" customHeight="1">
      <c r="A182" s="21"/>
      <c r="B182" s="70"/>
      <c r="C182" s="188" t="s">
        <v>617</v>
      </c>
      <c r="D182" s="188" t="s">
        <v>618</v>
      </c>
      <c r="E182" s="187">
        <v>1.0</v>
      </c>
      <c r="F182" s="187"/>
      <c r="G182" s="185"/>
      <c r="H182" s="181">
        <f t="shared" si="7"/>
        <v>1.5</v>
      </c>
      <c r="I182" s="29">
        <f t="shared" si="8"/>
        <v>1.3</v>
      </c>
      <c r="J182" s="30">
        <f t="shared" si="9"/>
        <v>1.3</v>
      </c>
      <c r="K182" s="31">
        <f t="shared" si="10"/>
        <v>1.2</v>
      </c>
      <c r="L182" s="30">
        <f t="shared" si="11"/>
        <v>1.15</v>
      </c>
      <c r="M182" s="31">
        <f t="shared" si="12"/>
        <v>1.1</v>
      </c>
      <c r="N182" s="32"/>
      <c r="O182" s="33"/>
    </row>
    <row r="183" ht="15.75" customHeight="1">
      <c r="A183" s="21"/>
      <c r="B183" s="70"/>
      <c r="C183" s="188" t="s">
        <v>619</v>
      </c>
      <c r="D183" s="188" t="s">
        <v>620</v>
      </c>
      <c r="E183" s="187">
        <v>1.0</v>
      </c>
      <c r="F183" s="187"/>
      <c r="G183" s="185"/>
      <c r="H183" s="181">
        <f t="shared" si="7"/>
        <v>1.5</v>
      </c>
      <c r="I183" s="29">
        <f t="shared" si="8"/>
        <v>1.3</v>
      </c>
      <c r="J183" s="30">
        <f t="shared" si="9"/>
        <v>1.3</v>
      </c>
      <c r="K183" s="31">
        <f t="shared" si="10"/>
        <v>1.2</v>
      </c>
      <c r="L183" s="30">
        <f t="shared" si="11"/>
        <v>1.15</v>
      </c>
      <c r="M183" s="31">
        <f t="shared" si="12"/>
        <v>1.1</v>
      </c>
      <c r="N183" s="32"/>
      <c r="O183" s="33"/>
    </row>
    <row r="184" ht="15.75" customHeight="1">
      <c r="A184" s="21"/>
      <c r="B184" s="70"/>
      <c r="C184" s="188" t="s">
        <v>621</v>
      </c>
      <c r="D184" s="188" t="s">
        <v>622</v>
      </c>
      <c r="E184" s="187">
        <v>1.0</v>
      </c>
      <c r="F184" s="187"/>
      <c r="G184" s="185"/>
      <c r="H184" s="181">
        <f t="shared" si="7"/>
        <v>1.5</v>
      </c>
      <c r="I184" s="29">
        <f t="shared" si="8"/>
        <v>1.3</v>
      </c>
      <c r="J184" s="30">
        <f t="shared" si="9"/>
        <v>1.3</v>
      </c>
      <c r="K184" s="31">
        <f t="shared" si="10"/>
        <v>1.2</v>
      </c>
      <c r="L184" s="30">
        <f t="shared" si="11"/>
        <v>1.15</v>
      </c>
      <c r="M184" s="31">
        <f t="shared" si="12"/>
        <v>1.1</v>
      </c>
      <c r="N184" s="32"/>
      <c r="O184" s="33"/>
    </row>
    <row r="185" ht="15.75" customHeight="1">
      <c r="A185" s="21"/>
      <c r="B185" s="70"/>
      <c r="C185" s="186" t="s">
        <v>623</v>
      </c>
      <c r="D185" s="188" t="s">
        <v>624</v>
      </c>
      <c r="E185" s="187">
        <v>1.0</v>
      </c>
      <c r="F185" s="187"/>
      <c r="G185" s="185"/>
      <c r="H185" s="181">
        <f t="shared" si="7"/>
        <v>1.5</v>
      </c>
      <c r="I185" s="29">
        <f t="shared" si="8"/>
        <v>1.3</v>
      </c>
      <c r="J185" s="30">
        <f t="shared" si="9"/>
        <v>1.3</v>
      </c>
      <c r="K185" s="31">
        <f t="shared" si="10"/>
        <v>1.2</v>
      </c>
      <c r="L185" s="30">
        <f t="shared" si="11"/>
        <v>1.15</v>
      </c>
      <c r="M185" s="31">
        <f t="shared" si="12"/>
        <v>1.1</v>
      </c>
      <c r="N185" s="32"/>
      <c r="O185" s="33"/>
    </row>
    <row r="186" ht="15.75" customHeight="1">
      <c r="A186" s="21"/>
      <c r="B186" s="70"/>
      <c r="C186" s="186" t="s">
        <v>625</v>
      </c>
      <c r="D186" s="188" t="s">
        <v>626</v>
      </c>
      <c r="E186" s="187">
        <v>1.0</v>
      </c>
      <c r="F186" s="187"/>
      <c r="G186" s="185"/>
      <c r="H186" s="181">
        <f t="shared" si="7"/>
        <v>1.5</v>
      </c>
      <c r="I186" s="29">
        <f t="shared" si="8"/>
        <v>1.3</v>
      </c>
      <c r="J186" s="30">
        <f t="shared" si="9"/>
        <v>1.3</v>
      </c>
      <c r="K186" s="31">
        <f t="shared" si="10"/>
        <v>1.2</v>
      </c>
      <c r="L186" s="30">
        <f t="shared" si="11"/>
        <v>1.15</v>
      </c>
      <c r="M186" s="31">
        <f t="shared" si="12"/>
        <v>1.1</v>
      </c>
      <c r="N186" s="32"/>
      <c r="O186" s="33"/>
    </row>
    <row r="187" ht="15.75" customHeight="1">
      <c r="A187" s="21"/>
      <c r="B187" s="70"/>
      <c r="C187" s="186" t="s">
        <v>627</v>
      </c>
      <c r="D187" s="188" t="s">
        <v>628</v>
      </c>
      <c r="E187" s="187">
        <v>1.0</v>
      </c>
      <c r="F187" s="187"/>
      <c r="G187" s="185"/>
      <c r="H187" s="181">
        <f t="shared" si="7"/>
        <v>1.5</v>
      </c>
      <c r="I187" s="29">
        <f t="shared" si="8"/>
        <v>1.3</v>
      </c>
      <c r="J187" s="30">
        <f t="shared" si="9"/>
        <v>1.3</v>
      </c>
      <c r="K187" s="31">
        <f t="shared" si="10"/>
        <v>1.2</v>
      </c>
      <c r="L187" s="30">
        <f t="shared" si="11"/>
        <v>1.15</v>
      </c>
      <c r="M187" s="31">
        <f t="shared" si="12"/>
        <v>1.1</v>
      </c>
      <c r="N187" s="32"/>
      <c r="O187" s="33"/>
    </row>
    <row r="188" ht="15.75" customHeight="1">
      <c r="A188" s="21"/>
      <c r="B188" s="70"/>
      <c r="C188" s="186" t="s">
        <v>629</v>
      </c>
      <c r="D188" s="188" t="s">
        <v>630</v>
      </c>
      <c r="E188" s="187">
        <v>1.0</v>
      </c>
      <c r="F188" s="187"/>
      <c r="G188" s="185"/>
      <c r="H188" s="181">
        <f t="shared" si="7"/>
        <v>1.5</v>
      </c>
      <c r="I188" s="29">
        <f t="shared" si="8"/>
        <v>1.3</v>
      </c>
      <c r="J188" s="30">
        <f t="shared" si="9"/>
        <v>1.3</v>
      </c>
      <c r="K188" s="31">
        <f t="shared" si="10"/>
        <v>1.2</v>
      </c>
      <c r="L188" s="30">
        <f t="shared" si="11"/>
        <v>1.15</v>
      </c>
      <c r="M188" s="31">
        <f t="shared" si="12"/>
        <v>1.1</v>
      </c>
      <c r="N188" s="32"/>
      <c r="O188" s="33"/>
    </row>
    <row r="189" ht="15.75" customHeight="1">
      <c r="A189" s="21"/>
      <c r="B189" s="70"/>
      <c r="C189" s="186" t="s">
        <v>631</v>
      </c>
      <c r="D189" s="188" t="s">
        <v>632</v>
      </c>
      <c r="E189" s="187">
        <v>1.0</v>
      </c>
      <c r="F189" s="187"/>
      <c r="G189" s="185"/>
      <c r="H189" s="181">
        <f t="shared" si="7"/>
        <v>1.5</v>
      </c>
      <c r="I189" s="29">
        <f t="shared" si="8"/>
        <v>1.3</v>
      </c>
      <c r="J189" s="30">
        <f t="shared" si="9"/>
        <v>1.3</v>
      </c>
      <c r="K189" s="31">
        <f t="shared" si="10"/>
        <v>1.2</v>
      </c>
      <c r="L189" s="30">
        <f t="shared" si="11"/>
        <v>1.15</v>
      </c>
      <c r="M189" s="31">
        <f t="shared" si="12"/>
        <v>1.1</v>
      </c>
      <c r="N189" s="32"/>
      <c r="O189" s="33"/>
    </row>
    <row r="190" ht="15.75" customHeight="1">
      <c r="A190" s="21"/>
      <c r="B190" s="70"/>
      <c r="C190" s="188" t="s">
        <v>633</v>
      </c>
      <c r="D190" s="188" t="s">
        <v>634</v>
      </c>
      <c r="E190" s="187">
        <v>1.0</v>
      </c>
      <c r="F190" s="187"/>
      <c r="G190" s="185"/>
      <c r="H190" s="181">
        <f t="shared" si="7"/>
        <v>1.5</v>
      </c>
      <c r="I190" s="29">
        <f t="shared" si="8"/>
        <v>1.3</v>
      </c>
      <c r="J190" s="30">
        <f t="shared" si="9"/>
        <v>1.3</v>
      </c>
      <c r="K190" s="31">
        <f t="shared" si="10"/>
        <v>1.2</v>
      </c>
      <c r="L190" s="30">
        <f t="shared" si="11"/>
        <v>1.15</v>
      </c>
      <c r="M190" s="31">
        <f t="shared" si="12"/>
        <v>1.1</v>
      </c>
      <c r="N190" s="32"/>
      <c r="O190" s="33"/>
    </row>
    <row r="191" ht="15.75" customHeight="1">
      <c r="A191" s="21"/>
      <c r="B191" s="70"/>
      <c r="C191" s="188" t="s">
        <v>635</v>
      </c>
      <c r="D191" s="188" t="s">
        <v>636</v>
      </c>
      <c r="E191" s="187">
        <v>1.0</v>
      </c>
      <c r="F191" s="187"/>
      <c r="G191" s="185"/>
      <c r="H191" s="181">
        <f t="shared" si="7"/>
        <v>1.5</v>
      </c>
      <c r="I191" s="29">
        <f t="shared" si="8"/>
        <v>1.3</v>
      </c>
      <c r="J191" s="30">
        <f t="shared" si="9"/>
        <v>1.3</v>
      </c>
      <c r="K191" s="31">
        <f t="shared" si="10"/>
        <v>1.2</v>
      </c>
      <c r="L191" s="30">
        <f t="shared" si="11"/>
        <v>1.15</v>
      </c>
      <c r="M191" s="31">
        <f t="shared" si="12"/>
        <v>1.1</v>
      </c>
      <c r="N191" s="32"/>
      <c r="O191" s="33"/>
    </row>
    <row r="192" ht="15.75" customHeight="1">
      <c r="A192" s="21"/>
      <c r="B192" s="70"/>
      <c r="C192" s="188" t="s">
        <v>637</v>
      </c>
      <c r="D192" s="188" t="s">
        <v>638</v>
      </c>
      <c r="E192" s="187">
        <v>1.0</v>
      </c>
      <c r="F192" s="187"/>
      <c r="G192" s="185"/>
      <c r="H192" s="181">
        <f t="shared" si="7"/>
        <v>1.5</v>
      </c>
      <c r="I192" s="29">
        <f t="shared" si="8"/>
        <v>1.3</v>
      </c>
      <c r="J192" s="30">
        <f t="shared" si="9"/>
        <v>1.3</v>
      </c>
      <c r="K192" s="31">
        <f t="shared" si="10"/>
        <v>1.2</v>
      </c>
      <c r="L192" s="30">
        <f t="shared" si="11"/>
        <v>1.15</v>
      </c>
      <c r="M192" s="31">
        <f t="shared" si="12"/>
        <v>1.1</v>
      </c>
      <c r="N192" s="32"/>
      <c r="O192" s="33"/>
    </row>
    <row r="193" ht="15.75" customHeight="1">
      <c r="A193" s="21"/>
      <c r="B193" s="70"/>
      <c r="C193" s="188" t="s">
        <v>639</v>
      </c>
      <c r="D193" s="188" t="s">
        <v>640</v>
      </c>
      <c r="E193" s="187">
        <v>1.0</v>
      </c>
      <c r="F193" s="187"/>
      <c r="G193" s="185"/>
      <c r="H193" s="181">
        <f t="shared" si="7"/>
        <v>1.5</v>
      </c>
      <c r="I193" s="29">
        <f t="shared" si="8"/>
        <v>1.3</v>
      </c>
      <c r="J193" s="30">
        <f t="shared" si="9"/>
        <v>1.3</v>
      </c>
      <c r="K193" s="31">
        <f t="shared" si="10"/>
        <v>1.2</v>
      </c>
      <c r="L193" s="30">
        <f t="shared" si="11"/>
        <v>1.15</v>
      </c>
      <c r="M193" s="31">
        <f t="shared" si="12"/>
        <v>1.1</v>
      </c>
      <c r="N193" s="32"/>
      <c r="O193" s="33"/>
    </row>
    <row r="194" ht="15.75" customHeight="1">
      <c r="A194" s="21"/>
      <c r="B194" s="70"/>
      <c r="C194" s="188" t="s">
        <v>641</v>
      </c>
      <c r="D194" s="188" t="s">
        <v>642</v>
      </c>
      <c r="E194" s="187">
        <v>1.0</v>
      </c>
      <c r="F194" s="187"/>
      <c r="G194" s="185"/>
      <c r="H194" s="181">
        <f t="shared" si="7"/>
        <v>1.5</v>
      </c>
      <c r="I194" s="29">
        <f t="shared" si="8"/>
        <v>1.3</v>
      </c>
      <c r="J194" s="30">
        <f t="shared" si="9"/>
        <v>1.3</v>
      </c>
      <c r="K194" s="31">
        <f t="shared" si="10"/>
        <v>1.2</v>
      </c>
      <c r="L194" s="30">
        <f t="shared" si="11"/>
        <v>1.15</v>
      </c>
      <c r="M194" s="31">
        <f t="shared" si="12"/>
        <v>1.1</v>
      </c>
      <c r="N194" s="32"/>
      <c r="O194" s="33"/>
    </row>
    <row r="195" ht="15.75" customHeight="1">
      <c r="A195" s="21"/>
      <c r="B195" s="70"/>
      <c r="C195" s="188" t="s">
        <v>643</v>
      </c>
      <c r="D195" s="188" t="s">
        <v>164</v>
      </c>
      <c r="E195" s="187">
        <v>9.0</v>
      </c>
      <c r="F195" s="187"/>
      <c r="G195" s="185"/>
      <c r="H195" s="181">
        <f t="shared" si="7"/>
        <v>13.5</v>
      </c>
      <c r="I195" s="29">
        <f t="shared" si="8"/>
        <v>11.7</v>
      </c>
      <c r="J195" s="30">
        <f t="shared" si="9"/>
        <v>11.7</v>
      </c>
      <c r="K195" s="31">
        <f t="shared" si="10"/>
        <v>10.8</v>
      </c>
      <c r="L195" s="30">
        <f t="shared" si="11"/>
        <v>10.35</v>
      </c>
      <c r="M195" s="31">
        <f t="shared" si="12"/>
        <v>9.9</v>
      </c>
      <c r="N195" s="32"/>
      <c r="O195" s="33"/>
    </row>
    <row r="196" ht="15.75" customHeight="1">
      <c r="A196" s="21"/>
      <c r="B196" s="70"/>
      <c r="C196" s="188" t="s">
        <v>644</v>
      </c>
      <c r="D196" s="188" t="s">
        <v>645</v>
      </c>
      <c r="E196" s="187">
        <v>1.0</v>
      </c>
      <c r="F196" s="187"/>
      <c r="G196" s="185"/>
      <c r="H196" s="181">
        <f t="shared" si="7"/>
        <v>1.5</v>
      </c>
      <c r="I196" s="29">
        <f t="shared" si="8"/>
        <v>1.3</v>
      </c>
      <c r="J196" s="30">
        <f t="shared" si="9"/>
        <v>1.3</v>
      </c>
      <c r="K196" s="31">
        <f t="shared" si="10"/>
        <v>1.2</v>
      </c>
      <c r="L196" s="30">
        <f t="shared" si="11"/>
        <v>1.15</v>
      </c>
      <c r="M196" s="31">
        <f t="shared" si="12"/>
        <v>1.1</v>
      </c>
      <c r="N196" s="32"/>
      <c r="O196" s="33"/>
    </row>
    <row r="197" ht="15.75" customHeight="1">
      <c r="A197" s="21"/>
      <c r="B197" s="70"/>
      <c r="C197" s="186" t="s">
        <v>646</v>
      </c>
      <c r="D197" s="188" t="s">
        <v>647</v>
      </c>
      <c r="E197" s="187">
        <v>1.0</v>
      </c>
      <c r="F197" s="187"/>
      <c r="G197" s="185"/>
      <c r="H197" s="181">
        <f t="shared" si="7"/>
        <v>1.5</v>
      </c>
      <c r="I197" s="29">
        <f t="shared" si="8"/>
        <v>1.3</v>
      </c>
      <c r="J197" s="30">
        <f t="shared" si="9"/>
        <v>1.3</v>
      </c>
      <c r="K197" s="31">
        <f t="shared" si="10"/>
        <v>1.2</v>
      </c>
      <c r="L197" s="30">
        <f t="shared" si="11"/>
        <v>1.15</v>
      </c>
      <c r="M197" s="31">
        <f t="shared" si="12"/>
        <v>1.1</v>
      </c>
      <c r="N197" s="32"/>
      <c r="O197" s="33"/>
    </row>
    <row r="198" ht="15.75" customHeight="1">
      <c r="A198" s="21"/>
      <c r="B198" s="70"/>
      <c r="C198" s="186" t="s">
        <v>648</v>
      </c>
      <c r="D198" s="188" t="s">
        <v>649</v>
      </c>
      <c r="E198" s="187">
        <v>1.0</v>
      </c>
      <c r="F198" s="187"/>
      <c r="G198" s="185"/>
      <c r="H198" s="181">
        <f t="shared" si="7"/>
        <v>1.5</v>
      </c>
      <c r="I198" s="29">
        <f t="shared" si="8"/>
        <v>1.3</v>
      </c>
      <c r="J198" s="30">
        <f t="shared" si="9"/>
        <v>1.3</v>
      </c>
      <c r="K198" s="31">
        <f t="shared" si="10"/>
        <v>1.2</v>
      </c>
      <c r="L198" s="30">
        <f t="shared" si="11"/>
        <v>1.15</v>
      </c>
      <c r="M198" s="31">
        <f t="shared" si="12"/>
        <v>1.1</v>
      </c>
      <c r="N198" s="32"/>
      <c r="O198" s="33"/>
    </row>
    <row r="199" ht="15.75" customHeight="1">
      <c r="A199" s="21"/>
      <c r="B199" s="70"/>
      <c r="C199" s="188" t="s">
        <v>650</v>
      </c>
      <c r="D199" s="188" t="s">
        <v>651</v>
      </c>
      <c r="E199" s="187">
        <v>9.0</v>
      </c>
      <c r="F199" s="187"/>
      <c r="G199" s="185"/>
      <c r="H199" s="181">
        <f t="shared" si="7"/>
        <v>13.5</v>
      </c>
      <c r="I199" s="29">
        <f t="shared" si="8"/>
        <v>11.7</v>
      </c>
      <c r="J199" s="30">
        <f t="shared" si="9"/>
        <v>11.7</v>
      </c>
      <c r="K199" s="31">
        <f t="shared" si="10"/>
        <v>10.8</v>
      </c>
      <c r="L199" s="30">
        <f t="shared" si="11"/>
        <v>10.35</v>
      </c>
      <c r="M199" s="31">
        <f t="shared" si="12"/>
        <v>9.9</v>
      </c>
      <c r="N199" s="32"/>
      <c r="O199" s="33"/>
    </row>
    <row r="200" ht="15.75" customHeight="1">
      <c r="A200" s="21"/>
      <c r="B200" s="70"/>
      <c r="C200" s="186" t="s">
        <v>652</v>
      </c>
      <c r="D200" s="188" t="s">
        <v>653</v>
      </c>
      <c r="E200" s="187">
        <v>1.0</v>
      </c>
      <c r="F200" s="187"/>
      <c r="G200" s="185"/>
      <c r="H200" s="181">
        <f t="shared" si="7"/>
        <v>1.5</v>
      </c>
      <c r="I200" s="29">
        <f t="shared" si="8"/>
        <v>1.3</v>
      </c>
      <c r="J200" s="30">
        <f t="shared" si="9"/>
        <v>1.3</v>
      </c>
      <c r="K200" s="31">
        <f t="shared" si="10"/>
        <v>1.2</v>
      </c>
      <c r="L200" s="30">
        <f t="shared" si="11"/>
        <v>1.15</v>
      </c>
      <c r="M200" s="31">
        <f t="shared" si="12"/>
        <v>1.1</v>
      </c>
      <c r="N200" s="32"/>
      <c r="O200" s="33"/>
    </row>
    <row r="201" ht="15.75" customHeight="1">
      <c r="A201" s="21"/>
      <c r="B201" s="70"/>
      <c r="C201" s="186" t="s">
        <v>654</v>
      </c>
      <c r="D201" s="188" t="s">
        <v>655</v>
      </c>
      <c r="E201" s="187">
        <v>1.0</v>
      </c>
      <c r="F201" s="187"/>
      <c r="G201" s="185"/>
      <c r="H201" s="181">
        <f t="shared" si="7"/>
        <v>1.5</v>
      </c>
      <c r="I201" s="29">
        <f t="shared" si="8"/>
        <v>1.3</v>
      </c>
      <c r="J201" s="30">
        <f t="shared" si="9"/>
        <v>1.3</v>
      </c>
      <c r="K201" s="31">
        <f t="shared" si="10"/>
        <v>1.2</v>
      </c>
      <c r="L201" s="30">
        <f t="shared" si="11"/>
        <v>1.15</v>
      </c>
      <c r="M201" s="31">
        <f t="shared" si="12"/>
        <v>1.1</v>
      </c>
      <c r="N201" s="32"/>
      <c r="O201" s="33"/>
    </row>
    <row r="202" ht="15.75" customHeight="1">
      <c r="A202" s="21"/>
      <c r="B202" s="70"/>
      <c r="C202" s="186" t="s">
        <v>656</v>
      </c>
      <c r="D202" s="188" t="s">
        <v>657</v>
      </c>
      <c r="E202" s="187">
        <v>1.0</v>
      </c>
      <c r="F202" s="187"/>
      <c r="G202" s="185"/>
      <c r="H202" s="181">
        <f t="shared" si="7"/>
        <v>1.5</v>
      </c>
      <c r="I202" s="29">
        <f t="shared" si="8"/>
        <v>1.3</v>
      </c>
      <c r="J202" s="30">
        <f t="shared" si="9"/>
        <v>1.3</v>
      </c>
      <c r="K202" s="31">
        <f t="shared" si="10"/>
        <v>1.2</v>
      </c>
      <c r="L202" s="30">
        <f t="shared" si="11"/>
        <v>1.15</v>
      </c>
      <c r="M202" s="31">
        <f t="shared" si="12"/>
        <v>1.1</v>
      </c>
      <c r="N202" s="32"/>
      <c r="O202" s="33"/>
    </row>
    <row r="203" ht="15.75" customHeight="1">
      <c r="A203" s="21"/>
      <c r="B203" s="70"/>
      <c r="C203" s="188" t="s">
        <v>658</v>
      </c>
      <c r="D203" s="188" t="s">
        <v>659</v>
      </c>
      <c r="E203" s="187">
        <v>1.0</v>
      </c>
      <c r="F203" s="187"/>
      <c r="G203" s="185"/>
      <c r="H203" s="181">
        <f t="shared" si="7"/>
        <v>1.5</v>
      </c>
      <c r="I203" s="29">
        <f t="shared" si="8"/>
        <v>1.3</v>
      </c>
      <c r="J203" s="30">
        <f t="shared" si="9"/>
        <v>1.3</v>
      </c>
      <c r="K203" s="31">
        <f t="shared" si="10"/>
        <v>1.2</v>
      </c>
      <c r="L203" s="30">
        <f t="shared" si="11"/>
        <v>1.15</v>
      </c>
      <c r="M203" s="31">
        <f t="shared" si="12"/>
        <v>1.1</v>
      </c>
      <c r="N203" s="32"/>
      <c r="O203" s="33"/>
    </row>
    <row r="204" ht="15.75" customHeight="1">
      <c r="A204" s="21"/>
      <c r="B204" s="70"/>
      <c r="C204" s="188" t="s">
        <v>660</v>
      </c>
      <c r="D204" s="188" t="s">
        <v>661</v>
      </c>
      <c r="E204" s="187">
        <v>1.0</v>
      </c>
      <c r="F204" s="187"/>
      <c r="G204" s="185"/>
      <c r="H204" s="181">
        <f t="shared" si="7"/>
        <v>1.5</v>
      </c>
      <c r="I204" s="29">
        <f t="shared" si="8"/>
        <v>1.3</v>
      </c>
      <c r="J204" s="30">
        <f t="shared" si="9"/>
        <v>1.3</v>
      </c>
      <c r="K204" s="31">
        <f t="shared" si="10"/>
        <v>1.2</v>
      </c>
      <c r="L204" s="30">
        <f t="shared" si="11"/>
        <v>1.15</v>
      </c>
      <c r="M204" s="31">
        <f t="shared" si="12"/>
        <v>1.1</v>
      </c>
      <c r="N204" s="32"/>
      <c r="O204" s="33"/>
    </row>
    <row r="205" ht="15.75" customHeight="1">
      <c r="A205" s="21"/>
      <c r="B205" s="70"/>
      <c r="C205" s="188" t="s">
        <v>662</v>
      </c>
      <c r="D205" s="188" t="s">
        <v>663</v>
      </c>
      <c r="E205" s="187">
        <v>1.0</v>
      </c>
      <c r="F205" s="187"/>
      <c r="G205" s="185"/>
      <c r="H205" s="181">
        <f t="shared" si="7"/>
        <v>1.5</v>
      </c>
      <c r="I205" s="29">
        <f t="shared" si="8"/>
        <v>1.3</v>
      </c>
      <c r="J205" s="30">
        <f t="shared" si="9"/>
        <v>1.3</v>
      </c>
      <c r="K205" s="31">
        <f t="shared" si="10"/>
        <v>1.2</v>
      </c>
      <c r="L205" s="30">
        <f t="shared" si="11"/>
        <v>1.15</v>
      </c>
      <c r="M205" s="31">
        <f t="shared" si="12"/>
        <v>1.1</v>
      </c>
      <c r="N205" s="32"/>
      <c r="O205" s="33"/>
    </row>
    <row r="206" ht="15.75" customHeight="1">
      <c r="A206" s="21"/>
      <c r="B206" s="70"/>
      <c r="C206" s="188" t="s">
        <v>664</v>
      </c>
      <c r="D206" s="188" t="s">
        <v>665</v>
      </c>
      <c r="E206" s="187">
        <v>1.0</v>
      </c>
      <c r="F206" s="187"/>
      <c r="G206" s="185"/>
      <c r="H206" s="181">
        <f t="shared" si="7"/>
        <v>1.5</v>
      </c>
      <c r="I206" s="29">
        <f t="shared" si="8"/>
        <v>1.3</v>
      </c>
      <c r="J206" s="30">
        <f t="shared" si="9"/>
        <v>1.3</v>
      </c>
      <c r="K206" s="31">
        <f t="shared" si="10"/>
        <v>1.2</v>
      </c>
      <c r="L206" s="30">
        <f t="shared" si="11"/>
        <v>1.15</v>
      </c>
      <c r="M206" s="31">
        <f t="shared" si="12"/>
        <v>1.1</v>
      </c>
      <c r="N206" s="32"/>
      <c r="O206" s="33"/>
    </row>
    <row r="207" ht="15.75" customHeight="1">
      <c r="A207" s="21"/>
      <c r="B207" s="70"/>
      <c r="C207" s="188" t="s">
        <v>666</v>
      </c>
      <c r="D207" s="188" t="s">
        <v>667</v>
      </c>
      <c r="E207" s="187">
        <v>1.0</v>
      </c>
      <c r="F207" s="187"/>
      <c r="G207" s="185"/>
      <c r="H207" s="181">
        <f t="shared" si="7"/>
        <v>1.5</v>
      </c>
      <c r="I207" s="29">
        <f t="shared" si="8"/>
        <v>1.3</v>
      </c>
      <c r="J207" s="30">
        <f t="shared" si="9"/>
        <v>1.3</v>
      </c>
      <c r="K207" s="31">
        <f t="shared" si="10"/>
        <v>1.2</v>
      </c>
      <c r="L207" s="30">
        <f t="shared" si="11"/>
        <v>1.15</v>
      </c>
      <c r="M207" s="31">
        <f t="shared" si="12"/>
        <v>1.1</v>
      </c>
      <c r="N207" s="32"/>
      <c r="O207" s="33"/>
    </row>
    <row r="208" ht="15.75" customHeight="1">
      <c r="A208" s="21"/>
      <c r="B208" s="70"/>
      <c r="C208" s="188" t="s">
        <v>668</v>
      </c>
      <c r="D208" s="188" t="s">
        <v>669</v>
      </c>
      <c r="E208" s="187">
        <v>1.0</v>
      </c>
      <c r="F208" s="187"/>
      <c r="G208" s="185"/>
      <c r="H208" s="181">
        <f t="shared" si="7"/>
        <v>1.5</v>
      </c>
      <c r="I208" s="29">
        <f t="shared" si="8"/>
        <v>1.3</v>
      </c>
      <c r="J208" s="30">
        <f t="shared" si="9"/>
        <v>1.3</v>
      </c>
      <c r="K208" s="31">
        <f t="shared" si="10"/>
        <v>1.2</v>
      </c>
      <c r="L208" s="30">
        <f t="shared" si="11"/>
        <v>1.15</v>
      </c>
      <c r="M208" s="31">
        <f t="shared" si="12"/>
        <v>1.1</v>
      </c>
      <c r="N208" s="32"/>
      <c r="O208" s="33"/>
    </row>
    <row r="209" ht="15.75" customHeight="1">
      <c r="A209" s="21"/>
      <c r="B209" s="70"/>
      <c r="C209" s="188" t="s">
        <v>670</v>
      </c>
      <c r="D209" s="188" t="s">
        <v>671</v>
      </c>
      <c r="E209" s="187">
        <v>1.0</v>
      </c>
      <c r="F209" s="187"/>
      <c r="G209" s="185"/>
      <c r="H209" s="181">
        <f t="shared" si="7"/>
        <v>1.5</v>
      </c>
      <c r="I209" s="29">
        <f t="shared" si="8"/>
        <v>1.3</v>
      </c>
      <c r="J209" s="30">
        <f t="shared" si="9"/>
        <v>1.3</v>
      </c>
      <c r="K209" s="31">
        <f t="shared" si="10"/>
        <v>1.2</v>
      </c>
      <c r="L209" s="30">
        <f t="shared" si="11"/>
        <v>1.15</v>
      </c>
      <c r="M209" s="31">
        <f t="shared" si="12"/>
        <v>1.1</v>
      </c>
      <c r="N209" s="32"/>
      <c r="O209" s="33"/>
    </row>
    <row r="210" ht="15.75" customHeight="1">
      <c r="A210" s="21"/>
      <c r="B210" s="70"/>
      <c r="C210" s="188" t="s">
        <v>672</v>
      </c>
      <c r="D210" s="188" t="s">
        <v>673</v>
      </c>
      <c r="E210" s="187">
        <v>1.0</v>
      </c>
      <c r="F210" s="187">
        <v>1.0</v>
      </c>
      <c r="G210" s="185"/>
      <c r="H210" s="181">
        <f t="shared" si="7"/>
        <v>1.5</v>
      </c>
      <c r="I210" s="29">
        <f t="shared" si="8"/>
        <v>1.3</v>
      </c>
      <c r="J210" s="30">
        <f t="shared" si="9"/>
        <v>1.3</v>
      </c>
      <c r="K210" s="31">
        <f t="shared" si="10"/>
        <v>1.2</v>
      </c>
      <c r="L210" s="30">
        <f t="shared" si="11"/>
        <v>1.15</v>
      </c>
      <c r="M210" s="31">
        <f t="shared" si="12"/>
        <v>1.1</v>
      </c>
      <c r="N210" s="32"/>
      <c r="O210" s="33"/>
    </row>
    <row r="211" ht="15.75" customHeight="1">
      <c r="A211" s="21"/>
      <c r="B211" s="70"/>
      <c r="C211" s="186" t="s">
        <v>674</v>
      </c>
      <c r="D211" s="188" t="s">
        <v>675</v>
      </c>
      <c r="E211" s="187">
        <v>1.0</v>
      </c>
      <c r="F211" s="187"/>
      <c r="G211" s="185"/>
      <c r="H211" s="181">
        <f t="shared" si="7"/>
        <v>1.5</v>
      </c>
      <c r="I211" s="29">
        <f t="shared" si="8"/>
        <v>1.3</v>
      </c>
      <c r="J211" s="30">
        <f t="shared" si="9"/>
        <v>1.3</v>
      </c>
      <c r="K211" s="31">
        <f t="shared" si="10"/>
        <v>1.2</v>
      </c>
      <c r="L211" s="30">
        <f t="shared" si="11"/>
        <v>1.15</v>
      </c>
      <c r="M211" s="31">
        <f t="shared" si="12"/>
        <v>1.1</v>
      </c>
      <c r="N211" s="32"/>
      <c r="O211" s="33"/>
    </row>
    <row r="212" ht="15.75" customHeight="1">
      <c r="A212" s="21"/>
      <c r="B212" s="70"/>
      <c r="C212" s="186" t="s">
        <v>676</v>
      </c>
      <c r="D212" s="188" t="s">
        <v>677</v>
      </c>
      <c r="E212" s="187">
        <v>1.0</v>
      </c>
      <c r="F212" s="187"/>
      <c r="G212" s="185"/>
      <c r="H212" s="181">
        <f t="shared" si="7"/>
        <v>1.5</v>
      </c>
      <c r="I212" s="29">
        <f t="shared" si="8"/>
        <v>1.3</v>
      </c>
      <c r="J212" s="30">
        <f t="shared" si="9"/>
        <v>1.3</v>
      </c>
      <c r="K212" s="31">
        <f t="shared" si="10"/>
        <v>1.2</v>
      </c>
      <c r="L212" s="30">
        <f t="shared" si="11"/>
        <v>1.15</v>
      </c>
      <c r="M212" s="31">
        <f t="shared" si="12"/>
        <v>1.1</v>
      </c>
      <c r="N212" s="32"/>
      <c r="O212" s="33"/>
    </row>
    <row r="213" ht="15.75" customHeight="1">
      <c r="A213" s="21"/>
      <c r="B213" s="70"/>
      <c r="C213" s="186" t="s">
        <v>678</v>
      </c>
      <c r="D213" s="188" t="s">
        <v>679</v>
      </c>
      <c r="E213" s="187">
        <v>1.0</v>
      </c>
      <c r="F213" s="187"/>
      <c r="G213" s="185"/>
      <c r="H213" s="181">
        <f t="shared" si="7"/>
        <v>1.5</v>
      </c>
      <c r="I213" s="29">
        <f t="shared" si="8"/>
        <v>1.3</v>
      </c>
      <c r="J213" s="30">
        <f t="shared" si="9"/>
        <v>1.3</v>
      </c>
      <c r="K213" s="31">
        <f t="shared" si="10"/>
        <v>1.2</v>
      </c>
      <c r="L213" s="30">
        <f t="shared" si="11"/>
        <v>1.15</v>
      </c>
      <c r="M213" s="31">
        <f t="shared" si="12"/>
        <v>1.1</v>
      </c>
      <c r="N213" s="32"/>
      <c r="O213" s="33"/>
    </row>
    <row r="214" ht="15.75" customHeight="1">
      <c r="A214" s="21"/>
      <c r="B214" s="70"/>
      <c r="C214" s="186" t="s">
        <v>680</v>
      </c>
      <c r="D214" s="186" t="s">
        <v>681</v>
      </c>
      <c r="E214" s="187">
        <v>1.0</v>
      </c>
      <c r="F214" s="187"/>
      <c r="G214" s="185"/>
      <c r="H214" s="181">
        <f t="shared" si="7"/>
        <v>1.5</v>
      </c>
      <c r="I214" s="29">
        <f t="shared" si="8"/>
        <v>1.3</v>
      </c>
      <c r="J214" s="30">
        <f t="shared" si="9"/>
        <v>1.3</v>
      </c>
      <c r="K214" s="31">
        <f t="shared" si="10"/>
        <v>1.2</v>
      </c>
      <c r="L214" s="30">
        <f t="shared" si="11"/>
        <v>1.15</v>
      </c>
      <c r="M214" s="31">
        <f t="shared" si="12"/>
        <v>1.1</v>
      </c>
      <c r="N214" s="32"/>
      <c r="O214" s="33"/>
    </row>
    <row r="215" ht="15.75" customHeight="1">
      <c r="A215" s="21"/>
      <c r="B215" s="70"/>
      <c r="C215" s="186" t="s">
        <v>682</v>
      </c>
      <c r="D215" s="188" t="s">
        <v>683</v>
      </c>
      <c r="E215" s="187">
        <v>2.0</v>
      </c>
      <c r="F215" s="187">
        <v>2.0</v>
      </c>
      <c r="G215" s="185"/>
      <c r="H215" s="181">
        <f t="shared" si="7"/>
        <v>3</v>
      </c>
      <c r="I215" s="29">
        <f t="shared" si="8"/>
        <v>2.6</v>
      </c>
      <c r="J215" s="30">
        <f t="shared" si="9"/>
        <v>2.6</v>
      </c>
      <c r="K215" s="31">
        <f t="shared" si="10"/>
        <v>2.4</v>
      </c>
      <c r="L215" s="30">
        <f t="shared" si="11"/>
        <v>2.3</v>
      </c>
      <c r="M215" s="31">
        <f t="shared" si="12"/>
        <v>2.2</v>
      </c>
      <c r="N215" s="32"/>
      <c r="O215" s="33"/>
    </row>
    <row r="216" ht="15.75" customHeight="1">
      <c r="A216" s="21"/>
      <c r="B216" s="70"/>
      <c r="C216" s="186" t="s">
        <v>684</v>
      </c>
      <c r="D216" s="188" t="s">
        <v>685</v>
      </c>
      <c r="E216" s="187">
        <v>1.0</v>
      </c>
      <c r="F216" s="187"/>
      <c r="G216" s="185"/>
      <c r="H216" s="181">
        <f t="shared" si="7"/>
        <v>1.5</v>
      </c>
      <c r="I216" s="29">
        <f t="shared" si="8"/>
        <v>1.3</v>
      </c>
      <c r="J216" s="30">
        <f t="shared" si="9"/>
        <v>1.3</v>
      </c>
      <c r="K216" s="31">
        <f t="shared" si="10"/>
        <v>1.2</v>
      </c>
      <c r="L216" s="30">
        <f t="shared" si="11"/>
        <v>1.15</v>
      </c>
      <c r="M216" s="31">
        <f t="shared" si="12"/>
        <v>1.1</v>
      </c>
      <c r="N216" s="32"/>
      <c r="O216" s="33"/>
    </row>
    <row r="217" ht="15.75" customHeight="1">
      <c r="A217" s="21"/>
      <c r="B217" s="70"/>
      <c r="C217" s="186" t="s">
        <v>686</v>
      </c>
      <c r="D217" s="188" t="s">
        <v>687</v>
      </c>
      <c r="E217" s="187">
        <v>1.0</v>
      </c>
      <c r="F217" s="187"/>
      <c r="G217" s="185"/>
      <c r="H217" s="181">
        <f t="shared" si="7"/>
        <v>1.5</v>
      </c>
      <c r="I217" s="29">
        <f t="shared" si="8"/>
        <v>1.3</v>
      </c>
      <c r="J217" s="30">
        <f t="shared" si="9"/>
        <v>1.3</v>
      </c>
      <c r="K217" s="31">
        <f t="shared" si="10"/>
        <v>1.2</v>
      </c>
      <c r="L217" s="30">
        <f t="shared" si="11"/>
        <v>1.15</v>
      </c>
      <c r="M217" s="31">
        <f t="shared" si="12"/>
        <v>1.1</v>
      </c>
      <c r="N217" s="32"/>
      <c r="O217" s="33"/>
    </row>
    <row r="218" ht="15.75" customHeight="1">
      <c r="A218" s="21"/>
      <c r="B218" s="70"/>
      <c r="C218" s="186" t="s">
        <v>688</v>
      </c>
      <c r="D218" s="188" t="s">
        <v>689</v>
      </c>
      <c r="E218" s="187">
        <v>1.0</v>
      </c>
      <c r="F218" s="187"/>
      <c r="G218" s="185"/>
      <c r="H218" s="181">
        <f t="shared" si="7"/>
        <v>1.5</v>
      </c>
      <c r="I218" s="29">
        <f t="shared" si="8"/>
        <v>1.3</v>
      </c>
      <c r="J218" s="30">
        <f t="shared" si="9"/>
        <v>1.3</v>
      </c>
      <c r="K218" s="31">
        <f t="shared" si="10"/>
        <v>1.2</v>
      </c>
      <c r="L218" s="30">
        <f t="shared" si="11"/>
        <v>1.15</v>
      </c>
      <c r="M218" s="31">
        <f t="shared" si="12"/>
        <v>1.1</v>
      </c>
      <c r="N218" s="32"/>
      <c r="O218" s="33"/>
    </row>
    <row r="219" ht="15.75" customHeight="1">
      <c r="A219" s="21"/>
      <c r="B219" s="70"/>
      <c r="C219" s="186" t="s">
        <v>690</v>
      </c>
      <c r="D219" s="188" t="s">
        <v>691</v>
      </c>
      <c r="E219" s="187">
        <v>1.0</v>
      </c>
      <c r="F219" s="187"/>
      <c r="G219" s="185"/>
      <c r="H219" s="181">
        <f t="shared" si="7"/>
        <v>1.5</v>
      </c>
      <c r="I219" s="29">
        <f t="shared" si="8"/>
        <v>1.3</v>
      </c>
      <c r="J219" s="30">
        <f t="shared" si="9"/>
        <v>1.3</v>
      </c>
      <c r="K219" s="31">
        <f t="shared" si="10"/>
        <v>1.2</v>
      </c>
      <c r="L219" s="30">
        <f t="shared" si="11"/>
        <v>1.15</v>
      </c>
      <c r="M219" s="31">
        <f t="shared" si="12"/>
        <v>1.1</v>
      </c>
      <c r="N219" s="32"/>
      <c r="O219" s="33"/>
    </row>
    <row r="220" ht="15.75" customHeight="1">
      <c r="A220" s="21"/>
      <c r="B220" s="70"/>
      <c r="C220" s="186" t="s">
        <v>692</v>
      </c>
      <c r="D220" s="188" t="s">
        <v>693</v>
      </c>
      <c r="E220" s="187">
        <v>1.0</v>
      </c>
      <c r="F220" s="187"/>
      <c r="G220" s="185"/>
      <c r="H220" s="181">
        <f t="shared" si="7"/>
        <v>1.5</v>
      </c>
      <c r="I220" s="29">
        <f t="shared" si="8"/>
        <v>1.3</v>
      </c>
      <c r="J220" s="30">
        <f t="shared" si="9"/>
        <v>1.3</v>
      </c>
      <c r="K220" s="31">
        <f t="shared" si="10"/>
        <v>1.2</v>
      </c>
      <c r="L220" s="30">
        <f t="shared" si="11"/>
        <v>1.15</v>
      </c>
      <c r="M220" s="31">
        <f t="shared" si="12"/>
        <v>1.1</v>
      </c>
      <c r="N220" s="32"/>
      <c r="O220" s="33"/>
    </row>
    <row r="221" ht="15.75" customHeight="1">
      <c r="A221" s="21"/>
      <c r="B221" s="70"/>
      <c r="C221" s="186" t="s">
        <v>694</v>
      </c>
      <c r="D221" s="188" t="s">
        <v>695</v>
      </c>
      <c r="E221" s="187">
        <v>1.0</v>
      </c>
      <c r="F221" s="187"/>
      <c r="G221" s="185"/>
      <c r="H221" s="181">
        <f t="shared" si="7"/>
        <v>1.5</v>
      </c>
      <c r="I221" s="29">
        <f t="shared" si="8"/>
        <v>1.3</v>
      </c>
      <c r="J221" s="30">
        <f t="shared" si="9"/>
        <v>1.3</v>
      </c>
      <c r="K221" s="31">
        <f t="shared" si="10"/>
        <v>1.2</v>
      </c>
      <c r="L221" s="30">
        <f t="shared" si="11"/>
        <v>1.15</v>
      </c>
      <c r="M221" s="31">
        <f t="shared" si="12"/>
        <v>1.1</v>
      </c>
      <c r="N221" s="32"/>
      <c r="O221" s="33"/>
    </row>
    <row r="222" ht="15.75" customHeight="1">
      <c r="A222" s="21"/>
      <c r="B222" s="70"/>
      <c r="C222" s="186" t="s">
        <v>696</v>
      </c>
      <c r="D222" s="186" t="s">
        <v>697</v>
      </c>
      <c r="E222" s="187">
        <v>1.0</v>
      </c>
      <c r="F222" s="187"/>
      <c r="G222" s="185"/>
      <c r="H222" s="181">
        <f t="shared" si="7"/>
        <v>1.5</v>
      </c>
      <c r="I222" s="29">
        <f t="shared" si="8"/>
        <v>1.3</v>
      </c>
      <c r="J222" s="30">
        <f t="shared" si="9"/>
        <v>1.3</v>
      </c>
      <c r="K222" s="31">
        <f t="shared" si="10"/>
        <v>1.2</v>
      </c>
      <c r="L222" s="30">
        <f t="shared" si="11"/>
        <v>1.15</v>
      </c>
      <c r="M222" s="31">
        <f t="shared" si="12"/>
        <v>1.1</v>
      </c>
      <c r="N222" s="32"/>
      <c r="O222" s="33"/>
    </row>
    <row r="223" ht="15.75" customHeight="1">
      <c r="A223" s="21"/>
      <c r="B223" s="70"/>
      <c r="C223" s="186" t="s">
        <v>698</v>
      </c>
      <c r="D223" s="186" t="s">
        <v>699</v>
      </c>
      <c r="E223" s="187">
        <v>1.0</v>
      </c>
      <c r="F223" s="187"/>
      <c r="G223" s="185"/>
      <c r="H223" s="181">
        <f t="shared" si="7"/>
        <v>1.5</v>
      </c>
      <c r="I223" s="29">
        <f t="shared" si="8"/>
        <v>1.3</v>
      </c>
      <c r="J223" s="30">
        <f t="shared" si="9"/>
        <v>1.3</v>
      </c>
      <c r="K223" s="31">
        <f t="shared" si="10"/>
        <v>1.2</v>
      </c>
      <c r="L223" s="30">
        <f t="shared" si="11"/>
        <v>1.15</v>
      </c>
      <c r="M223" s="31">
        <f t="shared" si="12"/>
        <v>1.1</v>
      </c>
      <c r="N223" s="32"/>
      <c r="O223" s="33"/>
    </row>
    <row r="224" ht="15.75" customHeight="1">
      <c r="A224" s="21"/>
      <c r="B224" s="70"/>
      <c r="C224" s="186" t="s">
        <v>700</v>
      </c>
      <c r="D224" s="186" t="s">
        <v>701</v>
      </c>
      <c r="E224" s="187">
        <v>1.5</v>
      </c>
      <c r="F224" s="187">
        <v>2.0</v>
      </c>
      <c r="G224" s="185"/>
      <c r="H224" s="181">
        <f t="shared" si="7"/>
        <v>2.25</v>
      </c>
      <c r="I224" s="29">
        <f t="shared" si="8"/>
        <v>1.95</v>
      </c>
      <c r="J224" s="30">
        <f t="shared" si="9"/>
        <v>1.95</v>
      </c>
      <c r="K224" s="31">
        <f t="shared" si="10"/>
        <v>1.8</v>
      </c>
      <c r="L224" s="30">
        <f t="shared" si="11"/>
        <v>1.725</v>
      </c>
      <c r="M224" s="31">
        <f t="shared" si="12"/>
        <v>1.65</v>
      </c>
      <c r="N224" s="32"/>
      <c r="O224" s="33"/>
    </row>
    <row r="225" ht="15.75" customHeight="1">
      <c r="A225" s="21"/>
      <c r="B225" s="70"/>
      <c r="C225" s="186" t="s">
        <v>702</v>
      </c>
      <c r="D225" s="186" t="s">
        <v>703</v>
      </c>
      <c r="E225" s="187">
        <v>70.0</v>
      </c>
      <c r="F225" s="187"/>
      <c r="G225" s="185"/>
      <c r="H225" s="181">
        <f t="shared" si="7"/>
        <v>105</v>
      </c>
      <c r="I225" s="29">
        <f t="shared" si="8"/>
        <v>91</v>
      </c>
      <c r="J225" s="30">
        <f t="shared" si="9"/>
        <v>91</v>
      </c>
      <c r="K225" s="31">
        <f t="shared" si="10"/>
        <v>84</v>
      </c>
      <c r="L225" s="30">
        <f t="shared" si="11"/>
        <v>80.5</v>
      </c>
      <c r="M225" s="31">
        <f t="shared" si="12"/>
        <v>77</v>
      </c>
      <c r="N225" s="32"/>
      <c r="O225" s="33"/>
    </row>
    <row r="226" ht="15.75" customHeight="1">
      <c r="A226" s="21"/>
      <c r="B226" s="70"/>
      <c r="C226" s="186" t="s">
        <v>704</v>
      </c>
      <c r="D226" s="186" t="s">
        <v>705</v>
      </c>
      <c r="E226" s="187">
        <v>90.0</v>
      </c>
      <c r="F226" s="187"/>
      <c r="G226" s="185"/>
      <c r="H226" s="181">
        <f t="shared" si="7"/>
        <v>135</v>
      </c>
      <c r="I226" s="29">
        <f t="shared" si="8"/>
        <v>117</v>
      </c>
      <c r="J226" s="30">
        <f t="shared" si="9"/>
        <v>117</v>
      </c>
      <c r="K226" s="31">
        <f t="shared" si="10"/>
        <v>108</v>
      </c>
      <c r="L226" s="30">
        <f t="shared" si="11"/>
        <v>103.5</v>
      </c>
      <c r="M226" s="31">
        <f t="shared" si="12"/>
        <v>99</v>
      </c>
      <c r="N226" s="32"/>
      <c r="O226" s="33"/>
    </row>
    <row r="227" ht="15.75" customHeight="1">
      <c r="A227" s="21"/>
      <c r="B227" s="70"/>
      <c r="C227" s="186" t="s">
        <v>706</v>
      </c>
      <c r="D227" s="186" t="s">
        <v>707</v>
      </c>
      <c r="E227" s="187">
        <v>1.0</v>
      </c>
      <c r="F227" s="187"/>
      <c r="G227" s="185"/>
      <c r="H227" s="181">
        <f t="shared" si="7"/>
        <v>1.5</v>
      </c>
      <c r="I227" s="29">
        <f t="shared" si="8"/>
        <v>1.3</v>
      </c>
      <c r="J227" s="30">
        <f t="shared" si="9"/>
        <v>1.3</v>
      </c>
      <c r="K227" s="31">
        <f t="shared" si="10"/>
        <v>1.2</v>
      </c>
      <c r="L227" s="30">
        <f t="shared" si="11"/>
        <v>1.15</v>
      </c>
      <c r="M227" s="31">
        <f t="shared" si="12"/>
        <v>1.1</v>
      </c>
      <c r="N227" s="32"/>
      <c r="O227" s="33"/>
    </row>
    <row r="228" ht="15.75" customHeight="1">
      <c r="A228" s="21"/>
      <c r="B228" s="70"/>
      <c r="C228" s="186" t="s">
        <v>708</v>
      </c>
      <c r="D228" s="186" t="s">
        <v>709</v>
      </c>
      <c r="E228" s="187">
        <v>1.0</v>
      </c>
      <c r="F228" s="187"/>
      <c r="G228" s="185"/>
      <c r="H228" s="181">
        <f t="shared" si="7"/>
        <v>1.5</v>
      </c>
      <c r="I228" s="29">
        <f t="shared" si="8"/>
        <v>1.3</v>
      </c>
      <c r="J228" s="30">
        <f t="shared" si="9"/>
        <v>1.3</v>
      </c>
      <c r="K228" s="31">
        <f t="shared" si="10"/>
        <v>1.2</v>
      </c>
      <c r="L228" s="30">
        <f t="shared" si="11"/>
        <v>1.15</v>
      </c>
      <c r="M228" s="31">
        <f t="shared" si="12"/>
        <v>1.1</v>
      </c>
      <c r="N228" s="32"/>
      <c r="O228" s="33"/>
    </row>
    <row r="229" ht="15.75" customHeight="1">
      <c r="A229" s="21"/>
      <c r="B229" s="70"/>
      <c r="C229" s="186" t="s">
        <v>710</v>
      </c>
      <c r="D229" s="186" t="s">
        <v>711</v>
      </c>
      <c r="E229" s="187">
        <v>4490.0</v>
      </c>
      <c r="F229" s="187">
        <v>4290.0</v>
      </c>
      <c r="G229" s="189">
        <v>45804.0</v>
      </c>
      <c r="H229" s="181">
        <f t="shared" si="7"/>
        <v>6735</v>
      </c>
      <c r="I229" s="29">
        <f t="shared" si="8"/>
        <v>5837</v>
      </c>
      <c r="J229" s="30">
        <f t="shared" si="9"/>
        <v>5837</v>
      </c>
      <c r="K229" s="31">
        <f t="shared" si="10"/>
        <v>5388</v>
      </c>
      <c r="L229" s="30">
        <f t="shared" si="11"/>
        <v>5163.5</v>
      </c>
      <c r="M229" s="31">
        <f t="shared" si="12"/>
        <v>4939</v>
      </c>
      <c r="N229" s="32"/>
      <c r="O229" s="33"/>
    </row>
    <row r="230" ht="15.75" customHeight="1">
      <c r="A230" s="21"/>
      <c r="B230" s="70"/>
      <c r="C230" s="188" t="s">
        <v>712</v>
      </c>
      <c r="D230" s="188" t="s">
        <v>713</v>
      </c>
      <c r="E230" s="187">
        <v>1.0</v>
      </c>
      <c r="F230" s="187"/>
      <c r="G230" s="185"/>
      <c r="H230" s="181">
        <f t="shared" si="7"/>
        <v>1.5</v>
      </c>
      <c r="I230" s="29">
        <f t="shared" si="8"/>
        <v>1.3</v>
      </c>
      <c r="J230" s="30">
        <f t="shared" si="9"/>
        <v>1.3</v>
      </c>
      <c r="K230" s="31">
        <f t="shared" si="10"/>
        <v>1.2</v>
      </c>
      <c r="L230" s="30">
        <f t="shared" si="11"/>
        <v>1.15</v>
      </c>
      <c r="M230" s="31">
        <f t="shared" si="12"/>
        <v>1.1</v>
      </c>
      <c r="N230" s="32"/>
      <c r="O230" s="33"/>
    </row>
    <row r="231" ht="15.75" customHeight="1">
      <c r="A231" s="21"/>
      <c r="B231" s="70"/>
      <c r="C231" s="188" t="s">
        <v>714</v>
      </c>
      <c r="D231" s="188" t="s">
        <v>715</v>
      </c>
      <c r="E231" s="187">
        <v>1.0</v>
      </c>
      <c r="F231" s="187"/>
      <c r="G231" s="185"/>
      <c r="H231" s="181">
        <f t="shared" si="7"/>
        <v>1.5</v>
      </c>
      <c r="I231" s="29">
        <f t="shared" si="8"/>
        <v>1.3</v>
      </c>
      <c r="J231" s="30">
        <f t="shared" si="9"/>
        <v>1.3</v>
      </c>
      <c r="K231" s="31">
        <f t="shared" si="10"/>
        <v>1.2</v>
      </c>
      <c r="L231" s="30">
        <f t="shared" si="11"/>
        <v>1.15</v>
      </c>
      <c r="M231" s="31">
        <f t="shared" si="12"/>
        <v>1.1</v>
      </c>
      <c r="N231" s="32"/>
      <c r="O231" s="33"/>
    </row>
    <row r="232" ht="15.75" customHeight="1">
      <c r="A232" s="21"/>
      <c r="B232" s="70"/>
      <c r="C232" s="188" t="s">
        <v>716</v>
      </c>
      <c r="D232" s="188" t="s">
        <v>717</v>
      </c>
      <c r="E232" s="187">
        <v>1.0</v>
      </c>
      <c r="F232" s="187"/>
      <c r="G232" s="185"/>
      <c r="H232" s="181">
        <f t="shared" si="7"/>
        <v>1.5</v>
      </c>
      <c r="I232" s="29">
        <f t="shared" si="8"/>
        <v>1.3</v>
      </c>
      <c r="J232" s="30">
        <f t="shared" si="9"/>
        <v>1.3</v>
      </c>
      <c r="K232" s="31">
        <f t="shared" si="10"/>
        <v>1.2</v>
      </c>
      <c r="L232" s="30">
        <f t="shared" si="11"/>
        <v>1.15</v>
      </c>
      <c r="M232" s="31">
        <f t="shared" si="12"/>
        <v>1.1</v>
      </c>
      <c r="N232" s="32"/>
      <c r="O232" s="33"/>
    </row>
    <row r="233" ht="15.75" customHeight="1">
      <c r="A233" s="21"/>
      <c r="B233" s="70"/>
      <c r="C233" s="188" t="s">
        <v>718</v>
      </c>
      <c r="D233" s="188" t="s">
        <v>719</v>
      </c>
      <c r="E233" s="187">
        <v>1.0</v>
      </c>
      <c r="F233" s="187"/>
      <c r="G233" s="185"/>
      <c r="H233" s="181">
        <f t="shared" si="7"/>
        <v>1.5</v>
      </c>
      <c r="I233" s="29">
        <f t="shared" si="8"/>
        <v>1.3</v>
      </c>
      <c r="J233" s="30">
        <f t="shared" si="9"/>
        <v>1.3</v>
      </c>
      <c r="K233" s="31">
        <f t="shared" si="10"/>
        <v>1.2</v>
      </c>
      <c r="L233" s="30">
        <f t="shared" si="11"/>
        <v>1.15</v>
      </c>
      <c r="M233" s="31">
        <f t="shared" si="12"/>
        <v>1.1</v>
      </c>
      <c r="N233" s="32"/>
      <c r="O233" s="33"/>
    </row>
    <row r="234" ht="15.75" customHeight="1">
      <c r="A234" s="21"/>
      <c r="B234" s="70"/>
      <c r="C234" s="186" t="s">
        <v>720</v>
      </c>
      <c r="D234" s="188" t="s">
        <v>721</v>
      </c>
      <c r="E234" s="187">
        <v>1.0</v>
      </c>
      <c r="F234" s="187"/>
      <c r="G234" s="185"/>
      <c r="H234" s="181">
        <f t="shared" si="7"/>
        <v>1.5</v>
      </c>
      <c r="I234" s="29">
        <f t="shared" si="8"/>
        <v>1.3</v>
      </c>
      <c r="J234" s="30">
        <f t="shared" si="9"/>
        <v>1.3</v>
      </c>
      <c r="K234" s="31">
        <f t="shared" si="10"/>
        <v>1.2</v>
      </c>
      <c r="L234" s="30">
        <f t="shared" si="11"/>
        <v>1.15</v>
      </c>
      <c r="M234" s="31">
        <f t="shared" si="12"/>
        <v>1.1</v>
      </c>
      <c r="N234" s="32"/>
      <c r="O234" s="33"/>
    </row>
    <row r="235" ht="15.75" customHeight="1">
      <c r="A235" s="21"/>
      <c r="B235" s="70"/>
      <c r="C235" s="188" t="s">
        <v>722</v>
      </c>
      <c r="D235" s="188" t="s">
        <v>723</v>
      </c>
      <c r="E235" s="187">
        <v>1.0</v>
      </c>
      <c r="F235" s="187"/>
      <c r="G235" s="185"/>
      <c r="H235" s="181">
        <f t="shared" si="7"/>
        <v>1.5</v>
      </c>
      <c r="I235" s="29">
        <f t="shared" si="8"/>
        <v>1.3</v>
      </c>
      <c r="J235" s="30">
        <f t="shared" si="9"/>
        <v>1.3</v>
      </c>
      <c r="K235" s="31">
        <f t="shared" si="10"/>
        <v>1.2</v>
      </c>
      <c r="L235" s="30">
        <f t="shared" si="11"/>
        <v>1.15</v>
      </c>
      <c r="M235" s="31">
        <f t="shared" si="12"/>
        <v>1.1</v>
      </c>
      <c r="N235" s="32"/>
      <c r="O235" s="33"/>
    </row>
    <row r="236" ht="15.75" customHeight="1">
      <c r="A236" s="21"/>
      <c r="B236" s="70"/>
      <c r="C236" s="188" t="s">
        <v>724</v>
      </c>
      <c r="D236" s="188" t="s">
        <v>725</v>
      </c>
      <c r="E236" s="187">
        <v>1.0</v>
      </c>
      <c r="F236" s="187"/>
      <c r="G236" s="185"/>
      <c r="H236" s="181">
        <f t="shared" si="7"/>
        <v>1.5</v>
      </c>
      <c r="I236" s="29">
        <f t="shared" si="8"/>
        <v>1.3</v>
      </c>
      <c r="J236" s="30">
        <f t="shared" si="9"/>
        <v>1.3</v>
      </c>
      <c r="K236" s="31">
        <f t="shared" si="10"/>
        <v>1.2</v>
      </c>
      <c r="L236" s="30">
        <f t="shared" si="11"/>
        <v>1.15</v>
      </c>
      <c r="M236" s="31">
        <f t="shared" si="12"/>
        <v>1.1</v>
      </c>
      <c r="N236" s="32"/>
      <c r="O236" s="33"/>
    </row>
    <row r="237" ht="15.75" customHeight="1">
      <c r="A237" s="21"/>
      <c r="B237" s="70"/>
      <c r="C237" s="188" t="s">
        <v>726</v>
      </c>
      <c r="D237" s="188" t="s">
        <v>727</v>
      </c>
      <c r="E237" s="187">
        <v>1.0</v>
      </c>
      <c r="F237" s="187"/>
      <c r="G237" s="185"/>
      <c r="H237" s="181">
        <f t="shared" si="7"/>
        <v>1.5</v>
      </c>
      <c r="I237" s="29">
        <f t="shared" si="8"/>
        <v>1.3</v>
      </c>
      <c r="J237" s="30">
        <f t="shared" si="9"/>
        <v>1.3</v>
      </c>
      <c r="K237" s="31">
        <f t="shared" si="10"/>
        <v>1.2</v>
      </c>
      <c r="L237" s="30">
        <f t="shared" si="11"/>
        <v>1.15</v>
      </c>
      <c r="M237" s="31">
        <f t="shared" si="12"/>
        <v>1.1</v>
      </c>
      <c r="N237" s="32"/>
      <c r="O237" s="33"/>
    </row>
    <row r="238" ht="15.75" customHeight="1">
      <c r="A238" s="21"/>
      <c r="B238" s="70"/>
      <c r="C238" s="188" t="s">
        <v>728</v>
      </c>
      <c r="D238" s="188" t="s">
        <v>729</v>
      </c>
      <c r="E238" s="187">
        <v>1.0</v>
      </c>
      <c r="F238" s="187"/>
      <c r="G238" s="185"/>
      <c r="H238" s="181">
        <f t="shared" si="7"/>
        <v>1.5</v>
      </c>
      <c r="I238" s="29">
        <f t="shared" si="8"/>
        <v>1.3</v>
      </c>
      <c r="J238" s="30">
        <f t="shared" si="9"/>
        <v>1.3</v>
      </c>
      <c r="K238" s="31">
        <f t="shared" si="10"/>
        <v>1.2</v>
      </c>
      <c r="L238" s="30">
        <f t="shared" si="11"/>
        <v>1.15</v>
      </c>
      <c r="M238" s="31">
        <f t="shared" si="12"/>
        <v>1.1</v>
      </c>
      <c r="N238" s="32"/>
      <c r="O238" s="33"/>
    </row>
    <row r="239" ht="15.75" customHeight="1">
      <c r="A239" s="21"/>
      <c r="B239" s="70"/>
      <c r="C239" s="188" t="s">
        <v>730</v>
      </c>
      <c r="D239" s="188" t="s">
        <v>731</v>
      </c>
      <c r="E239" s="187">
        <v>1.0</v>
      </c>
      <c r="F239" s="187"/>
      <c r="G239" s="185"/>
      <c r="H239" s="181">
        <f t="shared" si="7"/>
        <v>1.5</v>
      </c>
      <c r="I239" s="29">
        <f t="shared" si="8"/>
        <v>1.3</v>
      </c>
      <c r="J239" s="30">
        <f t="shared" si="9"/>
        <v>1.3</v>
      </c>
      <c r="K239" s="31">
        <f t="shared" si="10"/>
        <v>1.2</v>
      </c>
      <c r="L239" s="30">
        <f t="shared" si="11"/>
        <v>1.15</v>
      </c>
      <c r="M239" s="31">
        <f t="shared" si="12"/>
        <v>1.1</v>
      </c>
      <c r="N239" s="32"/>
      <c r="O239" s="33"/>
    </row>
    <row r="240" ht="15.75" customHeight="1">
      <c r="A240" s="21"/>
      <c r="B240" s="70"/>
      <c r="C240" s="188" t="s">
        <v>732</v>
      </c>
      <c r="D240" s="188" t="s">
        <v>733</v>
      </c>
      <c r="E240" s="187">
        <v>1.0</v>
      </c>
      <c r="F240" s="187"/>
      <c r="G240" s="185"/>
      <c r="H240" s="181">
        <f t="shared" si="7"/>
        <v>1.5</v>
      </c>
      <c r="I240" s="29">
        <f t="shared" si="8"/>
        <v>1.3</v>
      </c>
      <c r="J240" s="30">
        <f t="shared" si="9"/>
        <v>1.3</v>
      </c>
      <c r="K240" s="31">
        <f t="shared" si="10"/>
        <v>1.2</v>
      </c>
      <c r="L240" s="30">
        <f t="shared" si="11"/>
        <v>1.15</v>
      </c>
      <c r="M240" s="31">
        <f t="shared" si="12"/>
        <v>1.1</v>
      </c>
      <c r="N240" s="32"/>
      <c r="O240" s="33"/>
    </row>
    <row r="241" ht="15.75" customHeight="1">
      <c r="A241" s="21"/>
      <c r="B241" s="70"/>
      <c r="C241" s="188" t="s">
        <v>734</v>
      </c>
      <c r="D241" s="188" t="s">
        <v>735</v>
      </c>
      <c r="E241" s="187">
        <v>1.0</v>
      </c>
      <c r="F241" s="187"/>
      <c r="G241" s="185"/>
      <c r="H241" s="181">
        <f t="shared" si="7"/>
        <v>1.5</v>
      </c>
      <c r="I241" s="29">
        <f t="shared" si="8"/>
        <v>1.3</v>
      </c>
      <c r="J241" s="30">
        <f t="shared" si="9"/>
        <v>1.3</v>
      </c>
      <c r="K241" s="31">
        <f t="shared" si="10"/>
        <v>1.2</v>
      </c>
      <c r="L241" s="30">
        <f t="shared" si="11"/>
        <v>1.15</v>
      </c>
      <c r="M241" s="31">
        <f t="shared" si="12"/>
        <v>1.1</v>
      </c>
      <c r="N241" s="32"/>
      <c r="O241" s="33"/>
    </row>
    <row r="242" ht="15.75" customHeight="1">
      <c r="A242" s="21"/>
      <c r="B242" s="70"/>
      <c r="C242" s="188" t="s">
        <v>736</v>
      </c>
      <c r="D242" s="188" t="s">
        <v>737</v>
      </c>
      <c r="E242" s="187">
        <v>1.0</v>
      </c>
      <c r="F242" s="187"/>
      <c r="G242" s="185"/>
      <c r="H242" s="181">
        <f t="shared" si="7"/>
        <v>1.5</v>
      </c>
      <c r="I242" s="29">
        <f t="shared" si="8"/>
        <v>1.3</v>
      </c>
      <c r="J242" s="30">
        <f t="shared" si="9"/>
        <v>1.3</v>
      </c>
      <c r="K242" s="31">
        <f t="shared" si="10"/>
        <v>1.2</v>
      </c>
      <c r="L242" s="30">
        <f t="shared" si="11"/>
        <v>1.15</v>
      </c>
      <c r="M242" s="31">
        <f t="shared" si="12"/>
        <v>1.1</v>
      </c>
      <c r="N242" s="32"/>
      <c r="O242" s="33"/>
    </row>
    <row r="243" ht="15.75" customHeight="1">
      <c r="A243" s="21"/>
      <c r="B243" s="70"/>
      <c r="C243" s="188" t="s">
        <v>738</v>
      </c>
      <c r="D243" s="188" t="s">
        <v>739</v>
      </c>
      <c r="E243" s="187">
        <v>1.0</v>
      </c>
      <c r="F243" s="187"/>
      <c r="G243" s="185"/>
      <c r="H243" s="181">
        <f t="shared" si="7"/>
        <v>1.5</v>
      </c>
      <c r="I243" s="29">
        <f t="shared" si="8"/>
        <v>1.3</v>
      </c>
      <c r="J243" s="30">
        <f t="shared" si="9"/>
        <v>1.3</v>
      </c>
      <c r="K243" s="31">
        <f t="shared" si="10"/>
        <v>1.2</v>
      </c>
      <c r="L243" s="30">
        <f t="shared" si="11"/>
        <v>1.15</v>
      </c>
      <c r="M243" s="31">
        <f t="shared" si="12"/>
        <v>1.1</v>
      </c>
      <c r="N243" s="32"/>
      <c r="O243" s="33"/>
    </row>
    <row r="244" ht="15.75" customHeight="1">
      <c r="A244" s="21"/>
      <c r="B244" s="70"/>
      <c r="C244" s="188" t="s">
        <v>740</v>
      </c>
      <c r="D244" s="188" t="s">
        <v>741</v>
      </c>
      <c r="E244" s="187">
        <v>1.0</v>
      </c>
      <c r="F244" s="187"/>
      <c r="G244" s="185"/>
      <c r="H244" s="181">
        <f t="shared" si="7"/>
        <v>1.5</v>
      </c>
      <c r="I244" s="29">
        <f t="shared" si="8"/>
        <v>1.3</v>
      </c>
      <c r="J244" s="30">
        <f t="shared" si="9"/>
        <v>1.3</v>
      </c>
      <c r="K244" s="31">
        <f t="shared" si="10"/>
        <v>1.2</v>
      </c>
      <c r="L244" s="30">
        <f t="shared" si="11"/>
        <v>1.15</v>
      </c>
      <c r="M244" s="31">
        <f t="shared" si="12"/>
        <v>1.1</v>
      </c>
      <c r="N244" s="32"/>
      <c r="O244" s="33"/>
    </row>
    <row r="245" ht="15.75" customHeight="1">
      <c r="A245" s="21"/>
      <c r="B245" s="70"/>
      <c r="C245" s="188" t="s">
        <v>742</v>
      </c>
      <c r="D245" s="188" t="s">
        <v>743</v>
      </c>
      <c r="E245" s="187">
        <v>28.0</v>
      </c>
      <c r="F245" s="187"/>
      <c r="G245" s="185"/>
      <c r="H245" s="181">
        <f t="shared" si="7"/>
        <v>42</v>
      </c>
      <c r="I245" s="29">
        <f t="shared" si="8"/>
        <v>36.4</v>
      </c>
      <c r="J245" s="30">
        <f t="shared" si="9"/>
        <v>36.4</v>
      </c>
      <c r="K245" s="31">
        <f t="shared" si="10"/>
        <v>33.6</v>
      </c>
      <c r="L245" s="30">
        <f t="shared" si="11"/>
        <v>32.2</v>
      </c>
      <c r="M245" s="31">
        <f t="shared" si="12"/>
        <v>30.8</v>
      </c>
      <c r="N245" s="32"/>
      <c r="O245" s="33"/>
    </row>
    <row r="246" ht="15.75" customHeight="1">
      <c r="A246" s="21"/>
      <c r="B246" s="70"/>
      <c r="C246" s="188" t="s">
        <v>744</v>
      </c>
      <c r="D246" s="188" t="s">
        <v>745</v>
      </c>
      <c r="E246" s="187">
        <v>28.0</v>
      </c>
      <c r="F246" s="187"/>
      <c r="G246" s="185"/>
      <c r="H246" s="181">
        <f t="shared" si="7"/>
        <v>42</v>
      </c>
      <c r="I246" s="29">
        <f t="shared" si="8"/>
        <v>36.4</v>
      </c>
      <c r="J246" s="30">
        <f t="shared" si="9"/>
        <v>36.4</v>
      </c>
      <c r="K246" s="31">
        <f t="shared" si="10"/>
        <v>33.6</v>
      </c>
      <c r="L246" s="30">
        <f t="shared" si="11"/>
        <v>32.2</v>
      </c>
      <c r="M246" s="31">
        <f t="shared" si="12"/>
        <v>30.8</v>
      </c>
      <c r="N246" s="32"/>
      <c r="O246" s="33"/>
    </row>
    <row r="247" ht="15.75" customHeight="1">
      <c r="A247" s="21"/>
      <c r="B247" s="70"/>
      <c r="C247" s="188" t="s">
        <v>746</v>
      </c>
      <c r="D247" s="188" t="s">
        <v>747</v>
      </c>
      <c r="E247" s="187">
        <v>28.0</v>
      </c>
      <c r="F247" s="187"/>
      <c r="G247" s="185"/>
      <c r="H247" s="181">
        <f t="shared" si="7"/>
        <v>42</v>
      </c>
      <c r="I247" s="29">
        <f t="shared" si="8"/>
        <v>36.4</v>
      </c>
      <c r="J247" s="30">
        <f t="shared" si="9"/>
        <v>36.4</v>
      </c>
      <c r="K247" s="31">
        <f t="shared" si="10"/>
        <v>33.6</v>
      </c>
      <c r="L247" s="30">
        <f t="shared" si="11"/>
        <v>32.2</v>
      </c>
      <c r="M247" s="31">
        <f t="shared" si="12"/>
        <v>30.8</v>
      </c>
      <c r="N247" s="32"/>
      <c r="O247" s="33"/>
    </row>
    <row r="248" ht="15.75" customHeight="1">
      <c r="A248" s="21"/>
      <c r="B248" s="70"/>
      <c r="C248" s="188"/>
      <c r="D248" s="188" t="s">
        <v>748</v>
      </c>
      <c r="E248" s="187"/>
      <c r="F248" s="187">
        <v>45.0</v>
      </c>
      <c r="G248" s="185"/>
      <c r="H248" s="181"/>
      <c r="I248" s="29"/>
      <c r="J248" s="30"/>
      <c r="K248" s="31"/>
      <c r="L248" s="30"/>
      <c r="M248" s="31"/>
      <c r="N248" s="32"/>
      <c r="O248" s="33"/>
    </row>
    <row r="249" ht="15.75" customHeight="1">
      <c r="A249" s="21"/>
      <c r="B249" s="70"/>
      <c r="C249" s="188"/>
      <c r="D249" s="188" t="s">
        <v>749</v>
      </c>
      <c r="E249" s="187"/>
      <c r="F249" s="187">
        <v>45.0</v>
      </c>
      <c r="G249" s="185"/>
      <c r="H249" s="181"/>
      <c r="I249" s="29"/>
      <c r="J249" s="30"/>
      <c r="K249" s="31"/>
      <c r="L249" s="30"/>
      <c r="M249" s="31"/>
      <c r="N249" s="32"/>
      <c r="O249" s="33"/>
    </row>
    <row r="250" ht="15.75" customHeight="1">
      <c r="A250" s="21"/>
      <c r="B250" s="70"/>
      <c r="C250" s="188"/>
      <c r="D250" s="188" t="s">
        <v>750</v>
      </c>
      <c r="E250" s="187"/>
      <c r="F250" s="187">
        <v>45.0</v>
      </c>
      <c r="G250" s="185"/>
      <c r="H250" s="181"/>
      <c r="I250" s="29"/>
      <c r="J250" s="30"/>
      <c r="K250" s="31"/>
      <c r="L250" s="30"/>
      <c r="M250" s="31"/>
      <c r="N250" s="32"/>
      <c r="O250" s="33"/>
    </row>
    <row r="251" ht="15.75" customHeight="1">
      <c r="A251" s="21"/>
      <c r="B251" s="70"/>
      <c r="C251" s="188" t="s">
        <v>751</v>
      </c>
      <c r="D251" s="188" t="s">
        <v>752</v>
      </c>
      <c r="E251" s="187">
        <v>110.0</v>
      </c>
      <c r="F251" s="187">
        <v>120.0</v>
      </c>
      <c r="G251" s="189">
        <v>45805.0</v>
      </c>
      <c r="H251" s="181">
        <f>E251*0.5+E251</f>
        <v>165</v>
      </c>
      <c r="I251" s="29">
        <f>E251*0.3+E251</f>
        <v>143</v>
      </c>
      <c r="J251" s="30">
        <f>E251*0.3+E251</f>
        <v>143</v>
      </c>
      <c r="K251" s="31">
        <f>E251*0.2+E251</f>
        <v>132</v>
      </c>
      <c r="L251" s="30">
        <f>E251*0.15+E251</f>
        <v>126.5</v>
      </c>
      <c r="M251" s="31">
        <f>E251*0.1+E251</f>
        <v>121</v>
      </c>
      <c r="N251" s="190" t="s">
        <v>753</v>
      </c>
      <c r="O251" s="33"/>
    </row>
    <row r="252" ht="15.75" customHeight="1">
      <c r="A252" s="21"/>
      <c r="B252" s="70"/>
      <c r="C252" s="186"/>
      <c r="D252" s="188" t="s">
        <v>754</v>
      </c>
      <c r="E252" s="187"/>
      <c r="F252" s="187">
        <v>190.0</v>
      </c>
      <c r="G252" s="185"/>
      <c r="H252" s="181"/>
      <c r="I252" s="29"/>
      <c r="J252" s="30"/>
      <c r="K252" s="31"/>
      <c r="L252" s="30"/>
      <c r="M252" s="31"/>
      <c r="N252" s="32"/>
      <c r="O252" s="33"/>
    </row>
    <row r="253" ht="15.75" customHeight="1">
      <c r="A253" s="21"/>
      <c r="B253" s="70"/>
      <c r="C253" s="186" t="s">
        <v>755</v>
      </c>
      <c r="D253" s="188" t="s">
        <v>756</v>
      </c>
      <c r="E253" s="187">
        <v>115.0</v>
      </c>
      <c r="F253" s="187"/>
      <c r="G253" s="185"/>
      <c r="H253" s="181">
        <f t="shared" ref="H253:H485" si="13">E253*0.5+E253</f>
        <v>172.5</v>
      </c>
      <c r="I253" s="29">
        <f t="shared" ref="I253:I485" si="14">E253*0.3+E253</f>
        <v>149.5</v>
      </c>
      <c r="J253" s="30">
        <f t="shared" ref="J253:J485" si="15">E253*0.3+E253</f>
        <v>149.5</v>
      </c>
      <c r="K253" s="31">
        <f t="shared" ref="K253:K485" si="16">E253*0.2+E253</f>
        <v>138</v>
      </c>
      <c r="L253" s="30">
        <f t="shared" ref="L253:L485" si="17">E253*0.15+E253</f>
        <v>132.25</v>
      </c>
      <c r="M253" s="31">
        <f t="shared" ref="M253:M485" si="18">E253*0.1+E253</f>
        <v>126.5</v>
      </c>
      <c r="N253" s="32"/>
      <c r="O253" s="33"/>
    </row>
    <row r="254" ht="15.75" customHeight="1">
      <c r="A254" s="21"/>
      <c r="B254" s="70"/>
      <c r="C254" s="186" t="s">
        <v>757</v>
      </c>
      <c r="D254" s="186" t="s">
        <v>758</v>
      </c>
      <c r="E254" s="187">
        <v>200.0</v>
      </c>
      <c r="F254" s="187"/>
      <c r="G254" s="189">
        <v>45805.0</v>
      </c>
      <c r="H254" s="181">
        <f t="shared" si="13"/>
        <v>300</v>
      </c>
      <c r="I254" s="29">
        <f t="shared" si="14"/>
        <v>260</v>
      </c>
      <c r="J254" s="30">
        <f t="shared" si="15"/>
        <v>260</v>
      </c>
      <c r="K254" s="31">
        <f t="shared" si="16"/>
        <v>240</v>
      </c>
      <c r="L254" s="30">
        <f t="shared" si="17"/>
        <v>230</v>
      </c>
      <c r="M254" s="31">
        <f t="shared" si="18"/>
        <v>220</v>
      </c>
      <c r="N254" s="32"/>
      <c r="O254" s="33"/>
    </row>
    <row r="255" ht="15.75" customHeight="1">
      <c r="A255" s="21"/>
      <c r="B255" s="70"/>
      <c r="C255" s="186" t="s">
        <v>759</v>
      </c>
      <c r="D255" s="186" t="s">
        <v>760</v>
      </c>
      <c r="E255" s="187">
        <v>300.0</v>
      </c>
      <c r="F255" s="187"/>
      <c r="G255" s="189">
        <v>45805.0</v>
      </c>
      <c r="H255" s="181">
        <f t="shared" si="13"/>
        <v>450</v>
      </c>
      <c r="I255" s="29">
        <f t="shared" si="14"/>
        <v>390</v>
      </c>
      <c r="J255" s="30">
        <f t="shared" si="15"/>
        <v>390</v>
      </c>
      <c r="K255" s="31">
        <f t="shared" si="16"/>
        <v>360</v>
      </c>
      <c r="L255" s="30">
        <f t="shared" si="17"/>
        <v>345</v>
      </c>
      <c r="M255" s="31">
        <f t="shared" si="18"/>
        <v>330</v>
      </c>
      <c r="N255" s="32"/>
      <c r="O255" s="33"/>
    </row>
    <row r="256" ht="15.75" customHeight="1">
      <c r="A256" s="21"/>
      <c r="B256" s="70"/>
      <c r="C256" s="186" t="s">
        <v>761</v>
      </c>
      <c r="D256" s="186" t="s">
        <v>762</v>
      </c>
      <c r="E256" s="187">
        <v>510.0</v>
      </c>
      <c r="F256" s="187"/>
      <c r="G256" s="189">
        <v>45805.0</v>
      </c>
      <c r="H256" s="181">
        <f t="shared" si="13"/>
        <v>765</v>
      </c>
      <c r="I256" s="29">
        <f t="shared" si="14"/>
        <v>663</v>
      </c>
      <c r="J256" s="30">
        <f t="shared" si="15"/>
        <v>663</v>
      </c>
      <c r="K256" s="31">
        <f t="shared" si="16"/>
        <v>612</v>
      </c>
      <c r="L256" s="30">
        <f t="shared" si="17"/>
        <v>586.5</v>
      </c>
      <c r="M256" s="31">
        <f t="shared" si="18"/>
        <v>561</v>
      </c>
      <c r="N256" s="32"/>
      <c r="O256" s="33"/>
    </row>
    <row r="257" ht="15.75" customHeight="1">
      <c r="A257" s="21"/>
      <c r="B257" s="70"/>
      <c r="C257" s="186" t="s">
        <v>763</v>
      </c>
      <c r="D257" s="186" t="s">
        <v>764</v>
      </c>
      <c r="E257" s="187">
        <v>115.0</v>
      </c>
      <c r="F257" s="187"/>
      <c r="G257" s="185"/>
      <c r="H257" s="181">
        <f t="shared" si="13"/>
        <v>172.5</v>
      </c>
      <c r="I257" s="29">
        <f t="shared" si="14"/>
        <v>149.5</v>
      </c>
      <c r="J257" s="30">
        <f t="shared" si="15"/>
        <v>149.5</v>
      </c>
      <c r="K257" s="31">
        <f t="shared" si="16"/>
        <v>138</v>
      </c>
      <c r="L257" s="30">
        <f t="shared" si="17"/>
        <v>132.25</v>
      </c>
      <c r="M257" s="31">
        <f t="shared" si="18"/>
        <v>126.5</v>
      </c>
      <c r="N257" s="32"/>
      <c r="O257" s="33"/>
    </row>
    <row r="258" ht="15.75" customHeight="1">
      <c r="A258" s="21"/>
      <c r="B258" s="70"/>
      <c r="C258" s="186" t="s">
        <v>765</v>
      </c>
      <c r="D258" s="188" t="s">
        <v>766</v>
      </c>
      <c r="E258" s="187">
        <v>340.0</v>
      </c>
      <c r="F258" s="187"/>
      <c r="G258" s="189">
        <v>45805.0</v>
      </c>
      <c r="H258" s="181">
        <f t="shared" si="13"/>
        <v>510</v>
      </c>
      <c r="I258" s="29">
        <f t="shared" si="14"/>
        <v>442</v>
      </c>
      <c r="J258" s="30">
        <f t="shared" si="15"/>
        <v>442</v>
      </c>
      <c r="K258" s="31">
        <f t="shared" si="16"/>
        <v>408</v>
      </c>
      <c r="L258" s="30">
        <f t="shared" si="17"/>
        <v>391</v>
      </c>
      <c r="M258" s="31">
        <f t="shared" si="18"/>
        <v>374</v>
      </c>
      <c r="N258" s="32"/>
      <c r="O258" s="33"/>
    </row>
    <row r="259" ht="15.75" customHeight="1">
      <c r="A259" s="21"/>
      <c r="B259" s="70"/>
      <c r="C259" s="186" t="s">
        <v>767</v>
      </c>
      <c r="D259" s="188" t="s">
        <v>768</v>
      </c>
      <c r="E259" s="187">
        <v>90.0</v>
      </c>
      <c r="F259" s="187">
        <v>90.0</v>
      </c>
      <c r="G259" s="189">
        <v>45805.0</v>
      </c>
      <c r="H259" s="181">
        <f t="shared" si="13"/>
        <v>135</v>
      </c>
      <c r="I259" s="29">
        <f t="shared" si="14"/>
        <v>117</v>
      </c>
      <c r="J259" s="30">
        <f t="shared" si="15"/>
        <v>117</v>
      </c>
      <c r="K259" s="31">
        <f t="shared" si="16"/>
        <v>108</v>
      </c>
      <c r="L259" s="30">
        <f t="shared" si="17"/>
        <v>103.5</v>
      </c>
      <c r="M259" s="31">
        <f t="shared" si="18"/>
        <v>99</v>
      </c>
      <c r="N259" s="32"/>
      <c r="O259" s="33"/>
    </row>
    <row r="260" ht="15.75" customHeight="1">
      <c r="A260" s="21"/>
      <c r="B260" s="70"/>
      <c r="C260" s="186" t="s">
        <v>769</v>
      </c>
      <c r="D260" s="188" t="s">
        <v>770</v>
      </c>
      <c r="E260" s="187">
        <v>1.0</v>
      </c>
      <c r="F260" s="187"/>
      <c r="G260" s="185"/>
      <c r="H260" s="181">
        <f t="shared" si="13"/>
        <v>1.5</v>
      </c>
      <c r="I260" s="29">
        <f t="shared" si="14"/>
        <v>1.3</v>
      </c>
      <c r="J260" s="30">
        <f t="shared" si="15"/>
        <v>1.3</v>
      </c>
      <c r="K260" s="31">
        <f t="shared" si="16"/>
        <v>1.2</v>
      </c>
      <c r="L260" s="30">
        <f t="shared" si="17"/>
        <v>1.15</v>
      </c>
      <c r="M260" s="31">
        <f t="shared" si="18"/>
        <v>1.1</v>
      </c>
      <c r="N260" s="32"/>
      <c r="O260" s="33"/>
    </row>
    <row r="261" ht="15.75" customHeight="1">
      <c r="A261" s="21"/>
      <c r="B261" s="70"/>
      <c r="C261" s="186" t="s">
        <v>767</v>
      </c>
      <c r="D261" s="191" t="s">
        <v>771</v>
      </c>
      <c r="E261" s="192">
        <v>3565.0</v>
      </c>
      <c r="F261" s="192"/>
      <c r="G261" s="189">
        <v>45805.0</v>
      </c>
      <c r="H261" s="181">
        <f t="shared" si="13"/>
        <v>5347.5</v>
      </c>
      <c r="I261" s="29">
        <f t="shared" si="14"/>
        <v>4634.5</v>
      </c>
      <c r="J261" s="30">
        <f t="shared" si="15"/>
        <v>4634.5</v>
      </c>
      <c r="K261" s="31">
        <f t="shared" si="16"/>
        <v>4278</v>
      </c>
      <c r="L261" s="30">
        <f t="shared" si="17"/>
        <v>4099.75</v>
      </c>
      <c r="M261" s="31">
        <f t="shared" si="18"/>
        <v>3921.5</v>
      </c>
      <c r="N261" s="32"/>
      <c r="O261" s="33"/>
    </row>
    <row r="262" ht="15.75" customHeight="1">
      <c r="A262" s="21"/>
      <c r="B262" s="70"/>
      <c r="C262" s="186" t="s">
        <v>769</v>
      </c>
      <c r="D262" s="193" t="s">
        <v>772</v>
      </c>
      <c r="E262" s="194">
        <v>3330.0</v>
      </c>
      <c r="F262" s="194"/>
      <c r="G262" s="189">
        <v>45805.0</v>
      </c>
      <c r="H262" s="181">
        <f t="shared" si="13"/>
        <v>4995</v>
      </c>
      <c r="I262" s="29">
        <f t="shared" si="14"/>
        <v>4329</v>
      </c>
      <c r="J262" s="30">
        <f t="shared" si="15"/>
        <v>4329</v>
      </c>
      <c r="K262" s="31">
        <f t="shared" si="16"/>
        <v>3996</v>
      </c>
      <c r="L262" s="30">
        <f t="shared" si="17"/>
        <v>3829.5</v>
      </c>
      <c r="M262" s="31">
        <f t="shared" si="18"/>
        <v>3663</v>
      </c>
      <c r="N262" s="32"/>
      <c r="O262" s="33"/>
    </row>
    <row r="263" ht="15.75" customHeight="1">
      <c r="A263" s="21"/>
      <c r="B263" s="70"/>
      <c r="C263" s="186" t="s">
        <v>773</v>
      </c>
      <c r="D263" s="191" t="s">
        <v>774</v>
      </c>
      <c r="E263" s="194">
        <v>400.0</v>
      </c>
      <c r="F263" s="194"/>
      <c r="G263" s="185"/>
      <c r="H263" s="181">
        <f t="shared" si="13"/>
        <v>600</v>
      </c>
      <c r="I263" s="29">
        <f t="shared" si="14"/>
        <v>520</v>
      </c>
      <c r="J263" s="30">
        <f t="shared" si="15"/>
        <v>520</v>
      </c>
      <c r="K263" s="31">
        <f t="shared" si="16"/>
        <v>480</v>
      </c>
      <c r="L263" s="30">
        <f t="shared" si="17"/>
        <v>460</v>
      </c>
      <c r="M263" s="31">
        <f t="shared" si="18"/>
        <v>440</v>
      </c>
      <c r="N263" s="32"/>
      <c r="O263" s="33"/>
    </row>
    <row r="264" ht="15.75" customHeight="1">
      <c r="A264" s="21"/>
      <c r="B264" s="70"/>
      <c r="C264" s="186" t="s">
        <v>775</v>
      </c>
      <c r="D264" s="191" t="s">
        <v>776</v>
      </c>
      <c r="E264" s="194">
        <v>55.0</v>
      </c>
      <c r="F264" s="194"/>
      <c r="G264" s="185"/>
      <c r="H264" s="181">
        <f t="shared" si="13"/>
        <v>82.5</v>
      </c>
      <c r="I264" s="29">
        <f t="shared" si="14"/>
        <v>71.5</v>
      </c>
      <c r="J264" s="30">
        <f t="shared" si="15"/>
        <v>71.5</v>
      </c>
      <c r="K264" s="31">
        <f t="shared" si="16"/>
        <v>66</v>
      </c>
      <c r="L264" s="30">
        <f t="shared" si="17"/>
        <v>63.25</v>
      </c>
      <c r="M264" s="31">
        <f t="shared" si="18"/>
        <v>60.5</v>
      </c>
      <c r="N264" s="32"/>
      <c r="O264" s="33"/>
    </row>
    <row r="265" ht="15.75" customHeight="1">
      <c r="A265" s="21"/>
      <c r="B265" s="70"/>
      <c r="C265" s="186" t="s">
        <v>777</v>
      </c>
      <c r="D265" s="195" t="s">
        <v>778</v>
      </c>
      <c r="E265" s="194">
        <v>20.0</v>
      </c>
      <c r="F265" s="194"/>
      <c r="G265" s="185"/>
      <c r="H265" s="181">
        <f t="shared" si="13"/>
        <v>30</v>
      </c>
      <c r="I265" s="29">
        <f t="shared" si="14"/>
        <v>26</v>
      </c>
      <c r="J265" s="30">
        <f t="shared" si="15"/>
        <v>26</v>
      </c>
      <c r="K265" s="31">
        <f t="shared" si="16"/>
        <v>24</v>
      </c>
      <c r="L265" s="30">
        <f t="shared" si="17"/>
        <v>23</v>
      </c>
      <c r="M265" s="31">
        <f t="shared" si="18"/>
        <v>22</v>
      </c>
      <c r="N265" s="32"/>
      <c r="O265" s="33"/>
    </row>
    <row r="266" ht="15.75" customHeight="1">
      <c r="A266" s="21"/>
      <c r="B266" s="70"/>
      <c r="C266" s="186" t="s">
        <v>779</v>
      </c>
      <c r="D266" s="92" t="s">
        <v>780</v>
      </c>
      <c r="E266" s="194">
        <v>190.0</v>
      </c>
      <c r="F266" s="194"/>
      <c r="G266" s="185"/>
      <c r="H266" s="181">
        <f t="shared" si="13"/>
        <v>285</v>
      </c>
      <c r="I266" s="29">
        <f t="shared" si="14"/>
        <v>247</v>
      </c>
      <c r="J266" s="30">
        <f t="shared" si="15"/>
        <v>247</v>
      </c>
      <c r="K266" s="31">
        <f t="shared" si="16"/>
        <v>228</v>
      </c>
      <c r="L266" s="30">
        <f t="shared" si="17"/>
        <v>218.5</v>
      </c>
      <c r="M266" s="31">
        <f t="shared" si="18"/>
        <v>209</v>
      </c>
      <c r="N266" s="190" t="s">
        <v>781</v>
      </c>
      <c r="O266" s="33"/>
    </row>
    <row r="267" ht="15.75" customHeight="1">
      <c r="A267" s="21"/>
      <c r="B267" s="70"/>
      <c r="C267" s="186" t="s">
        <v>782</v>
      </c>
      <c r="D267" s="196" t="s">
        <v>783</v>
      </c>
      <c r="E267" s="194">
        <v>330.0</v>
      </c>
      <c r="F267" s="194"/>
      <c r="G267" s="185"/>
      <c r="H267" s="181">
        <f t="shared" si="13"/>
        <v>495</v>
      </c>
      <c r="I267" s="29">
        <f t="shared" si="14"/>
        <v>429</v>
      </c>
      <c r="J267" s="30">
        <f t="shared" si="15"/>
        <v>429</v>
      </c>
      <c r="K267" s="31">
        <f t="shared" si="16"/>
        <v>396</v>
      </c>
      <c r="L267" s="30">
        <f t="shared" si="17"/>
        <v>379.5</v>
      </c>
      <c r="M267" s="31">
        <f t="shared" si="18"/>
        <v>363</v>
      </c>
      <c r="N267" s="190" t="s">
        <v>784</v>
      </c>
      <c r="O267" s="33"/>
    </row>
    <row r="268" ht="15.75" customHeight="1">
      <c r="A268" s="21"/>
      <c r="B268" s="70"/>
      <c r="C268" s="186" t="s">
        <v>785</v>
      </c>
      <c r="D268" s="154" t="s">
        <v>786</v>
      </c>
      <c r="E268" s="197"/>
      <c r="F268" s="197"/>
      <c r="G268" s="185"/>
      <c r="H268" s="181">
        <f t="shared" si="13"/>
        <v>0</v>
      </c>
      <c r="I268" s="29">
        <f t="shared" si="14"/>
        <v>0</v>
      </c>
      <c r="J268" s="30">
        <f t="shared" si="15"/>
        <v>0</v>
      </c>
      <c r="K268" s="31">
        <f t="shared" si="16"/>
        <v>0</v>
      </c>
      <c r="L268" s="30">
        <f t="shared" si="17"/>
        <v>0</v>
      </c>
      <c r="M268" s="31">
        <f t="shared" si="18"/>
        <v>0</v>
      </c>
      <c r="N268" s="32"/>
      <c r="O268" s="33"/>
    </row>
    <row r="269" ht="15.75" customHeight="1">
      <c r="A269" s="21"/>
      <c r="B269" s="70"/>
      <c r="C269" s="61"/>
      <c r="D269" s="154" t="s">
        <v>787</v>
      </c>
      <c r="E269" s="197"/>
      <c r="F269" s="194">
        <v>195.0</v>
      </c>
      <c r="G269" s="185"/>
      <c r="H269" s="181">
        <f t="shared" si="13"/>
        <v>0</v>
      </c>
      <c r="I269" s="29">
        <f t="shared" si="14"/>
        <v>0</v>
      </c>
      <c r="J269" s="30">
        <f t="shared" si="15"/>
        <v>0</v>
      </c>
      <c r="K269" s="31">
        <f t="shared" si="16"/>
        <v>0</v>
      </c>
      <c r="L269" s="30">
        <f t="shared" si="17"/>
        <v>0</v>
      </c>
      <c r="M269" s="31">
        <f t="shared" si="18"/>
        <v>0</v>
      </c>
      <c r="N269" s="32"/>
      <c r="O269" s="33"/>
    </row>
    <row r="270" ht="15.75" customHeight="1">
      <c r="A270" s="21"/>
      <c r="B270" s="70"/>
      <c r="C270" s="114"/>
      <c r="D270" s="154" t="s">
        <v>788</v>
      </c>
      <c r="E270" s="197"/>
      <c r="F270" s="194">
        <v>55.0</v>
      </c>
      <c r="G270" s="185"/>
      <c r="H270" s="181">
        <f t="shared" si="13"/>
        <v>0</v>
      </c>
      <c r="I270" s="29">
        <f t="shared" si="14"/>
        <v>0</v>
      </c>
      <c r="J270" s="30">
        <f t="shared" si="15"/>
        <v>0</v>
      </c>
      <c r="K270" s="31">
        <f t="shared" si="16"/>
        <v>0</v>
      </c>
      <c r="L270" s="30">
        <f t="shared" si="17"/>
        <v>0</v>
      </c>
      <c r="M270" s="31">
        <f t="shared" si="18"/>
        <v>0</v>
      </c>
      <c r="N270" s="32"/>
      <c r="O270" s="33"/>
    </row>
    <row r="271" ht="15.75" customHeight="1">
      <c r="A271" s="21"/>
      <c r="B271" s="70"/>
      <c r="C271" s="126"/>
      <c r="D271" s="196" t="s">
        <v>789</v>
      </c>
      <c r="E271" s="197"/>
      <c r="F271" s="194">
        <v>15.0</v>
      </c>
      <c r="G271" s="185"/>
      <c r="H271" s="181">
        <f t="shared" si="13"/>
        <v>0</v>
      </c>
      <c r="I271" s="29">
        <f t="shared" si="14"/>
        <v>0</v>
      </c>
      <c r="J271" s="30">
        <f t="shared" si="15"/>
        <v>0</v>
      </c>
      <c r="K271" s="31">
        <f t="shared" si="16"/>
        <v>0</v>
      </c>
      <c r="L271" s="30">
        <f t="shared" si="17"/>
        <v>0</v>
      </c>
      <c r="M271" s="31">
        <f t="shared" si="18"/>
        <v>0</v>
      </c>
      <c r="N271" s="32"/>
      <c r="O271" s="33"/>
    </row>
    <row r="272" ht="15.75" customHeight="1">
      <c r="A272" s="21"/>
      <c r="B272" s="70"/>
      <c r="C272" s="114"/>
      <c r="D272" s="196" t="s">
        <v>790</v>
      </c>
      <c r="E272" s="197"/>
      <c r="F272" s="194">
        <v>20.0</v>
      </c>
      <c r="G272" s="185"/>
      <c r="H272" s="181">
        <f t="shared" si="13"/>
        <v>0</v>
      </c>
      <c r="I272" s="29">
        <f t="shared" si="14"/>
        <v>0</v>
      </c>
      <c r="J272" s="30">
        <f t="shared" si="15"/>
        <v>0</v>
      </c>
      <c r="K272" s="31">
        <f t="shared" si="16"/>
        <v>0</v>
      </c>
      <c r="L272" s="30">
        <f t="shared" si="17"/>
        <v>0</v>
      </c>
      <c r="M272" s="31">
        <f t="shared" si="18"/>
        <v>0</v>
      </c>
      <c r="N272" s="32"/>
      <c r="O272" s="33"/>
    </row>
    <row r="273" ht="15.75" customHeight="1">
      <c r="A273" s="21"/>
      <c r="B273" s="70"/>
      <c r="C273" s="114"/>
      <c r="D273" s="196" t="s">
        <v>791</v>
      </c>
      <c r="E273" s="197"/>
      <c r="F273" s="194">
        <v>850.0</v>
      </c>
      <c r="G273" s="185"/>
      <c r="H273" s="181">
        <f t="shared" si="13"/>
        <v>0</v>
      </c>
      <c r="I273" s="29">
        <f t="shared" si="14"/>
        <v>0</v>
      </c>
      <c r="J273" s="30">
        <f t="shared" si="15"/>
        <v>0</v>
      </c>
      <c r="K273" s="31">
        <f t="shared" si="16"/>
        <v>0</v>
      </c>
      <c r="L273" s="30">
        <f t="shared" si="17"/>
        <v>0</v>
      </c>
      <c r="M273" s="31">
        <f t="shared" si="18"/>
        <v>0</v>
      </c>
      <c r="N273" s="32"/>
      <c r="O273" s="33"/>
    </row>
    <row r="274" ht="15.75" customHeight="1">
      <c r="A274" s="21"/>
      <c r="B274" s="70"/>
      <c r="C274" s="114"/>
      <c r="D274" s="198" t="s">
        <v>792</v>
      </c>
      <c r="E274" s="197"/>
      <c r="F274" s="194">
        <v>25.0</v>
      </c>
      <c r="G274" s="185"/>
      <c r="H274" s="181">
        <f t="shared" si="13"/>
        <v>0</v>
      </c>
      <c r="I274" s="29">
        <f t="shared" si="14"/>
        <v>0</v>
      </c>
      <c r="J274" s="30">
        <f t="shared" si="15"/>
        <v>0</v>
      </c>
      <c r="K274" s="31">
        <f t="shared" si="16"/>
        <v>0</v>
      </c>
      <c r="L274" s="30">
        <f t="shared" si="17"/>
        <v>0</v>
      </c>
      <c r="M274" s="31">
        <f t="shared" si="18"/>
        <v>0</v>
      </c>
      <c r="N274" s="32"/>
      <c r="O274" s="33"/>
    </row>
    <row r="275" ht="15.75" customHeight="1">
      <c r="A275" s="21"/>
      <c r="B275" s="70"/>
      <c r="C275" s="129"/>
      <c r="D275" s="199" t="s">
        <v>793</v>
      </c>
      <c r="E275" s="197"/>
      <c r="F275" s="194">
        <v>120.0</v>
      </c>
      <c r="G275" s="185"/>
      <c r="H275" s="181">
        <f t="shared" si="13"/>
        <v>0</v>
      </c>
      <c r="I275" s="29">
        <f t="shared" si="14"/>
        <v>0</v>
      </c>
      <c r="J275" s="30">
        <f t="shared" si="15"/>
        <v>0</v>
      </c>
      <c r="K275" s="31">
        <f t="shared" si="16"/>
        <v>0</v>
      </c>
      <c r="L275" s="30">
        <f t="shared" si="17"/>
        <v>0</v>
      </c>
      <c r="M275" s="31">
        <f t="shared" si="18"/>
        <v>0</v>
      </c>
      <c r="N275" s="32"/>
      <c r="O275" s="33"/>
    </row>
    <row r="276" ht="15.75" customHeight="1">
      <c r="A276" s="21"/>
      <c r="B276" s="70"/>
      <c r="C276" s="126"/>
      <c r="D276" s="198" t="s">
        <v>794</v>
      </c>
      <c r="E276" s="197"/>
      <c r="F276" s="194">
        <v>6.0</v>
      </c>
      <c r="G276" s="185"/>
      <c r="H276" s="181">
        <f t="shared" si="13"/>
        <v>0</v>
      </c>
      <c r="I276" s="29">
        <f t="shared" si="14"/>
        <v>0</v>
      </c>
      <c r="J276" s="30">
        <f t="shared" si="15"/>
        <v>0</v>
      </c>
      <c r="K276" s="31">
        <f t="shared" si="16"/>
        <v>0</v>
      </c>
      <c r="L276" s="30">
        <f t="shared" si="17"/>
        <v>0</v>
      </c>
      <c r="M276" s="31">
        <f t="shared" si="18"/>
        <v>0</v>
      </c>
      <c r="N276" s="32"/>
      <c r="O276" s="33"/>
    </row>
    <row r="277" ht="15.75" customHeight="1">
      <c r="A277" s="21"/>
      <c r="B277" s="70"/>
      <c r="C277" s="126"/>
      <c r="D277" s="198" t="s">
        <v>795</v>
      </c>
      <c r="E277" s="197"/>
      <c r="F277" s="194">
        <v>14.0</v>
      </c>
      <c r="G277" s="185"/>
      <c r="H277" s="181">
        <f t="shared" si="13"/>
        <v>0</v>
      </c>
      <c r="I277" s="29">
        <f t="shared" si="14"/>
        <v>0</v>
      </c>
      <c r="J277" s="30">
        <f t="shared" si="15"/>
        <v>0</v>
      </c>
      <c r="K277" s="31">
        <f t="shared" si="16"/>
        <v>0</v>
      </c>
      <c r="L277" s="30">
        <f t="shared" si="17"/>
        <v>0</v>
      </c>
      <c r="M277" s="31">
        <f t="shared" si="18"/>
        <v>0</v>
      </c>
      <c r="N277" s="32"/>
      <c r="O277" s="33"/>
    </row>
    <row r="278" ht="15.75" customHeight="1">
      <c r="A278" s="21"/>
      <c r="B278" s="70"/>
      <c r="C278" s="126"/>
      <c r="D278" s="196" t="s">
        <v>796</v>
      </c>
      <c r="E278" s="197"/>
      <c r="F278" s="194">
        <v>650.0</v>
      </c>
      <c r="G278" s="185"/>
      <c r="H278" s="181">
        <f t="shared" si="13"/>
        <v>0</v>
      </c>
      <c r="I278" s="29">
        <f t="shared" si="14"/>
        <v>0</v>
      </c>
      <c r="J278" s="30">
        <f t="shared" si="15"/>
        <v>0</v>
      </c>
      <c r="K278" s="31">
        <f t="shared" si="16"/>
        <v>0</v>
      </c>
      <c r="L278" s="30">
        <f t="shared" si="17"/>
        <v>0</v>
      </c>
      <c r="M278" s="31">
        <f t="shared" si="18"/>
        <v>0</v>
      </c>
      <c r="N278" s="32"/>
      <c r="O278" s="33"/>
    </row>
    <row r="279" ht="15.75" customHeight="1">
      <c r="A279" s="21"/>
      <c r="B279" s="70"/>
      <c r="C279" s="126"/>
      <c r="D279" s="198" t="s">
        <v>797</v>
      </c>
      <c r="E279" s="197"/>
      <c r="F279" s="194">
        <v>6.0</v>
      </c>
      <c r="G279" s="185"/>
      <c r="H279" s="181">
        <f t="shared" si="13"/>
        <v>0</v>
      </c>
      <c r="I279" s="29">
        <f t="shared" si="14"/>
        <v>0</v>
      </c>
      <c r="J279" s="30">
        <f t="shared" si="15"/>
        <v>0</v>
      </c>
      <c r="K279" s="31">
        <f t="shared" si="16"/>
        <v>0</v>
      </c>
      <c r="L279" s="30">
        <f t="shared" si="17"/>
        <v>0</v>
      </c>
      <c r="M279" s="31">
        <f t="shared" si="18"/>
        <v>0</v>
      </c>
      <c r="N279" s="32"/>
      <c r="O279" s="33"/>
    </row>
    <row r="280" ht="15.75" customHeight="1">
      <c r="A280" s="21"/>
      <c r="B280" s="70"/>
      <c r="C280" s="129"/>
      <c r="D280" s="200" t="s">
        <v>798</v>
      </c>
      <c r="E280" s="197"/>
      <c r="F280" s="194">
        <v>260.0</v>
      </c>
      <c r="G280" s="185"/>
      <c r="H280" s="181">
        <f t="shared" si="13"/>
        <v>0</v>
      </c>
      <c r="I280" s="29">
        <f t="shared" si="14"/>
        <v>0</v>
      </c>
      <c r="J280" s="30">
        <f t="shared" si="15"/>
        <v>0</v>
      </c>
      <c r="K280" s="31">
        <f t="shared" si="16"/>
        <v>0</v>
      </c>
      <c r="L280" s="30">
        <f t="shared" si="17"/>
        <v>0</v>
      </c>
      <c r="M280" s="31">
        <f t="shared" si="18"/>
        <v>0</v>
      </c>
      <c r="N280" s="32"/>
      <c r="O280" s="33"/>
    </row>
    <row r="281" ht="15.75" customHeight="1">
      <c r="A281" s="21"/>
      <c r="B281" s="70"/>
      <c r="C281" s="129"/>
      <c r="D281" s="200" t="s">
        <v>799</v>
      </c>
      <c r="E281" s="197"/>
      <c r="F281" s="194">
        <v>150.0</v>
      </c>
      <c r="G281" s="185"/>
      <c r="H281" s="181">
        <f t="shared" si="13"/>
        <v>0</v>
      </c>
      <c r="I281" s="29">
        <f t="shared" si="14"/>
        <v>0</v>
      </c>
      <c r="J281" s="30">
        <f t="shared" si="15"/>
        <v>0</v>
      </c>
      <c r="K281" s="31">
        <f t="shared" si="16"/>
        <v>0</v>
      </c>
      <c r="L281" s="30">
        <f t="shared" si="17"/>
        <v>0</v>
      </c>
      <c r="M281" s="31">
        <f t="shared" si="18"/>
        <v>0</v>
      </c>
      <c r="N281" s="32"/>
      <c r="O281" s="33"/>
    </row>
    <row r="282" ht="15.75" customHeight="1">
      <c r="A282" s="21"/>
      <c r="B282" s="70"/>
      <c r="C282" s="129"/>
      <c r="D282" s="200" t="s">
        <v>800</v>
      </c>
      <c r="E282" s="197"/>
      <c r="F282" s="194">
        <v>200.0</v>
      </c>
      <c r="G282" s="185"/>
      <c r="H282" s="181">
        <f t="shared" si="13"/>
        <v>0</v>
      </c>
      <c r="I282" s="29">
        <f t="shared" si="14"/>
        <v>0</v>
      </c>
      <c r="J282" s="30">
        <f t="shared" si="15"/>
        <v>0</v>
      </c>
      <c r="K282" s="31">
        <f t="shared" si="16"/>
        <v>0</v>
      </c>
      <c r="L282" s="30">
        <f t="shared" si="17"/>
        <v>0</v>
      </c>
      <c r="M282" s="31">
        <f t="shared" si="18"/>
        <v>0</v>
      </c>
      <c r="N282" s="32"/>
      <c r="O282" s="33"/>
    </row>
    <row r="283" ht="15.75" customHeight="1">
      <c r="A283" s="21"/>
      <c r="B283" s="70"/>
      <c r="C283" s="61"/>
      <c r="D283" s="198" t="s">
        <v>801</v>
      </c>
      <c r="E283" s="197"/>
      <c r="F283" s="194">
        <v>735.0</v>
      </c>
      <c r="G283" s="185"/>
      <c r="H283" s="181">
        <f t="shared" si="13"/>
        <v>0</v>
      </c>
      <c r="I283" s="29">
        <f t="shared" si="14"/>
        <v>0</v>
      </c>
      <c r="J283" s="30">
        <f t="shared" si="15"/>
        <v>0</v>
      </c>
      <c r="K283" s="31">
        <f t="shared" si="16"/>
        <v>0</v>
      </c>
      <c r="L283" s="30">
        <f t="shared" si="17"/>
        <v>0</v>
      </c>
      <c r="M283" s="31">
        <f t="shared" si="18"/>
        <v>0</v>
      </c>
      <c r="N283" s="32"/>
      <c r="O283" s="33"/>
    </row>
    <row r="284" ht="15.75" customHeight="1">
      <c r="A284" s="21"/>
      <c r="B284" s="70"/>
      <c r="C284" s="61"/>
      <c r="D284" s="198" t="s">
        <v>802</v>
      </c>
      <c r="E284" s="197"/>
      <c r="F284" s="194">
        <v>45.0</v>
      </c>
      <c r="G284" s="185"/>
      <c r="H284" s="181">
        <f t="shared" si="13"/>
        <v>0</v>
      </c>
      <c r="I284" s="29">
        <f t="shared" si="14"/>
        <v>0</v>
      </c>
      <c r="J284" s="30">
        <f t="shared" si="15"/>
        <v>0</v>
      </c>
      <c r="K284" s="31">
        <f t="shared" si="16"/>
        <v>0</v>
      </c>
      <c r="L284" s="30">
        <f t="shared" si="17"/>
        <v>0</v>
      </c>
      <c r="M284" s="31">
        <f t="shared" si="18"/>
        <v>0</v>
      </c>
      <c r="N284" s="32"/>
      <c r="O284" s="33"/>
    </row>
    <row r="285" ht="15.75" customHeight="1">
      <c r="A285" s="21"/>
      <c r="B285" s="70"/>
      <c r="C285" s="61"/>
      <c r="D285" s="198" t="s">
        <v>803</v>
      </c>
      <c r="E285" s="197"/>
      <c r="F285" s="194">
        <v>75.0</v>
      </c>
      <c r="G285" s="185"/>
      <c r="H285" s="181">
        <f t="shared" si="13"/>
        <v>0</v>
      </c>
      <c r="I285" s="29">
        <f t="shared" si="14"/>
        <v>0</v>
      </c>
      <c r="J285" s="30">
        <f t="shared" si="15"/>
        <v>0</v>
      </c>
      <c r="K285" s="31">
        <f t="shared" si="16"/>
        <v>0</v>
      </c>
      <c r="L285" s="30">
        <f t="shared" si="17"/>
        <v>0</v>
      </c>
      <c r="M285" s="31">
        <f t="shared" si="18"/>
        <v>0</v>
      </c>
      <c r="N285" s="32"/>
      <c r="O285" s="33"/>
    </row>
    <row r="286" ht="15.75" customHeight="1">
      <c r="A286" s="21"/>
      <c r="B286" s="70"/>
      <c r="C286" s="61"/>
      <c r="D286" s="103"/>
      <c r="E286" s="197"/>
      <c r="F286" s="197"/>
      <c r="G286" s="185"/>
      <c r="H286" s="181">
        <f t="shared" si="13"/>
        <v>0</v>
      </c>
      <c r="I286" s="29">
        <f t="shared" si="14"/>
        <v>0</v>
      </c>
      <c r="J286" s="30">
        <f t="shared" si="15"/>
        <v>0</v>
      </c>
      <c r="K286" s="31">
        <f t="shared" si="16"/>
        <v>0</v>
      </c>
      <c r="L286" s="30">
        <f t="shared" si="17"/>
        <v>0</v>
      </c>
      <c r="M286" s="31">
        <f t="shared" si="18"/>
        <v>0</v>
      </c>
      <c r="N286" s="32"/>
      <c r="O286" s="33"/>
    </row>
    <row r="287" ht="15.75" customHeight="1">
      <c r="A287" s="21"/>
      <c r="B287" s="70"/>
      <c r="C287" s="61"/>
      <c r="D287" s="103"/>
      <c r="E287" s="197"/>
      <c r="F287" s="197"/>
      <c r="G287" s="185"/>
      <c r="H287" s="181">
        <f t="shared" si="13"/>
        <v>0</v>
      </c>
      <c r="I287" s="29">
        <f t="shared" si="14"/>
        <v>0</v>
      </c>
      <c r="J287" s="30">
        <f t="shared" si="15"/>
        <v>0</v>
      </c>
      <c r="K287" s="31">
        <f t="shared" si="16"/>
        <v>0</v>
      </c>
      <c r="L287" s="30">
        <f t="shared" si="17"/>
        <v>0</v>
      </c>
      <c r="M287" s="31">
        <f t="shared" si="18"/>
        <v>0</v>
      </c>
      <c r="N287" s="32"/>
      <c r="O287" s="33"/>
    </row>
    <row r="288" ht="15.75" customHeight="1">
      <c r="A288" s="21"/>
      <c r="B288" s="70"/>
      <c r="C288" s="61"/>
      <c r="D288" s="103"/>
      <c r="E288" s="197"/>
      <c r="F288" s="197"/>
      <c r="G288" s="185"/>
      <c r="H288" s="181">
        <f t="shared" si="13"/>
        <v>0</v>
      </c>
      <c r="I288" s="29">
        <f t="shared" si="14"/>
        <v>0</v>
      </c>
      <c r="J288" s="30">
        <f t="shared" si="15"/>
        <v>0</v>
      </c>
      <c r="K288" s="31">
        <f t="shared" si="16"/>
        <v>0</v>
      </c>
      <c r="L288" s="30">
        <f t="shared" si="17"/>
        <v>0</v>
      </c>
      <c r="M288" s="31">
        <f t="shared" si="18"/>
        <v>0</v>
      </c>
      <c r="N288" s="32"/>
      <c r="O288" s="33"/>
    </row>
    <row r="289" ht="15.75" customHeight="1">
      <c r="A289" s="21"/>
      <c r="B289" s="70"/>
      <c r="C289" s="61"/>
      <c r="D289" s="103"/>
      <c r="E289" s="197"/>
      <c r="F289" s="197"/>
      <c r="G289" s="185"/>
      <c r="H289" s="181">
        <f t="shared" si="13"/>
        <v>0</v>
      </c>
      <c r="I289" s="29">
        <f t="shared" si="14"/>
        <v>0</v>
      </c>
      <c r="J289" s="30">
        <f t="shared" si="15"/>
        <v>0</v>
      </c>
      <c r="K289" s="31">
        <f t="shared" si="16"/>
        <v>0</v>
      </c>
      <c r="L289" s="30">
        <f t="shared" si="17"/>
        <v>0</v>
      </c>
      <c r="M289" s="31">
        <f t="shared" si="18"/>
        <v>0</v>
      </c>
      <c r="N289" s="32"/>
      <c r="O289" s="33"/>
    </row>
    <row r="290" ht="15.75" customHeight="1">
      <c r="A290" s="21"/>
      <c r="B290" s="70"/>
      <c r="C290" s="131"/>
      <c r="D290" s="103"/>
      <c r="E290" s="197"/>
      <c r="F290" s="197"/>
      <c r="G290" s="185"/>
      <c r="H290" s="181">
        <f t="shared" si="13"/>
        <v>0</v>
      </c>
      <c r="I290" s="29">
        <f t="shared" si="14"/>
        <v>0</v>
      </c>
      <c r="J290" s="30">
        <f t="shared" si="15"/>
        <v>0</v>
      </c>
      <c r="K290" s="31">
        <f t="shared" si="16"/>
        <v>0</v>
      </c>
      <c r="L290" s="30">
        <f t="shared" si="17"/>
        <v>0</v>
      </c>
      <c r="M290" s="31">
        <f t="shared" si="18"/>
        <v>0</v>
      </c>
      <c r="N290" s="32"/>
      <c r="O290" s="33"/>
    </row>
    <row r="291" ht="15.75" customHeight="1">
      <c r="A291" s="21"/>
      <c r="B291" s="70"/>
      <c r="C291" s="61"/>
      <c r="D291" s="133"/>
      <c r="E291" s="197"/>
      <c r="F291" s="197"/>
      <c r="G291" s="185"/>
      <c r="H291" s="181">
        <f t="shared" si="13"/>
        <v>0</v>
      </c>
      <c r="I291" s="29">
        <f t="shared" si="14"/>
        <v>0</v>
      </c>
      <c r="J291" s="30">
        <f t="shared" si="15"/>
        <v>0</v>
      </c>
      <c r="K291" s="31">
        <f t="shared" si="16"/>
        <v>0</v>
      </c>
      <c r="L291" s="30">
        <f t="shared" si="17"/>
        <v>0</v>
      </c>
      <c r="M291" s="31">
        <f t="shared" si="18"/>
        <v>0</v>
      </c>
      <c r="N291" s="32"/>
      <c r="O291" s="33"/>
    </row>
    <row r="292" ht="15.75" customHeight="1">
      <c r="A292" s="21"/>
      <c r="B292" s="70"/>
      <c r="C292" s="61"/>
      <c r="D292" s="135"/>
      <c r="E292" s="197"/>
      <c r="F292" s="197"/>
      <c r="G292" s="185"/>
      <c r="H292" s="181">
        <f t="shared" si="13"/>
        <v>0</v>
      </c>
      <c r="I292" s="29">
        <f t="shared" si="14"/>
        <v>0</v>
      </c>
      <c r="J292" s="30">
        <f t="shared" si="15"/>
        <v>0</v>
      </c>
      <c r="K292" s="31">
        <f t="shared" si="16"/>
        <v>0</v>
      </c>
      <c r="L292" s="30">
        <f t="shared" si="17"/>
        <v>0</v>
      </c>
      <c r="M292" s="31">
        <f t="shared" si="18"/>
        <v>0</v>
      </c>
      <c r="N292" s="32"/>
      <c r="O292" s="33"/>
    </row>
    <row r="293" ht="15.75" customHeight="1">
      <c r="A293" s="21"/>
      <c r="B293" s="70"/>
      <c r="C293" s="136"/>
      <c r="D293" s="107"/>
      <c r="E293" s="201"/>
      <c r="F293" s="201"/>
      <c r="G293" s="185"/>
      <c r="H293" s="181">
        <f t="shared" si="13"/>
        <v>0</v>
      </c>
      <c r="I293" s="29">
        <f t="shared" si="14"/>
        <v>0</v>
      </c>
      <c r="J293" s="30">
        <f t="shared" si="15"/>
        <v>0</v>
      </c>
      <c r="K293" s="31">
        <f t="shared" si="16"/>
        <v>0</v>
      </c>
      <c r="L293" s="30">
        <f t="shared" si="17"/>
        <v>0</v>
      </c>
      <c r="M293" s="31">
        <f t="shared" si="18"/>
        <v>0</v>
      </c>
      <c r="N293" s="32"/>
      <c r="O293" s="33"/>
    </row>
    <row r="294" ht="15.75" customHeight="1">
      <c r="A294" s="21"/>
      <c r="B294" s="70"/>
      <c r="C294" s="114"/>
      <c r="D294" s="125"/>
      <c r="E294" s="202"/>
      <c r="F294" s="202"/>
      <c r="G294" s="185"/>
      <c r="H294" s="181">
        <f t="shared" si="13"/>
        <v>0</v>
      </c>
      <c r="I294" s="29">
        <f t="shared" si="14"/>
        <v>0</v>
      </c>
      <c r="J294" s="30">
        <f t="shared" si="15"/>
        <v>0</v>
      </c>
      <c r="K294" s="31">
        <f t="shared" si="16"/>
        <v>0</v>
      </c>
      <c r="L294" s="30">
        <f t="shared" si="17"/>
        <v>0</v>
      </c>
      <c r="M294" s="31">
        <f t="shared" si="18"/>
        <v>0</v>
      </c>
      <c r="N294" s="32"/>
      <c r="O294" s="33"/>
    </row>
    <row r="295" ht="15.75" customHeight="1">
      <c r="A295" s="21"/>
      <c r="B295" s="70"/>
      <c r="C295" s="114"/>
      <c r="D295" s="125"/>
      <c r="E295" s="202"/>
      <c r="F295" s="203"/>
      <c r="G295" s="173"/>
      <c r="H295" s="28">
        <f t="shared" si="13"/>
        <v>0</v>
      </c>
      <c r="I295" s="29">
        <f t="shared" si="14"/>
        <v>0</v>
      </c>
      <c r="J295" s="30">
        <f t="shared" si="15"/>
        <v>0</v>
      </c>
      <c r="K295" s="31">
        <f t="shared" si="16"/>
        <v>0</v>
      </c>
      <c r="L295" s="30">
        <f t="shared" si="17"/>
        <v>0</v>
      </c>
      <c r="M295" s="31">
        <f t="shared" si="18"/>
        <v>0</v>
      </c>
      <c r="N295" s="32"/>
      <c r="O295" s="33"/>
    </row>
    <row r="296" ht="15.75" customHeight="1">
      <c r="A296" s="21"/>
      <c r="B296" s="70"/>
      <c r="C296" s="114"/>
      <c r="D296" s="125"/>
      <c r="E296" s="202"/>
      <c r="F296" s="203"/>
      <c r="G296" s="173"/>
      <c r="H296" s="28">
        <f t="shared" si="13"/>
        <v>0</v>
      </c>
      <c r="I296" s="29">
        <f t="shared" si="14"/>
        <v>0</v>
      </c>
      <c r="J296" s="30">
        <f t="shared" si="15"/>
        <v>0</v>
      </c>
      <c r="K296" s="31">
        <f t="shared" si="16"/>
        <v>0</v>
      </c>
      <c r="L296" s="30">
        <f t="shared" si="17"/>
        <v>0</v>
      </c>
      <c r="M296" s="31">
        <f t="shared" si="18"/>
        <v>0</v>
      </c>
      <c r="N296" s="32"/>
      <c r="O296" s="33"/>
    </row>
    <row r="297" ht="15.75" customHeight="1">
      <c r="A297" s="21"/>
      <c r="B297" s="70"/>
      <c r="C297" s="114"/>
      <c r="D297" s="125"/>
      <c r="E297" s="202"/>
      <c r="F297" s="203"/>
      <c r="G297" s="173"/>
      <c r="H297" s="28">
        <f t="shared" si="13"/>
        <v>0</v>
      </c>
      <c r="I297" s="29">
        <f t="shared" si="14"/>
        <v>0</v>
      </c>
      <c r="J297" s="30">
        <f t="shared" si="15"/>
        <v>0</v>
      </c>
      <c r="K297" s="31">
        <f t="shared" si="16"/>
        <v>0</v>
      </c>
      <c r="L297" s="30">
        <f t="shared" si="17"/>
        <v>0</v>
      </c>
      <c r="M297" s="31">
        <f t="shared" si="18"/>
        <v>0</v>
      </c>
      <c r="N297" s="32"/>
      <c r="O297" s="33"/>
    </row>
    <row r="298" ht="15.75" customHeight="1">
      <c r="A298" s="21"/>
      <c r="B298" s="70"/>
      <c r="C298" s="114"/>
      <c r="D298" s="125"/>
      <c r="E298" s="202"/>
      <c r="F298" s="203"/>
      <c r="G298" s="173"/>
      <c r="H298" s="28">
        <f t="shared" si="13"/>
        <v>0</v>
      </c>
      <c r="I298" s="29">
        <f t="shared" si="14"/>
        <v>0</v>
      </c>
      <c r="J298" s="30">
        <f t="shared" si="15"/>
        <v>0</v>
      </c>
      <c r="K298" s="31">
        <f t="shared" si="16"/>
        <v>0</v>
      </c>
      <c r="L298" s="30">
        <f t="shared" si="17"/>
        <v>0</v>
      </c>
      <c r="M298" s="31">
        <f t="shared" si="18"/>
        <v>0</v>
      </c>
      <c r="N298" s="32"/>
      <c r="O298" s="33"/>
    </row>
    <row r="299" ht="15.75" customHeight="1">
      <c r="A299" s="21"/>
      <c r="B299" s="70"/>
      <c r="C299" s="114"/>
      <c r="D299" s="125"/>
      <c r="E299" s="202"/>
      <c r="F299" s="203"/>
      <c r="G299" s="173"/>
      <c r="H299" s="28">
        <f t="shared" si="13"/>
        <v>0</v>
      </c>
      <c r="I299" s="29">
        <f t="shared" si="14"/>
        <v>0</v>
      </c>
      <c r="J299" s="30">
        <f t="shared" si="15"/>
        <v>0</v>
      </c>
      <c r="K299" s="31">
        <f t="shared" si="16"/>
        <v>0</v>
      </c>
      <c r="L299" s="30">
        <f t="shared" si="17"/>
        <v>0</v>
      </c>
      <c r="M299" s="31">
        <f t="shared" si="18"/>
        <v>0</v>
      </c>
      <c r="N299" s="32"/>
      <c r="O299" s="33"/>
    </row>
    <row r="300" ht="15.75" customHeight="1">
      <c r="A300" s="21"/>
      <c r="B300" s="70"/>
      <c r="C300" s="114"/>
      <c r="D300" s="125"/>
      <c r="E300" s="204"/>
      <c r="F300" s="205"/>
      <c r="G300" s="173"/>
      <c r="H300" s="28">
        <f t="shared" si="13"/>
        <v>0</v>
      </c>
      <c r="I300" s="29">
        <f t="shared" si="14"/>
        <v>0</v>
      </c>
      <c r="J300" s="30">
        <f t="shared" si="15"/>
        <v>0</v>
      </c>
      <c r="K300" s="31">
        <f t="shared" si="16"/>
        <v>0</v>
      </c>
      <c r="L300" s="30">
        <f t="shared" si="17"/>
        <v>0</v>
      </c>
      <c r="M300" s="31">
        <f t="shared" si="18"/>
        <v>0</v>
      </c>
      <c r="N300" s="32"/>
      <c r="O300" s="33"/>
    </row>
    <row r="301" ht="15.75" customHeight="1">
      <c r="A301" s="21"/>
      <c r="B301" s="70"/>
      <c r="C301" s="61"/>
      <c r="D301" s="103"/>
      <c r="E301" s="206"/>
      <c r="F301" s="207"/>
      <c r="G301" s="173"/>
      <c r="H301" s="28">
        <f t="shared" si="13"/>
        <v>0</v>
      </c>
      <c r="I301" s="29">
        <f t="shared" si="14"/>
        <v>0</v>
      </c>
      <c r="J301" s="30">
        <f t="shared" si="15"/>
        <v>0</v>
      </c>
      <c r="K301" s="31">
        <f t="shared" si="16"/>
        <v>0</v>
      </c>
      <c r="L301" s="30">
        <f t="shared" si="17"/>
        <v>0</v>
      </c>
      <c r="M301" s="31">
        <f t="shared" si="18"/>
        <v>0</v>
      </c>
      <c r="N301" s="32"/>
      <c r="O301" s="33"/>
    </row>
    <row r="302" ht="15.75" customHeight="1">
      <c r="A302" s="139"/>
      <c r="B302" s="140"/>
      <c r="C302" s="61"/>
      <c r="D302" s="133"/>
      <c r="E302" s="208"/>
      <c r="F302" s="209"/>
      <c r="G302" s="173"/>
      <c r="H302" s="28">
        <f t="shared" si="13"/>
        <v>0</v>
      </c>
      <c r="I302" s="29">
        <f t="shared" si="14"/>
        <v>0</v>
      </c>
      <c r="J302" s="30">
        <f t="shared" si="15"/>
        <v>0</v>
      </c>
      <c r="K302" s="31">
        <f t="shared" si="16"/>
        <v>0</v>
      </c>
      <c r="L302" s="30">
        <f t="shared" si="17"/>
        <v>0</v>
      </c>
      <c r="M302" s="31">
        <f t="shared" si="18"/>
        <v>0</v>
      </c>
      <c r="N302" s="32"/>
      <c r="O302" s="33"/>
    </row>
    <row r="303" ht="15.75" customHeight="1">
      <c r="A303" s="139"/>
      <c r="B303" s="140"/>
      <c r="C303" s="61"/>
      <c r="D303" s="133"/>
      <c r="E303" s="208"/>
      <c r="F303" s="209"/>
      <c r="G303" s="173"/>
      <c r="H303" s="28">
        <f t="shared" si="13"/>
        <v>0</v>
      </c>
      <c r="I303" s="29">
        <f t="shared" si="14"/>
        <v>0</v>
      </c>
      <c r="J303" s="30">
        <f t="shared" si="15"/>
        <v>0</v>
      </c>
      <c r="K303" s="31">
        <f t="shared" si="16"/>
        <v>0</v>
      </c>
      <c r="L303" s="30">
        <f t="shared" si="17"/>
        <v>0</v>
      </c>
      <c r="M303" s="31">
        <f t="shared" si="18"/>
        <v>0</v>
      </c>
      <c r="N303" s="32"/>
      <c r="O303" s="33"/>
    </row>
    <row r="304" ht="15.75" customHeight="1">
      <c r="A304" s="139"/>
      <c r="B304" s="140"/>
      <c r="C304" s="61"/>
      <c r="D304" s="133"/>
      <c r="E304" s="208"/>
      <c r="F304" s="209"/>
      <c r="G304" s="173"/>
      <c r="H304" s="28">
        <f t="shared" si="13"/>
        <v>0</v>
      </c>
      <c r="I304" s="29">
        <f t="shared" si="14"/>
        <v>0</v>
      </c>
      <c r="J304" s="30">
        <f t="shared" si="15"/>
        <v>0</v>
      </c>
      <c r="K304" s="31">
        <f t="shared" si="16"/>
        <v>0</v>
      </c>
      <c r="L304" s="30">
        <f t="shared" si="17"/>
        <v>0</v>
      </c>
      <c r="M304" s="31">
        <f t="shared" si="18"/>
        <v>0</v>
      </c>
      <c r="N304" s="32"/>
      <c r="O304" s="33"/>
    </row>
    <row r="305" ht="15.75" customHeight="1">
      <c r="A305" s="139"/>
      <c r="B305" s="140"/>
      <c r="C305" s="61"/>
      <c r="D305" s="133"/>
      <c r="E305" s="208"/>
      <c r="F305" s="209"/>
      <c r="G305" s="173"/>
      <c r="H305" s="28">
        <f t="shared" si="13"/>
        <v>0</v>
      </c>
      <c r="I305" s="29">
        <f t="shared" si="14"/>
        <v>0</v>
      </c>
      <c r="J305" s="30">
        <f t="shared" si="15"/>
        <v>0</v>
      </c>
      <c r="K305" s="31">
        <f t="shared" si="16"/>
        <v>0</v>
      </c>
      <c r="L305" s="30">
        <f t="shared" si="17"/>
        <v>0</v>
      </c>
      <c r="M305" s="31">
        <f t="shared" si="18"/>
        <v>0</v>
      </c>
      <c r="N305" s="32"/>
      <c r="O305" s="33"/>
    </row>
    <row r="306" ht="15.75" customHeight="1">
      <c r="A306" s="139"/>
      <c r="B306" s="140"/>
      <c r="C306" s="61"/>
      <c r="D306" s="133"/>
      <c r="E306" s="208"/>
      <c r="F306" s="209"/>
      <c r="G306" s="173"/>
      <c r="H306" s="28">
        <f t="shared" si="13"/>
        <v>0</v>
      </c>
      <c r="I306" s="29">
        <f t="shared" si="14"/>
        <v>0</v>
      </c>
      <c r="J306" s="30">
        <f t="shared" si="15"/>
        <v>0</v>
      </c>
      <c r="K306" s="31">
        <f t="shared" si="16"/>
        <v>0</v>
      </c>
      <c r="L306" s="30">
        <f t="shared" si="17"/>
        <v>0</v>
      </c>
      <c r="M306" s="31">
        <f t="shared" si="18"/>
        <v>0</v>
      </c>
      <c r="N306" s="32"/>
      <c r="O306" s="33"/>
    </row>
    <row r="307" ht="15.75" customHeight="1">
      <c r="A307" s="139"/>
      <c r="B307" s="140"/>
      <c r="C307" s="61"/>
      <c r="D307" s="133"/>
      <c r="E307" s="208"/>
      <c r="F307" s="209"/>
      <c r="G307" s="173"/>
      <c r="H307" s="28">
        <f t="shared" si="13"/>
        <v>0</v>
      </c>
      <c r="I307" s="29">
        <f t="shared" si="14"/>
        <v>0</v>
      </c>
      <c r="J307" s="30">
        <f t="shared" si="15"/>
        <v>0</v>
      </c>
      <c r="K307" s="31">
        <f t="shared" si="16"/>
        <v>0</v>
      </c>
      <c r="L307" s="30">
        <f t="shared" si="17"/>
        <v>0</v>
      </c>
      <c r="M307" s="31">
        <f t="shared" si="18"/>
        <v>0</v>
      </c>
      <c r="N307" s="32"/>
      <c r="O307" s="33"/>
    </row>
    <row r="308" ht="15.75" customHeight="1">
      <c r="A308" s="139"/>
      <c r="B308" s="140"/>
      <c r="C308" s="61"/>
      <c r="D308" s="133"/>
      <c r="E308" s="210"/>
      <c r="F308" s="211"/>
      <c r="G308" s="173"/>
      <c r="H308" s="28">
        <f t="shared" si="13"/>
        <v>0</v>
      </c>
      <c r="I308" s="29">
        <f t="shared" si="14"/>
        <v>0</v>
      </c>
      <c r="J308" s="30">
        <f t="shared" si="15"/>
        <v>0</v>
      </c>
      <c r="K308" s="31">
        <f t="shared" si="16"/>
        <v>0</v>
      </c>
      <c r="L308" s="30">
        <f t="shared" si="17"/>
        <v>0</v>
      </c>
      <c r="M308" s="31">
        <f t="shared" si="18"/>
        <v>0</v>
      </c>
      <c r="N308" s="32"/>
      <c r="O308" s="33"/>
    </row>
    <row r="309" ht="15.75" customHeight="1">
      <c r="A309" s="139"/>
      <c r="B309" s="140"/>
      <c r="C309" s="61"/>
      <c r="D309" s="133"/>
      <c r="E309" s="210"/>
      <c r="F309" s="211"/>
      <c r="G309" s="173"/>
      <c r="H309" s="28">
        <f t="shared" si="13"/>
        <v>0</v>
      </c>
      <c r="I309" s="29">
        <f t="shared" si="14"/>
        <v>0</v>
      </c>
      <c r="J309" s="30">
        <f t="shared" si="15"/>
        <v>0</v>
      </c>
      <c r="K309" s="31">
        <f t="shared" si="16"/>
        <v>0</v>
      </c>
      <c r="L309" s="30">
        <f t="shared" si="17"/>
        <v>0</v>
      </c>
      <c r="M309" s="31">
        <f t="shared" si="18"/>
        <v>0</v>
      </c>
      <c r="N309" s="32"/>
      <c r="O309" s="33"/>
    </row>
    <row r="310" ht="15.75" customHeight="1">
      <c r="A310" s="139"/>
      <c r="B310" s="140"/>
      <c r="C310" s="61"/>
      <c r="D310" s="133"/>
      <c r="E310" s="210"/>
      <c r="F310" s="211"/>
      <c r="G310" s="173"/>
      <c r="H310" s="28">
        <f t="shared" si="13"/>
        <v>0</v>
      </c>
      <c r="I310" s="29">
        <f t="shared" si="14"/>
        <v>0</v>
      </c>
      <c r="J310" s="30">
        <f t="shared" si="15"/>
        <v>0</v>
      </c>
      <c r="K310" s="31">
        <f t="shared" si="16"/>
        <v>0</v>
      </c>
      <c r="L310" s="30">
        <f t="shared" si="17"/>
        <v>0</v>
      </c>
      <c r="M310" s="31">
        <f t="shared" si="18"/>
        <v>0</v>
      </c>
      <c r="N310" s="32"/>
      <c r="O310" s="33"/>
    </row>
    <row r="311" ht="15.75" customHeight="1">
      <c r="A311" s="139"/>
      <c r="B311" s="140"/>
      <c r="C311" s="61"/>
      <c r="D311" s="133"/>
      <c r="E311" s="210"/>
      <c r="F311" s="211"/>
      <c r="G311" s="173"/>
      <c r="H311" s="28">
        <f t="shared" si="13"/>
        <v>0</v>
      </c>
      <c r="I311" s="29">
        <f t="shared" si="14"/>
        <v>0</v>
      </c>
      <c r="J311" s="30">
        <f t="shared" si="15"/>
        <v>0</v>
      </c>
      <c r="K311" s="31">
        <f t="shared" si="16"/>
        <v>0</v>
      </c>
      <c r="L311" s="30">
        <f t="shared" si="17"/>
        <v>0</v>
      </c>
      <c r="M311" s="31">
        <f t="shared" si="18"/>
        <v>0</v>
      </c>
      <c r="N311" s="32"/>
      <c r="O311" s="33"/>
    </row>
    <row r="312" ht="15.75" customHeight="1">
      <c r="A312" s="139"/>
      <c r="B312" s="140"/>
      <c r="C312" s="61"/>
      <c r="D312" s="133"/>
      <c r="E312" s="210"/>
      <c r="F312" s="211"/>
      <c r="G312" s="173"/>
      <c r="H312" s="28">
        <f t="shared" si="13"/>
        <v>0</v>
      </c>
      <c r="I312" s="29">
        <f t="shared" si="14"/>
        <v>0</v>
      </c>
      <c r="J312" s="30">
        <f t="shared" si="15"/>
        <v>0</v>
      </c>
      <c r="K312" s="31">
        <f t="shared" si="16"/>
        <v>0</v>
      </c>
      <c r="L312" s="30">
        <f t="shared" si="17"/>
        <v>0</v>
      </c>
      <c r="M312" s="31">
        <f t="shared" si="18"/>
        <v>0</v>
      </c>
      <c r="N312" s="32"/>
      <c r="O312" s="33"/>
    </row>
    <row r="313" ht="15.75" customHeight="1">
      <c r="A313" s="139"/>
      <c r="B313" s="140"/>
      <c r="C313" s="61"/>
      <c r="D313" s="133"/>
      <c r="E313" s="210"/>
      <c r="F313" s="211"/>
      <c r="G313" s="173"/>
      <c r="H313" s="28">
        <f t="shared" si="13"/>
        <v>0</v>
      </c>
      <c r="I313" s="29">
        <f t="shared" si="14"/>
        <v>0</v>
      </c>
      <c r="J313" s="30">
        <f t="shared" si="15"/>
        <v>0</v>
      </c>
      <c r="K313" s="31">
        <f t="shared" si="16"/>
        <v>0</v>
      </c>
      <c r="L313" s="30">
        <f t="shared" si="17"/>
        <v>0</v>
      </c>
      <c r="M313" s="31">
        <f t="shared" si="18"/>
        <v>0</v>
      </c>
      <c r="N313" s="32"/>
      <c r="O313" s="33"/>
    </row>
    <row r="314" ht="15.75" customHeight="1">
      <c r="A314" s="139"/>
      <c r="B314" s="140"/>
      <c r="C314" s="61"/>
      <c r="D314" s="133"/>
      <c r="E314" s="210"/>
      <c r="F314" s="211"/>
      <c r="G314" s="173"/>
      <c r="H314" s="28">
        <f t="shared" si="13"/>
        <v>0</v>
      </c>
      <c r="I314" s="29">
        <f t="shared" si="14"/>
        <v>0</v>
      </c>
      <c r="J314" s="30">
        <f t="shared" si="15"/>
        <v>0</v>
      </c>
      <c r="K314" s="31">
        <f t="shared" si="16"/>
        <v>0</v>
      </c>
      <c r="L314" s="30">
        <f t="shared" si="17"/>
        <v>0</v>
      </c>
      <c r="M314" s="31">
        <f t="shared" si="18"/>
        <v>0</v>
      </c>
      <c r="N314" s="32"/>
      <c r="O314" s="33"/>
    </row>
    <row r="315" ht="15.75" customHeight="1">
      <c r="A315" s="139"/>
      <c r="B315" s="140"/>
      <c r="C315" s="61"/>
      <c r="D315" s="133"/>
      <c r="E315" s="210"/>
      <c r="F315" s="211"/>
      <c r="G315" s="173"/>
      <c r="H315" s="28">
        <f t="shared" si="13"/>
        <v>0</v>
      </c>
      <c r="I315" s="29">
        <f t="shared" si="14"/>
        <v>0</v>
      </c>
      <c r="J315" s="30">
        <f t="shared" si="15"/>
        <v>0</v>
      </c>
      <c r="K315" s="31">
        <f t="shared" si="16"/>
        <v>0</v>
      </c>
      <c r="L315" s="30">
        <f t="shared" si="17"/>
        <v>0</v>
      </c>
      <c r="M315" s="31">
        <f t="shared" si="18"/>
        <v>0</v>
      </c>
      <c r="N315" s="32"/>
      <c r="O315" s="33"/>
    </row>
    <row r="316" ht="15.75" customHeight="1">
      <c r="A316" s="139"/>
      <c r="B316" s="140"/>
      <c r="C316" s="61"/>
      <c r="D316" s="133"/>
      <c r="E316" s="210"/>
      <c r="F316" s="211"/>
      <c r="G316" s="173"/>
      <c r="H316" s="28">
        <f t="shared" si="13"/>
        <v>0</v>
      </c>
      <c r="I316" s="29">
        <f t="shared" si="14"/>
        <v>0</v>
      </c>
      <c r="J316" s="30">
        <f t="shared" si="15"/>
        <v>0</v>
      </c>
      <c r="K316" s="31">
        <f t="shared" si="16"/>
        <v>0</v>
      </c>
      <c r="L316" s="30">
        <f t="shared" si="17"/>
        <v>0</v>
      </c>
      <c r="M316" s="31">
        <f t="shared" si="18"/>
        <v>0</v>
      </c>
      <c r="N316" s="32"/>
      <c r="O316" s="33"/>
    </row>
    <row r="317" ht="15.75" customHeight="1">
      <c r="A317" s="139"/>
      <c r="B317" s="140"/>
      <c r="C317" s="61"/>
      <c r="D317" s="133"/>
      <c r="E317" s="210"/>
      <c r="F317" s="211"/>
      <c r="G317" s="173"/>
      <c r="H317" s="28">
        <f t="shared" si="13"/>
        <v>0</v>
      </c>
      <c r="I317" s="29">
        <f t="shared" si="14"/>
        <v>0</v>
      </c>
      <c r="J317" s="30">
        <f t="shared" si="15"/>
        <v>0</v>
      </c>
      <c r="K317" s="31">
        <f t="shared" si="16"/>
        <v>0</v>
      </c>
      <c r="L317" s="30">
        <f t="shared" si="17"/>
        <v>0</v>
      </c>
      <c r="M317" s="31">
        <f t="shared" si="18"/>
        <v>0</v>
      </c>
      <c r="N317" s="32"/>
      <c r="O317" s="33"/>
    </row>
    <row r="318" ht="15.75" customHeight="1">
      <c r="A318" s="139"/>
      <c r="B318" s="140"/>
      <c r="C318" s="61"/>
      <c r="D318" s="133"/>
      <c r="E318" s="210"/>
      <c r="F318" s="211"/>
      <c r="G318" s="173"/>
      <c r="H318" s="28">
        <f t="shared" si="13"/>
        <v>0</v>
      </c>
      <c r="I318" s="29">
        <f t="shared" si="14"/>
        <v>0</v>
      </c>
      <c r="J318" s="30">
        <f t="shared" si="15"/>
        <v>0</v>
      </c>
      <c r="K318" s="31">
        <f t="shared" si="16"/>
        <v>0</v>
      </c>
      <c r="L318" s="30">
        <f t="shared" si="17"/>
        <v>0</v>
      </c>
      <c r="M318" s="31">
        <f t="shared" si="18"/>
        <v>0</v>
      </c>
      <c r="N318" s="32"/>
      <c r="O318" s="33"/>
    </row>
    <row r="319" ht="15.75" customHeight="1">
      <c r="A319" s="139"/>
      <c r="B319" s="140"/>
      <c r="C319" s="61"/>
      <c r="D319" s="133"/>
      <c r="E319" s="210"/>
      <c r="F319" s="211"/>
      <c r="G319" s="173"/>
      <c r="H319" s="28">
        <f t="shared" si="13"/>
        <v>0</v>
      </c>
      <c r="I319" s="29">
        <f t="shared" si="14"/>
        <v>0</v>
      </c>
      <c r="J319" s="30">
        <f t="shared" si="15"/>
        <v>0</v>
      </c>
      <c r="K319" s="31">
        <f t="shared" si="16"/>
        <v>0</v>
      </c>
      <c r="L319" s="30">
        <f t="shared" si="17"/>
        <v>0</v>
      </c>
      <c r="M319" s="31">
        <f t="shared" si="18"/>
        <v>0</v>
      </c>
      <c r="N319" s="32"/>
      <c r="O319" s="33"/>
    </row>
    <row r="320" ht="15.75" customHeight="1">
      <c r="A320" s="139"/>
      <c r="B320" s="140"/>
      <c r="C320" s="61"/>
      <c r="D320" s="133"/>
      <c r="E320" s="210"/>
      <c r="F320" s="211"/>
      <c r="G320" s="173"/>
      <c r="H320" s="28">
        <f t="shared" si="13"/>
        <v>0</v>
      </c>
      <c r="I320" s="29">
        <f t="shared" si="14"/>
        <v>0</v>
      </c>
      <c r="J320" s="30">
        <f t="shared" si="15"/>
        <v>0</v>
      </c>
      <c r="K320" s="31">
        <f t="shared" si="16"/>
        <v>0</v>
      </c>
      <c r="L320" s="30">
        <f t="shared" si="17"/>
        <v>0</v>
      </c>
      <c r="M320" s="31">
        <f t="shared" si="18"/>
        <v>0</v>
      </c>
      <c r="N320" s="32"/>
      <c r="O320" s="33"/>
    </row>
    <row r="321" ht="15.75" customHeight="1">
      <c r="A321" s="139"/>
      <c r="B321" s="140"/>
      <c r="C321" s="61"/>
      <c r="D321" s="133"/>
      <c r="E321" s="210"/>
      <c r="F321" s="211"/>
      <c r="G321" s="173"/>
      <c r="H321" s="28">
        <f t="shared" si="13"/>
        <v>0</v>
      </c>
      <c r="I321" s="29">
        <f t="shared" si="14"/>
        <v>0</v>
      </c>
      <c r="J321" s="30">
        <f t="shared" si="15"/>
        <v>0</v>
      </c>
      <c r="K321" s="31">
        <f t="shared" si="16"/>
        <v>0</v>
      </c>
      <c r="L321" s="30">
        <f t="shared" si="17"/>
        <v>0</v>
      </c>
      <c r="M321" s="31">
        <f t="shared" si="18"/>
        <v>0</v>
      </c>
      <c r="N321" s="32"/>
      <c r="O321" s="33"/>
    </row>
    <row r="322" ht="15.75" customHeight="1">
      <c r="A322" s="139"/>
      <c r="B322" s="140"/>
      <c r="C322" s="61"/>
      <c r="D322" s="133"/>
      <c r="E322" s="210"/>
      <c r="F322" s="211"/>
      <c r="G322" s="173"/>
      <c r="H322" s="28">
        <f t="shared" si="13"/>
        <v>0</v>
      </c>
      <c r="I322" s="29">
        <f t="shared" si="14"/>
        <v>0</v>
      </c>
      <c r="J322" s="30">
        <f t="shared" si="15"/>
        <v>0</v>
      </c>
      <c r="K322" s="31">
        <f t="shared" si="16"/>
        <v>0</v>
      </c>
      <c r="L322" s="30">
        <f t="shared" si="17"/>
        <v>0</v>
      </c>
      <c r="M322" s="31">
        <f t="shared" si="18"/>
        <v>0</v>
      </c>
      <c r="N322" s="32"/>
      <c r="O322" s="33"/>
    </row>
    <row r="323" ht="15.75" customHeight="1">
      <c r="A323" s="139"/>
      <c r="B323" s="140"/>
      <c r="C323" s="61"/>
      <c r="D323" s="133"/>
      <c r="E323" s="210"/>
      <c r="F323" s="211"/>
      <c r="G323" s="173"/>
      <c r="H323" s="28">
        <f t="shared" si="13"/>
        <v>0</v>
      </c>
      <c r="I323" s="29">
        <f t="shared" si="14"/>
        <v>0</v>
      </c>
      <c r="J323" s="30">
        <f t="shared" si="15"/>
        <v>0</v>
      </c>
      <c r="K323" s="31">
        <f t="shared" si="16"/>
        <v>0</v>
      </c>
      <c r="L323" s="30">
        <f t="shared" si="17"/>
        <v>0</v>
      </c>
      <c r="M323" s="31">
        <f t="shared" si="18"/>
        <v>0</v>
      </c>
      <c r="N323" s="32"/>
      <c r="O323" s="33"/>
    </row>
    <row r="324" ht="15.75" customHeight="1">
      <c r="A324" s="139"/>
      <c r="B324" s="140"/>
      <c r="C324" s="61"/>
      <c r="D324" s="133"/>
      <c r="E324" s="210"/>
      <c r="F324" s="211"/>
      <c r="G324" s="173"/>
      <c r="H324" s="28">
        <f t="shared" si="13"/>
        <v>0</v>
      </c>
      <c r="I324" s="29">
        <f t="shared" si="14"/>
        <v>0</v>
      </c>
      <c r="J324" s="30">
        <f t="shared" si="15"/>
        <v>0</v>
      </c>
      <c r="K324" s="31">
        <f t="shared" si="16"/>
        <v>0</v>
      </c>
      <c r="L324" s="30">
        <f t="shared" si="17"/>
        <v>0</v>
      </c>
      <c r="M324" s="31">
        <f t="shared" si="18"/>
        <v>0</v>
      </c>
      <c r="N324" s="32"/>
      <c r="O324" s="33"/>
    </row>
    <row r="325" ht="15.75" customHeight="1">
      <c r="A325" s="139"/>
      <c r="B325" s="140"/>
      <c r="C325" s="61"/>
      <c r="D325" s="133"/>
      <c r="E325" s="210"/>
      <c r="F325" s="211"/>
      <c r="G325" s="173"/>
      <c r="H325" s="28">
        <f t="shared" si="13"/>
        <v>0</v>
      </c>
      <c r="I325" s="29">
        <f t="shared" si="14"/>
        <v>0</v>
      </c>
      <c r="J325" s="30">
        <f t="shared" si="15"/>
        <v>0</v>
      </c>
      <c r="K325" s="31">
        <f t="shared" si="16"/>
        <v>0</v>
      </c>
      <c r="L325" s="30">
        <f t="shared" si="17"/>
        <v>0</v>
      </c>
      <c r="M325" s="31">
        <f t="shared" si="18"/>
        <v>0</v>
      </c>
      <c r="N325" s="32"/>
      <c r="O325" s="33"/>
    </row>
    <row r="326" ht="15.75" customHeight="1">
      <c r="A326" s="139"/>
      <c r="B326" s="140"/>
      <c r="C326" s="61"/>
      <c r="D326" s="133"/>
      <c r="E326" s="210"/>
      <c r="F326" s="211"/>
      <c r="G326" s="173"/>
      <c r="H326" s="28">
        <f t="shared" si="13"/>
        <v>0</v>
      </c>
      <c r="I326" s="29">
        <f t="shared" si="14"/>
        <v>0</v>
      </c>
      <c r="J326" s="30">
        <f t="shared" si="15"/>
        <v>0</v>
      </c>
      <c r="K326" s="31">
        <f t="shared" si="16"/>
        <v>0</v>
      </c>
      <c r="L326" s="30">
        <f t="shared" si="17"/>
        <v>0</v>
      </c>
      <c r="M326" s="31">
        <f t="shared" si="18"/>
        <v>0</v>
      </c>
      <c r="N326" s="32"/>
      <c r="O326" s="33"/>
    </row>
    <row r="327" ht="15.75" customHeight="1">
      <c r="A327" s="139"/>
      <c r="B327" s="140"/>
      <c r="C327" s="61"/>
      <c r="D327" s="133"/>
      <c r="E327" s="210"/>
      <c r="F327" s="211"/>
      <c r="G327" s="173"/>
      <c r="H327" s="28">
        <f t="shared" si="13"/>
        <v>0</v>
      </c>
      <c r="I327" s="29">
        <f t="shared" si="14"/>
        <v>0</v>
      </c>
      <c r="J327" s="30">
        <f t="shared" si="15"/>
        <v>0</v>
      </c>
      <c r="K327" s="31">
        <f t="shared" si="16"/>
        <v>0</v>
      </c>
      <c r="L327" s="30">
        <f t="shared" si="17"/>
        <v>0</v>
      </c>
      <c r="M327" s="31">
        <f t="shared" si="18"/>
        <v>0</v>
      </c>
      <c r="N327" s="32"/>
      <c r="O327" s="33"/>
    </row>
    <row r="328" ht="15.75" customHeight="1">
      <c r="A328" s="139"/>
      <c r="B328" s="140"/>
      <c r="C328" s="61"/>
      <c r="D328" s="133"/>
      <c r="E328" s="210"/>
      <c r="F328" s="211"/>
      <c r="G328" s="173"/>
      <c r="H328" s="28">
        <f t="shared" si="13"/>
        <v>0</v>
      </c>
      <c r="I328" s="29">
        <f t="shared" si="14"/>
        <v>0</v>
      </c>
      <c r="J328" s="30">
        <f t="shared" si="15"/>
        <v>0</v>
      </c>
      <c r="K328" s="31">
        <f t="shared" si="16"/>
        <v>0</v>
      </c>
      <c r="L328" s="30">
        <f t="shared" si="17"/>
        <v>0</v>
      </c>
      <c r="M328" s="31">
        <f t="shared" si="18"/>
        <v>0</v>
      </c>
      <c r="N328" s="32"/>
      <c r="O328" s="33"/>
    </row>
    <row r="329" ht="15.75" customHeight="1">
      <c r="A329" s="139"/>
      <c r="B329" s="140"/>
      <c r="C329" s="61"/>
      <c r="D329" s="133"/>
      <c r="E329" s="210"/>
      <c r="F329" s="211"/>
      <c r="G329" s="173"/>
      <c r="H329" s="28">
        <f t="shared" si="13"/>
        <v>0</v>
      </c>
      <c r="I329" s="29">
        <f t="shared" si="14"/>
        <v>0</v>
      </c>
      <c r="J329" s="30">
        <f t="shared" si="15"/>
        <v>0</v>
      </c>
      <c r="K329" s="31">
        <f t="shared" si="16"/>
        <v>0</v>
      </c>
      <c r="L329" s="30">
        <f t="shared" si="17"/>
        <v>0</v>
      </c>
      <c r="M329" s="31">
        <f t="shared" si="18"/>
        <v>0</v>
      </c>
      <c r="N329" s="32"/>
      <c r="O329" s="33"/>
    </row>
    <row r="330" ht="15.75" customHeight="1">
      <c r="A330" s="139"/>
      <c r="B330" s="140"/>
      <c r="C330" s="61"/>
      <c r="D330" s="133"/>
      <c r="E330" s="210"/>
      <c r="F330" s="211"/>
      <c r="G330" s="173"/>
      <c r="H330" s="28">
        <f t="shared" si="13"/>
        <v>0</v>
      </c>
      <c r="I330" s="29">
        <f t="shared" si="14"/>
        <v>0</v>
      </c>
      <c r="J330" s="30">
        <f t="shared" si="15"/>
        <v>0</v>
      </c>
      <c r="K330" s="31">
        <f t="shared" si="16"/>
        <v>0</v>
      </c>
      <c r="L330" s="30">
        <f t="shared" si="17"/>
        <v>0</v>
      </c>
      <c r="M330" s="31">
        <f t="shared" si="18"/>
        <v>0</v>
      </c>
      <c r="N330" s="32"/>
      <c r="O330" s="33"/>
    </row>
    <row r="331" ht="15.75" customHeight="1">
      <c r="A331" s="139"/>
      <c r="B331" s="140"/>
      <c r="C331" s="61"/>
      <c r="D331" s="133"/>
      <c r="E331" s="210"/>
      <c r="F331" s="211"/>
      <c r="G331" s="173"/>
      <c r="H331" s="28">
        <f t="shared" si="13"/>
        <v>0</v>
      </c>
      <c r="I331" s="29">
        <f t="shared" si="14"/>
        <v>0</v>
      </c>
      <c r="J331" s="30">
        <f t="shared" si="15"/>
        <v>0</v>
      </c>
      <c r="K331" s="31">
        <f t="shared" si="16"/>
        <v>0</v>
      </c>
      <c r="L331" s="30">
        <f t="shared" si="17"/>
        <v>0</v>
      </c>
      <c r="M331" s="31">
        <f t="shared" si="18"/>
        <v>0</v>
      </c>
      <c r="N331" s="32"/>
      <c r="O331" s="33"/>
    </row>
    <row r="332" ht="15.75" customHeight="1">
      <c r="A332" s="139"/>
      <c r="B332" s="140"/>
      <c r="C332" s="61"/>
      <c r="D332" s="133"/>
      <c r="E332" s="210"/>
      <c r="F332" s="211"/>
      <c r="G332" s="173"/>
      <c r="H332" s="28">
        <f t="shared" si="13"/>
        <v>0</v>
      </c>
      <c r="I332" s="29">
        <f t="shared" si="14"/>
        <v>0</v>
      </c>
      <c r="J332" s="30">
        <f t="shared" si="15"/>
        <v>0</v>
      </c>
      <c r="K332" s="31">
        <f t="shared" si="16"/>
        <v>0</v>
      </c>
      <c r="L332" s="30">
        <f t="shared" si="17"/>
        <v>0</v>
      </c>
      <c r="M332" s="31">
        <f t="shared" si="18"/>
        <v>0</v>
      </c>
      <c r="N332" s="32"/>
      <c r="O332" s="33"/>
    </row>
    <row r="333" ht="15.75" customHeight="1">
      <c r="A333" s="139"/>
      <c r="B333" s="140"/>
      <c r="C333" s="61"/>
      <c r="D333" s="133"/>
      <c r="E333" s="210"/>
      <c r="F333" s="211"/>
      <c r="G333" s="173"/>
      <c r="H333" s="28">
        <f t="shared" si="13"/>
        <v>0</v>
      </c>
      <c r="I333" s="29">
        <f t="shared" si="14"/>
        <v>0</v>
      </c>
      <c r="J333" s="30">
        <f t="shared" si="15"/>
        <v>0</v>
      </c>
      <c r="K333" s="31">
        <f t="shared" si="16"/>
        <v>0</v>
      </c>
      <c r="L333" s="30">
        <f t="shared" si="17"/>
        <v>0</v>
      </c>
      <c r="M333" s="31">
        <f t="shared" si="18"/>
        <v>0</v>
      </c>
      <c r="N333" s="32"/>
      <c r="O333" s="33"/>
    </row>
    <row r="334" ht="15.75" customHeight="1">
      <c r="A334" s="139"/>
      <c r="B334" s="140"/>
      <c r="C334" s="61"/>
      <c r="D334" s="133"/>
      <c r="E334" s="210"/>
      <c r="F334" s="211"/>
      <c r="G334" s="173"/>
      <c r="H334" s="28">
        <f t="shared" si="13"/>
        <v>0</v>
      </c>
      <c r="I334" s="29">
        <f t="shared" si="14"/>
        <v>0</v>
      </c>
      <c r="J334" s="30">
        <f t="shared" si="15"/>
        <v>0</v>
      </c>
      <c r="K334" s="31">
        <f t="shared" si="16"/>
        <v>0</v>
      </c>
      <c r="L334" s="30">
        <f t="shared" si="17"/>
        <v>0</v>
      </c>
      <c r="M334" s="31">
        <f t="shared" si="18"/>
        <v>0</v>
      </c>
      <c r="N334" s="32"/>
      <c r="O334" s="33"/>
    </row>
    <row r="335" ht="15.75" customHeight="1">
      <c r="A335" s="139"/>
      <c r="B335" s="140"/>
      <c r="C335" s="61"/>
      <c r="D335" s="133"/>
      <c r="E335" s="210"/>
      <c r="F335" s="211"/>
      <c r="G335" s="173"/>
      <c r="H335" s="28">
        <f t="shared" si="13"/>
        <v>0</v>
      </c>
      <c r="I335" s="29">
        <f t="shared" si="14"/>
        <v>0</v>
      </c>
      <c r="J335" s="30">
        <f t="shared" si="15"/>
        <v>0</v>
      </c>
      <c r="K335" s="31">
        <f t="shared" si="16"/>
        <v>0</v>
      </c>
      <c r="L335" s="30">
        <f t="shared" si="17"/>
        <v>0</v>
      </c>
      <c r="M335" s="31">
        <f t="shared" si="18"/>
        <v>0</v>
      </c>
      <c r="N335" s="32"/>
      <c r="O335" s="33"/>
    </row>
    <row r="336" ht="15.75" customHeight="1">
      <c r="A336" s="139"/>
      <c r="B336" s="140"/>
      <c r="C336" s="61"/>
      <c r="D336" s="133"/>
      <c r="E336" s="210"/>
      <c r="F336" s="211"/>
      <c r="G336" s="173"/>
      <c r="H336" s="28">
        <f t="shared" si="13"/>
        <v>0</v>
      </c>
      <c r="I336" s="29">
        <f t="shared" si="14"/>
        <v>0</v>
      </c>
      <c r="J336" s="30">
        <f t="shared" si="15"/>
        <v>0</v>
      </c>
      <c r="K336" s="31">
        <f t="shared" si="16"/>
        <v>0</v>
      </c>
      <c r="L336" s="30">
        <f t="shared" si="17"/>
        <v>0</v>
      </c>
      <c r="M336" s="31">
        <f t="shared" si="18"/>
        <v>0</v>
      </c>
      <c r="N336" s="32"/>
      <c r="O336" s="33"/>
    </row>
    <row r="337" ht="15.75" customHeight="1">
      <c r="A337" s="139"/>
      <c r="B337" s="140"/>
      <c r="C337" s="61"/>
      <c r="D337" s="133"/>
      <c r="E337" s="210"/>
      <c r="F337" s="211"/>
      <c r="G337" s="173"/>
      <c r="H337" s="28">
        <f t="shared" si="13"/>
        <v>0</v>
      </c>
      <c r="I337" s="29">
        <f t="shared" si="14"/>
        <v>0</v>
      </c>
      <c r="J337" s="30">
        <f t="shared" si="15"/>
        <v>0</v>
      </c>
      <c r="K337" s="31">
        <f t="shared" si="16"/>
        <v>0</v>
      </c>
      <c r="L337" s="30">
        <f t="shared" si="17"/>
        <v>0</v>
      </c>
      <c r="M337" s="31">
        <f t="shared" si="18"/>
        <v>0</v>
      </c>
      <c r="N337" s="32"/>
      <c r="O337" s="33"/>
    </row>
    <row r="338" ht="15.75" customHeight="1">
      <c r="A338" s="139"/>
      <c r="B338" s="140"/>
      <c r="C338" s="61"/>
      <c r="D338" s="133"/>
      <c r="E338" s="210"/>
      <c r="F338" s="211"/>
      <c r="G338" s="173"/>
      <c r="H338" s="28">
        <f t="shared" si="13"/>
        <v>0</v>
      </c>
      <c r="I338" s="29">
        <f t="shared" si="14"/>
        <v>0</v>
      </c>
      <c r="J338" s="30">
        <f t="shared" si="15"/>
        <v>0</v>
      </c>
      <c r="K338" s="31">
        <f t="shared" si="16"/>
        <v>0</v>
      </c>
      <c r="L338" s="30">
        <f t="shared" si="17"/>
        <v>0</v>
      </c>
      <c r="M338" s="31">
        <f t="shared" si="18"/>
        <v>0</v>
      </c>
      <c r="N338" s="32"/>
      <c r="O338" s="33"/>
    </row>
    <row r="339" ht="15.75" customHeight="1">
      <c r="A339" s="139"/>
      <c r="B339" s="140"/>
      <c r="C339" s="61"/>
      <c r="D339" s="133"/>
      <c r="E339" s="210"/>
      <c r="F339" s="211"/>
      <c r="G339" s="173"/>
      <c r="H339" s="28">
        <f t="shared" si="13"/>
        <v>0</v>
      </c>
      <c r="I339" s="29">
        <f t="shared" si="14"/>
        <v>0</v>
      </c>
      <c r="J339" s="30">
        <f t="shared" si="15"/>
        <v>0</v>
      </c>
      <c r="K339" s="31">
        <f t="shared" si="16"/>
        <v>0</v>
      </c>
      <c r="L339" s="30">
        <f t="shared" si="17"/>
        <v>0</v>
      </c>
      <c r="M339" s="31">
        <f t="shared" si="18"/>
        <v>0</v>
      </c>
      <c r="N339" s="32"/>
      <c r="O339" s="33"/>
    </row>
    <row r="340" ht="15.75" customHeight="1">
      <c r="A340" s="139"/>
      <c r="B340" s="140"/>
      <c r="C340" s="61"/>
      <c r="D340" s="133"/>
      <c r="E340" s="210"/>
      <c r="F340" s="211"/>
      <c r="G340" s="173"/>
      <c r="H340" s="28">
        <f t="shared" si="13"/>
        <v>0</v>
      </c>
      <c r="I340" s="29">
        <f t="shared" si="14"/>
        <v>0</v>
      </c>
      <c r="J340" s="30">
        <f t="shared" si="15"/>
        <v>0</v>
      </c>
      <c r="K340" s="31">
        <f t="shared" si="16"/>
        <v>0</v>
      </c>
      <c r="L340" s="30">
        <f t="shared" si="17"/>
        <v>0</v>
      </c>
      <c r="M340" s="31">
        <f t="shared" si="18"/>
        <v>0</v>
      </c>
      <c r="N340" s="32"/>
      <c r="O340" s="33"/>
    </row>
    <row r="341" ht="15.75" customHeight="1">
      <c r="A341" s="139"/>
      <c r="B341" s="140"/>
      <c r="C341" s="61"/>
      <c r="D341" s="133"/>
      <c r="E341" s="210"/>
      <c r="F341" s="211"/>
      <c r="G341" s="173"/>
      <c r="H341" s="28">
        <f t="shared" si="13"/>
        <v>0</v>
      </c>
      <c r="I341" s="29">
        <f t="shared" si="14"/>
        <v>0</v>
      </c>
      <c r="J341" s="30">
        <f t="shared" si="15"/>
        <v>0</v>
      </c>
      <c r="K341" s="31">
        <f t="shared" si="16"/>
        <v>0</v>
      </c>
      <c r="L341" s="30">
        <f t="shared" si="17"/>
        <v>0</v>
      </c>
      <c r="M341" s="31">
        <f t="shared" si="18"/>
        <v>0</v>
      </c>
      <c r="N341" s="32"/>
      <c r="O341" s="33"/>
    </row>
    <row r="342" ht="15.75" customHeight="1">
      <c r="A342" s="139"/>
      <c r="B342" s="140"/>
      <c r="C342" s="61"/>
      <c r="D342" s="133"/>
      <c r="E342" s="210"/>
      <c r="F342" s="211"/>
      <c r="G342" s="173"/>
      <c r="H342" s="28">
        <f t="shared" si="13"/>
        <v>0</v>
      </c>
      <c r="I342" s="29">
        <f t="shared" si="14"/>
        <v>0</v>
      </c>
      <c r="J342" s="30">
        <f t="shared" si="15"/>
        <v>0</v>
      </c>
      <c r="K342" s="31">
        <f t="shared" si="16"/>
        <v>0</v>
      </c>
      <c r="L342" s="30">
        <f t="shared" si="17"/>
        <v>0</v>
      </c>
      <c r="M342" s="31">
        <f t="shared" si="18"/>
        <v>0</v>
      </c>
      <c r="N342" s="32"/>
      <c r="O342" s="33"/>
    </row>
    <row r="343" ht="15.75" customHeight="1">
      <c r="A343" s="139"/>
      <c r="B343" s="140"/>
      <c r="C343" s="61"/>
      <c r="D343" s="133"/>
      <c r="E343" s="210"/>
      <c r="F343" s="211"/>
      <c r="G343" s="173"/>
      <c r="H343" s="28">
        <f t="shared" si="13"/>
        <v>0</v>
      </c>
      <c r="I343" s="29">
        <f t="shared" si="14"/>
        <v>0</v>
      </c>
      <c r="J343" s="30">
        <f t="shared" si="15"/>
        <v>0</v>
      </c>
      <c r="K343" s="31">
        <f t="shared" si="16"/>
        <v>0</v>
      </c>
      <c r="L343" s="30">
        <f t="shared" si="17"/>
        <v>0</v>
      </c>
      <c r="M343" s="31">
        <f t="shared" si="18"/>
        <v>0</v>
      </c>
      <c r="N343" s="32"/>
      <c r="O343" s="33"/>
    </row>
    <row r="344" ht="15.75" customHeight="1">
      <c r="A344" s="139"/>
      <c r="B344" s="140"/>
      <c r="C344" s="61"/>
      <c r="D344" s="133"/>
      <c r="E344" s="210"/>
      <c r="F344" s="211"/>
      <c r="G344" s="173"/>
      <c r="H344" s="28">
        <f t="shared" si="13"/>
        <v>0</v>
      </c>
      <c r="I344" s="29">
        <f t="shared" si="14"/>
        <v>0</v>
      </c>
      <c r="J344" s="30">
        <f t="shared" si="15"/>
        <v>0</v>
      </c>
      <c r="K344" s="31">
        <f t="shared" si="16"/>
        <v>0</v>
      </c>
      <c r="L344" s="30">
        <f t="shared" si="17"/>
        <v>0</v>
      </c>
      <c r="M344" s="31">
        <f t="shared" si="18"/>
        <v>0</v>
      </c>
      <c r="N344" s="32"/>
      <c r="O344" s="33"/>
    </row>
    <row r="345" ht="15.75" customHeight="1">
      <c r="A345" s="139"/>
      <c r="B345" s="140"/>
      <c r="C345" s="61"/>
      <c r="D345" s="133"/>
      <c r="E345" s="210"/>
      <c r="F345" s="211"/>
      <c r="G345" s="173"/>
      <c r="H345" s="28">
        <f t="shared" si="13"/>
        <v>0</v>
      </c>
      <c r="I345" s="29">
        <f t="shared" si="14"/>
        <v>0</v>
      </c>
      <c r="J345" s="30">
        <f t="shared" si="15"/>
        <v>0</v>
      </c>
      <c r="K345" s="31">
        <f t="shared" si="16"/>
        <v>0</v>
      </c>
      <c r="L345" s="30">
        <f t="shared" si="17"/>
        <v>0</v>
      </c>
      <c r="M345" s="31">
        <f t="shared" si="18"/>
        <v>0</v>
      </c>
      <c r="N345" s="32"/>
      <c r="O345" s="33"/>
    </row>
    <row r="346" ht="15.75" customHeight="1">
      <c r="A346" s="139"/>
      <c r="B346" s="140"/>
      <c r="C346" s="61"/>
      <c r="D346" s="133"/>
      <c r="E346" s="210"/>
      <c r="F346" s="211"/>
      <c r="G346" s="173"/>
      <c r="H346" s="28">
        <f t="shared" si="13"/>
        <v>0</v>
      </c>
      <c r="I346" s="29">
        <f t="shared" si="14"/>
        <v>0</v>
      </c>
      <c r="J346" s="30">
        <f t="shared" si="15"/>
        <v>0</v>
      </c>
      <c r="K346" s="31">
        <f t="shared" si="16"/>
        <v>0</v>
      </c>
      <c r="L346" s="30">
        <f t="shared" si="17"/>
        <v>0</v>
      </c>
      <c r="M346" s="31">
        <f t="shared" si="18"/>
        <v>0</v>
      </c>
      <c r="N346" s="32"/>
      <c r="O346" s="33"/>
    </row>
    <row r="347" ht="15.75" customHeight="1">
      <c r="A347" s="139"/>
      <c r="B347" s="140"/>
      <c r="C347" s="61"/>
      <c r="D347" s="133"/>
      <c r="E347" s="210"/>
      <c r="F347" s="211"/>
      <c r="G347" s="173"/>
      <c r="H347" s="28">
        <f t="shared" si="13"/>
        <v>0</v>
      </c>
      <c r="I347" s="29">
        <f t="shared" si="14"/>
        <v>0</v>
      </c>
      <c r="J347" s="30">
        <f t="shared" si="15"/>
        <v>0</v>
      </c>
      <c r="K347" s="31">
        <f t="shared" si="16"/>
        <v>0</v>
      </c>
      <c r="L347" s="30">
        <f t="shared" si="17"/>
        <v>0</v>
      </c>
      <c r="M347" s="31">
        <f t="shared" si="18"/>
        <v>0</v>
      </c>
      <c r="N347" s="32"/>
      <c r="O347" s="33"/>
    </row>
    <row r="348" ht="15.75" customHeight="1">
      <c r="A348" s="139"/>
      <c r="B348" s="140"/>
      <c r="C348" s="61"/>
      <c r="D348" s="133"/>
      <c r="E348" s="210"/>
      <c r="F348" s="211"/>
      <c r="G348" s="173"/>
      <c r="H348" s="28">
        <f t="shared" si="13"/>
        <v>0</v>
      </c>
      <c r="I348" s="29">
        <f t="shared" si="14"/>
        <v>0</v>
      </c>
      <c r="J348" s="30">
        <f t="shared" si="15"/>
        <v>0</v>
      </c>
      <c r="K348" s="31">
        <f t="shared" si="16"/>
        <v>0</v>
      </c>
      <c r="L348" s="30">
        <f t="shared" si="17"/>
        <v>0</v>
      </c>
      <c r="M348" s="31">
        <f t="shared" si="18"/>
        <v>0</v>
      </c>
      <c r="N348" s="32"/>
      <c r="O348" s="33"/>
    </row>
    <row r="349" ht="15.75" customHeight="1">
      <c r="A349" s="139"/>
      <c r="B349" s="140"/>
      <c r="C349" s="61"/>
      <c r="D349" s="133"/>
      <c r="E349" s="210"/>
      <c r="F349" s="211"/>
      <c r="G349" s="173"/>
      <c r="H349" s="28">
        <f t="shared" si="13"/>
        <v>0</v>
      </c>
      <c r="I349" s="29">
        <f t="shared" si="14"/>
        <v>0</v>
      </c>
      <c r="J349" s="30">
        <f t="shared" si="15"/>
        <v>0</v>
      </c>
      <c r="K349" s="31">
        <f t="shared" si="16"/>
        <v>0</v>
      </c>
      <c r="L349" s="30">
        <f t="shared" si="17"/>
        <v>0</v>
      </c>
      <c r="M349" s="31">
        <f t="shared" si="18"/>
        <v>0</v>
      </c>
      <c r="N349" s="32"/>
      <c r="O349" s="33"/>
    </row>
    <row r="350" ht="15.75" customHeight="1">
      <c r="A350" s="139"/>
      <c r="B350" s="140"/>
      <c r="C350" s="61"/>
      <c r="D350" s="133"/>
      <c r="E350" s="210"/>
      <c r="F350" s="211"/>
      <c r="G350" s="173"/>
      <c r="H350" s="28">
        <f t="shared" si="13"/>
        <v>0</v>
      </c>
      <c r="I350" s="29">
        <f t="shared" si="14"/>
        <v>0</v>
      </c>
      <c r="J350" s="30">
        <f t="shared" si="15"/>
        <v>0</v>
      </c>
      <c r="K350" s="31">
        <f t="shared" si="16"/>
        <v>0</v>
      </c>
      <c r="L350" s="30">
        <f t="shared" si="17"/>
        <v>0</v>
      </c>
      <c r="M350" s="31">
        <f t="shared" si="18"/>
        <v>0</v>
      </c>
      <c r="N350" s="32"/>
      <c r="O350" s="33"/>
    </row>
    <row r="351" ht="15.75" customHeight="1">
      <c r="A351" s="139"/>
      <c r="B351" s="140"/>
      <c r="C351" s="61"/>
      <c r="D351" s="133"/>
      <c r="E351" s="210"/>
      <c r="F351" s="211"/>
      <c r="G351" s="173"/>
      <c r="H351" s="28">
        <f t="shared" si="13"/>
        <v>0</v>
      </c>
      <c r="I351" s="29">
        <f t="shared" si="14"/>
        <v>0</v>
      </c>
      <c r="J351" s="30">
        <f t="shared" si="15"/>
        <v>0</v>
      </c>
      <c r="K351" s="31">
        <f t="shared" si="16"/>
        <v>0</v>
      </c>
      <c r="L351" s="30">
        <f t="shared" si="17"/>
        <v>0</v>
      </c>
      <c r="M351" s="31">
        <f t="shared" si="18"/>
        <v>0</v>
      </c>
      <c r="N351" s="32"/>
      <c r="O351" s="33"/>
    </row>
    <row r="352" ht="15.75" customHeight="1">
      <c r="A352" s="139"/>
      <c r="B352" s="140"/>
      <c r="C352" s="61"/>
      <c r="D352" s="133"/>
      <c r="E352" s="210"/>
      <c r="F352" s="211"/>
      <c r="G352" s="173"/>
      <c r="H352" s="28">
        <f t="shared" si="13"/>
        <v>0</v>
      </c>
      <c r="I352" s="29">
        <f t="shared" si="14"/>
        <v>0</v>
      </c>
      <c r="J352" s="30">
        <f t="shared" si="15"/>
        <v>0</v>
      </c>
      <c r="K352" s="31">
        <f t="shared" si="16"/>
        <v>0</v>
      </c>
      <c r="L352" s="30">
        <f t="shared" si="17"/>
        <v>0</v>
      </c>
      <c r="M352" s="31">
        <f t="shared" si="18"/>
        <v>0</v>
      </c>
      <c r="N352" s="32"/>
      <c r="O352" s="33"/>
    </row>
    <row r="353" ht="15.75" customHeight="1">
      <c r="A353" s="139"/>
      <c r="B353" s="140"/>
      <c r="C353" s="61"/>
      <c r="D353" s="133"/>
      <c r="E353" s="210"/>
      <c r="F353" s="211"/>
      <c r="G353" s="173"/>
      <c r="H353" s="28">
        <f t="shared" si="13"/>
        <v>0</v>
      </c>
      <c r="I353" s="29">
        <f t="shared" si="14"/>
        <v>0</v>
      </c>
      <c r="J353" s="30">
        <f t="shared" si="15"/>
        <v>0</v>
      </c>
      <c r="K353" s="31">
        <f t="shared" si="16"/>
        <v>0</v>
      </c>
      <c r="L353" s="30">
        <f t="shared" si="17"/>
        <v>0</v>
      </c>
      <c r="M353" s="31">
        <f t="shared" si="18"/>
        <v>0</v>
      </c>
      <c r="N353" s="32"/>
      <c r="O353" s="33"/>
    </row>
    <row r="354" ht="15.75" customHeight="1">
      <c r="A354" s="139"/>
      <c r="B354" s="140"/>
      <c r="C354" s="61"/>
      <c r="D354" s="133"/>
      <c r="E354" s="210"/>
      <c r="F354" s="211"/>
      <c r="G354" s="173"/>
      <c r="H354" s="28">
        <f t="shared" si="13"/>
        <v>0</v>
      </c>
      <c r="I354" s="29">
        <f t="shared" si="14"/>
        <v>0</v>
      </c>
      <c r="J354" s="30">
        <f t="shared" si="15"/>
        <v>0</v>
      </c>
      <c r="K354" s="31">
        <f t="shared" si="16"/>
        <v>0</v>
      </c>
      <c r="L354" s="30">
        <f t="shared" si="17"/>
        <v>0</v>
      </c>
      <c r="M354" s="31">
        <f t="shared" si="18"/>
        <v>0</v>
      </c>
      <c r="N354" s="32"/>
      <c r="O354" s="33"/>
    </row>
    <row r="355" ht="15.75" customHeight="1">
      <c r="A355" s="139"/>
      <c r="B355" s="140"/>
      <c r="C355" s="61"/>
      <c r="D355" s="133"/>
      <c r="E355" s="210"/>
      <c r="F355" s="211"/>
      <c r="G355" s="173"/>
      <c r="H355" s="28">
        <f t="shared" si="13"/>
        <v>0</v>
      </c>
      <c r="I355" s="29">
        <f t="shared" si="14"/>
        <v>0</v>
      </c>
      <c r="J355" s="30">
        <f t="shared" si="15"/>
        <v>0</v>
      </c>
      <c r="K355" s="31">
        <f t="shared" si="16"/>
        <v>0</v>
      </c>
      <c r="L355" s="30">
        <f t="shared" si="17"/>
        <v>0</v>
      </c>
      <c r="M355" s="31">
        <f t="shared" si="18"/>
        <v>0</v>
      </c>
      <c r="N355" s="32"/>
      <c r="O355" s="33"/>
    </row>
    <row r="356" ht="15.75" customHeight="1">
      <c r="A356" s="139"/>
      <c r="B356" s="140"/>
      <c r="C356" s="61"/>
      <c r="D356" s="133"/>
      <c r="E356" s="210"/>
      <c r="F356" s="211"/>
      <c r="G356" s="173"/>
      <c r="H356" s="28">
        <f t="shared" si="13"/>
        <v>0</v>
      </c>
      <c r="I356" s="29">
        <f t="shared" si="14"/>
        <v>0</v>
      </c>
      <c r="J356" s="30">
        <f t="shared" si="15"/>
        <v>0</v>
      </c>
      <c r="K356" s="31">
        <f t="shared" si="16"/>
        <v>0</v>
      </c>
      <c r="L356" s="30">
        <f t="shared" si="17"/>
        <v>0</v>
      </c>
      <c r="M356" s="31">
        <f t="shared" si="18"/>
        <v>0</v>
      </c>
      <c r="N356" s="32"/>
      <c r="O356" s="33"/>
    </row>
    <row r="357" ht="15.75" customHeight="1">
      <c r="A357" s="139"/>
      <c r="B357" s="140"/>
      <c r="C357" s="61"/>
      <c r="D357" s="133"/>
      <c r="E357" s="210"/>
      <c r="F357" s="211"/>
      <c r="G357" s="173"/>
      <c r="H357" s="28">
        <f t="shared" si="13"/>
        <v>0</v>
      </c>
      <c r="I357" s="29">
        <f t="shared" si="14"/>
        <v>0</v>
      </c>
      <c r="J357" s="30">
        <f t="shared" si="15"/>
        <v>0</v>
      </c>
      <c r="K357" s="31">
        <f t="shared" si="16"/>
        <v>0</v>
      </c>
      <c r="L357" s="30">
        <f t="shared" si="17"/>
        <v>0</v>
      </c>
      <c r="M357" s="31">
        <f t="shared" si="18"/>
        <v>0</v>
      </c>
      <c r="N357" s="32"/>
      <c r="O357" s="33"/>
    </row>
    <row r="358" ht="15.75" customHeight="1">
      <c r="A358" s="139"/>
      <c r="B358" s="140"/>
      <c r="C358" s="61"/>
      <c r="D358" s="133"/>
      <c r="E358" s="210"/>
      <c r="F358" s="211"/>
      <c r="G358" s="173"/>
      <c r="H358" s="28">
        <f t="shared" si="13"/>
        <v>0</v>
      </c>
      <c r="I358" s="29">
        <f t="shared" si="14"/>
        <v>0</v>
      </c>
      <c r="J358" s="30">
        <f t="shared" si="15"/>
        <v>0</v>
      </c>
      <c r="K358" s="31">
        <f t="shared" si="16"/>
        <v>0</v>
      </c>
      <c r="L358" s="30">
        <f t="shared" si="17"/>
        <v>0</v>
      </c>
      <c r="M358" s="31">
        <f t="shared" si="18"/>
        <v>0</v>
      </c>
      <c r="N358" s="32"/>
      <c r="O358" s="33"/>
    </row>
    <row r="359" ht="15.75" customHeight="1">
      <c r="A359" s="139"/>
      <c r="B359" s="140"/>
      <c r="C359" s="61"/>
      <c r="D359" s="133"/>
      <c r="E359" s="210"/>
      <c r="F359" s="211"/>
      <c r="G359" s="173"/>
      <c r="H359" s="28">
        <f t="shared" si="13"/>
        <v>0</v>
      </c>
      <c r="I359" s="29">
        <f t="shared" si="14"/>
        <v>0</v>
      </c>
      <c r="J359" s="30">
        <f t="shared" si="15"/>
        <v>0</v>
      </c>
      <c r="K359" s="31">
        <f t="shared" si="16"/>
        <v>0</v>
      </c>
      <c r="L359" s="30">
        <f t="shared" si="17"/>
        <v>0</v>
      </c>
      <c r="M359" s="31">
        <f t="shared" si="18"/>
        <v>0</v>
      </c>
      <c r="N359" s="32"/>
      <c r="O359" s="33"/>
    </row>
    <row r="360" ht="15.75" customHeight="1">
      <c r="A360" s="139"/>
      <c r="B360" s="140"/>
      <c r="C360" s="61"/>
      <c r="D360" s="133"/>
      <c r="E360" s="210"/>
      <c r="F360" s="211"/>
      <c r="G360" s="173"/>
      <c r="H360" s="28">
        <f t="shared" si="13"/>
        <v>0</v>
      </c>
      <c r="I360" s="29">
        <f t="shared" si="14"/>
        <v>0</v>
      </c>
      <c r="J360" s="30">
        <f t="shared" si="15"/>
        <v>0</v>
      </c>
      <c r="K360" s="31">
        <f t="shared" si="16"/>
        <v>0</v>
      </c>
      <c r="L360" s="30">
        <f t="shared" si="17"/>
        <v>0</v>
      </c>
      <c r="M360" s="31">
        <f t="shared" si="18"/>
        <v>0</v>
      </c>
      <c r="N360" s="32"/>
      <c r="O360" s="33"/>
    </row>
    <row r="361" ht="15.75" customHeight="1">
      <c r="A361" s="139"/>
      <c r="B361" s="140"/>
      <c r="C361" s="61"/>
      <c r="D361" s="133"/>
      <c r="E361" s="210"/>
      <c r="F361" s="211"/>
      <c r="G361" s="173"/>
      <c r="H361" s="28">
        <f t="shared" si="13"/>
        <v>0</v>
      </c>
      <c r="I361" s="29">
        <f t="shared" si="14"/>
        <v>0</v>
      </c>
      <c r="J361" s="30">
        <f t="shared" si="15"/>
        <v>0</v>
      </c>
      <c r="K361" s="31">
        <f t="shared" si="16"/>
        <v>0</v>
      </c>
      <c r="L361" s="30">
        <f t="shared" si="17"/>
        <v>0</v>
      </c>
      <c r="M361" s="31">
        <f t="shared" si="18"/>
        <v>0</v>
      </c>
      <c r="N361" s="32"/>
      <c r="O361" s="33"/>
    </row>
    <row r="362" ht="15.75" customHeight="1">
      <c r="A362" s="139"/>
      <c r="B362" s="140"/>
      <c r="C362" s="61"/>
      <c r="D362" s="133"/>
      <c r="E362" s="210"/>
      <c r="F362" s="211"/>
      <c r="G362" s="173"/>
      <c r="H362" s="28">
        <f t="shared" si="13"/>
        <v>0</v>
      </c>
      <c r="I362" s="29">
        <f t="shared" si="14"/>
        <v>0</v>
      </c>
      <c r="J362" s="30">
        <f t="shared" si="15"/>
        <v>0</v>
      </c>
      <c r="K362" s="31">
        <f t="shared" si="16"/>
        <v>0</v>
      </c>
      <c r="L362" s="30">
        <f t="shared" si="17"/>
        <v>0</v>
      </c>
      <c r="M362" s="31">
        <f t="shared" si="18"/>
        <v>0</v>
      </c>
      <c r="N362" s="32"/>
      <c r="O362" s="33"/>
    </row>
    <row r="363" ht="15.75" customHeight="1">
      <c r="A363" s="139"/>
      <c r="B363" s="140"/>
      <c r="C363" s="61"/>
      <c r="D363" s="133"/>
      <c r="E363" s="210"/>
      <c r="F363" s="211"/>
      <c r="G363" s="173"/>
      <c r="H363" s="28">
        <f t="shared" si="13"/>
        <v>0</v>
      </c>
      <c r="I363" s="29">
        <f t="shared" si="14"/>
        <v>0</v>
      </c>
      <c r="J363" s="30">
        <f t="shared" si="15"/>
        <v>0</v>
      </c>
      <c r="K363" s="31">
        <f t="shared" si="16"/>
        <v>0</v>
      </c>
      <c r="L363" s="30">
        <f t="shared" si="17"/>
        <v>0</v>
      </c>
      <c r="M363" s="31">
        <f t="shared" si="18"/>
        <v>0</v>
      </c>
      <c r="N363" s="32"/>
      <c r="O363" s="33"/>
    </row>
    <row r="364" ht="15.75" customHeight="1">
      <c r="A364" s="139"/>
      <c r="B364" s="140"/>
      <c r="C364" s="61"/>
      <c r="D364" s="133"/>
      <c r="E364" s="210"/>
      <c r="F364" s="211"/>
      <c r="G364" s="173"/>
      <c r="H364" s="28">
        <f t="shared" si="13"/>
        <v>0</v>
      </c>
      <c r="I364" s="29">
        <f t="shared" si="14"/>
        <v>0</v>
      </c>
      <c r="J364" s="30">
        <f t="shared" si="15"/>
        <v>0</v>
      </c>
      <c r="K364" s="31">
        <f t="shared" si="16"/>
        <v>0</v>
      </c>
      <c r="L364" s="30">
        <f t="shared" si="17"/>
        <v>0</v>
      </c>
      <c r="M364" s="31">
        <f t="shared" si="18"/>
        <v>0</v>
      </c>
      <c r="N364" s="32"/>
      <c r="O364" s="33"/>
    </row>
    <row r="365" ht="15.75" customHeight="1">
      <c r="A365" s="139"/>
      <c r="B365" s="140"/>
      <c r="C365" s="61"/>
      <c r="D365" s="133"/>
      <c r="E365" s="210"/>
      <c r="F365" s="211"/>
      <c r="G365" s="173"/>
      <c r="H365" s="28">
        <f t="shared" si="13"/>
        <v>0</v>
      </c>
      <c r="I365" s="29">
        <f t="shared" si="14"/>
        <v>0</v>
      </c>
      <c r="J365" s="30">
        <f t="shared" si="15"/>
        <v>0</v>
      </c>
      <c r="K365" s="31">
        <f t="shared" si="16"/>
        <v>0</v>
      </c>
      <c r="L365" s="30">
        <f t="shared" si="17"/>
        <v>0</v>
      </c>
      <c r="M365" s="31">
        <f t="shared" si="18"/>
        <v>0</v>
      </c>
      <c r="N365" s="32"/>
      <c r="O365" s="33"/>
    </row>
    <row r="366" ht="15.75" customHeight="1">
      <c r="A366" s="139"/>
      <c r="B366" s="140"/>
      <c r="C366" s="61"/>
      <c r="D366" s="133"/>
      <c r="E366" s="210"/>
      <c r="F366" s="211"/>
      <c r="G366" s="173"/>
      <c r="H366" s="28">
        <f t="shared" si="13"/>
        <v>0</v>
      </c>
      <c r="I366" s="29">
        <f t="shared" si="14"/>
        <v>0</v>
      </c>
      <c r="J366" s="30">
        <f t="shared" si="15"/>
        <v>0</v>
      </c>
      <c r="K366" s="31">
        <f t="shared" si="16"/>
        <v>0</v>
      </c>
      <c r="L366" s="30">
        <f t="shared" si="17"/>
        <v>0</v>
      </c>
      <c r="M366" s="31">
        <f t="shared" si="18"/>
        <v>0</v>
      </c>
      <c r="N366" s="32"/>
      <c r="O366" s="33"/>
    </row>
    <row r="367" ht="15.75" customHeight="1">
      <c r="A367" s="139"/>
      <c r="B367" s="140"/>
      <c r="C367" s="61"/>
      <c r="D367" s="133"/>
      <c r="E367" s="210"/>
      <c r="F367" s="211"/>
      <c r="G367" s="173"/>
      <c r="H367" s="28">
        <f t="shared" si="13"/>
        <v>0</v>
      </c>
      <c r="I367" s="29">
        <f t="shared" si="14"/>
        <v>0</v>
      </c>
      <c r="J367" s="30">
        <f t="shared" si="15"/>
        <v>0</v>
      </c>
      <c r="K367" s="31">
        <f t="shared" si="16"/>
        <v>0</v>
      </c>
      <c r="L367" s="30">
        <f t="shared" si="17"/>
        <v>0</v>
      </c>
      <c r="M367" s="31">
        <f t="shared" si="18"/>
        <v>0</v>
      </c>
      <c r="N367" s="32"/>
      <c r="O367" s="33"/>
    </row>
    <row r="368" ht="15.75" customHeight="1">
      <c r="A368" s="139"/>
      <c r="B368" s="140"/>
      <c r="C368" s="61"/>
      <c r="D368" s="133"/>
      <c r="E368" s="210"/>
      <c r="F368" s="211"/>
      <c r="G368" s="173"/>
      <c r="H368" s="28">
        <f t="shared" si="13"/>
        <v>0</v>
      </c>
      <c r="I368" s="29">
        <f t="shared" si="14"/>
        <v>0</v>
      </c>
      <c r="J368" s="30">
        <f t="shared" si="15"/>
        <v>0</v>
      </c>
      <c r="K368" s="31">
        <f t="shared" si="16"/>
        <v>0</v>
      </c>
      <c r="L368" s="30">
        <f t="shared" si="17"/>
        <v>0</v>
      </c>
      <c r="M368" s="31">
        <f t="shared" si="18"/>
        <v>0</v>
      </c>
      <c r="N368" s="32"/>
      <c r="O368" s="33"/>
    </row>
    <row r="369" ht="15.75" customHeight="1">
      <c r="A369" s="139"/>
      <c r="B369" s="140"/>
      <c r="C369" s="61"/>
      <c r="D369" s="133"/>
      <c r="E369" s="210"/>
      <c r="F369" s="211"/>
      <c r="G369" s="173"/>
      <c r="H369" s="28">
        <f t="shared" si="13"/>
        <v>0</v>
      </c>
      <c r="I369" s="29">
        <f t="shared" si="14"/>
        <v>0</v>
      </c>
      <c r="J369" s="30">
        <f t="shared" si="15"/>
        <v>0</v>
      </c>
      <c r="K369" s="31">
        <f t="shared" si="16"/>
        <v>0</v>
      </c>
      <c r="L369" s="30">
        <f t="shared" si="17"/>
        <v>0</v>
      </c>
      <c r="M369" s="31">
        <f t="shared" si="18"/>
        <v>0</v>
      </c>
      <c r="N369" s="32"/>
      <c r="O369" s="33"/>
    </row>
    <row r="370" ht="15.75" customHeight="1">
      <c r="A370" s="139"/>
      <c r="B370" s="140"/>
      <c r="C370" s="61"/>
      <c r="D370" s="133"/>
      <c r="E370" s="210"/>
      <c r="F370" s="211"/>
      <c r="G370" s="173"/>
      <c r="H370" s="28">
        <f t="shared" si="13"/>
        <v>0</v>
      </c>
      <c r="I370" s="29">
        <f t="shared" si="14"/>
        <v>0</v>
      </c>
      <c r="J370" s="30">
        <f t="shared" si="15"/>
        <v>0</v>
      </c>
      <c r="K370" s="31">
        <f t="shared" si="16"/>
        <v>0</v>
      </c>
      <c r="L370" s="30">
        <f t="shared" si="17"/>
        <v>0</v>
      </c>
      <c r="M370" s="31">
        <f t="shared" si="18"/>
        <v>0</v>
      </c>
      <c r="N370" s="32"/>
      <c r="O370" s="33"/>
    </row>
    <row r="371" ht="15.75" customHeight="1">
      <c r="A371" s="139"/>
      <c r="B371" s="140"/>
      <c r="C371" s="61"/>
      <c r="D371" s="133"/>
      <c r="E371" s="210"/>
      <c r="F371" s="211"/>
      <c r="G371" s="173"/>
      <c r="H371" s="28">
        <f t="shared" si="13"/>
        <v>0</v>
      </c>
      <c r="I371" s="29">
        <f t="shared" si="14"/>
        <v>0</v>
      </c>
      <c r="J371" s="30">
        <f t="shared" si="15"/>
        <v>0</v>
      </c>
      <c r="K371" s="31">
        <f t="shared" si="16"/>
        <v>0</v>
      </c>
      <c r="L371" s="30">
        <f t="shared" si="17"/>
        <v>0</v>
      </c>
      <c r="M371" s="31">
        <f t="shared" si="18"/>
        <v>0</v>
      </c>
      <c r="N371" s="32"/>
      <c r="O371" s="33"/>
    </row>
    <row r="372" ht="15.75" customHeight="1">
      <c r="A372" s="139"/>
      <c r="B372" s="140"/>
      <c r="C372" s="61"/>
      <c r="D372" s="133"/>
      <c r="E372" s="210"/>
      <c r="F372" s="211"/>
      <c r="G372" s="173"/>
      <c r="H372" s="28">
        <f t="shared" si="13"/>
        <v>0</v>
      </c>
      <c r="I372" s="29">
        <f t="shared" si="14"/>
        <v>0</v>
      </c>
      <c r="J372" s="30">
        <f t="shared" si="15"/>
        <v>0</v>
      </c>
      <c r="K372" s="31">
        <f t="shared" si="16"/>
        <v>0</v>
      </c>
      <c r="L372" s="30">
        <f t="shared" si="17"/>
        <v>0</v>
      </c>
      <c r="M372" s="31">
        <f t="shared" si="18"/>
        <v>0</v>
      </c>
      <c r="N372" s="32"/>
      <c r="O372" s="33"/>
    </row>
    <row r="373" ht="15.75" customHeight="1">
      <c r="A373" s="139"/>
      <c r="B373" s="140"/>
      <c r="C373" s="61"/>
      <c r="D373" s="133"/>
      <c r="E373" s="210"/>
      <c r="F373" s="211"/>
      <c r="G373" s="173"/>
      <c r="H373" s="28">
        <f t="shared" si="13"/>
        <v>0</v>
      </c>
      <c r="I373" s="29">
        <f t="shared" si="14"/>
        <v>0</v>
      </c>
      <c r="J373" s="30">
        <f t="shared" si="15"/>
        <v>0</v>
      </c>
      <c r="K373" s="31">
        <f t="shared" si="16"/>
        <v>0</v>
      </c>
      <c r="L373" s="30">
        <f t="shared" si="17"/>
        <v>0</v>
      </c>
      <c r="M373" s="31">
        <f t="shared" si="18"/>
        <v>0</v>
      </c>
      <c r="N373" s="32"/>
      <c r="O373" s="33"/>
    </row>
    <row r="374" ht="15.75" customHeight="1">
      <c r="A374" s="139"/>
      <c r="B374" s="140"/>
      <c r="C374" s="61"/>
      <c r="D374" s="133"/>
      <c r="E374" s="210"/>
      <c r="F374" s="211"/>
      <c r="G374" s="173"/>
      <c r="H374" s="28">
        <f t="shared" si="13"/>
        <v>0</v>
      </c>
      <c r="I374" s="29">
        <f t="shared" si="14"/>
        <v>0</v>
      </c>
      <c r="J374" s="30">
        <f t="shared" si="15"/>
        <v>0</v>
      </c>
      <c r="K374" s="31">
        <f t="shared" si="16"/>
        <v>0</v>
      </c>
      <c r="L374" s="30">
        <f t="shared" si="17"/>
        <v>0</v>
      </c>
      <c r="M374" s="31">
        <f t="shared" si="18"/>
        <v>0</v>
      </c>
      <c r="N374" s="32"/>
      <c r="O374" s="33"/>
    </row>
    <row r="375" ht="15.75" customHeight="1">
      <c r="A375" s="139"/>
      <c r="B375" s="140"/>
      <c r="C375" s="61"/>
      <c r="D375" s="133"/>
      <c r="E375" s="210"/>
      <c r="F375" s="211"/>
      <c r="G375" s="173"/>
      <c r="H375" s="28">
        <f t="shared" si="13"/>
        <v>0</v>
      </c>
      <c r="I375" s="29">
        <f t="shared" si="14"/>
        <v>0</v>
      </c>
      <c r="J375" s="30">
        <f t="shared" si="15"/>
        <v>0</v>
      </c>
      <c r="K375" s="31">
        <f t="shared" si="16"/>
        <v>0</v>
      </c>
      <c r="L375" s="30">
        <f t="shared" si="17"/>
        <v>0</v>
      </c>
      <c r="M375" s="31">
        <f t="shared" si="18"/>
        <v>0</v>
      </c>
      <c r="N375" s="32"/>
      <c r="O375" s="33"/>
    </row>
    <row r="376" ht="15.75" customHeight="1">
      <c r="A376" s="139"/>
      <c r="B376" s="140"/>
      <c r="C376" s="61"/>
      <c r="D376" s="133"/>
      <c r="E376" s="210"/>
      <c r="F376" s="211"/>
      <c r="G376" s="173"/>
      <c r="H376" s="28">
        <f t="shared" si="13"/>
        <v>0</v>
      </c>
      <c r="I376" s="29">
        <f t="shared" si="14"/>
        <v>0</v>
      </c>
      <c r="J376" s="30">
        <f t="shared" si="15"/>
        <v>0</v>
      </c>
      <c r="K376" s="31">
        <f t="shared" si="16"/>
        <v>0</v>
      </c>
      <c r="L376" s="30">
        <f t="shared" si="17"/>
        <v>0</v>
      </c>
      <c r="M376" s="31">
        <f t="shared" si="18"/>
        <v>0</v>
      </c>
      <c r="N376" s="32"/>
      <c r="O376" s="33"/>
    </row>
    <row r="377" ht="15.75" customHeight="1">
      <c r="A377" s="139"/>
      <c r="B377" s="140"/>
      <c r="C377" s="61"/>
      <c r="D377" s="133"/>
      <c r="E377" s="210"/>
      <c r="F377" s="211"/>
      <c r="G377" s="173"/>
      <c r="H377" s="28">
        <f t="shared" si="13"/>
        <v>0</v>
      </c>
      <c r="I377" s="29">
        <f t="shared" si="14"/>
        <v>0</v>
      </c>
      <c r="J377" s="30">
        <f t="shared" si="15"/>
        <v>0</v>
      </c>
      <c r="K377" s="31">
        <f t="shared" si="16"/>
        <v>0</v>
      </c>
      <c r="L377" s="30">
        <f t="shared" si="17"/>
        <v>0</v>
      </c>
      <c r="M377" s="31">
        <f t="shared" si="18"/>
        <v>0</v>
      </c>
      <c r="N377" s="32"/>
      <c r="O377" s="33"/>
    </row>
    <row r="378" ht="15.75" customHeight="1">
      <c r="A378" s="139"/>
      <c r="B378" s="140"/>
      <c r="C378" s="61"/>
      <c r="D378" s="133"/>
      <c r="E378" s="210"/>
      <c r="F378" s="211"/>
      <c r="G378" s="173"/>
      <c r="H378" s="28">
        <f t="shared" si="13"/>
        <v>0</v>
      </c>
      <c r="I378" s="29">
        <f t="shared" si="14"/>
        <v>0</v>
      </c>
      <c r="J378" s="30">
        <f t="shared" si="15"/>
        <v>0</v>
      </c>
      <c r="K378" s="31">
        <f t="shared" si="16"/>
        <v>0</v>
      </c>
      <c r="L378" s="30">
        <f t="shared" si="17"/>
        <v>0</v>
      </c>
      <c r="M378" s="31">
        <f t="shared" si="18"/>
        <v>0</v>
      </c>
      <c r="N378" s="32"/>
      <c r="O378" s="33"/>
    </row>
    <row r="379" ht="15.75" customHeight="1">
      <c r="A379" s="139"/>
      <c r="B379" s="140"/>
      <c r="C379" s="61"/>
      <c r="D379" s="133"/>
      <c r="E379" s="210"/>
      <c r="F379" s="211"/>
      <c r="G379" s="173"/>
      <c r="H379" s="28">
        <f t="shared" si="13"/>
        <v>0</v>
      </c>
      <c r="I379" s="29">
        <f t="shared" si="14"/>
        <v>0</v>
      </c>
      <c r="J379" s="30">
        <f t="shared" si="15"/>
        <v>0</v>
      </c>
      <c r="K379" s="31">
        <f t="shared" si="16"/>
        <v>0</v>
      </c>
      <c r="L379" s="30">
        <f t="shared" si="17"/>
        <v>0</v>
      </c>
      <c r="M379" s="31">
        <f t="shared" si="18"/>
        <v>0</v>
      </c>
      <c r="N379" s="32"/>
      <c r="O379" s="33"/>
    </row>
    <row r="380" ht="15.75" customHeight="1">
      <c r="A380" s="139"/>
      <c r="B380" s="140"/>
      <c r="C380" s="61"/>
      <c r="D380" s="133"/>
      <c r="E380" s="210"/>
      <c r="F380" s="211"/>
      <c r="G380" s="173"/>
      <c r="H380" s="28">
        <f t="shared" si="13"/>
        <v>0</v>
      </c>
      <c r="I380" s="29">
        <f t="shared" si="14"/>
        <v>0</v>
      </c>
      <c r="J380" s="30">
        <f t="shared" si="15"/>
        <v>0</v>
      </c>
      <c r="K380" s="31">
        <f t="shared" si="16"/>
        <v>0</v>
      </c>
      <c r="L380" s="30">
        <f t="shared" si="17"/>
        <v>0</v>
      </c>
      <c r="M380" s="31">
        <f t="shared" si="18"/>
        <v>0</v>
      </c>
      <c r="N380" s="32"/>
      <c r="O380" s="33"/>
    </row>
    <row r="381" ht="15.75" customHeight="1">
      <c r="A381" s="139"/>
      <c r="B381" s="140"/>
      <c r="C381" s="61"/>
      <c r="D381" s="133"/>
      <c r="E381" s="210"/>
      <c r="F381" s="211"/>
      <c r="G381" s="173"/>
      <c r="H381" s="28">
        <f t="shared" si="13"/>
        <v>0</v>
      </c>
      <c r="I381" s="29">
        <f t="shared" si="14"/>
        <v>0</v>
      </c>
      <c r="J381" s="30">
        <f t="shared" si="15"/>
        <v>0</v>
      </c>
      <c r="K381" s="31">
        <f t="shared" si="16"/>
        <v>0</v>
      </c>
      <c r="L381" s="30">
        <f t="shared" si="17"/>
        <v>0</v>
      </c>
      <c r="M381" s="31">
        <f t="shared" si="18"/>
        <v>0</v>
      </c>
      <c r="N381" s="32"/>
      <c r="O381" s="33"/>
    </row>
    <row r="382" ht="15.75" customHeight="1">
      <c r="A382" s="139"/>
      <c r="B382" s="140"/>
      <c r="C382" s="61"/>
      <c r="D382" s="133"/>
      <c r="E382" s="210"/>
      <c r="F382" s="211"/>
      <c r="G382" s="173"/>
      <c r="H382" s="28">
        <f t="shared" si="13"/>
        <v>0</v>
      </c>
      <c r="I382" s="29">
        <f t="shared" si="14"/>
        <v>0</v>
      </c>
      <c r="J382" s="30">
        <f t="shared" si="15"/>
        <v>0</v>
      </c>
      <c r="K382" s="31">
        <f t="shared" si="16"/>
        <v>0</v>
      </c>
      <c r="L382" s="30">
        <f t="shared" si="17"/>
        <v>0</v>
      </c>
      <c r="M382" s="31">
        <f t="shared" si="18"/>
        <v>0</v>
      </c>
      <c r="N382" s="32"/>
      <c r="O382" s="33"/>
    </row>
    <row r="383" ht="15.75" customHeight="1">
      <c r="A383" s="139"/>
      <c r="B383" s="140"/>
      <c r="C383" s="61"/>
      <c r="D383" s="133"/>
      <c r="E383" s="210"/>
      <c r="F383" s="211"/>
      <c r="G383" s="173"/>
      <c r="H383" s="28">
        <f t="shared" si="13"/>
        <v>0</v>
      </c>
      <c r="I383" s="29">
        <f t="shared" si="14"/>
        <v>0</v>
      </c>
      <c r="J383" s="30">
        <f t="shared" si="15"/>
        <v>0</v>
      </c>
      <c r="K383" s="31">
        <f t="shared" si="16"/>
        <v>0</v>
      </c>
      <c r="L383" s="30">
        <f t="shared" si="17"/>
        <v>0</v>
      </c>
      <c r="M383" s="31">
        <f t="shared" si="18"/>
        <v>0</v>
      </c>
      <c r="N383" s="32"/>
      <c r="O383" s="33"/>
    </row>
    <row r="384" ht="15.75" customHeight="1">
      <c r="A384" s="139"/>
      <c r="B384" s="140"/>
      <c r="C384" s="61"/>
      <c r="D384" s="133"/>
      <c r="E384" s="210"/>
      <c r="F384" s="211"/>
      <c r="G384" s="173"/>
      <c r="H384" s="28">
        <f t="shared" si="13"/>
        <v>0</v>
      </c>
      <c r="I384" s="29">
        <f t="shared" si="14"/>
        <v>0</v>
      </c>
      <c r="J384" s="30">
        <f t="shared" si="15"/>
        <v>0</v>
      </c>
      <c r="K384" s="31">
        <f t="shared" si="16"/>
        <v>0</v>
      </c>
      <c r="L384" s="30">
        <f t="shared" si="17"/>
        <v>0</v>
      </c>
      <c r="M384" s="31">
        <f t="shared" si="18"/>
        <v>0</v>
      </c>
      <c r="N384" s="32"/>
      <c r="O384" s="33"/>
    </row>
    <row r="385" ht="15.75" customHeight="1">
      <c r="A385" s="139"/>
      <c r="B385" s="140"/>
      <c r="C385" s="61"/>
      <c r="D385" s="133"/>
      <c r="E385" s="210"/>
      <c r="F385" s="211"/>
      <c r="G385" s="173"/>
      <c r="H385" s="28">
        <f t="shared" si="13"/>
        <v>0</v>
      </c>
      <c r="I385" s="29">
        <f t="shared" si="14"/>
        <v>0</v>
      </c>
      <c r="J385" s="30">
        <f t="shared" si="15"/>
        <v>0</v>
      </c>
      <c r="K385" s="31">
        <f t="shared" si="16"/>
        <v>0</v>
      </c>
      <c r="L385" s="30">
        <f t="shared" si="17"/>
        <v>0</v>
      </c>
      <c r="M385" s="31">
        <f t="shared" si="18"/>
        <v>0</v>
      </c>
      <c r="N385" s="32"/>
      <c r="O385" s="33"/>
    </row>
    <row r="386" ht="15.75" customHeight="1">
      <c r="A386" s="139"/>
      <c r="B386" s="140"/>
      <c r="C386" s="61"/>
      <c r="D386" s="133"/>
      <c r="E386" s="210"/>
      <c r="F386" s="211"/>
      <c r="G386" s="173"/>
      <c r="H386" s="28">
        <f t="shared" si="13"/>
        <v>0</v>
      </c>
      <c r="I386" s="29">
        <f t="shared" si="14"/>
        <v>0</v>
      </c>
      <c r="J386" s="30">
        <f t="shared" si="15"/>
        <v>0</v>
      </c>
      <c r="K386" s="31">
        <f t="shared" si="16"/>
        <v>0</v>
      </c>
      <c r="L386" s="30">
        <f t="shared" si="17"/>
        <v>0</v>
      </c>
      <c r="M386" s="31">
        <f t="shared" si="18"/>
        <v>0</v>
      </c>
      <c r="N386" s="32"/>
      <c r="O386" s="33"/>
    </row>
    <row r="387" ht="15.75" customHeight="1">
      <c r="A387" s="139"/>
      <c r="B387" s="140"/>
      <c r="C387" s="61"/>
      <c r="D387" s="133"/>
      <c r="E387" s="210"/>
      <c r="F387" s="211"/>
      <c r="G387" s="173"/>
      <c r="H387" s="28">
        <f t="shared" si="13"/>
        <v>0</v>
      </c>
      <c r="I387" s="29">
        <f t="shared" si="14"/>
        <v>0</v>
      </c>
      <c r="J387" s="30">
        <f t="shared" si="15"/>
        <v>0</v>
      </c>
      <c r="K387" s="31">
        <f t="shared" si="16"/>
        <v>0</v>
      </c>
      <c r="L387" s="30">
        <f t="shared" si="17"/>
        <v>0</v>
      </c>
      <c r="M387" s="31">
        <f t="shared" si="18"/>
        <v>0</v>
      </c>
      <c r="N387" s="32"/>
      <c r="O387" s="33"/>
    </row>
    <row r="388" ht="15.75" customHeight="1">
      <c r="A388" s="139"/>
      <c r="B388" s="140"/>
      <c r="C388" s="61"/>
      <c r="D388" s="133"/>
      <c r="E388" s="210"/>
      <c r="F388" s="211"/>
      <c r="G388" s="173"/>
      <c r="H388" s="28">
        <f t="shared" si="13"/>
        <v>0</v>
      </c>
      <c r="I388" s="29">
        <f t="shared" si="14"/>
        <v>0</v>
      </c>
      <c r="J388" s="30">
        <f t="shared" si="15"/>
        <v>0</v>
      </c>
      <c r="K388" s="31">
        <f t="shared" si="16"/>
        <v>0</v>
      </c>
      <c r="L388" s="30">
        <f t="shared" si="17"/>
        <v>0</v>
      </c>
      <c r="M388" s="31">
        <f t="shared" si="18"/>
        <v>0</v>
      </c>
      <c r="N388" s="32"/>
      <c r="O388" s="33"/>
    </row>
    <row r="389" ht="15.75" customHeight="1">
      <c r="A389" s="139"/>
      <c r="B389" s="140"/>
      <c r="C389" s="61"/>
      <c r="D389" s="133"/>
      <c r="E389" s="210"/>
      <c r="F389" s="211"/>
      <c r="G389" s="173"/>
      <c r="H389" s="28">
        <f t="shared" si="13"/>
        <v>0</v>
      </c>
      <c r="I389" s="29">
        <f t="shared" si="14"/>
        <v>0</v>
      </c>
      <c r="J389" s="30">
        <f t="shared" si="15"/>
        <v>0</v>
      </c>
      <c r="K389" s="31">
        <f t="shared" si="16"/>
        <v>0</v>
      </c>
      <c r="L389" s="30">
        <f t="shared" si="17"/>
        <v>0</v>
      </c>
      <c r="M389" s="31">
        <f t="shared" si="18"/>
        <v>0</v>
      </c>
      <c r="N389" s="32"/>
      <c r="O389" s="33"/>
    </row>
    <row r="390" ht="15.75" customHeight="1">
      <c r="A390" s="139"/>
      <c r="B390" s="140"/>
      <c r="C390" s="61"/>
      <c r="D390" s="133"/>
      <c r="E390" s="210"/>
      <c r="F390" s="211"/>
      <c r="G390" s="173"/>
      <c r="H390" s="28">
        <f t="shared" si="13"/>
        <v>0</v>
      </c>
      <c r="I390" s="29">
        <f t="shared" si="14"/>
        <v>0</v>
      </c>
      <c r="J390" s="30">
        <f t="shared" si="15"/>
        <v>0</v>
      </c>
      <c r="K390" s="31">
        <f t="shared" si="16"/>
        <v>0</v>
      </c>
      <c r="L390" s="30">
        <f t="shared" si="17"/>
        <v>0</v>
      </c>
      <c r="M390" s="31">
        <f t="shared" si="18"/>
        <v>0</v>
      </c>
      <c r="N390" s="32"/>
      <c r="O390" s="33"/>
    </row>
    <row r="391" ht="15.75" customHeight="1">
      <c r="A391" s="139"/>
      <c r="B391" s="140"/>
      <c r="C391" s="61"/>
      <c r="D391" s="133"/>
      <c r="E391" s="210"/>
      <c r="F391" s="211"/>
      <c r="G391" s="173"/>
      <c r="H391" s="28">
        <f t="shared" si="13"/>
        <v>0</v>
      </c>
      <c r="I391" s="29">
        <f t="shared" si="14"/>
        <v>0</v>
      </c>
      <c r="J391" s="30">
        <f t="shared" si="15"/>
        <v>0</v>
      </c>
      <c r="K391" s="31">
        <f t="shared" si="16"/>
        <v>0</v>
      </c>
      <c r="L391" s="30">
        <f t="shared" si="17"/>
        <v>0</v>
      </c>
      <c r="M391" s="31">
        <f t="shared" si="18"/>
        <v>0</v>
      </c>
      <c r="N391" s="32"/>
      <c r="O391" s="33"/>
    </row>
    <row r="392" ht="15.75" customHeight="1">
      <c r="A392" s="139"/>
      <c r="B392" s="140"/>
      <c r="C392" s="61"/>
      <c r="D392" s="133"/>
      <c r="E392" s="210"/>
      <c r="F392" s="211"/>
      <c r="G392" s="173"/>
      <c r="H392" s="28">
        <f t="shared" si="13"/>
        <v>0</v>
      </c>
      <c r="I392" s="29">
        <f t="shared" si="14"/>
        <v>0</v>
      </c>
      <c r="J392" s="30">
        <f t="shared" si="15"/>
        <v>0</v>
      </c>
      <c r="K392" s="31">
        <f t="shared" si="16"/>
        <v>0</v>
      </c>
      <c r="L392" s="30">
        <f t="shared" si="17"/>
        <v>0</v>
      </c>
      <c r="M392" s="31">
        <f t="shared" si="18"/>
        <v>0</v>
      </c>
      <c r="N392" s="32"/>
      <c r="O392" s="33"/>
    </row>
    <row r="393" ht="15.75" customHeight="1">
      <c r="A393" s="139"/>
      <c r="B393" s="140"/>
      <c r="C393" s="61"/>
      <c r="D393" s="133"/>
      <c r="E393" s="210"/>
      <c r="F393" s="211"/>
      <c r="G393" s="173"/>
      <c r="H393" s="28">
        <f t="shared" si="13"/>
        <v>0</v>
      </c>
      <c r="I393" s="29">
        <f t="shared" si="14"/>
        <v>0</v>
      </c>
      <c r="J393" s="30">
        <f t="shared" si="15"/>
        <v>0</v>
      </c>
      <c r="K393" s="31">
        <f t="shared" si="16"/>
        <v>0</v>
      </c>
      <c r="L393" s="30">
        <f t="shared" si="17"/>
        <v>0</v>
      </c>
      <c r="M393" s="31">
        <f t="shared" si="18"/>
        <v>0</v>
      </c>
      <c r="N393" s="32"/>
      <c r="O393" s="33"/>
    </row>
    <row r="394" ht="15.75" customHeight="1">
      <c r="A394" s="139"/>
      <c r="B394" s="140"/>
      <c r="C394" s="61"/>
      <c r="D394" s="133"/>
      <c r="E394" s="210"/>
      <c r="F394" s="211"/>
      <c r="G394" s="173"/>
      <c r="H394" s="28">
        <f t="shared" si="13"/>
        <v>0</v>
      </c>
      <c r="I394" s="29">
        <f t="shared" si="14"/>
        <v>0</v>
      </c>
      <c r="J394" s="30">
        <f t="shared" si="15"/>
        <v>0</v>
      </c>
      <c r="K394" s="31">
        <f t="shared" si="16"/>
        <v>0</v>
      </c>
      <c r="L394" s="30">
        <f t="shared" si="17"/>
        <v>0</v>
      </c>
      <c r="M394" s="31">
        <f t="shared" si="18"/>
        <v>0</v>
      </c>
      <c r="N394" s="32"/>
      <c r="O394" s="33"/>
    </row>
    <row r="395" ht="15.75" customHeight="1">
      <c r="A395" s="139"/>
      <c r="B395" s="140"/>
      <c r="C395" s="61"/>
      <c r="D395" s="133"/>
      <c r="E395" s="210"/>
      <c r="F395" s="211"/>
      <c r="G395" s="173"/>
      <c r="H395" s="28">
        <f t="shared" si="13"/>
        <v>0</v>
      </c>
      <c r="I395" s="29">
        <f t="shared" si="14"/>
        <v>0</v>
      </c>
      <c r="J395" s="30">
        <f t="shared" si="15"/>
        <v>0</v>
      </c>
      <c r="K395" s="31">
        <f t="shared" si="16"/>
        <v>0</v>
      </c>
      <c r="L395" s="30">
        <f t="shared" si="17"/>
        <v>0</v>
      </c>
      <c r="M395" s="31">
        <f t="shared" si="18"/>
        <v>0</v>
      </c>
      <c r="N395" s="32"/>
      <c r="O395" s="33"/>
    </row>
    <row r="396" ht="15.75" customHeight="1">
      <c r="A396" s="139"/>
      <c r="B396" s="140"/>
      <c r="C396" s="61"/>
      <c r="D396" s="133"/>
      <c r="E396" s="210"/>
      <c r="F396" s="211"/>
      <c r="G396" s="173"/>
      <c r="H396" s="28">
        <f t="shared" si="13"/>
        <v>0</v>
      </c>
      <c r="I396" s="29">
        <f t="shared" si="14"/>
        <v>0</v>
      </c>
      <c r="J396" s="30">
        <f t="shared" si="15"/>
        <v>0</v>
      </c>
      <c r="K396" s="31">
        <f t="shared" si="16"/>
        <v>0</v>
      </c>
      <c r="L396" s="30">
        <f t="shared" si="17"/>
        <v>0</v>
      </c>
      <c r="M396" s="31">
        <f t="shared" si="18"/>
        <v>0</v>
      </c>
      <c r="N396" s="32"/>
      <c r="O396" s="33"/>
    </row>
    <row r="397" ht="15.75" customHeight="1">
      <c r="A397" s="139"/>
      <c r="B397" s="140"/>
      <c r="C397" s="61"/>
      <c r="D397" s="133"/>
      <c r="E397" s="210"/>
      <c r="F397" s="211"/>
      <c r="G397" s="173"/>
      <c r="H397" s="28">
        <f t="shared" si="13"/>
        <v>0</v>
      </c>
      <c r="I397" s="29">
        <f t="shared" si="14"/>
        <v>0</v>
      </c>
      <c r="J397" s="30">
        <f t="shared" si="15"/>
        <v>0</v>
      </c>
      <c r="K397" s="31">
        <f t="shared" si="16"/>
        <v>0</v>
      </c>
      <c r="L397" s="30">
        <f t="shared" si="17"/>
        <v>0</v>
      </c>
      <c r="M397" s="31">
        <f t="shared" si="18"/>
        <v>0</v>
      </c>
      <c r="N397" s="32"/>
      <c r="O397" s="33"/>
    </row>
    <row r="398" ht="15.75" customHeight="1">
      <c r="A398" s="139"/>
      <c r="B398" s="140"/>
      <c r="C398" s="61"/>
      <c r="D398" s="133"/>
      <c r="E398" s="210"/>
      <c r="F398" s="211"/>
      <c r="G398" s="173"/>
      <c r="H398" s="28">
        <f t="shared" si="13"/>
        <v>0</v>
      </c>
      <c r="I398" s="29">
        <f t="shared" si="14"/>
        <v>0</v>
      </c>
      <c r="J398" s="30">
        <f t="shared" si="15"/>
        <v>0</v>
      </c>
      <c r="K398" s="31">
        <f t="shared" si="16"/>
        <v>0</v>
      </c>
      <c r="L398" s="30">
        <f t="shared" si="17"/>
        <v>0</v>
      </c>
      <c r="M398" s="31">
        <f t="shared" si="18"/>
        <v>0</v>
      </c>
      <c r="N398" s="32"/>
      <c r="O398" s="33"/>
    </row>
    <row r="399" ht="15.75" customHeight="1">
      <c r="A399" s="139"/>
      <c r="B399" s="140"/>
      <c r="C399" s="61"/>
      <c r="D399" s="133"/>
      <c r="E399" s="210"/>
      <c r="F399" s="211"/>
      <c r="G399" s="173"/>
      <c r="H399" s="28">
        <f t="shared" si="13"/>
        <v>0</v>
      </c>
      <c r="I399" s="29">
        <f t="shared" si="14"/>
        <v>0</v>
      </c>
      <c r="J399" s="30">
        <f t="shared" si="15"/>
        <v>0</v>
      </c>
      <c r="K399" s="31">
        <f t="shared" si="16"/>
        <v>0</v>
      </c>
      <c r="L399" s="30">
        <f t="shared" si="17"/>
        <v>0</v>
      </c>
      <c r="M399" s="31">
        <f t="shared" si="18"/>
        <v>0</v>
      </c>
      <c r="N399" s="32"/>
      <c r="O399" s="33"/>
    </row>
    <row r="400" ht="15.75" customHeight="1">
      <c r="A400" s="139"/>
      <c r="B400" s="140"/>
      <c r="C400" s="61"/>
      <c r="D400" s="133"/>
      <c r="E400" s="210"/>
      <c r="F400" s="211"/>
      <c r="G400" s="173"/>
      <c r="H400" s="28">
        <f t="shared" si="13"/>
        <v>0</v>
      </c>
      <c r="I400" s="29">
        <f t="shared" si="14"/>
        <v>0</v>
      </c>
      <c r="J400" s="30">
        <f t="shared" si="15"/>
        <v>0</v>
      </c>
      <c r="K400" s="31">
        <f t="shared" si="16"/>
        <v>0</v>
      </c>
      <c r="L400" s="30">
        <f t="shared" si="17"/>
        <v>0</v>
      </c>
      <c r="M400" s="31">
        <f t="shared" si="18"/>
        <v>0</v>
      </c>
      <c r="N400" s="32"/>
      <c r="O400" s="33"/>
    </row>
    <row r="401" ht="15.75" customHeight="1">
      <c r="A401" s="139"/>
      <c r="B401" s="140"/>
      <c r="C401" s="61"/>
      <c r="D401" s="133"/>
      <c r="E401" s="210"/>
      <c r="F401" s="211"/>
      <c r="G401" s="173"/>
      <c r="H401" s="28">
        <f t="shared" si="13"/>
        <v>0</v>
      </c>
      <c r="I401" s="29">
        <f t="shared" si="14"/>
        <v>0</v>
      </c>
      <c r="J401" s="30">
        <f t="shared" si="15"/>
        <v>0</v>
      </c>
      <c r="K401" s="31">
        <f t="shared" si="16"/>
        <v>0</v>
      </c>
      <c r="L401" s="30">
        <f t="shared" si="17"/>
        <v>0</v>
      </c>
      <c r="M401" s="31">
        <f t="shared" si="18"/>
        <v>0</v>
      </c>
      <c r="N401" s="32"/>
      <c r="O401" s="33"/>
    </row>
    <row r="402" ht="15.75" customHeight="1">
      <c r="A402" s="139"/>
      <c r="B402" s="140"/>
      <c r="C402" s="61"/>
      <c r="D402" s="133"/>
      <c r="E402" s="210"/>
      <c r="F402" s="211"/>
      <c r="G402" s="173"/>
      <c r="H402" s="28">
        <f t="shared" si="13"/>
        <v>0</v>
      </c>
      <c r="I402" s="29">
        <f t="shared" si="14"/>
        <v>0</v>
      </c>
      <c r="J402" s="30">
        <f t="shared" si="15"/>
        <v>0</v>
      </c>
      <c r="K402" s="31">
        <f t="shared" si="16"/>
        <v>0</v>
      </c>
      <c r="L402" s="30">
        <f t="shared" si="17"/>
        <v>0</v>
      </c>
      <c r="M402" s="31">
        <f t="shared" si="18"/>
        <v>0</v>
      </c>
      <c r="N402" s="32"/>
      <c r="O402" s="33"/>
    </row>
    <row r="403" ht="15.75" customHeight="1">
      <c r="A403" s="139"/>
      <c r="B403" s="140"/>
      <c r="C403" s="61"/>
      <c r="D403" s="133"/>
      <c r="E403" s="210"/>
      <c r="F403" s="211"/>
      <c r="G403" s="173"/>
      <c r="H403" s="28">
        <f t="shared" si="13"/>
        <v>0</v>
      </c>
      <c r="I403" s="29">
        <f t="shared" si="14"/>
        <v>0</v>
      </c>
      <c r="J403" s="30">
        <f t="shared" si="15"/>
        <v>0</v>
      </c>
      <c r="K403" s="31">
        <f t="shared" si="16"/>
        <v>0</v>
      </c>
      <c r="L403" s="30">
        <f t="shared" si="17"/>
        <v>0</v>
      </c>
      <c r="M403" s="31">
        <f t="shared" si="18"/>
        <v>0</v>
      </c>
      <c r="N403" s="32"/>
      <c r="O403" s="33"/>
    </row>
    <row r="404" ht="15.75" customHeight="1">
      <c r="A404" s="139"/>
      <c r="B404" s="140"/>
      <c r="C404" s="61"/>
      <c r="D404" s="133"/>
      <c r="E404" s="210"/>
      <c r="F404" s="211"/>
      <c r="G404" s="173"/>
      <c r="H404" s="28">
        <f t="shared" si="13"/>
        <v>0</v>
      </c>
      <c r="I404" s="29">
        <f t="shared" si="14"/>
        <v>0</v>
      </c>
      <c r="J404" s="30">
        <f t="shared" si="15"/>
        <v>0</v>
      </c>
      <c r="K404" s="31">
        <f t="shared" si="16"/>
        <v>0</v>
      </c>
      <c r="L404" s="30">
        <f t="shared" si="17"/>
        <v>0</v>
      </c>
      <c r="M404" s="31">
        <f t="shared" si="18"/>
        <v>0</v>
      </c>
      <c r="N404" s="32"/>
      <c r="O404" s="33"/>
    </row>
    <row r="405" ht="15.75" customHeight="1">
      <c r="A405" s="139"/>
      <c r="B405" s="140"/>
      <c r="C405" s="61"/>
      <c r="D405" s="133"/>
      <c r="E405" s="210"/>
      <c r="F405" s="211"/>
      <c r="G405" s="173"/>
      <c r="H405" s="28">
        <f t="shared" si="13"/>
        <v>0</v>
      </c>
      <c r="I405" s="29">
        <f t="shared" si="14"/>
        <v>0</v>
      </c>
      <c r="J405" s="30">
        <f t="shared" si="15"/>
        <v>0</v>
      </c>
      <c r="K405" s="31">
        <f t="shared" si="16"/>
        <v>0</v>
      </c>
      <c r="L405" s="30">
        <f t="shared" si="17"/>
        <v>0</v>
      </c>
      <c r="M405" s="31">
        <f t="shared" si="18"/>
        <v>0</v>
      </c>
      <c r="N405" s="32"/>
      <c r="O405" s="33"/>
    </row>
    <row r="406" ht="15.75" customHeight="1">
      <c r="A406" s="139"/>
      <c r="B406" s="140"/>
      <c r="C406" s="61"/>
      <c r="D406" s="133"/>
      <c r="E406" s="210"/>
      <c r="F406" s="211"/>
      <c r="G406" s="173"/>
      <c r="H406" s="28">
        <f t="shared" si="13"/>
        <v>0</v>
      </c>
      <c r="I406" s="29">
        <f t="shared" si="14"/>
        <v>0</v>
      </c>
      <c r="J406" s="30">
        <f t="shared" si="15"/>
        <v>0</v>
      </c>
      <c r="K406" s="31">
        <f t="shared" si="16"/>
        <v>0</v>
      </c>
      <c r="L406" s="30">
        <f t="shared" si="17"/>
        <v>0</v>
      </c>
      <c r="M406" s="31">
        <f t="shared" si="18"/>
        <v>0</v>
      </c>
      <c r="N406" s="32"/>
      <c r="O406" s="33"/>
    </row>
    <row r="407" ht="15.75" customHeight="1">
      <c r="A407" s="139"/>
      <c r="B407" s="140"/>
      <c r="C407" s="61"/>
      <c r="D407" s="133"/>
      <c r="E407" s="210"/>
      <c r="F407" s="211"/>
      <c r="G407" s="173"/>
      <c r="H407" s="28">
        <f t="shared" si="13"/>
        <v>0</v>
      </c>
      <c r="I407" s="29">
        <f t="shared" si="14"/>
        <v>0</v>
      </c>
      <c r="J407" s="30">
        <f t="shared" si="15"/>
        <v>0</v>
      </c>
      <c r="K407" s="31">
        <f t="shared" si="16"/>
        <v>0</v>
      </c>
      <c r="L407" s="30">
        <f t="shared" si="17"/>
        <v>0</v>
      </c>
      <c r="M407" s="31">
        <f t="shared" si="18"/>
        <v>0</v>
      </c>
      <c r="N407" s="32"/>
      <c r="O407" s="33"/>
    </row>
    <row r="408" ht="15.75" customHeight="1">
      <c r="A408" s="139"/>
      <c r="B408" s="140"/>
      <c r="C408" s="61"/>
      <c r="D408" s="133"/>
      <c r="E408" s="210"/>
      <c r="F408" s="211"/>
      <c r="G408" s="173"/>
      <c r="H408" s="28">
        <f t="shared" si="13"/>
        <v>0</v>
      </c>
      <c r="I408" s="29">
        <f t="shared" si="14"/>
        <v>0</v>
      </c>
      <c r="J408" s="30">
        <f t="shared" si="15"/>
        <v>0</v>
      </c>
      <c r="K408" s="31">
        <f t="shared" si="16"/>
        <v>0</v>
      </c>
      <c r="L408" s="30">
        <f t="shared" si="17"/>
        <v>0</v>
      </c>
      <c r="M408" s="31">
        <f t="shared" si="18"/>
        <v>0</v>
      </c>
      <c r="N408" s="32"/>
      <c r="O408" s="33"/>
    </row>
    <row r="409" ht="15.75" customHeight="1">
      <c r="A409" s="139"/>
      <c r="B409" s="140"/>
      <c r="C409" s="61"/>
      <c r="D409" s="133"/>
      <c r="E409" s="210"/>
      <c r="F409" s="211"/>
      <c r="G409" s="173"/>
      <c r="H409" s="28">
        <f t="shared" si="13"/>
        <v>0</v>
      </c>
      <c r="I409" s="29">
        <f t="shared" si="14"/>
        <v>0</v>
      </c>
      <c r="J409" s="30">
        <f t="shared" si="15"/>
        <v>0</v>
      </c>
      <c r="K409" s="31">
        <f t="shared" si="16"/>
        <v>0</v>
      </c>
      <c r="L409" s="30">
        <f t="shared" si="17"/>
        <v>0</v>
      </c>
      <c r="M409" s="31">
        <f t="shared" si="18"/>
        <v>0</v>
      </c>
      <c r="N409" s="32"/>
      <c r="O409" s="33"/>
    </row>
    <row r="410" ht="15.75" customHeight="1">
      <c r="A410" s="139"/>
      <c r="B410" s="140"/>
      <c r="C410" s="61"/>
      <c r="D410" s="133"/>
      <c r="E410" s="210"/>
      <c r="F410" s="211"/>
      <c r="G410" s="173"/>
      <c r="H410" s="28">
        <f t="shared" si="13"/>
        <v>0</v>
      </c>
      <c r="I410" s="29">
        <f t="shared" si="14"/>
        <v>0</v>
      </c>
      <c r="J410" s="30">
        <f t="shared" si="15"/>
        <v>0</v>
      </c>
      <c r="K410" s="31">
        <f t="shared" si="16"/>
        <v>0</v>
      </c>
      <c r="L410" s="30">
        <f t="shared" si="17"/>
        <v>0</v>
      </c>
      <c r="M410" s="31">
        <f t="shared" si="18"/>
        <v>0</v>
      </c>
      <c r="N410" s="32"/>
      <c r="O410" s="33"/>
    </row>
    <row r="411" ht="15.75" customHeight="1">
      <c r="A411" s="139"/>
      <c r="B411" s="140"/>
      <c r="C411" s="61"/>
      <c r="D411" s="133"/>
      <c r="E411" s="210"/>
      <c r="F411" s="211"/>
      <c r="G411" s="173"/>
      <c r="H411" s="28">
        <f t="shared" si="13"/>
        <v>0</v>
      </c>
      <c r="I411" s="29">
        <f t="shared" si="14"/>
        <v>0</v>
      </c>
      <c r="J411" s="30">
        <f t="shared" si="15"/>
        <v>0</v>
      </c>
      <c r="K411" s="31">
        <f t="shared" si="16"/>
        <v>0</v>
      </c>
      <c r="L411" s="30">
        <f t="shared" si="17"/>
        <v>0</v>
      </c>
      <c r="M411" s="31">
        <f t="shared" si="18"/>
        <v>0</v>
      </c>
      <c r="N411" s="32"/>
      <c r="O411" s="33"/>
    </row>
    <row r="412" ht="15.75" customHeight="1">
      <c r="A412" s="139"/>
      <c r="B412" s="140"/>
      <c r="C412" s="61"/>
      <c r="D412" s="133"/>
      <c r="E412" s="210"/>
      <c r="F412" s="211"/>
      <c r="G412" s="173"/>
      <c r="H412" s="28">
        <f t="shared" si="13"/>
        <v>0</v>
      </c>
      <c r="I412" s="29">
        <f t="shared" si="14"/>
        <v>0</v>
      </c>
      <c r="J412" s="30">
        <f t="shared" si="15"/>
        <v>0</v>
      </c>
      <c r="K412" s="31">
        <f t="shared" si="16"/>
        <v>0</v>
      </c>
      <c r="L412" s="30">
        <f t="shared" si="17"/>
        <v>0</v>
      </c>
      <c r="M412" s="31">
        <f t="shared" si="18"/>
        <v>0</v>
      </c>
      <c r="N412" s="32"/>
      <c r="O412" s="33"/>
    </row>
    <row r="413" ht="15.75" customHeight="1">
      <c r="A413" s="139"/>
      <c r="B413" s="140"/>
      <c r="C413" s="61"/>
      <c r="D413" s="133"/>
      <c r="E413" s="210"/>
      <c r="F413" s="211"/>
      <c r="G413" s="173"/>
      <c r="H413" s="28">
        <f t="shared" si="13"/>
        <v>0</v>
      </c>
      <c r="I413" s="29">
        <f t="shared" si="14"/>
        <v>0</v>
      </c>
      <c r="J413" s="30">
        <f t="shared" si="15"/>
        <v>0</v>
      </c>
      <c r="K413" s="31">
        <f t="shared" si="16"/>
        <v>0</v>
      </c>
      <c r="L413" s="30">
        <f t="shared" si="17"/>
        <v>0</v>
      </c>
      <c r="M413" s="31">
        <f t="shared" si="18"/>
        <v>0</v>
      </c>
      <c r="N413" s="32"/>
      <c r="O413" s="33"/>
    </row>
    <row r="414" ht="15.75" customHeight="1">
      <c r="A414" s="139"/>
      <c r="B414" s="140"/>
      <c r="C414" s="61"/>
      <c r="D414" s="133"/>
      <c r="E414" s="210"/>
      <c r="F414" s="211"/>
      <c r="G414" s="173"/>
      <c r="H414" s="28">
        <f t="shared" si="13"/>
        <v>0</v>
      </c>
      <c r="I414" s="29">
        <f t="shared" si="14"/>
        <v>0</v>
      </c>
      <c r="J414" s="30">
        <f t="shared" si="15"/>
        <v>0</v>
      </c>
      <c r="K414" s="31">
        <f t="shared" si="16"/>
        <v>0</v>
      </c>
      <c r="L414" s="30">
        <f t="shared" si="17"/>
        <v>0</v>
      </c>
      <c r="M414" s="31">
        <f t="shared" si="18"/>
        <v>0</v>
      </c>
      <c r="N414" s="32"/>
      <c r="O414" s="33"/>
    </row>
    <row r="415" ht="15.75" customHeight="1">
      <c r="A415" s="139"/>
      <c r="B415" s="140"/>
      <c r="C415" s="61"/>
      <c r="D415" s="133"/>
      <c r="E415" s="210"/>
      <c r="F415" s="211"/>
      <c r="G415" s="173"/>
      <c r="H415" s="28">
        <f t="shared" si="13"/>
        <v>0</v>
      </c>
      <c r="I415" s="29">
        <f t="shared" si="14"/>
        <v>0</v>
      </c>
      <c r="J415" s="30">
        <f t="shared" si="15"/>
        <v>0</v>
      </c>
      <c r="K415" s="31">
        <f t="shared" si="16"/>
        <v>0</v>
      </c>
      <c r="L415" s="30">
        <f t="shared" si="17"/>
        <v>0</v>
      </c>
      <c r="M415" s="31">
        <f t="shared" si="18"/>
        <v>0</v>
      </c>
      <c r="N415" s="32"/>
      <c r="O415" s="33"/>
    </row>
    <row r="416" ht="15.75" customHeight="1">
      <c r="A416" s="139"/>
      <c r="B416" s="140"/>
      <c r="C416" s="61"/>
      <c r="D416" s="133"/>
      <c r="E416" s="210"/>
      <c r="F416" s="211"/>
      <c r="G416" s="173"/>
      <c r="H416" s="28">
        <f t="shared" si="13"/>
        <v>0</v>
      </c>
      <c r="I416" s="29">
        <f t="shared" si="14"/>
        <v>0</v>
      </c>
      <c r="J416" s="30">
        <f t="shared" si="15"/>
        <v>0</v>
      </c>
      <c r="K416" s="31">
        <f t="shared" si="16"/>
        <v>0</v>
      </c>
      <c r="L416" s="30">
        <f t="shared" si="17"/>
        <v>0</v>
      </c>
      <c r="M416" s="31">
        <f t="shared" si="18"/>
        <v>0</v>
      </c>
      <c r="N416" s="32"/>
      <c r="O416" s="33"/>
    </row>
    <row r="417" ht="15.75" customHeight="1">
      <c r="A417" s="139"/>
      <c r="B417" s="140"/>
      <c r="C417" s="61"/>
      <c r="D417" s="133"/>
      <c r="E417" s="210"/>
      <c r="F417" s="211"/>
      <c r="G417" s="173"/>
      <c r="H417" s="28">
        <f t="shared" si="13"/>
        <v>0</v>
      </c>
      <c r="I417" s="29">
        <f t="shared" si="14"/>
        <v>0</v>
      </c>
      <c r="J417" s="30">
        <f t="shared" si="15"/>
        <v>0</v>
      </c>
      <c r="K417" s="31">
        <f t="shared" si="16"/>
        <v>0</v>
      </c>
      <c r="L417" s="30">
        <f t="shared" si="17"/>
        <v>0</v>
      </c>
      <c r="M417" s="31">
        <f t="shared" si="18"/>
        <v>0</v>
      </c>
      <c r="N417" s="32"/>
      <c r="O417" s="33"/>
    </row>
    <row r="418" ht="15.75" customHeight="1">
      <c r="A418" s="139"/>
      <c r="B418" s="140"/>
      <c r="C418" s="61"/>
      <c r="D418" s="133"/>
      <c r="E418" s="210"/>
      <c r="F418" s="211"/>
      <c r="G418" s="173"/>
      <c r="H418" s="28">
        <f t="shared" si="13"/>
        <v>0</v>
      </c>
      <c r="I418" s="29">
        <f t="shared" si="14"/>
        <v>0</v>
      </c>
      <c r="J418" s="30">
        <f t="shared" si="15"/>
        <v>0</v>
      </c>
      <c r="K418" s="31">
        <f t="shared" si="16"/>
        <v>0</v>
      </c>
      <c r="L418" s="30">
        <f t="shared" si="17"/>
        <v>0</v>
      </c>
      <c r="M418" s="31">
        <f t="shared" si="18"/>
        <v>0</v>
      </c>
      <c r="N418" s="32"/>
      <c r="O418" s="33"/>
    </row>
    <row r="419" ht="15.75" customHeight="1">
      <c r="A419" s="139"/>
      <c r="B419" s="140"/>
      <c r="C419" s="61"/>
      <c r="D419" s="133"/>
      <c r="E419" s="210"/>
      <c r="F419" s="211"/>
      <c r="G419" s="173"/>
      <c r="H419" s="28">
        <f t="shared" si="13"/>
        <v>0</v>
      </c>
      <c r="I419" s="29">
        <f t="shared" si="14"/>
        <v>0</v>
      </c>
      <c r="J419" s="30">
        <f t="shared" si="15"/>
        <v>0</v>
      </c>
      <c r="K419" s="31">
        <f t="shared" si="16"/>
        <v>0</v>
      </c>
      <c r="L419" s="30">
        <f t="shared" si="17"/>
        <v>0</v>
      </c>
      <c r="M419" s="31">
        <f t="shared" si="18"/>
        <v>0</v>
      </c>
      <c r="N419" s="32"/>
      <c r="O419" s="33"/>
    </row>
    <row r="420" ht="15.75" customHeight="1">
      <c r="A420" s="139"/>
      <c r="B420" s="140"/>
      <c r="C420" s="61"/>
      <c r="D420" s="133"/>
      <c r="E420" s="210"/>
      <c r="F420" s="211"/>
      <c r="G420" s="173"/>
      <c r="H420" s="28">
        <f t="shared" si="13"/>
        <v>0</v>
      </c>
      <c r="I420" s="29">
        <f t="shared" si="14"/>
        <v>0</v>
      </c>
      <c r="J420" s="30">
        <f t="shared" si="15"/>
        <v>0</v>
      </c>
      <c r="K420" s="31">
        <f t="shared" si="16"/>
        <v>0</v>
      </c>
      <c r="L420" s="30">
        <f t="shared" si="17"/>
        <v>0</v>
      </c>
      <c r="M420" s="31">
        <f t="shared" si="18"/>
        <v>0</v>
      </c>
      <c r="N420" s="32"/>
      <c r="O420" s="33"/>
    </row>
    <row r="421" ht="15.75" customHeight="1">
      <c r="A421" s="139"/>
      <c r="B421" s="140"/>
      <c r="C421" s="61"/>
      <c r="D421" s="133"/>
      <c r="E421" s="210"/>
      <c r="F421" s="211"/>
      <c r="G421" s="173"/>
      <c r="H421" s="28">
        <f t="shared" si="13"/>
        <v>0</v>
      </c>
      <c r="I421" s="29">
        <f t="shared" si="14"/>
        <v>0</v>
      </c>
      <c r="J421" s="30">
        <f t="shared" si="15"/>
        <v>0</v>
      </c>
      <c r="K421" s="31">
        <f t="shared" si="16"/>
        <v>0</v>
      </c>
      <c r="L421" s="30">
        <f t="shared" si="17"/>
        <v>0</v>
      </c>
      <c r="M421" s="31">
        <f t="shared" si="18"/>
        <v>0</v>
      </c>
      <c r="N421" s="32"/>
      <c r="O421" s="33"/>
    </row>
    <row r="422" ht="15.75" customHeight="1">
      <c r="A422" s="139"/>
      <c r="B422" s="140"/>
      <c r="C422" s="61"/>
      <c r="D422" s="133"/>
      <c r="E422" s="210"/>
      <c r="F422" s="211"/>
      <c r="G422" s="173"/>
      <c r="H422" s="28">
        <f t="shared" si="13"/>
        <v>0</v>
      </c>
      <c r="I422" s="29">
        <f t="shared" si="14"/>
        <v>0</v>
      </c>
      <c r="J422" s="30">
        <f t="shared" si="15"/>
        <v>0</v>
      </c>
      <c r="K422" s="31">
        <f t="shared" si="16"/>
        <v>0</v>
      </c>
      <c r="L422" s="30">
        <f t="shared" si="17"/>
        <v>0</v>
      </c>
      <c r="M422" s="31">
        <f t="shared" si="18"/>
        <v>0</v>
      </c>
      <c r="N422" s="32"/>
      <c r="O422" s="33"/>
    </row>
    <row r="423" ht="15.75" customHeight="1">
      <c r="A423" s="139"/>
      <c r="B423" s="140"/>
      <c r="C423" s="61"/>
      <c r="D423" s="133"/>
      <c r="E423" s="210"/>
      <c r="F423" s="211"/>
      <c r="G423" s="173"/>
      <c r="H423" s="28">
        <f t="shared" si="13"/>
        <v>0</v>
      </c>
      <c r="I423" s="29">
        <f t="shared" si="14"/>
        <v>0</v>
      </c>
      <c r="J423" s="30">
        <f t="shared" si="15"/>
        <v>0</v>
      </c>
      <c r="K423" s="31">
        <f t="shared" si="16"/>
        <v>0</v>
      </c>
      <c r="L423" s="30">
        <f t="shared" si="17"/>
        <v>0</v>
      </c>
      <c r="M423" s="31">
        <f t="shared" si="18"/>
        <v>0</v>
      </c>
      <c r="N423" s="32"/>
      <c r="O423" s="33"/>
    </row>
    <row r="424" ht="15.75" customHeight="1">
      <c r="A424" s="139"/>
      <c r="B424" s="140"/>
      <c r="C424" s="61"/>
      <c r="D424" s="133"/>
      <c r="E424" s="210"/>
      <c r="F424" s="211"/>
      <c r="G424" s="173"/>
      <c r="H424" s="28">
        <f t="shared" si="13"/>
        <v>0</v>
      </c>
      <c r="I424" s="29">
        <f t="shared" si="14"/>
        <v>0</v>
      </c>
      <c r="J424" s="30">
        <f t="shared" si="15"/>
        <v>0</v>
      </c>
      <c r="K424" s="31">
        <f t="shared" si="16"/>
        <v>0</v>
      </c>
      <c r="L424" s="30">
        <f t="shared" si="17"/>
        <v>0</v>
      </c>
      <c r="M424" s="31">
        <f t="shared" si="18"/>
        <v>0</v>
      </c>
      <c r="N424" s="32"/>
      <c r="O424" s="33"/>
    </row>
    <row r="425" ht="15.75" customHeight="1">
      <c r="A425" s="139"/>
      <c r="B425" s="140"/>
      <c r="C425" s="61"/>
      <c r="D425" s="133"/>
      <c r="E425" s="210"/>
      <c r="F425" s="211"/>
      <c r="G425" s="173"/>
      <c r="H425" s="28">
        <f t="shared" si="13"/>
        <v>0</v>
      </c>
      <c r="I425" s="29">
        <f t="shared" si="14"/>
        <v>0</v>
      </c>
      <c r="J425" s="30">
        <f t="shared" si="15"/>
        <v>0</v>
      </c>
      <c r="K425" s="31">
        <f t="shared" si="16"/>
        <v>0</v>
      </c>
      <c r="L425" s="30">
        <f t="shared" si="17"/>
        <v>0</v>
      </c>
      <c r="M425" s="31">
        <f t="shared" si="18"/>
        <v>0</v>
      </c>
      <c r="N425" s="32"/>
      <c r="O425" s="33"/>
    </row>
    <row r="426" ht="15.75" customHeight="1">
      <c r="A426" s="139"/>
      <c r="B426" s="140"/>
      <c r="C426" s="61"/>
      <c r="D426" s="133"/>
      <c r="E426" s="210"/>
      <c r="F426" s="211"/>
      <c r="G426" s="173"/>
      <c r="H426" s="28">
        <f t="shared" si="13"/>
        <v>0</v>
      </c>
      <c r="I426" s="29">
        <f t="shared" si="14"/>
        <v>0</v>
      </c>
      <c r="J426" s="30">
        <f t="shared" si="15"/>
        <v>0</v>
      </c>
      <c r="K426" s="31">
        <f t="shared" si="16"/>
        <v>0</v>
      </c>
      <c r="L426" s="30">
        <f t="shared" si="17"/>
        <v>0</v>
      </c>
      <c r="M426" s="31">
        <f t="shared" si="18"/>
        <v>0</v>
      </c>
      <c r="N426" s="32"/>
      <c r="O426" s="33"/>
    </row>
    <row r="427" ht="15.75" customHeight="1">
      <c r="A427" s="139"/>
      <c r="B427" s="140"/>
      <c r="C427" s="61"/>
      <c r="D427" s="133"/>
      <c r="E427" s="210"/>
      <c r="F427" s="211"/>
      <c r="G427" s="173"/>
      <c r="H427" s="28">
        <f t="shared" si="13"/>
        <v>0</v>
      </c>
      <c r="I427" s="29">
        <f t="shared" si="14"/>
        <v>0</v>
      </c>
      <c r="J427" s="30">
        <f t="shared" si="15"/>
        <v>0</v>
      </c>
      <c r="K427" s="31">
        <f t="shared" si="16"/>
        <v>0</v>
      </c>
      <c r="L427" s="30">
        <f t="shared" si="17"/>
        <v>0</v>
      </c>
      <c r="M427" s="31">
        <f t="shared" si="18"/>
        <v>0</v>
      </c>
      <c r="N427" s="32"/>
      <c r="O427" s="33"/>
    </row>
    <row r="428" ht="15.75" customHeight="1">
      <c r="A428" s="139"/>
      <c r="B428" s="140"/>
      <c r="C428" s="61"/>
      <c r="D428" s="133"/>
      <c r="E428" s="210"/>
      <c r="F428" s="211"/>
      <c r="G428" s="173"/>
      <c r="H428" s="28">
        <f t="shared" si="13"/>
        <v>0</v>
      </c>
      <c r="I428" s="29">
        <f t="shared" si="14"/>
        <v>0</v>
      </c>
      <c r="J428" s="30">
        <f t="shared" si="15"/>
        <v>0</v>
      </c>
      <c r="K428" s="31">
        <f t="shared" si="16"/>
        <v>0</v>
      </c>
      <c r="L428" s="30">
        <f t="shared" si="17"/>
        <v>0</v>
      </c>
      <c r="M428" s="31">
        <f t="shared" si="18"/>
        <v>0</v>
      </c>
      <c r="N428" s="32"/>
      <c r="O428" s="33"/>
    </row>
    <row r="429" ht="15.75" customHeight="1">
      <c r="A429" s="139"/>
      <c r="B429" s="140"/>
      <c r="C429" s="61"/>
      <c r="D429" s="133"/>
      <c r="E429" s="210"/>
      <c r="F429" s="211"/>
      <c r="G429" s="173"/>
      <c r="H429" s="28">
        <f t="shared" si="13"/>
        <v>0</v>
      </c>
      <c r="I429" s="29">
        <f t="shared" si="14"/>
        <v>0</v>
      </c>
      <c r="J429" s="30">
        <f t="shared" si="15"/>
        <v>0</v>
      </c>
      <c r="K429" s="31">
        <f t="shared" si="16"/>
        <v>0</v>
      </c>
      <c r="L429" s="30">
        <f t="shared" si="17"/>
        <v>0</v>
      </c>
      <c r="M429" s="31">
        <f t="shared" si="18"/>
        <v>0</v>
      </c>
      <c r="N429" s="32"/>
      <c r="O429" s="33"/>
    </row>
    <row r="430" ht="15.75" customHeight="1">
      <c r="A430" s="139"/>
      <c r="B430" s="140"/>
      <c r="C430" s="61"/>
      <c r="D430" s="133"/>
      <c r="E430" s="210"/>
      <c r="F430" s="211"/>
      <c r="G430" s="173"/>
      <c r="H430" s="28">
        <f t="shared" si="13"/>
        <v>0</v>
      </c>
      <c r="I430" s="29">
        <f t="shared" si="14"/>
        <v>0</v>
      </c>
      <c r="J430" s="30">
        <f t="shared" si="15"/>
        <v>0</v>
      </c>
      <c r="K430" s="31">
        <f t="shared" si="16"/>
        <v>0</v>
      </c>
      <c r="L430" s="30">
        <f t="shared" si="17"/>
        <v>0</v>
      </c>
      <c r="M430" s="31">
        <f t="shared" si="18"/>
        <v>0</v>
      </c>
      <c r="N430" s="32"/>
      <c r="O430" s="33"/>
    </row>
    <row r="431" ht="15.75" customHeight="1">
      <c r="A431" s="139"/>
      <c r="B431" s="140"/>
      <c r="C431" s="61"/>
      <c r="D431" s="133"/>
      <c r="E431" s="210"/>
      <c r="F431" s="211"/>
      <c r="G431" s="173"/>
      <c r="H431" s="28">
        <f t="shared" si="13"/>
        <v>0</v>
      </c>
      <c r="I431" s="29">
        <f t="shared" si="14"/>
        <v>0</v>
      </c>
      <c r="J431" s="30">
        <f t="shared" si="15"/>
        <v>0</v>
      </c>
      <c r="K431" s="31">
        <f t="shared" si="16"/>
        <v>0</v>
      </c>
      <c r="L431" s="30">
        <f t="shared" si="17"/>
        <v>0</v>
      </c>
      <c r="M431" s="31">
        <f t="shared" si="18"/>
        <v>0</v>
      </c>
      <c r="N431" s="32"/>
      <c r="O431" s="33"/>
    </row>
    <row r="432" ht="15.75" customHeight="1">
      <c r="A432" s="139"/>
      <c r="B432" s="140"/>
      <c r="C432" s="61"/>
      <c r="D432" s="133"/>
      <c r="E432" s="210"/>
      <c r="F432" s="211"/>
      <c r="G432" s="173"/>
      <c r="H432" s="28">
        <f t="shared" si="13"/>
        <v>0</v>
      </c>
      <c r="I432" s="29">
        <f t="shared" si="14"/>
        <v>0</v>
      </c>
      <c r="J432" s="30">
        <f t="shared" si="15"/>
        <v>0</v>
      </c>
      <c r="K432" s="31">
        <f t="shared" si="16"/>
        <v>0</v>
      </c>
      <c r="L432" s="30">
        <f t="shared" si="17"/>
        <v>0</v>
      </c>
      <c r="M432" s="31">
        <f t="shared" si="18"/>
        <v>0</v>
      </c>
      <c r="N432" s="32"/>
      <c r="O432" s="33"/>
    </row>
    <row r="433" ht="15.75" customHeight="1">
      <c r="A433" s="139"/>
      <c r="B433" s="140"/>
      <c r="C433" s="61"/>
      <c r="D433" s="133"/>
      <c r="E433" s="210"/>
      <c r="F433" s="211"/>
      <c r="G433" s="173"/>
      <c r="H433" s="28">
        <f t="shared" si="13"/>
        <v>0</v>
      </c>
      <c r="I433" s="29">
        <f t="shared" si="14"/>
        <v>0</v>
      </c>
      <c r="J433" s="30">
        <f t="shared" si="15"/>
        <v>0</v>
      </c>
      <c r="K433" s="31">
        <f t="shared" si="16"/>
        <v>0</v>
      </c>
      <c r="L433" s="30">
        <f t="shared" si="17"/>
        <v>0</v>
      </c>
      <c r="M433" s="31">
        <f t="shared" si="18"/>
        <v>0</v>
      </c>
      <c r="N433" s="32"/>
      <c r="O433" s="33"/>
    </row>
    <row r="434" ht="15.75" customHeight="1">
      <c r="A434" s="139"/>
      <c r="B434" s="140"/>
      <c r="C434" s="61"/>
      <c r="D434" s="133"/>
      <c r="E434" s="210"/>
      <c r="F434" s="211"/>
      <c r="G434" s="173"/>
      <c r="H434" s="28">
        <f t="shared" si="13"/>
        <v>0</v>
      </c>
      <c r="I434" s="29">
        <f t="shared" si="14"/>
        <v>0</v>
      </c>
      <c r="J434" s="30">
        <f t="shared" si="15"/>
        <v>0</v>
      </c>
      <c r="K434" s="31">
        <f t="shared" si="16"/>
        <v>0</v>
      </c>
      <c r="L434" s="30">
        <f t="shared" si="17"/>
        <v>0</v>
      </c>
      <c r="M434" s="31">
        <f t="shared" si="18"/>
        <v>0</v>
      </c>
      <c r="N434" s="32"/>
      <c r="O434" s="33"/>
    </row>
    <row r="435" ht="15.75" customHeight="1">
      <c r="A435" s="139"/>
      <c r="B435" s="140"/>
      <c r="C435" s="61"/>
      <c r="D435" s="133"/>
      <c r="E435" s="210"/>
      <c r="F435" s="211"/>
      <c r="G435" s="173"/>
      <c r="H435" s="28">
        <f t="shared" si="13"/>
        <v>0</v>
      </c>
      <c r="I435" s="29">
        <f t="shared" si="14"/>
        <v>0</v>
      </c>
      <c r="J435" s="30">
        <f t="shared" si="15"/>
        <v>0</v>
      </c>
      <c r="K435" s="31">
        <f t="shared" si="16"/>
        <v>0</v>
      </c>
      <c r="L435" s="30">
        <f t="shared" si="17"/>
        <v>0</v>
      </c>
      <c r="M435" s="31">
        <f t="shared" si="18"/>
        <v>0</v>
      </c>
      <c r="N435" s="32"/>
      <c r="O435" s="33"/>
    </row>
    <row r="436" ht="15.75" customHeight="1">
      <c r="A436" s="139"/>
      <c r="B436" s="140"/>
      <c r="C436" s="61"/>
      <c r="D436" s="133"/>
      <c r="E436" s="210"/>
      <c r="F436" s="211"/>
      <c r="G436" s="173"/>
      <c r="H436" s="28">
        <f t="shared" si="13"/>
        <v>0</v>
      </c>
      <c r="I436" s="29">
        <f t="shared" si="14"/>
        <v>0</v>
      </c>
      <c r="J436" s="30">
        <f t="shared" si="15"/>
        <v>0</v>
      </c>
      <c r="K436" s="31">
        <f t="shared" si="16"/>
        <v>0</v>
      </c>
      <c r="L436" s="30">
        <f t="shared" si="17"/>
        <v>0</v>
      </c>
      <c r="M436" s="31">
        <f t="shared" si="18"/>
        <v>0</v>
      </c>
      <c r="N436" s="32"/>
      <c r="O436" s="33"/>
    </row>
    <row r="437" ht="15.75" customHeight="1">
      <c r="A437" s="139"/>
      <c r="B437" s="140"/>
      <c r="C437" s="61"/>
      <c r="D437" s="133"/>
      <c r="E437" s="210"/>
      <c r="F437" s="211"/>
      <c r="G437" s="173"/>
      <c r="H437" s="28">
        <f t="shared" si="13"/>
        <v>0</v>
      </c>
      <c r="I437" s="29">
        <f t="shared" si="14"/>
        <v>0</v>
      </c>
      <c r="J437" s="30">
        <f t="shared" si="15"/>
        <v>0</v>
      </c>
      <c r="K437" s="31">
        <f t="shared" si="16"/>
        <v>0</v>
      </c>
      <c r="L437" s="30">
        <f t="shared" si="17"/>
        <v>0</v>
      </c>
      <c r="M437" s="31">
        <f t="shared" si="18"/>
        <v>0</v>
      </c>
      <c r="N437" s="32"/>
      <c r="O437" s="33"/>
    </row>
    <row r="438" ht="15.75" customHeight="1">
      <c r="A438" s="139"/>
      <c r="B438" s="140"/>
      <c r="C438" s="61"/>
      <c r="D438" s="133"/>
      <c r="E438" s="210"/>
      <c r="F438" s="211"/>
      <c r="G438" s="173"/>
      <c r="H438" s="28">
        <f t="shared" si="13"/>
        <v>0</v>
      </c>
      <c r="I438" s="29">
        <f t="shared" si="14"/>
        <v>0</v>
      </c>
      <c r="J438" s="30">
        <f t="shared" si="15"/>
        <v>0</v>
      </c>
      <c r="K438" s="31">
        <f t="shared" si="16"/>
        <v>0</v>
      </c>
      <c r="L438" s="30">
        <f t="shared" si="17"/>
        <v>0</v>
      </c>
      <c r="M438" s="31">
        <f t="shared" si="18"/>
        <v>0</v>
      </c>
      <c r="N438" s="32"/>
      <c r="O438" s="33"/>
    </row>
    <row r="439" ht="15.75" customHeight="1">
      <c r="A439" s="139"/>
      <c r="B439" s="140"/>
      <c r="C439" s="61"/>
      <c r="D439" s="133"/>
      <c r="E439" s="210"/>
      <c r="F439" s="211"/>
      <c r="G439" s="173"/>
      <c r="H439" s="28">
        <f t="shared" si="13"/>
        <v>0</v>
      </c>
      <c r="I439" s="29">
        <f t="shared" si="14"/>
        <v>0</v>
      </c>
      <c r="J439" s="30">
        <f t="shared" si="15"/>
        <v>0</v>
      </c>
      <c r="K439" s="31">
        <f t="shared" si="16"/>
        <v>0</v>
      </c>
      <c r="L439" s="30">
        <f t="shared" si="17"/>
        <v>0</v>
      </c>
      <c r="M439" s="31">
        <f t="shared" si="18"/>
        <v>0</v>
      </c>
      <c r="N439" s="32"/>
      <c r="O439" s="33"/>
    </row>
    <row r="440" ht="15.75" customHeight="1">
      <c r="A440" s="139"/>
      <c r="B440" s="140"/>
      <c r="C440" s="61"/>
      <c r="D440" s="133"/>
      <c r="E440" s="210"/>
      <c r="F440" s="211"/>
      <c r="G440" s="173"/>
      <c r="H440" s="28">
        <f t="shared" si="13"/>
        <v>0</v>
      </c>
      <c r="I440" s="29">
        <f t="shared" si="14"/>
        <v>0</v>
      </c>
      <c r="J440" s="30">
        <f t="shared" si="15"/>
        <v>0</v>
      </c>
      <c r="K440" s="31">
        <f t="shared" si="16"/>
        <v>0</v>
      </c>
      <c r="L440" s="30">
        <f t="shared" si="17"/>
        <v>0</v>
      </c>
      <c r="M440" s="31">
        <f t="shared" si="18"/>
        <v>0</v>
      </c>
      <c r="N440" s="32"/>
      <c r="O440" s="33"/>
    </row>
    <row r="441" ht="15.75" customHeight="1">
      <c r="A441" s="139"/>
      <c r="B441" s="140"/>
      <c r="C441" s="61"/>
      <c r="D441" s="133"/>
      <c r="E441" s="210"/>
      <c r="F441" s="211"/>
      <c r="G441" s="173"/>
      <c r="H441" s="28">
        <f t="shared" si="13"/>
        <v>0</v>
      </c>
      <c r="I441" s="29">
        <f t="shared" si="14"/>
        <v>0</v>
      </c>
      <c r="J441" s="30">
        <f t="shared" si="15"/>
        <v>0</v>
      </c>
      <c r="K441" s="31">
        <f t="shared" si="16"/>
        <v>0</v>
      </c>
      <c r="L441" s="30">
        <f t="shared" si="17"/>
        <v>0</v>
      </c>
      <c r="M441" s="31">
        <f t="shared" si="18"/>
        <v>0</v>
      </c>
      <c r="N441" s="32"/>
      <c r="O441" s="33"/>
    </row>
    <row r="442" ht="15.75" customHeight="1">
      <c r="A442" s="139"/>
      <c r="B442" s="140"/>
      <c r="C442" s="61"/>
      <c r="D442" s="133"/>
      <c r="E442" s="210"/>
      <c r="F442" s="211"/>
      <c r="G442" s="173"/>
      <c r="H442" s="28">
        <f t="shared" si="13"/>
        <v>0</v>
      </c>
      <c r="I442" s="29">
        <f t="shared" si="14"/>
        <v>0</v>
      </c>
      <c r="J442" s="30">
        <f t="shared" si="15"/>
        <v>0</v>
      </c>
      <c r="K442" s="31">
        <f t="shared" si="16"/>
        <v>0</v>
      </c>
      <c r="L442" s="30">
        <f t="shared" si="17"/>
        <v>0</v>
      </c>
      <c r="M442" s="31">
        <f t="shared" si="18"/>
        <v>0</v>
      </c>
      <c r="N442" s="32"/>
      <c r="O442" s="33"/>
    </row>
    <row r="443" ht="15.75" customHeight="1">
      <c r="A443" s="139"/>
      <c r="B443" s="140"/>
      <c r="C443" s="61"/>
      <c r="D443" s="133"/>
      <c r="E443" s="210"/>
      <c r="F443" s="211"/>
      <c r="G443" s="173"/>
      <c r="H443" s="28">
        <f t="shared" si="13"/>
        <v>0</v>
      </c>
      <c r="I443" s="29">
        <f t="shared" si="14"/>
        <v>0</v>
      </c>
      <c r="J443" s="30">
        <f t="shared" si="15"/>
        <v>0</v>
      </c>
      <c r="K443" s="31">
        <f t="shared" si="16"/>
        <v>0</v>
      </c>
      <c r="L443" s="30">
        <f t="shared" si="17"/>
        <v>0</v>
      </c>
      <c r="M443" s="31">
        <f t="shared" si="18"/>
        <v>0</v>
      </c>
      <c r="N443" s="32"/>
      <c r="O443" s="33"/>
    </row>
    <row r="444" ht="15.75" customHeight="1">
      <c r="A444" s="139"/>
      <c r="B444" s="140"/>
      <c r="C444" s="61"/>
      <c r="D444" s="133"/>
      <c r="E444" s="210"/>
      <c r="F444" s="211"/>
      <c r="G444" s="173"/>
      <c r="H444" s="28">
        <f t="shared" si="13"/>
        <v>0</v>
      </c>
      <c r="I444" s="29">
        <f t="shared" si="14"/>
        <v>0</v>
      </c>
      <c r="J444" s="30">
        <f t="shared" si="15"/>
        <v>0</v>
      </c>
      <c r="K444" s="31">
        <f t="shared" si="16"/>
        <v>0</v>
      </c>
      <c r="L444" s="30">
        <f t="shared" si="17"/>
        <v>0</v>
      </c>
      <c r="M444" s="31">
        <f t="shared" si="18"/>
        <v>0</v>
      </c>
      <c r="N444" s="32"/>
      <c r="O444" s="33"/>
    </row>
    <row r="445" ht="15.75" customHeight="1">
      <c r="A445" s="139"/>
      <c r="B445" s="140"/>
      <c r="C445" s="61"/>
      <c r="D445" s="133"/>
      <c r="E445" s="210"/>
      <c r="F445" s="211"/>
      <c r="G445" s="173"/>
      <c r="H445" s="28">
        <f t="shared" si="13"/>
        <v>0</v>
      </c>
      <c r="I445" s="29">
        <f t="shared" si="14"/>
        <v>0</v>
      </c>
      <c r="J445" s="30">
        <f t="shared" si="15"/>
        <v>0</v>
      </c>
      <c r="K445" s="31">
        <f t="shared" si="16"/>
        <v>0</v>
      </c>
      <c r="L445" s="30">
        <f t="shared" si="17"/>
        <v>0</v>
      </c>
      <c r="M445" s="31">
        <f t="shared" si="18"/>
        <v>0</v>
      </c>
      <c r="N445" s="32"/>
      <c r="O445" s="33"/>
    </row>
    <row r="446" ht="15.75" customHeight="1">
      <c r="A446" s="139"/>
      <c r="B446" s="140"/>
      <c r="C446" s="61"/>
      <c r="D446" s="133"/>
      <c r="E446" s="210"/>
      <c r="F446" s="211"/>
      <c r="G446" s="173"/>
      <c r="H446" s="28">
        <f t="shared" si="13"/>
        <v>0</v>
      </c>
      <c r="I446" s="29">
        <f t="shared" si="14"/>
        <v>0</v>
      </c>
      <c r="J446" s="30">
        <f t="shared" si="15"/>
        <v>0</v>
      </c>
      <c r="K446" s="31">
        <f t="shared" si="16"/>
        <v>0</v>
      </c>
      <c r="L446" s="30">
        <f t="shared" si="17"/>
        <v>0</v>
      </c>
      <c r="M446" s="31">
        <f t="shared" si="18"/>
        <v>0</v>
      </c>
      <c r="N446" s="32"/>
      <c r="O446" s="33"/>
    </row>
    <row r="447" ht="15.75" customHeight="1">
      <c r="A447" s="139"/>
      <c r="B447" s="140"/>
      <c r="C447" s="61"/>
      <c r="D447" s="133"/>
      <c r="E447" s="210"/>
      <c r="F447" s="211"/>
      <c r="G447" s="173"/>
      <c r="H447" s="28">
        <f t="shared" si="13"/>
        <v>0</v>
      </c>
      <c r="I447" s="29">
        <f t="shared" si="14"/>
        <v>0</v>
      </c>
      <c r="J447" s="30">
        <f t="shared" si="15"/>
        <v>0</v>
      </c>
      <c r="K447" s="31">
        <f t="shared" si="16"/>
        <v>0</v>
      </c>
      <c r="L447" s="30">
        <f t="shared" si="17"/>
        <v>0</v>
      </c>
      <c r="M447" s="31">
        <f t="shared" si="18"/>
        <v>0</v>
      </c>
      <c r="N447" s="32"/>
      <c r="O447" s="33"/>
    </row>
    <row r="448" ht="15.75" customHeight="1">
      <c r="A448" s="139"/>
      <c r="B448" s="140"/>
      <c r="C448" s="61"/>
      <c r="D448" s="133"/>
      <c r="E448" s="210"/>
      <c r="F448" s="211"/>
      <c r="G448" s="173"/>
      <c r="H448" s="28">
        <f t="shared" si="13"/>
        <v>0</v>
      </c>
      <c r="I448" s="29">
        <f t="shared" si="14"/>
        <v>0</v>
      </c>
      <c r="J448" s="30">
        <f t="shared" si="15"/>
        <v>0</v>
      </c>
      <c r="K448" s="31">
        <f t="shared" si="16"/>
        <v>0</v>
      </c>
      <c r="L448" s="30">
        <f t="shared" si="17"/>
        <v>0</v>
      </c>
      <c r="M448" s="31">
        <f t="shared" si="18"/>
        <v>0</v>
      </c>
      <c r="N448" s="32"/>
      <c r="O448" s="33"/>
    </row>
    <row r="449" ht="15.75" customHeight="1">
      <c r="A449" s="139"/>
      <c r="B449" s="140"/>
      <c r="C449" s="61"/>
      <c r="D449" s="133"/>
      <c r="E449" s="210"/>
      <c r="F449" s="211"/>
      <c r="G449" s="173"/>
      <c r="H449" s="28">
        <f t="shared" si="13"/>
        <v>0</v>
      </c>
      <c r="I449" s="29">
        <f t="shared" si="14"/>
        <v>0</v>
      </c>
      <c r="J449" s="30">
        <f t="shared" si="15"/>
        <v>0</v>
      </c>
      <c r="K449" s="31">
        <f t="shared" si="16"/>
        <v>0</v>
      </c>
      <c r="L449" s="30">
        <f t="shared" si="17"/>
        <v>0</v>
      </c>
      <c r="M449" s="31">
        <f t="shared" si="18"/>
        <v>0</v>
      </c>
      <c r="N449" s="32"/>
      <c r="O449" s="33"/>
    </row>
    <row r="450" ht="15.75" customHeight="1">
      <c r="A450" s="139"/>
      <c r="B450" s="140"/>
      <c r="C450" s="61"/>
      <c r="D450" s="133"/>
      <c r="E450" s="210"/>
      <c r="F450" s="211"/>
      <c r="G450" s="173"/>
      <c r="H450" s="28">
        <f t="shared" si="13"/>
        <v>0</v>
      </c>
      <c r="I450" s="29">
        <f t="shared" si="14"/>
        <v>0</v>
      </c>
      <c r="J450" s="30">
        <f t="shared" si="15"/>
        <v>0</v>
      </c>
      <c r="K450" s="31">
        <f t="shared" si="16"/>
        <v>0</v>
      </c>
      <c r="L450" s="30">
        <f t="shared" si="17"/>
        <v>0</v>
      </c>
      <c r="M450" s="31">
        <f t="shared" si="18"/>
        <v>0</v>
      </c>
      <c r="N450" s="32"/>
      <c r="O450" s="33"/>
    </row>
    <row r="451" ht="15.75" customHeight="1">
      <c r="A451" s="139"/>
      <c r="B451" s="140"/>
      <c r="C451" s="61"/>
      <c r="D451" s="133"/>
      <c r="E451" s="210"/>
      <c r="F451" s="211"/>
      <c r="G451" s="173"/>
      <c r="H451" s="28">
        <f t="shared" si="13"/>
        <v>0</v>
      </c>
      <c r="I451" s="29">
        <f t="shared" si="14"/>
        <v>0</v>
      </c>
      <c r="J451" s="30">
        <f t="shared" si="15"/>
        <v>0</v>
      </c>
      <c r="K451" s="31">
        <f t="shared" si="16"/>
        <v>0</v>
      </c>
      <c r="L451" s="30">
        <f t="shared" si="17"/>
        <v>0</v>
      </c>
      <c r="M451" s="31">
        <f t="shared" si="18"/>
        <v>0</v>
      </c>
      <c r="N451" s="32"/>
      <c r="O451" s="33"/>
    </row>
    <row r="452" ht="15.75" customHeight="1">
      <c r="A452" s="139"/>
      <c r="B452" s="140"/>
      <c r="C452" s="61"/>
      <c r="D452" s="133"/>
      <c r="E452" s="210"/>
      <c r="F452" s="211"/>
      <c r="G452" s="173"/>
      <c r="H452" s="28">
        <f t="shared" si="13"/>
        <v>0</v>
      </c>
      <c r="I452" s="29">
        <f t="shared" si="14"/>
        <v>0</v>
      </c>
      <c r="J452" s="30">
        <f t="shared" si="15"/>
        <v>0</v>
      </c>
      <c r="K452" s="31">
        <f t="shared" si="16"/>
        <v>0</v>
      </c>
      <c r="L452" s="30">
        <f t="shared" si="17"/>
        <v>0</v>
      </c>
      <c r="M452" s="31">
        <f t="shared" si="18"/>
        <v>0</v>
      </c>
      <c r="N452" s="32"/>
      <c r="O452" s="33"/>
    </row>
    <row r="453" ht="15.75" customHeight="1">
      <c r="A453" s="139"/>
      <c r="B453" s="140"/>
      <c r="C453" s="61"/>
      <c r="D453" s="133"/>
      <c r="E453" s="210"/>
      <c r="F453" s="211"/>
      <c r="G453" s="173"/>
      <c r="H453" s="28">
        <f t="shared" si="13"/>
        <v>0</v>
      </c>
      <c r="I453" s="29">
        <f t="shared" si="14"/>
        <v>0</v>
      </c>
      <c r="J453" s="30">
        <f t="shared" si="15"/>
        <v>0</v>
      </c>
      <c r="K453" s="31">
        <f t="shared" si="16"/>
        <v>0</v>
      </c>
      <c r="L453" s="30">
        <f t="shared" si="17"/>
        <v>0</v>
      </c>
      <c r="M453" s="31">
        <f t="shared" si="18"/>
        <v>0</v>
      </c>
      <c r="N453" s="32"/>
      <c r="O453" s="33"/>
    </row>
    <row r="454" ht="15.75" customHeight="1">
      <c r="A454" s="139"/>
      <c r="B454" s="140"/>
      <c r="C454" s="61"/>
      <c r="D454" s="133"/>
      <c r="E454" s="210"/>
      <c r="F454" s="211"/>
      <c r="G454" s="173"/>
      <c r="H454" s="28">
        <f t="shared" si="13"/>
        <v>0</v>
      </c>
      <c r="I454" s="29">
        <f t="shared" si="14"/>
        <v>0</v>
      </c>
      <c r="J454" s="30">
        <f t="shared" si="15"/>
        <v>0</v>
      </c>
      <c r="K454" s="31">
        <f t="shared" si="16"/>
        <v>0</v>
      </c>
      <c r="L454" s="30">
        <f t="shared" si="17"/>
        <v>0</v>
      </c>
      <c r="M454" s="31">
        <f t="shared" si="18"/>
        <v>0</v>
      </c>
      <c r="N454" s="32"/>
      <c r="O454" s="33"/>
    </row>
    <row r="455" ht="15.75" customHeight="1">
      <c r="A455" s="139"/>
      <c r="B455" s="140"/>
      <c r="C455" s="61"/>
      <c r="D455" s="133"/>
      <c r="E455" s="210"/>
      <c r="F455" s="211"/>
      <c r="G455" s="173"/>
      <c r="H455" s="28">
        <f t="shared" si="13"/>
        <v>0</v>
      </c>
      <c r="I455" s="29">
        <f t="shared" si="14"/>
        <v>0</v>
      </c>
      <c r="J455" s="30">
        <f t="shared" si="15"/>
        <v>0</v>
      </c>
      <c r="K455" s="31">
        <f t="shared" si="16"/>
        <v>0</v>
      </c>
      <c r="L455" s="30">
        <f t="shared" si="17"/>
        <v>0</v>
      </c>
      <c r="M455" s="31">
        <f t="shared" si="18"/>
        <v>0</v>
      </c>
      <c r="N455" s="32"/>
      <c r="O455" s="33"/>
    </row>
    <row r="456" ht="15.75" customHeight="1">
      <c r="A456" s="139"/>
      <c r="B456" s="140"/>
      <c r="C456" s="61"/>
      <c r="D456" s="133"/>
      <c r="E456" s="210"/>
      <c r="F456" s="211"/>
      <c r="G456" s="173"/>
      <c r="H456" s="28">
        <f t="shared" si="13"/>
        <v>0</v>
      </c>
      <c r="I456" s="29">
        <f t="shared" si="14"/>
        <v>0</v>
      </c>
      <c r="J456" s="30">
        <f t="shared" si="15"/>
        <v>0</v>
      </c>
      <c r="K456" s="31">
        <f t="shared" si="16"/>
        <v>0</v>
      </c>
      <c r="L456" s="30">
        <f t="shared" si="17"/>
        <v>0</v>
      </c>
      <c r="M456" s="31">
        <f t="shared" si="18"/>
        <v>0</v>
      </c>
      <c r="N456" s="32"/>
      <c r="O456" s="33"/>
    </row>
    <row r="457" ht="15.75" customHeight="1">
      <c r="A457" s="139"/>
      <c r="B457" s="140"/>
      <c r="C457" s="61"/>
      <c r="D457" s="133"/>
      <c r="E457" s="210"/>
      <c r="F457" s="211"/>
      <c r="G457" s="173"/>
      <c r="H457" s="28">
        <f t="shared" si="13"/>
        <v>0</v>
      </c>
      <c r="I457" s="29">
        <f t="shared" si="14"/>
        <v>0</v>
      </c>
      <c r="J457" s="30">
        <f t="shared" si="15"/>
        <v>0</v>
      </c>
      <c r="K457" s="31">
        <f t="shared" si="16"/>
        <v>0</v>
      </c>
      <c r="L457" s="30">
        <f t="shared" si="17"/>
        <v>0</v>
      </c>
      <c r="M457" s="31">
        <f t="shared" si="18"/>
        <v>0</v>
      </c>
      <c r="N457" s="32"/>
      <c r="O457" s="33"/>
    </row>
    <row r="458" ht="15.75" customHeight="1">
      <c r="A458" s="139"/>
      <c r="B458" s="140"/>
      <c r="C458" s="61"/>
      <c r="D458" s="133"/>
      <c r="E458" s="210"/>
      <c r="F458" s="211"/>
      <c r="G458" s="173"/>
      <c r="H458" s="28">
        <f t="shared" si="13"/>
        <v>0</v>
      </c>
      <c r="I458" s="29">
        <f t="shared" si="14"/>
        <v>0</v>
      </c>
      <c r="J458" s="30">
        <f t="shared" si="15"/>
        <v>0</v>
      </c>
      <c r="K458" s="31">
        <f t="shared" si="16"/>
        <v>0</v>
      </c>
      <c r="L458" s="30">
        <f t="shared" si="17"/>
        <v>0</v>
      </c>
      <c r="M458" s="31">
        <f t="shared" si="18"/>
        <v>0</v>
      </c>
      <c r="N458" s="32"/>
      <c r="O458" s="33"/>
    </row>
    <row r="459" ht="15.75" customHeight="1">
      <c r="A459" s="139"/>
      <c r="B459" s="140"/>
      <c r="C459" s="61"/>
      <c r="D459" s="133"/>
      <c r="E459" s="210"/>
      <c r="F459" s="211"/>
      <c r="G459" s="173"/>
      <c r="H459" s="28">
        <f t="shared" si="13"/>
        <v>0</v>
      </c>
      <c r="I459" s="29">
        <f t="shared" si="14"/>
        <v>0</v>
      </c>
      <c r="J459" s="30">
        <f t="shared" si="15"/>
        <v>0</v>
      </c>
      <c r="K459" s="31">
        <f t="shared" si="16"/>
        <v>0</v>
      </c>
      <c r="L459" s="30">
        <f t="shared" si="17"/>
        <v>0</v>
      </c>
      <c r="M459" s="31">
        <f t="shared" si="18"/>
        <v>0</v>
      </c>
      <c r="N459" s="32"/>
      <c r="O459" s="33"/>
    </row>
    <row r="460" ht="15.75" customHeight="1">
      <c r="A460" s="139"/>
      <c r="B460" s="140"/>
      <c r="C460" s="61"/>
      <c r="D460" s="133"/>
      <c r="E460" s="210"/>
      <c r="F460" s="211"/>
      <c r="G460" s="173"/>
      <c r="H460" s="28">
        <f t="shared" si="13"/>
        <v>0</v>
      </c>
      <c r="I460" s="29">
        <f t="shared" si="14"/>
        <v>0</v>
      </c>
      <c r="J460" s="30">
        <f t="shared" si="15"/>
        <v>0</v>
      </c>
      <c r="K460" s="31">
        <f t="shared" si="16"/>
        <v>0</v>
      </c>
      <c r="L460" s="30">
        <f t="shared" si="17"/>
        <v>0</v>
      </c>
      <c r="M460" s="31">
        <f t="shared" si="18"/>
        <v>0</v>
      </c>
      <c r="N460" s="32"/>
      <c r="O460" s="33"/>
    </row>
    <row r="461" ht="15.75" customHeight="1">
      <c r="A461" s="139"/>
      <c r="B461" s="140"/>
      <c r="C461" s="61"/>
      <c r="D461" s="133"/>
      <c r="E461" s="210"/>
      <c r="F461" s="211"/>
      <c r="G461" s="173"/>
      <c r="H461" s="28">
        <f t="shared" si="13"/>
        <v>0</v>
      </c>
      <c r="I461" s="29">
        <f t="shared" si="14"/>
        <v>0</v>
      </c>
      <c r="J461" s="30">
        <f t="shared" si="15"/>
        <v>0</v>
      </c>
      <c r="K461" s="31">
        <f t="shared" si="16"/>
        <v>0</v>
      </c>
      <c r="L461" s="30">
        <f t="shared" si="17"/>
        <v>0</v>
      </c>
      <c r="M461" s="31">
        <f t="shared" si="18"/>
        <v>0</v>
      </c>
      <c r="N461" s="32"/>
      <c r="O461" s="33"/>
    </row>
    <row r="462" ht="15.75" customHeight="1">
      <c r="A462" s="139"/>
      <c r="B462" s="140"/>
      <c r="C462" s="61"/>
      <c r="D462" s="133"/>
      <c r="E462" s="210"/>
      <c r="F462" s="211"/>
      <c r="G462" s="173"/>
      <c r="H462" s="28">
        <f t="shared" si="13"/>
        <v>0</v>
      </c>
      <c r="I462" s="29">
        <f t="shared" si="14"/>
        <v>0</v>
      </c>
      <c r="J462" s="30">
        <f t="shared" si="15"/>
        <v>0</v>
      </c>
      <c r="K462" s="31">
        <f t="shared" si="16"/>
        <v>0</v>
      </c>
      <c r="L462" s="30">
        <f t="shared" si="17"/>
        <v>0</v>
      </c>
      <c r="M462" s="31">
        <f t="shared" si="18"/>
        <v>0</v>
      </c>
      <c r="N462" s="32"/>
      <c r="O462" s="33"/>
    </row>
    <row r="463" ht="15.75" customHeight="1">
      <c r="A463" s="139"/>
      <c r="B463" s="140"/>
      <c r="C463" s="61"/>
      <c r="D463" s="133"/>
      <c r="E463" s="210"/>
      <c r="F463" s="211"/>
      <c r="G463" s="173"/>
      <c r="H463" s="28">
        <f t="shared" si="13"/>
        <v>0</v>
      </c>
      <c r="I463" s="29">
        <f t="shared" si="14"/>
        <v>0</v>
      </c>
      <c r="J463" s="30">
        <f t="shared" si="15"/>
        <v>0</v>
      </c>
      <c r="K463" s="31">
        <f t="shared" si="16"/>
        <v>0</v>
      </c>
      <c r="L463" s="30">
        <f t="shared" si="17"/>
        <v>0</v>
      </c>
      <c r="M463" s="31">
        <f t="shared" si="18"/>
        <v>0</v>
      </c>
      <c r="N463" s="32"/>
      <c r="O463" s="33"/>
    </row>
    <row r="464" ht="15.75" customHeight="1">
      <c r="A464" s="139"/>
      <c r="B464" s="140"/>
      <c r="C464" s="61"/>
      <c r="D464" s="133"/>
      <c r="E464" s="210"/>
      <c r="F464" s="211"/>
      <c r="G464" s="173"/>
      <c r="H464" s="28">
        <f t="shared" si="13"/>
        <v>0</v>
      </c>
      <c r="I464" s="29">
        <f t="shared" si="14"/>
        <v>0</v>
      </c>
      <c r="J464" s="30">
        <f t="shared" si="15"/>
        <v>0</v>
      </c>
      <c r="K464" s="31">
        <f t="shared" si="16"/>
        <v>0</v>
      </c>
      <c r="L464" s="30">
        <f t="shared" si="17"/>
        <v>0</v>
      </c>
      <c r="M464" s="31">
        <f t="shared" si="18"/>
        <v>0</v>
      </c>
      <c r="N464" s="32"/>
      <c r="O464" s="33"/>
    </row>
    <row r="465" ht="15.75" customHeight="1">
      <c r="A465" s="139"/>
      <c r="B465" s="140"/>
      <c r="C465" s="61"/>
      <c r="D465" s="133"/>
      <c r="E465" s="210"/>
      <c r="F465" s="211"/>
      <c r="G465" s="173"/>
      <c r="H465" s="28">
        <f t="shared" si="13"/>
        <v>0</v>
      </c>
      <c r="I465" s="29">
        <f t="shared" si="14"/>
        <v>0</v>
      </c>
      <c r="J465" s="30">
        <f t="shared" si="15"/>
        <v>0</v>
      </c>
      <c r="K465" s="31">
        <f t="shared" si="16"/>
        <v>0</v>
      </c>
      <c r="L465" s="30">
        <f t="shared" si="17"/>
        <v>0</v>
      </c>
      <c r="M465" s="31">
        <f t="shared" si="18"/>
        <v>0</v>
      </c>
      <c r="N465" s="32"/>
      <c r="O465" s="33"/>
    </row>
    <row r="466" ht="15.75" customHeight="1">
      <c r="A466" s="139"/>
      <c r="B466" s="140"/>
      <c r="C466" s="61"/>
      <c r="D466" s="133"/>
      <c r="E466" s="210"/>
      <c r="F466" s="211"/>
      <c r="G466" s="173"/>
      <c r="H466" s="28">
        <f t="shared" si="13"/>
        <v>0</v>
      </c>
      <c r="I466" s="29">
        <f t="shared" si="14"/>
        <v>0</v>
      </c>
      <c r="J466" s="30">
        <f t="shared" si="15"/>
        <v>0</v>
      </c>
      <c r="K466" s="31">
        <f t="shared" si="16"/>
        <v>0</v>
      </c>
      <c r="L466" s="30">
        <f t="shared" si="17"/>
        <v>0</v>
      </c>
      <c r="M466" s="31">
        <f t="shared" si="18"/>
        <v>0</v>
      </c>
      <c r="N466" s="32"/>
      <c r="O466" s="33"/>
    </row>
    <row r="467" ht="15.75" customHeight="1">
      <c r="A467" s="139"/>
      <c r="B467" s="140"/>
      <c r="C467" s="61"/>
      <c r="D467" s="133"/>
      <c r="E467" s="210"/>
      <c r="F467" s="211"/>
      <c r="G467" s="173"/>
      <c r="H467" s="28">
        <f t="shared" si="13"/>
        <v>0</v>
      </c>
      <c r="I467" s="29">
        <f t="shared" si="14"/>
        <v>0</v>
      </c>
      <c r="J467" s="30">
        <f t="shared" si="15"/>
        <v>0</v>
      </c>
      <c r="K467" s="31">
        <f t="shared" si="16"/>
        <v>0</v>
      </c>
      <c r="L467" s="30">
        <f t="shared" si="17"/>
        <v>0</v>
      </c>
      <c r="M467" s="31">
        <f t="shared" si="18"/>
        <v>0</v>
      </c>
      <c r="N467" s="32"/>
      <c r="O467" s="33"/>
    </row>
    <row r="468" ht="15.75" customHeight="1">
      <c r="A468" s="139"/>
      <c r="B468" s="140"/>
      <c r="C468" s="61"/>
      <c r="D468" s="133"/>
      <c r="E468" s="210"/>
      <c r="F468" s="211"/>
      <c r="G468" s="173"/>
      <c r="H468" s="28">
        <f t="shared" si="13"/>
        <v>0</v>
      </c>
      <c r="I468" s="29">
        <f t="shared" si="14"/>
        <v>0</v>
      </c>
      <c r="J468" s="30">
        <f t="shared" si="15"/>
        <v>0</v>
      </c>
      <c r="K468" s="31">
        <f t="shared" si="16"/>
        <v>0</v>
      </c>
      <c r="L468" s="30">
        <f t="shared" si="17"/>
        <v>0</v>
      </c>
      <c r="M468" s="31">
        <f t="shared" si="18"/>
        <v>0</v>
      </c>
      <c r="N468" s="32"/>
      <c r="O468" s="33"/>
    </row>
    <row r="469" ht="15.75" customHeight="1">
      <c r="A469" s="139"/>
      <c r="B469" s="140"/>
      <c r="C469" s="61"/>
      <c r="D469" s="133"/>
      <c r="E469" s="210"/>
      <c r="F469" s="211"/>
      <c r="G469" s="173"/>
      <c r="H469" s="28">
        <f t="shared" si="13"/>
        <v>0</v>
      </c>
      <c r="I469" s="29">
        <f t="shared" si="14"/>
        <v>0</v>
      </c>
      <c r="J469" s="30">
        <f t="shared" si="15"/>
        <v>0</v>
      </c>
      <c r="K469" s="31">
        <f t="shared" si="16"/>
        <v>0</v>
      </c>
      <c r="L469" s="30">
        <f t="shared" si="17"/>
        <v>0</v>
      </c>
      <c r="M469" s="31">
        <f t="shared" si="18"/>
        <v>0</v>
      </c>
      <c r="N469" s="32"/>
      <c r="O469" s="33"/>
    </row>
    <row r="470" ht="15.75" customHeight="1">
      <c r="A470" s="139"/>
      <c r="B470" s="140"/>
      <c r="C470" s="61"/>
      <c r="D470" s="133"/>
      <c r="E470" s="210"/>
      <c r="F470" s="211"/>
      <c r="G470" s="173"/>
      <c r="H470" s="28">
        <f t="shared" si="13"/>
        <v>0</v>
      </c>
      <c r="I470" s="29">
        <f t="shared" si="14"/>
        <v>0</v>
      </c>
      <c r="J470" s="30">
        <f t="shared" si="15"/>
        <v>0</v>
      </c>
      <c r="K470" s="31">
        <f t="shared" si="16"/>
        <v>0</v>
      </c>
      <c r="L470" s="30">
        <f t="shared" si="17"/>
        <v>0</v>
      </c>
      <c r="M470" s="31">
        <f t="shared" si="18"/>
        <v>0</v>
      </c>
      <c r="N470" s="32"/>
      <c r="O470" s="33"/>
    </row>
    <row r="471" ht="15.75" customHeight="1">
      <c r="A471" s="139"/>
      <c r="B471" s="140"/>
      <c r="C471" s="61"/>
      <c r="D471" s="133"/>
      <c r="E471" s="210"/>
      <c r="F471" s="211"/>
      <c r="G471" s="173"/>
      <c r="H471" s="28">
        <f t="shared" si="13"/>
        <v>0</v>
      </c>
      <c r="I471" s="29">
        <f t="shared" si="14"/>
        <v>0</v>
      </c>
      <c r="J471" s="30">
        <f t="shared" si="15"/>
        <v>0</v>
      </c>
      <c r="K471" s="31">
        <f t="shared" si="16"/>
        <v>0</v>
      </c>
      <c r="L471" s="30">
        <f t="shared" si="17"/>
        <v>0</v>
      </c>
      <c r="M471" s="31">
        <f t="shared" si="18"/>
        <v>0</v>
      </c>
      <c r="N471" s="32"/>
      <c r="O471" s="33"/>
    </row>
    <row r="472" ht="15.75" customHeight="1">
      <c r="A472" s="139"/>
      <c r="B472" s="140"/>
      <c r="C472" s="61"/>
      <c r="D472" s="133"/>
      <c r="E472" s="210"/>
      <c r="F472" s="211"/>
      <c r="G472" s="173"/>
      <c r="H472" s="28">
        <f t="shared" si="13"/>
        <v>0</v>
      </c>
      <c r="I472" s="29">
        <f t="shared" si="14"/>
        <v>0</v>
      </c>
      <c r="J472" s="30">
        <f t="shared" si="15"/>
        <v>0</v>
      </c>
      <c r="K472" s="31">
        <f t="shared" si="16"/>
        <v>0</v>
      </c>
      <c r="L472" s="30">
        <f t="shared" si="17"/>
        <v>0</v>
      </c>
      <c r="M472" s="31">
        <f t="shared" si="18"/>
        <v>0</v>
      </c>
      <c r="N472" s="32"/>
      <c r="O472" s="33"/>
    </row>
    <row r="473" ht="15.75" customHeight="1">
      <c r="A473" s="139"/>
      <c r="B473" s="140"/>
      <c r="C473" s="61"/>
      <c r="D473" s="133"/>
      <c r="E473" s="210"/>
      <c r="F473" s="211"/>
      <c r="G473" s="173"/>
      <c r="H473" s="28">
        <f t="shared" si="13"/>
        <v>0</v>
      </c>
      <c r="I473" s="29">
        <f t="shared" si="14"/>
        <v>0</v>
      </c>
      <c r="J473" s="30">
        <f t="shared" si="15"/>
        <v>0</v>
      </c>
      <c r="K473" s="31">
        <f t="shared" si="16"/>
        <v>0</v>
      </c>
      <c r="L473" s="30">
        <f t="shared" si="17"/>
        <v>0</v>
      </c>
      <c r="M473" s="31">
        <f t="shared" si="18"/>
        <v>0</v>
      </c>
      <c r="N473" s="32"/>
      <c r="O473" s="33"/>
    </row>
    <row r="474" ht="15.75" customHeight="1">
      <c r="A474" s="139"/>
      <c r="B474" s="140"/>
      <c r="C474" s="61"/>
      <c r="D474" s="133"/>
      <c r="E474" s="210"/>
      <c r="F474" s="211"/>
      <c r="G474" s="173"/>
      <c r="H474" s="28">
        <f t="shared" si="13"/>
        <v>0</v>
      </c>
      <c r="I474" s="29">
        <f t="shared" si="14"/>
        <v>0</v>
      </c>
      <c r="J474" s="30">
        <f t="shared" si="15"/>
        <v>0</v>
      </c>
      <c r="K474" s="31">
        <f t="shared" si="16"/>
        <v>0</v>
      </c>
      <c r="L474" s="30">
        <f t="shared" si="17"/>
        <v>0</v>
      </c>
      <c r="M474" s="31">
        <f t="shared" si="18"/>
        <v>0</v>
      </c>
      <c r="N474" s="32"/>
      <c r="O474" s="33"/>
    </row>
    <row r="475" ht="15.75" customHeight="1">
      <c r="A475" s="139"/>
      <c r="B475" s="140"/>
      <c r="C475" s="61"/>
      <c r="D475" s="133"/>
      <c r="E475" s="210"/>
      <c r="F475" s="211"/>
      <c r="G475" s="173"/>
      <c r="H475" s="28">
        <f t="shared" si="13"/>
        <v>0</v>
      </c>
      <c r="I475" s="29">
        <f t="shared" si="14"/>
        <v>0</v>
      </c>
      <c r="J475" s="30">
        <f t="shared" si="15"/>
        <v>0</v>
      </c>
      <c r="K475" s="31">
        <f t="shared" si="16"/>
        <v>0</v>
      </c>
      <c r="L475" s="30">
        <f t="shared" si="17"/>
        <v>0</v>
      </c>
      <c r="M475" s="31">
        <f t="shared" si="18"/>
        <v>0</v>
      </c>
      <c r="N475" s="32"/>
      <c r="O475" s="33"/>
    </row>
    <row r="476" ht="15.75" customHeight="1">
      <c r="A476" s="139"/>
      <c r="B476" s="140"/>
      <c r="C476" s="61"/>
      <c r="D476" s="133"/>
      <c r="E476" s="210"/>
      <c r="F476" s="211"/>
      <c r="G476" s="173"/>
      <c r="H476" s="28">
        <f t="shared" si="13"/>
        <v>0</v>
      </c>
      <c r="I476" s="29">
        <f t="shared" si="14"/>
        <v>0</v>
      </c>
      <c r="J476" s="30">
        <f t="shared" si="15"/>
        <v>0</v>
      </c>
      <c r="K476" s="31">
        <f t="shared" si="16"/>
        <v>0</v>
      </c>
      <c r="L476" s="30">
        <f t="shared" si="17"/>
        <v>0</v>
      </c>
      <c r="M476" s="31">
        <f t="shared" si="18"/>
        <v>0</v>
      </c>
      <c r="N476" s="32"/>
      <c r="O476" s="33"/>
    </row>
    <row r="477" ht="15.75" customHeight="1">
      <c r="A477" s="139"/>
      <c r="B477" s="140"/>
      <c r="C477" s="61"/>
      <c r="D477" s="133"/>
      <c r="E477" s="210"/>
      <c r="F477" s="211"/>
      <c r="G477" s="173"/>
      <c r="H477" s="28">
        <f t="shared" si="13"/>
        <v>0</v>
      </c>
      <c r="I477" s="29">
        <f t="shared" si="14"/>
        <v>0</v>
      </c>
      <c r="J477" s="30">
        <f t="shared" si="15"/>
        <v>0</v>
      </c>
      <c r="K477" s="31">
        <f t="shared" si="16"/>
        <v>0</v>
      </c>
      <c r="L477" s="30">
        <f t="shared" si="17"/>
        <v>0</v>
      </c>
      <c r="M477" s="31">
        <f t="shared" si="18"/>
        <v>0</v>
      </c>
      <c r="N477" s="32"/>
      <c r="O477" s="33"/>
    </row>
    <row r="478" ht="15.75" customHeight="1">
      <c r="A478" s="139"/>
      <c r="B478" s="140"/>
      <c r="C478" s="61"/>
      <c r="D478" s="133"/>
      <c r="E478" s="210"/>
      <c r="F478" s="211"/>
      <c r="G478" s="173"/>
      <c r="H478" s="28">
        <f t="shared" si="13"/>
        <v>0</v>
      </c>
      <c r="I478" s="29">
        <f t="shared" si="14"/>
        <v>0</v>
      </c>
      <c r="J478" s="30">
        <f t="shared" si="15"/>
        <v>0</v>
      </c>
      <c r="K478" s="31">
        <f t="shared" si="16"/>
        <v>0</v>
      </c>
      <c r="L478" s="30">
        <f t="shared" si="17"/>
        <v>0</v>
      </c>
      <c r="M478" s="31">
        <f t="shared" si="18"/>
        <v>0</v>
      </c>
      <c r="N478" s="32"/>
      <c r="O478" s="33"/>
    </row>
    <row r="479" ht="15.75" customHeight="1">
      <c r="A479" s="139"/>
      <c r="B479" s="140"/>
      <c r="C479" s="61"/>
      <c r="D479" s="133"/>
      <c r="E479" s="210"/>
      <c r="F479" s="211"/>
      <c r="G479" s="173"/>
      <c r="H479" s="28">
        <f t="shared" si="13"/>
        <v>0</v>
      </c>
      <c r="I479" s="29">
        <f t="shared" si="14"/>
        <v>0</v>
      </c>
      <c r="J479" s="30">
        <f t="shared" si="15"/>
        <v>0</v>
      </c>
      <c r="K479" s="31">
        <f t="shared" si="16"/>
        <v>0</v>
      </c>
      <c r="L479" s="30">
        <f t="shared" si="17"/>
        <v>0</v>
      </c>
      <c r="M479" s="31">
        <f t="shared" si="18"/>
        <v>0</v>
      </c>
      <c r="N479" s="32"/>
      <c r="O479" s="33"/>
    </row>
    <row r="480" ht="15.75" customHeight="1">
      <c r="A480" s="139"/>
      <c r="B480" s="140"/>
      <c r="C480" s="61"/>
      <c r="D480" s="133"/>
      <c r="E480" s="210"/>
      <c r="F480" s="211"/>
      <c r="G480" s="173"/>
      <c r="H480" s="28">
        <f t="shared" si="13"/>
        <v>0</v>
      </c>
      <c r="I480" s="29">
        <f t="shared" si="14"/>
        <v>0</v>
      </c>
      <c r="J480" s="30">
        <f t="shared" si="15"/>
        <v>0</v>
      </c>
      <c r="K480" s="31">
        <f t="shared" si="16"/>
        <v>0</v>
      </c>
      <c r="L480" s="30">
        <f t="shared" si="17"/>
        <v>0</v>
      </c>
      <c r="M480" s="31">
        <f t="shared" si="18"/>
        <v>0</v>
      </c>
      <c r="N480" s="32"/>
      <c r="O480" s="33"/>
    </row>
    <row r="481" ht="15.75" customHeight="1">
      <c r="A481" s="139"/>
      <c r="B481" s="140"/>
      <c r="C481" s="61"/>
      <c r="D481" s="133"/>
      <c r="E481" s="210"/>
      <c r="F481" s="211"/>
      <c r="G481" s="173"/>
      <c r="H481" s="28">
        <f t="shared" si="13"/>
        <v>0</v>
      </c>
      <c r="I481" s="29">
        <f t="shared" si="14"/>
        <v>0</v>
      </c>
      <c r="J481" s="30">
        <f t="shared" si="15"/>
        <v>0</v>
      </c>
      <c r="K481" s="31">
        <f t="shared" si="16"/>
        <v>0</v>
      </c>
      <c r="L481" s="30">
        <f t="shared" si="17"/>
        <v>0</v>
      </c>
      <c r="M481" s="31">
        <f t="shared" si="18"/>
        <v>0</v>
      </c>
      <c r="N481" s="32"/>
      <c r="O481" s="33"/>
    </row>
    <row r="482" ht="15.75" customHeight="1">
      <c r="A482" s="139"/>
      <c r="B482" s="140"/>
      <c r="C482" s="61"/>
      <c r="D482" s="133"/>
      <c r="E482" s="210"/>
      <c r="F482" s="211"/>
      <c r="G482" s="173"/>
      <c r="H482" s="28">
        <f t="shared" si="13"/>
        <v>0</v>
      </c>
      <c r="I482" s="29">
        <f t="shared" si="14"/>
        <v>0</v>
      </c>
      <c r="J482" s="30">
        <f t="shared" si="15"/>
        <v>0</v>
      </c>
      <c r="K482" s="31">
        <f t="shared" si="16"/>
        <v>0</v>
      </c>
      <c r="L482" s="30">
        <f t="shared" si="17"/>
        <v>0</v>
      </c>
      <c r="M482" s="31">
        <f t="shared" si="18"/>
        <v>0</v>
      </c>
      <c r="N482" s="32"/>
      <c r="O482" s="33"/>
    </row>
    <row r="483" ht="15.75" customHeight="1">
      <c r="A483" s="139"/>
      <c r="B483" s="140"/>
      <c r="C483" s="61"/>
      <c r="D483" s="133"/>
      <c r="E483" s="210"/>
      <c r="F483" s="211"/>
      <c r="G483" s="173"/>
      <c r="H483" s="28">
        <f t="shared" si="13"/>
        <v>0</v>
      </c>
      <c r="I483" s="29">
        <f t="shared" si="14"/>
        <v>0</v>
      </c>
      <c r="J483" s="30">
        <f t="shared" si="15"/>
        <v>0</v>
      </c>
      <c r="K483" s="31">
        <f t="shared" si="16"/>
        <v>0</v>
      </c>
      <c r="L483" s="30">
        <f t="shared" si="17"/>
        <v>0</v>
      </c>
      <c r="M483" s="31">
        <f t="shared" si="18"/>
        <v>0</v>
      </c>
      <c r="N483" s="32"/>
      <c r="O483" s="33"/>
    </row>
    <row r="484" ht="15.75" customHeight="1">
      <c r="A484" s="139"/>
      <c r="B484" s="140"/>
      <c r="C484" s="61"/>
      <c r="D484" s="133"/>
      <c r="E484" s="210"/>
      <c r="F484" s="211"/>
      <c r="G484" s="173"/>
      <c r="H484" s="28">
        <f t="shared" si="13"/>
        <v>0</v>
      </c>
      <c r="I484" s="29">
        <f t="shared" si="14"/>
        <v>0</v>
      </c>
      <c r="J484" s="30">
        <f t="shared" si="15"/>
        <v>0</v>
      </c>
      <c r="K484" s="31">
        <f t="shared" si="16"/>
        <v>0</v>
      </c>
      <c r="L484" s="30">
        <f t="shared" si="17"/>
        <v>0</v>
      </c>
      <c r="M484" s="31">
        <f t="shared" si="18"/>
        <v>0</v>
      </c>
      <c r="N484" s="32"/>
      <c r="O484" s="33"/>
    </row>
    <row r="485" ht="15.75" customHeight="1">
      <c r="A485" s="139"/>
      <c r="B485" s="140"/>
      <c r="C485" s="61"/>
      <c r="D485" s="133"/>
      <c r="E485" s="210"/>
      <c r="F485" s="211"/>
      <c r="G485" s="173"/>
      <c r="H485" s="28">
        <f t="shared" si="13"/>
        <v>0</v>
      </c>
      <c r="I485" s="29">
        <f t="shared" si="14"/>
        <v>0</v>
      </c>
      <c r="J485" s="30">
        <f t="shared" si="15"/>
        <v>0</v>
      </c>
      <c r="K485" s="31">
        <f t="shared" si="16"/>
        <v>0</v>
      </c>
      <c r="L485" s="30">
        <f t="shared" si="17"/>
        <v>0</v>
      </c>
      <c r="M485" s="31">
        <f t="shared" si="18"/>
        <v>0</v>
      </c>
      <c r="N485" s="32"/>
      <c r="O485" s="33"/>
    </row>
    <row r="486" ht="15.75" customHeight="1">
      <c r="A486" s="139"/>
      <c r="B486" s="140"/>
      <c r="C486" s="61"/>
      <c r="D486" s="133"/>
      <c r="E486" s="210"/>
      <c r="F486" s="211"/>
      <c r="G486" s="173"/>
      <c r="H486" s="96"/>
      <c r="I486" s="97"/>
      <c r="J486" s="98"/>
      <c r="K486" s="99"/>
      <c r="L486" s="98"/>
      <c r="M486" s="99"/>
      <c r="N486" s="32"/>
      <c r="O486" s="33"/>
    </row>
    <row r="487" ht="15.75" customHeight="1">
      <c r="A487" s="139"/>
      <c r="B487" s="140"/>
      <c r="C487" s="61"/>
      <c r="D487" s="133"/>
      <c r="E487" s="210"/>
      <c r="F487" s="211"/>
      <c r="G487" s="173"/>
      <c r="H487" s="96"/>
      <c r="I487" s="97"/>
      <c r="J487" s="98"/>
      <c r="K487" s="99"/>
      <c r="L487" s="98"/>
      <c r="M487" s="99"/>
      <c r="N487" s="32"/>
      <c r="O487" s="33"/>
    </row>
    <row r="488" ht="15.75" customHeight="1">
      <c r="A488" s="139"/>
      <c r="B488" s="140"/>
      <c r="C488" s="61"/>
      <c r="D488" s="133"/>
      <c r="E488" s="210"/>
      <c r="F488" s="211"/>
      <c r="G488" s="173"/>
      <c r="H488" s="96"/>
      <c r="I488" s="97"/>
      <c r="J488" s="98"/>
      <c r="K488" s="99"/>
      <c r="L488" s="98"/>
      <c r="M488" s="99"/>
      <c r="N488" s="32"/>
      <c r="O488" s="33"/>
    </row>
    <row r="489" ht="15.75" customHeight="1">
      <c r="A489" s="139"/>
      <c r="B489" s="140"/>
      <c r="C489" s="61"/>
      <c r="D489" s="133"/>
      <c r="E489" s="210"/>
      <c r="F489" s="211"/>
      <c r="G489" s="173"/>
      <c r="H489" s="96"/>
      <c r="I489" s="97"/>
      <c r="J489" s="98"/>
      <c r="K489" s="99"/>
      <c r="L489" s="98"/>
      <c r="M489" s="99"/>
      <c r="N489" s="32"/>
      <c r="O489" s="33"/>
    </row>
    <row r="490" ht="15.75" customHeight="1">
      <c r="A490" s="139"/>
      <c r="B490" s="140"/>
      <c r="C490" s="61"/>
      <c r="D490" s="133"/>
      <c r="E490" s="210"/>
      <c r="F490" s="211"/>
      <c r="G490" s="173"/>
      <c r="H490" s="96"/>
      <c r="I490" s="97"/>
      <c r="J490" s="98"/>
      <c r="K490" s="99"/>
      <c r="L490" s="98"/>
      <c r="M490" s="99"/>
      <c r="N490" s="32"/>
      <c r="O490" s="33"/>
    </row>
    <row r="491" ht="15.75" customHeight="1">
      <c r="A491" s="139"/>
      <c r="B491" s="140"/>
      <c r="C491" s="61"/>
      <c r="D491" s="133"/>
      <c r="E491" s="210"/>
      <c r="F491" s="211"/>
      <c r="G491" s="173"/>
      <c r="H491" s="96"/>
      <c r="I491" s="97"/>
      <c r="J491" s="98"/>
      <c r="K491" s="99"/>
      <c r="L491" s="98"/>
      <c r="M491" s="99"/>
      <c r="N491" s="32"/>
      <c r="O491" s="33"/>
    </row>
    <row r="492" ht="15.75" customHeight="1">
      <c r="A492" s="139"/>
      <c r="B492" s="140"/>
      <c r="C492" s="61"/>
      <c r="D492" s="133"/>
      <c r="E492" s="210"/>
      <c r="F492" s="211"/>
      <c r="G492" s="173"/>
      <c r="H492" s="96"/>
      <c r="I492" s="97"/>
      <c r="J492" s="98"/>
      <c r="K492" s="99"/>
      <c r="L492" s="98"/>
      <c r="M492" s="99"/>
      <c r="N492" s="32"/>
      <c r="O492" s="33"/>
    </row>
    <row r="493" ht="15.75" customHeight="1">
      <c r="A493" s="139"/>
      <c r="B493" s="140"/>
      <c r="C493" s="61"/>
      <c r="D493" s="133"/>
      <c r="E493" s="210"/>
      <c r="F493" s="211"/>
      <c r="G493" s="173"/>
      <c r="H493" s="96"/>
      <c r="I493" s="97"/>
      <c r="J493" s="98"/>
      <c r="K493" s="99"/>
      <c r="L493" s="98"/>
      <c r="M493" s="99"/>
      <c r="N493" s="32"/>
      <c r="O493" s="33"/>
    </row>
    <row r="494" ht="15.75" customHeight="1">
      <c r="A494" s="139"/>
      <c r="B494" s="140"/>
      <c r="C494" s="61"/>
      <c r="D494" s="133"/>
      <c r="E494" s="210"/>
      <c r="F494" s="211"/>
      <c r="G494" s="173"/>
      <c r="H494" s="96"/>
      <c r="I494" s="97"/>
      <c r="J494" s="98"/>
      <c r="K494" s="99"/>
      <c r="L494" s="98"/>
      <c r="M494" s="99"/>
      <c r="N494" s="32"/>
      <c r="O494" s="33"/>
    </row>
    <row r="495" ht="15.75" customHeight="1">
      <c r="A495" s="139"/>
      <c r="B495" s="140"/>
      <c r="C495" s="61"/>
      <c r="D495" s="133"/>
      <c r="E495" s="210"/>
      <c r="F495" s="211"/>
      <c r="G495" s="173"/>
      <c r="H495" s="96"/>
      <c r="I495" s="97"/>
      <c r="J495" s="98"/>
      <c r="K495" s="99"/>
      <c r="L495" s="98"/>
      <c r="M495" s="99"/>
      <c r="N495" s="32"/>
      <c r="O495" s="33"/>
    </row>
    <row r="496" ht="15.75" customHeight="1">
      <c r="A496" s="139"/>
      <c r="B496" s="140"/>
      <c r="C496" s="61"/>
      <c r="D496" s="133"/>
      <c r="E496" s="210"/>
      <c r="F496" s="211"/>
      <c r="G496" s="173"/>
      <c r="H496" s="96"/>
      <c r="I496" s="97"/>
      <c r="J496" s="98"/>
      <c r="K496" s="99"/>
      <c r="L496" s="98"/>
      <c r="M496" s="99"/>
      <c r="N496" s="32"/>
      <c r="O496" s="33"/>
    </row>
    <row r="497" ht="15.75" customHeight="1">
      <c r="A497" s="139"/>
      <c r="B497" s="140"/>
      <c r="C497" s="61"/>
      <c r="D497" s="133"/>
      <c r="E497" s="210"/>
      <c r="F497" s="211"/>
      <c r="G497" s="173"/>
      <c r="H497" s="96"/>
      <c r="I497" s="97"/>
      <c r="J497" s="98"/>
      <c r="K497" s="99"/>
      <c r="L497" s="98"/>
      <c r="M497" s="99"/>
      <c r="N497" s="32"/>
      <c r="O497" s="33"/>
    </row>
    <row r="498" ht="15.75" customHeight="1">
      <c r="A498" s="139"/>
      <c r="B498" s="140"/>
      <c r="C498" s="61"/>
      <c r="D498" s="133"/>
      <c r="E498" s="210"/>
      <c r="F498" s="211"/>
      <c r="G498" s="173"/>
      <c r="H498" s="96"/>
      <c r="I498" s="97"/>
      <c r="J498" s="98"/>
      <c r="K498" s="99"/>
      <c r="L498" s="98"/>
      <c r="M498" s="99"/>
      <c r="N498" s="32"/>
      <c r="O498" s="33"/>
    </row>
    <row r="499" ht="15.75" customHeight="1">
      <c r="A499" s="139"/>
      <c r="B499" s="140"/>
      <c r="C499" s="61"/>
      <c r="D499" s="133"/>
      <c r="E499" s="210"/>
      <c r="F499" s="211"/>
      <c r="G499" s="173"/>
      <c r="H499" s="96"/>
      <c r="I499" s="97"/>
      <c r="J499" s="98"/>
      <c r="K499" s="99"/>
      <c r="L499" s="98"/>
      <c r="M499" s="99"/>
      <c r="N499" s="32"/>
      <c r="O499" s="33"/>
    </row>
    <row r="500" ht="15.75" customHeight="1">
      <c r="A500" s="139"/>
      <c r="B500" s="140"/>
      <c r="C500" s="61"/>
      <c r="D500" s="133"/>
      <c r="E500" s="210"/>
      <c r="F500" s="211"/>
      <c r="G500" s="173"/>
      <c r="H500" s="96"/>
      <c r="I500" s="97"/>
      <c r="J500" s="98"/>
      <c r="K500" s="99"/>
      <c r="L500" s="98"/>
      <c r="M500" s="99"/>
      <c r="N500" s="32"/>
      <c r="O500" s="33"/>
    </row>
    <row r="501" ht="15.75" customHeight="1">
      <c r="A501" s="139"/>
      <c r="B501" s="140"/>
      <c r="C501" s="61"/>
      <c r="D501" s="133"/>
      <c r="E501" s="210"/>
      <c r="F501" s="211"/>
      <c r="G501" s="173"/>
      <c r="H501" s="96"/>
      <c r="I501" s="97"/>
      <c r="J501" s="98"/>
      <c r="K501" s="99"/>
      <c r="L501" s="98"/>
      <c r="M501" s="99"/>
      <c r="N501" s="32"/>
      <c r="O501" s="33"/>
    </row>
    <row r="502" ht="15.75" customHeight="1">
      <c r="A502" s="142"/>
      <c r="B502" s="143"/>
      <c r="C502" s="144"/>
      <c r="D502" s="145"/>
      <c r="E502" s="212"/>
      <c r="F502" s="212"/>
      <c r="G502" s="174"/>
      <c r="H502" s="148"/>
      <c r="I502" s="148"/>
      <c r="J502" s="149"/>
      <c r="K502" s="149"/>
      <c r="L502" s="149"/>
      <c r="M502" s="149"/>
      <c r="N502" s="142"/>
      <c r="O502" s="33"/>
    </row>
    <row r="503" ht="15.75" customHeight="1">
      <c r="A503" s="142"/>
      <c r="B503" s="143"/>
      <c r="C503" s="144"/>
      <c r="D503" s="145"/>
      <c r="E503" s="212"/>
      <c r="F503" s="212"/>
      <c r="G503" s="174"/>
      <c r="H503" s="148"/>
      <c r="I503" s="148"/>
      <c r="J503" s="149"/>
      <c r="K503" s="149"/>
      <c r="L503" s="149"/>
      <c r="M503" s="149"/>
      <c r="N503" s="142"/>
      <c r="O503" s="33"/>
    </row>
    <row r="504" ht="15.75" customHeight="1">
      <c r="A504" s="142"/>
      <c r="B504" s="143"/>
      <c r="C504" s="144"/>
      <c r="D504" s="145"/>
      <c r="E504" s="212"/>
      <c r="F504" s="212"/>
      <c r="G504" s="174"/>
      <c r="H504" s="148"/>
      <c r="I504" s="148"/>
      <c r="J504" s="149"/>
      <c r="K504" s="149"/>
      <c r="L504" s="149"/>
      <c r="M504" s="149"/>
      <c r="N504" s="142"/>
      <c r="O504" s="33"/>
    </row>
    <row r="505" ht="15.75" customHeight="1">
      <c r="A505" s="142"/>
      <c r="B505" s="143"/>
      <c r="C505" s="144"/>
      <c r="D505" s="145"/>
      <c r="E505" s="212"/>
      <c r="F505" s="212"/>
      <c r="G505" s="174"/>
      <c r="H505" s="148"/>
      <c r="I505" s="148"/>
      <c r="J505" s="149"/>
      <c r="K505" s="149"/>
      <c r="L505" s="149"/>
      <c r="M505" s="149"/>
      <c r="N505" s="142"/>
      <c r="O505" s="33"/>
    </row>
    <row r="506" ht="15.75" customHeight="1">
      <c r="A506" s="142"/>
      <c r="B506" s="143"/>
      <c r="C506" s="144"/>
      <c r="D506" s="145"/>
      <c r="E506" s="212"/>
      <c r="F506" s="212"/>
      <c r="G506" s="174"/>
      <c r="H506" s="148"/>
      <c r="I506" s="148"/>
      <c r="J506" s="149"/>
      <c r="K506" s="149"/>
      <c r="L506" s="149"/>
      <c r="M506" s="149"/>
      <c r="N506" s="142"/>
      <c r="O506" s="33"/>
    </row>
    <row r="507" ht="15.75" customHeight="1">
      <c r="A507" s="142"/>
      <c r="B507" s="143"/>
      <c r="C507" s="144"/>
      <c r="D507" s="145"/>
      <c r="E507" s="212"/>
      <c r="F507" s="212"/>
      <c r="G507" s="174"/>
      <c r="H507" s="148"/>
      <c r="I507" s="148"/>
      <c r="J507" s="149"/>
      <c r="K507" s="149"/>
      <c r="L507" s="149"/>
      <c r="M507" s="149"/>
      <c r="N507" s="142"/>
      <c r="O507" s="33"/>
    </row>
    <row r="508" ht="15.75" customHeight="1">
      <c r="A508" s="142"/>
      <c r="B508" s="143"/>
      <c r="C508" s="144"/>
      <c r="D508" s="145"/>
      <c r="E508" s="212"/>
      <c r="F508" s="212"/>
      <c r="G508" s="174"/>
      <c r="H508" s="148"/>
      <c r="I508" s="148"/>
      <c r="J508" s="149"/>
      <c r="K508" s="149"/>
      <c r="L508" s="149"/>
      <c r="M508" s="149"/>
      <c r="N508" s="142"/>
      <c r="O508" s="33"/>
    </row>
    <row r="509" ht="15.75" customHeight="1">
      <c r="A509" s="142"/>
      <c r="B509" s="143"/>
      <c r="C509" s="144"/>
      <c r="D509" s="145"/>
      <c r="E509" s="212"/>
      <c r="F509" s="212"/>
      <c r="G509" s="174"/>
      <c r="H509" s="148"/>
      <c r="I509" s="148"/>
      <c r="J509" s="149"/>
      <c r="K509" s="149"/>
      <c r="L509" s="149"/>
      <c r="M509" s="149"/>
      <c r="N509" s="142"/>
      <c r="O509" s="33"/>
    </row>
    <row r="510" ht="15.75" customHeight="1">
      <c r="A510" s="142"/>
      <c r="B510" s="143"/>
      <c r="C510" s="144"/>
      <c r="D510" s="145"/>
      <c r="E510" s="212"/>
      <c r="F510" s="212"/>
      <c r="G510" s="174"/>
      <c r="H510" s="148"/>
      <c r="I510" s="148"/>
      <c r="J510" s="149"/>
      <c r="K510" s="149"/>
      <c r="L510" s="149"/>
      <c r="M510" s="149"/>
      <c r="N510" s="142"/>
      <c r="O510" s="33"/>
    </row>
    <row r="511" ht="15.75" customHeight="1">
      <c r="A511" s="142"/>
      <c r="B511" s="143"/>
      <c r="C511" s="144"/>
      <c r="D511" s="145"/>
      <c r="E511" s="212"/>
      <c r="F511" s="212"/>
      <c r="G511" s="174"/>
      <c r="H511" s="148"/>
      <c r="I511" s="148"/>
      <c r="J511" s="149"/>
      <c r="K511" s="149"/>
      <c r="L511" s="149"/>
      <c r="M511" s="149"/>
      <c r="N511" s="142"/>
      <c r="O511" s="33"/>
    </row>
    <row r="512" ht="15.75" customHeight="1">
      <c r="A512" s="142"/>
      <c r="B512" s="143"/>
      <c r="C512" s="144"/>
      <c r="D512" s="145"/>
      <c r="E512" s="212"/>
      <c r="F512" s="212"/>
      <c r="G512" s="174"/>
      <c r="H512" s="148"/>
      <c r="I512" s="148"/>
      <c r="J512" s="149"/>
      <c r="K512" s="149"/>
      <c r="L512" s="149"/>
      <c r="M512" s="149"/>
      <c r="N512" s="142"/>
      <c r="O512" s="33"/>
    </row>
    <row r="513" ht="15.75" customHeight="1">
      <c r="A513" s="142"/>
      <c r="B513" s="143"/>
      <c r="C513" s="144"/>
      <c r="D513" s="145"/>
      <c r="E513" s="212"/>
      <c r="F513" s="212"/>
      <c r="G513" s="174"/>
      <c r="H513" s="148"/>
      <c r="I513" s="148"/>
      <c r="J513" s="149"/>
      <c r="K513" s="149"/>
      <c r="L513" s="149"/>
      <c r="M513" s="149"/>
      <c r="N513" s="142"/>
      <c r="O513" s="33"/>
    </row>
    <row r="514" ht="15.75" customHeight="1">
      <c r="A514" s="142"/>
      <c r="B514" s="143"/>
      <c r="C514" s="144"/>
      <c r="D514" s="145"/>
      <c r="E514" s="212"/>
      <c r="F514" s="212"/>
      <c r="G514" s="174"/>
      <c r="H514" s="148"/>
      <c r="I514" s="148"/>
      <c r="J514" s="149"/>
      <c r="K514" s="149"/>
      <c r="L514" s="149"/>
      <c r="M514" s="149"/>
      <c r="N514" s="142"/>
      <c r="O514" s="33"/>
    </row>
    <row r="515" ht="15.75" customHeight="1">
      <c r="A515" s="142"/>
      <c r="B515" s="143"/>
      <c r="C515" s="144"/>
      <c r="D515" s="145"/>
      <c r="E515" s="212"/>
      <c r="F515" s="212"/>
      <c r="G515" s="174"/>
      <c r="H515" s="148"/>
      <c r="I515" s="148"/>
      <c r="J515" s="149"/>
      <c r="K515" s="149"/>
      <c r="L515" s="149"/>
      <c r="M515" s="149"/>
      <c r="N515" s="142"/>
      <c r="O515" s="33"/>
    </row>
    <row r="516" ht="15.75" customHeight="1">
      <c r="A516" s="142"/>
      <c r="B516" s="143"/>
      <c r="C516" s="144"/>
      <c r="D516" s="145"/>
      <c r="E516" s="212"/>
      <c r="F516" s="212"/>
      <c r="G516" s="174"/>
      <c r="H516" s="148"/>
      <c r="I516" s="148"/>
      <c r="J516" s="149"/>
      <c r="K516" s="149"/>
      <c r="L516" s="149"/>
      <c r="M516" s="149"/>
      <c r="N516" s="142"/>
      <c r="O516" s="33"/>
    </row>
    <row r="517" ht="15.75" customHeight="1">
      <c r="A517" s="142"/>
      <c r="B517" s="143"/>
      <c r="C517" s="144"/>
      <c r="D517" s="145"/>
      <c r="E517" s="212"/>
      <c r="F517" s="212"/>
      <c r="G517" s="174"/>
      <c r="H517" s="148"/>
      <c r="I517" s="148"/>
      <c r="J517" s="149"/>
      <c r="K517" s="149"/>
      <c r="L517" s="149"/>
      <c r="M517" s="149"/>
      <c r="N517" s="142"/>
      <c r="O517" s="33"/>
    </row>
    <row r="518" ht="15.75" customHeight="1">
      <c r="A518" s="142"/>
      <c r="B518" s="143"/>
      <c r="C518" s="144"/>
      <c r="D518" s="145"/>
      <c r="E518" s="212"/>
      <c r="F518" s="212"/>
      <c r="G518" s="174"/>
      <c r="H518" s="148"/>
      <c r="I518" s="148"/>
      <c r="J518" s="149"/>
      <c r="K518" s="149"/>
      <c r="L518" s="149"/>
      <c r="M518" s="149"/>
      <c r="N518" s="142"/>
      <c r="O518" s="33"/>
    </row>
    <row r="519" ht="15.75" customHeight="1">
      <c r="A519" s="142"/>
      <c r="B519" s="143"/>
      <c r="C519" s="144"/>
      <c r="D519" s="145"/>
      <c r="E519" s="212"/>
      <c r="F519" s="212"/>
      <c r="G519" s="174"/>
      <c r="H519" s="148"/>
      <c r="I519" s="148"/>
      <c r="J519" s="149"/>
      <c r="K519" s="149"/>
      <c r="L519" s="149"/>
      <c r="M519" s="149"/>
      <c r="N519" s="142"/>
      <c r="O519" s="33"/>
    </row>
    <row r="520" ht="15.75" customHeight="1">
      <c r="A520" s="142"/>
      <c r="B520" s="143"/>
      <c r="C520" s="144"/>
      <c r="D520" s="145"/>
      <c r="E520" s="212"/>
      <c r="F520" s="212"/>
      <c r="G520" s="174"/>
      <c r="H520" s="148"/>
      <c r="I520" s="148"/>
      <c r="J520" s="149"/>
      <c r="K520" s="149"/>
      <c r="L520" s="149"/>
      <c r="M520" s="149"/>
      <c r="N520" s="142"/>
      <c r="O520" s="33"/>
    </row>
    <row r="521" ht="15.75" customHeight="1">
      <c r="A521" s="142"/>
      <c r="B521" s="143"/>
      <c r="C521" s="144"/>
      <c r="D521" s="145"/>
      <c r="E521" s="212"/>
      <c r="F521" s="212"/>
      <c r="G521" s="174"/>
      <c r="H521" s="148"/>
      <c r="I521" s="148"/>
      <c r="J521" s="149"/>
      <c r="K521" s="149"/>
      <c r="L521" s="149"/>
      <c r="M521" s="149"/>
      <c r="N521" s="142"/>
      <c r="O521" s="33"/>
    </row>
    <row r="522" ht="15.75" customHeight="1">
      <c r="A522" s="142"/>
      <c r="B522" s="143"/>
      <c r="C522" s="144"/>
      <c r="D522" s="145"/>
      <c r="E522" s="212"/>
      <c r="F522" s="212"/>
      <c r="G522" s="174"/>
      <c r="H522" s="148"/>
      <c r="I522" s="148"/>
      <c r="J522" s="149"/>
      <c r="K522" s="149"/>
      <c r="L522" s="149"/>
      <c r="M522" s="149"/>
      <c r="N522" s="142"/>
      <c r="O522" s="33"/>
    </row>
    <row r="523" ht="15.75" customHeight="1">
      <c r="A523" s="142"/>
      <c r="B523" s="143"/>
      <c r="C523" s="144"/>
      <c r="D523" s="145"/>
      <c r="E523" s="212"/>
      <c r="F523" s="212"/>
      <c r="G523" s="174"/>
      <c r="H523" s="148"/>
      <c r="I523" s="148"/>
      <c r="J523" s="149"/>
      <c r="K523" s="149"/>
      <c r="L523" s="149"/>
      <c r="M523" s="149"/>
      <c r="N523" s="142"/>
      <c r="O523" s="33"/>
    </row>
    <row r="524" ht="15.75" customHeight="1">
      <c r="A524" s="142"/>
      <c r="B524" s="143"/>
      <c r="C524" s="144"/>
      <c r="D524" s="145"/>
      <c r="E524" s="212"/>
      <c r="F524" s="212"/>
      <c r="G524" s="174"/>
      <c r="H524" s="148"/>
      <c r="I524" s="148"/>
      <c r="J524" s="149"/>
      <c r="K524" s="149"/>
      <c r="L524" s="149"/>
      <c r="M524" s="149"/>
      <c r="N524" s="142"/>
      <c r="O524" s="33"/>
    </row>
    <row r="525" ht="15.75" customHeight="1">
      <c r="A525" s="142"/>
      <c r="B525" s="143"/>
      <c r="C525" s="144"/>
      <c r="D525" s="145"/>
      <c r="E525" s="212"/>
      <c r="F525" s="212"/>
      <c r="G525" s="174"/>
      <c r="H525" s="148"/>
      <c r="I525" s="148"/>
      <c r="J525" s="149"/>
      <c r="K525" s="149"/>
      <c r="L525" s="149"/>
      <c r="M525" s="149"/>
      <c r="N525" s="142"/>
      <c r="O525" s="33"/>
    </row>
    <row r="526" ht="15.75" customHeight="1">
      <c r="A526" s="142"/>
      <c r="B526" s="143"/>
      <c r="C526" s="144"/>
      <c r="D526" s="145"/>
      <c r="E526" s="212"/>
      <c r="F526" s="212"/>
      <c r="G526" s="174"/>
      <c r="H526" s="148"/>
      <c r="I526" s="148"/>
      <c r="J526" s="149"/>
      <c r="K526" s="149"/>
      <c r="L526" s="149"/>
      <c r="M526" s="149"/>
      <c r="N526" s="142"/>
      <c r="O526" s="33"/>
    </row>
    <row r="527" ht="15.75" customHeight="1">
      <c r="A527" s="142"/>
      <c r="B527" s="143"/>
      <c r="C527" s="144"/>
      <c r="D527" s="145"/>
      <c r="E527" s="212"/>
      <c r="F527" s="212"/>
      <c r="G527" s="174"/>
      <c r="H527" s="148"/>
      <c r="I527" s="148"/>
      <c r="J527" s="149"/>
      <c r="K527" s="149"/>
      <c r="L527" s="149"/>
      <c r="M527" s="149"/>
      <c r="N527" s="142"/>
      <c r="O527" s="33"/>
    </row>
    <row r="528" ht="15.75" customHeight="1">
      <c r="A528" s="142"/>
      <c r="B528" s="143"/>
      <c r="C528" s="144"/>
      <c r="D528" s="145"/>
      <c r="E528" s="212"/>
      <c r="F528" s="212"/>
      <c r="G528" s="174"/>
      <c r="H528" s="148"/>
      <c r="I528" s="148"/>
      <c r="J528" s="149"/>
      <c r="K528" s="149"/>
      <c r="L528" s="149"/>
      <c r="M528" s="149"/>
      <c r="N528" s="142"/>
      <c r="O528" s="33"/>
    </row>
    <row r="529" ht="15.75" customHeight="1">
      <c r="A529" s="142"/>
      <c r="B529" s="143"/>
      <c r="C529" s="144"/>
      <c r="D529" s="145"/>
      <c r="E529" s="212"/>
      <c r="F529" s="212"/>
      <c r="G529" s="174"/>
      <c r="H529" s="148"/>
      <c r="I529" s="148"/>
      <c r="J529" s="149"/>
      <c r="K529" s="149"/>
      <c r="L529" s="149"/>
      <c r="M529" s="149"/>
      <c r="N529" s="142"/>
      <c r="O529" s="33"/>
    </row>
    <row r="530" ht="15.75" customHeight="1">
      <c r="A530" s="142"/>
      <c r="B530" s="143"/>
      <c r="C530" s="144"/>
      <c r="D530" s="145"/>
      <c r="E530" s="212"/>
      <c r="F530" s="212"/>
      <c r="G530" s="174"/>
      <c r="H530" s="148"/>
      <c r="I530" s="148"/>
      <c r="J530" s="149"/>
      <c r="K530" s="149"/>
      <c r="L530" s="149"/>
      <c r="M530" s="149"/>
      <c r="N530" s="142"/>
      <c r="O530" s="33"/>
    </row>
    <row r="531" ht="15.75" customHeight="1">
      <c r="A531" s="142"/>
      <c r="B531" s="143"/>
      <c r="C531" s="144"/>
      <c r="D531" s="145"/>
      <c r="E531" s="212"/>
      <c r="F531" s="212"/>
      <c r="G531" s="174"/>
      <c r="H531" s="148"/>
      <c r="I531" s="148"/>
      <c r="J531" s="149"/>
      <c r="K531" s="149"/>
      <c r="L531" s="149"/>
      <c r="M531" s="149"/>
      <c r="N531" s="142"/>
      <c r="O531" s="33"/>
    </row>
    <row r="532" ht="15.75" customHeight="1">
      <c r="A532" s="142"/>
      <c r="B532" s="143"/>
      <c r="C532" s="144"/>
      <c r="D532" s="145"/>
      <c r="E532" s="212"/>
      <c r="F532" s="212"/>
      <c r="G532" s="174"/>
      <c r="H532" s="148"/>
      <c r="I532" s="148"/>
      <c r="J532" s="149"/>
      <c r="K532" s="149"/>
      <c r="L532" s="149"/>
      <c r="M532" s="149"/>
      <c r="N532" s="142"/>
      <c r="O532" s="33"/>
    </row>
    <row r="533" ht="15.75" customHeight="1">
      <c r="A533" s="142"/>
      <c r="B533" s="143"/>
      <c r="C533" s="144"/>
      <c r="D533" s="145"/>
      <c r="E533" s="212"/>
      <c r="F533" s="212"/>
      <c r="G533" s="174"/>
      <c r="H533" s="148"/>
      <c r="I533" s="148"/>
      <c r="J533" s="149"/>
      <c r="K533" s="149"/>
      <c r="L533" s="149"/>
      <c r="M533" s="149"/>
      <c r="N533" s="142"/>
      <c r="O533" s="33"/>
    </row>
    <row r="534" ht="15.75" customHeight="1">
      <c r="A534" s="142"/>
      <c r="B534" s="143"/>
      <c r="C534" s="144"/>
      <c r="D534" s="145"/>
      <c r="E534" s="212"/>
      <c r="F534" s="212"/>
      <c r="G534" s="174"/>
      <c r="H534" s="148"/>
      <c r="I534" s="148"/>
      <c r="J534" s="149"/>
      <c r="K534" s="149"/>
      <c r="L534" s="149"/>
      <c r="M534" s="149"/>
      <c r="N534" s="142"/>
      <c r="O534" s="33"/>
    </row>
    <row r="535" ht="15.75" customHeight="1">
      <c r="A535" s="142"/>
      <c r="B535" s="143"/>
      <c r="C535" s="144"/>
      <c r="D535" s="145"/>
      <c r="E535" s="212"/>
      <c r="F535" s="212"/>
      <c r="G535" s="174"/>
      <c r="H535" s="148"/>
      <c r="I535" s="148"/>
      <c r="J535" s="149"/>
      <c r="K535" s="149"/>
      <c r="L535" s="149"/>
      <c r="M535" s="149"/>
      <c r="N535" s="142"/>
      <c r="O535" s="33"/>
    </row>
    <row r="536" ht="15.75" customHeight="1">
      <c r="A536" s="142"/>
      <c r="B536" s="143"/>
      <c r="C536" s="144"/>
      <c r="D536" s="145"/>
      <c r="E536" s="212"/>
      <c r="F536" s="212"/>
      <c r="G536" s="174"/>
      <c r="H536" s="148"/>
      <c r="I536" s="148"/>
      <c r="J536" s="149"/>
      <c r="K536" s="149"/>
      <c r="L536" s="149"/>
      <c r="M536" s="149"/>
      <c r="N536" s="142"/>
      <c r="O536" s="33"/>
    </row>
    <row r="537" ht="15.75" customHeight="1">
      <c r="A537" s="142"/>
      <c r="B537" s="143"/>
      <c r="C537" s="144"/>
      <c r="D537" s="145"/>
      <c r="E537" s="212"/>
      <c r="F537" s="212"/>
      <c r="G537" s="174"/>
      <c r="H537" s="148"/>
      <c r="I537" s="148"/>
      <c r="J537" s="149"/>
      <c r="K537" s="149"/>
      <c r="L537" s="149"/>
      <c r="M537" s="149"/>
      <c r="N537" s="142"/>
      <c r="O537" s="33"/>
    </row>
    <row r="538" ht="15.75" customHeight="1">
      <c r="A538" s="142"/>
      <c r="B538" s="143"/>
      <c r="C538" s="144"/>
      <c r="D538" s="145"/>
      <c r="E538" s="212"/>
      <c r="F538" s="212"/>
      <c r="G538" s="174"/>
      <c r="H538" s="148"/>
      <c r="I538" s="148"/>
      <c r="J538" s="149"/>
      <c r="K538" s="149"/>
      <c r="L538" s="149"/>
      <c r="M538" s="149"/>
      <c r="N538" s="142"/>
      <c r="O538" s="33"/>
    </row>
    <row r="539" ht="15.75" customHeight="1">
      <c r="A539" s="142"/>
      <c r="B539" s="143"/>
      <c r="C539" s="144"/>
      <c r="D539" s="145"/>
      <c r="E539" s="212"/>
      <c r="F539" s="212"/>
      <c r="G539" s="174"/>
      <c r="H539" s="148"/>
      <c r="I539" s="148"/>
      <c r="J539" s="149"/>
      <c r="K539" s="149"/>
      <c r="L539" s="149"/>
      <c r="M539" s="149"/>
      <c r="N539" s="142"/>
      <c r="O539" s="33"/>
    </row>
    <row r="540" ht="15.75" customHeight="1">
      <c r="A540" s="142"/>
      <c r="B540" s="143"/>
      <c r="C540" s="144"/>
      <c r="D540" s="145"/>
      <c r="E540" s="212"/>
      <c r="F540" s="212"/>
      <c r="G540" s="174"/>
      <c r="H540" s="148"/>
      <c r="I540" s="148"/>
      <c r="J540" s="149"/>
      <c r="K540" s="149"/>
      <c r="L540" s="149"/>
      <c r="M540" s="149"/>
      <c r="N540" s="142"/>
      <c r="O540" s="33"/>
    </row>
    <row r="541" ht="15.75" customHeight="1">
      <c r="A541" s="142"/>
      <c r="B541" s="143"/>
      <c r="C541" s="144"/>
      <c r="D541" s="145"/>
      <c r="E541" s="212"/>
      <c r="F541" s="212"/>
      <c r="G541" s="174"/>
      <c r="H541" s="148"/>
      <c r="I541" s="148"/>
      <c r="J541" s="149"/>
      <c r="K541" s="149"/>
      <c r="L541" s="149"/>
      <c r="M541" s="149"/>
      <c r="N541" s="142"/>
      <c r="O541" s="33"/>
    </row>
    <row r="542" ht="15.75" customHeight="1">
      <c r="A542" s="142"/>
      <c r="B542" s="143"/>
      <c r="C542" s="144"/>
      <c r="D542" s="145"/>
      <c r="E542" s="212"/>
      <c r="F542" s="212"/>
      <c r="G542" s="174"/>
      <c r="H542" s="148"/>
      <c r="I542" s="148"/>
      <c r="J542" s="149"/>
      <c r="K542" s="149"/>
      <c r="L542" s="149"/>
      <c r="M542" s="149"/>
      <c r="N542" s="142"/>
      <c r="O542" s="33"/>
    </row>
    <row r="543" ht="15.75" customHeight="1">
      <c r="A543" s="142"/>
      <c r="B543" s="143"/>
      <c r="C543" s="144"/>
      <c r="D543" s="145"/>
      <c r="E543" s="212"/>
      <c r="F543" s="212"/>
      <c r="G543" s="174"/>
      <c r="H543" s="148"/>
      <c r="I543" s="148"/>
      <c r="J543" s="149"/>
      <c r="K543" s="149"/>
      <c r="L543" s="149"/>
      <c r="M543" s="149"/>
      <c r="N543" s="142"/>
      <c r="O543" s="33"/>
    </row>
    <row r="544" ht="15.75" customHeight="1">
      <c r="A544" s="142"/>
      <c r="B544" s="143"/>
      <c r="C544" s="144"/>
      <c r="D544" s="145"/>
      <c r="E544" s="212"/>
      <c r="F544" s="212"/>
      <c r="G544" s="174"/>
      <c r="H544" s="148"/>
      <c r="I544" s="148"/>
      <c r="J544" s="149"/>
      <c r="K544" s="149"/>
      <c r="L544" s="149"/>
      <c r="M544" s="149"/>
      <c r="N544" s="142"/>
      <c r="O544" s="33"/>
    </row>
    <row r="545" ht="15.75" customHeight="1">
      <c r="A545" s="142"/>
      <c r="B545" s="143"/>
      <c r="C545" s="144"/>
      <c r="D545" s="145"/>
      <c r="E545" s="212"/>
      <c r="F545" s="212"/>
      <c r="G545" s="174"/>
      <c r="H545" s="148"/>
      <c r="I545" s="148"/>
      <c r="J545" s="149"/>
      <c r="K545" s="149"/>
      <c r="L545" s="149"/>
      <c r="M545" s="149"/>
      <c r="N545" s="142"/>
      <c r="O545" s="33"/>
    </row>
    <row r="546" ht="15.75" customHeight="1">
      <c r="A546" s="142"/>
      <c r="B546" s="143"/>
      <c r="C546" s="144"/>
      <c r="D546" s="145"/>
      <c r="E546" s="212"/>
      <c r="F546" s="212"/>
      <c r="G546" s="174"/>
      <c r="H546" s="148"/>
      <c r="I546" s="148"/>
      <c r="J546" s="149"/>
      <c r="K546" s="149"/>
      <c r="L546" s="149"/>
      <c r="M546" s="149"/>
      <c r="N546" s="142"/>
      <c r="O546" s="33"/>
    </row>
    <row r="547" ht="15.75" customHeight="1">
      <c r="A547" s="142"/>
      <c r="B547" s="143"/>
      <c r="C547" s="144"/>
      <c r="D547" s="145"/>
      <c r="E547" s="212"/>
      <c r="F547" s="212"/>
      <c r="G547" s="174"/>
      <c r="H547" s="148"/>
      <c r="I547" s="148"/>
      <c r="J547" s="149"/>
      <c r="K547" s="149"/>
      <c r="L547" s="149"/>
      <c r="M547" s="149"/>
      <c r="N547" s="142"/>
      <c r="O547" s="33"/>
    </row>
    <row r="548" ht="15.75" customHeight="1">
      <c r="A548" s="142"/>
      <c r="B548" s="143"/>
      <c r="C548" s="144"/>
      <c r="D548" s="145"/>
      <c r="E548" s="212"/>
      <c r="F548" s="212"/>
      <c r="G548" s="174"/>
      <c r="H548" s="148"/>
      <c r="I548" s="148"/>
      <c r="J548" s="149"/>
      <c r="K548" s="149"/>
      <c r="L548" s="149"/>
      <c r="M548" s="149"/>
      <c r="N548" s="142"/>
      <c r="O548" s="33"/>
    </row>
    <row r="549" ht="15.75" customHeight="1">
      <c r="A549" s="142"/>
      <c r="B549" s="143"/>
      <c r="C549" s="144"/>
      <c r="D549" s="145"/>
      <c r="E549" s="212"/>
      <c r="F549" s="212"/>
      <c r="G549" s="174"/>
      <c r="H549" s="148"/>
      <c r="I549" s="148"/>
      <c r="J549" s="149"/>
      <c r="K549" s="149"/>
      <c r="L549" s="149"/>
      <c r="M549" s="149"/>
      <c r="N549" s="142"/>
      <c r="O549" s="33"/>
    </row>
    <row r="550" ht="15.75" customHeight="1">
      <c r="A550" s="142"/>
      <c r="B550" s="143"/>
      <c r="C550" s="144"/>
      <c r="D550" s="145"/>
      <c r="E550" s="212"/>
      <c r="F550" s="212"/>
      <c r="G550" s="174"/>
      <c r="H550" s="148"/>
      <c r="I550" s="148"/>
      <c r="J550" s="149"/>
      <c r="K550" s="149"/>
      <c r="L550" s="149"/>
      <c r="M550" s="149"/>
      <c r="N550" s="142"/>
      <c r="O550" s="33"/>
    </row>
    <row r="551" ht="15.75" customHeight="1">
      <c r="A551" s="142"/>
      <c r="B551" s="143"/>
      <c r="C551" s="144"/>
      <c r="D551" s="145"/>
      <c r="E551" s="212"/>
      <c r="F551" s="212"/>
      <c r="G551" s="174"/>
      <c r="H551" s="148"/>
      <c r="I551" s="148"/>
      <c r="J551" s="149"/>
      <c r="K551" s="149"/>
      <c r="L551" s="149"/>
      <c r="M551" s="149"/>
      <c r="N551" s="142"/>
      <c r="O551" s="33"/>
    </row>
    <row r="552" ht="15.75" customHeight="1">
      <c r="A552" s="142"/>
      <c r="B552" s="143"/>
      <c r="C552" s="144"/>
      <c r="D552" s="145"/>
      <c r="E552" s="212"/>
      <c r="F552" s="212"/>
      <c r="G552" s="174"/>
      <c r="H552" s="148"/>
      <c r="I552" s="148"/>
      <c r="J552" s="149"/>
      <c r="K552" s="149"/>
      <c r="L552" s="149"/>
      <c r="M552" s="149"/>
      <c r="N552" s="142"/>
      <c r="O552" s="33"/>
    </row>
    <row r="553" ht="15.75" customHeight="1">
      <c r="A553" s="142"/>
      <c r="B553" s="143"/>
      <c r="C553" s="144"/>
      <c r="D553" s="145"/>
      <c r="E553" s="212"/>
      <c r="F553" s="212"/>
      <c r="G553" s="174"/>
      <c r="H553" s="148"/>
      <c r="I553" s="148"/>
      <c r="J553" s="149"/>
      <c r="K553" s="149"/>
      <c r="L553" s="149"/>
      <c r="M553" s="149"/>
      <c r="N553" s="142"/>
      <c r="O553" s="33"/>
    </row>
    <row r="554" ht="15.75" customHeight="1">
      <c r="A554" s="142"/>
      <c r="B554" s="143"/>
      <c r="C554" s="144"/>
      <c r="D554" s="145"/>
      <c r="E554" s="212"/>
      <c r="F554" s="212"/>
      <c r="G554" s="174"/>
      <c r="H554" s="148"/>
      <c r="I554" s="148"/>
      <c r="J554" s="149"/>
      <c r="K554" s="149"/>
      <c r="L554" s="149"/>
      <c r="M554" s="149"/>
      <c r="N554" s="142"/>
      <c r="O554" s="33"/>
    </row>
    <row r="555" ht="15.75" customHeight="1">
      <c r="A555" s="142"/>
      <c r="B555" s="143"/>
      <c r="C555" s="144"/>
      <c r="D555" s="145"/>
      <c r="E555" s="212"/>
      <c r="F555" s="212"/>
      <c r="G555" s="174"/>
      <c r="H555" s="148"/>
      <c r="I555" s="148"/>
      <c r="J555" s="149"/>
      <c r="K555" s="149"/>
      <c r="L555" s="149"/>
      <c r="M555" s="149"/>
      <c r="N555" s="142"/>
      <c r="O555" s="33"/>
    </row>
    <row r="556" ht="15.75" customHeight="1">
      <c r="A556" s="142"/>
      <c r="B556" s="143"/>
      <c r="C556" s="144"/>
      <c r="D556" s="145"/>
      <c r="E556" s="212"/>
      <c r="F556" s="212"/>
      <c r="G556" s="174"/>
      <c r="H556" s="148"/>
      <c r="I556" s="148"/>
      <c r="J556" s="149"/>
      <c r="K556" s="149"/>
      <c r="L556" s="149"/>
      <c r="M556" s="149"/>
      <c r="N556" s="142"/>
      <c r="O556" s="33"/>
    </row>
    <row r="557" ht="15.75" customHeight="1">
      <c r="A557" s="142"/>
      <c r="B557" s="143"/>
      <c r="C557" s="144"/>
      <c r="D557" s="145"/>
      <c r="E557" s="212"/>
      <c r="F557" s="212"/>
      <c r="G557" s="174"/>
      <c r="H557" s="148"/>
      <c r="I557" s="148"/>
      <c r="J557" s="149"/>
      <c r="K557" s="149"/>
      <c r="L557" s="149"/>
      <c r="M557" s="149"/>
      <c r="N557" s="142"/>
      <c r="O557" s="33"/>
    </row>
    <row r="558" ht="15.75" customHeight="1">
      <c r="A558" s="142"/>
      <c r="B558" s="143"/>
      <c r="C558" s="144"/>
      <c r="D558" s="145"/>
      <c r="E558" s="212"/>
      <c r="F558" s="212"/>
      <c r="G558" s="174"/>
      <c r="H558" s="148"/>
      <c r="I558" s="148"/>
      <c r="J558" s="149"/>
      <c r="K558" s="149"/>
      <c r="L558" s="149"/>
      <c r="M558" s="149"/>
      <c r="N558" s="142"/>
      <c r="O558" s="33"/>
    </row>
    <row r="559" ht="15.75" customHeight="1">
      <c r="A559" s="142"/>
      <c r="B559" s="143"/>
      <c r="C559" s="144"/>
      <c r="D559" s="145"/>
      <c r="E559" s="212"/>
      <c r="F559" s="212"/>
      <c r="G559" s="174"/>
      <c r="H559" s="148"/>
      <c r="I559" s="148"/>
      <c r="J559" s="149"/>
      <c r="K559" s="149"/>
      <c r="L559" s="149"/>
      <c r="M559" s="149"/>
      <c r="N559" s="142"/>
      <c r="O559" s="33"/>
    </row>
    <row r="560" ht="15.75" customHeight="1">
      <c r="A560" s="142"/>
      <c r="B560" s="143"/>
      <c r="C560" s="144"/>
      <c r="D560" s="145"/>
      <c r="E560" s="212"/>
      <c r="F560" s="212"/>
      <c r="G560" s="174"/>
      <c r="H560" s="148"/>
      <c r="I560" s="148"/>
      <c r="J560" s="149"/>
      <c r="K560" s="149"/>
      <c r="L560" s="149"/>
      <c r="M560" s="149"/>
      <c r="N560" s="142"/>
      <c r="O560" s="33"/>
    </row>
    <row r="561" ht="15.75" customHeight="1">
      <c r="A561" s="142"/>
      <c r="B561" s="143"/>
      <c r="C561" s="144"/>
      <c r="D561" s="145"/>
      <c r="E561" s="212"/>
      <c r="F561" s="212"/>
      <c r="G561" s="174"/>
      <c r="H561" s="148"/>
      <c r="I561" s="148"/>
      <c r="J561" s="149"/>
      <c r="K561" s="149"/>
      <c r="L561" s="149"/>
      <c r="M561" s="149"/>
      <c r="N561" s="142"/>
      <c r="O561" s="33"/>
    </row>
    <row r="562" ht="15.75" customHeight="1">
      <c r="A562" s="142"/>
      <c r="B562" s="143"/>
      <c r="C562" s="144"/>
      <c r="D562" s="145"/>
      <c r="E562" s="212"/>
      <c r="F562" s="212"/>
      <c r="G562" s="174"/>
      <c r="H562" s="148"/>
      <c r="I562" s="148"/>
      <c r="J562" s="149"/>
      <c r="K562" s="149"/>
      <c r="L562" s="149"/>
      <c r="M562" s="149"/>
      <c r="N562" s="142"/>
      <c r="O562" s="33"/>
    </row>
    <row r="563" ht="15.75" customHeight="1">
      <c r="A563" s="142"/>
      <c r="B563" s="143"/>
      <c r="C563" s="144"/>
      <c r="D563" s="145"/>
      <c r="E563" s="212"/>
      <c r="F563" s="212"/>
      <c r="G563" s="174"/>
      <c r="H563" s="148"/>
      <c r="I563" s="148"/>
      <c r="J563" s="149"/>
      <c r="K563" s="149"/>
      <c r="L563" s="149"/>
      <c r="M563" s="149"/>
      <c r="N563" s="142"/>
      <c r="O563" s="33"/>
    </row>
    <row r="564" ht="15.75" customHeight="1">
      <c r="A564" s="142"/>
      <c r="B564" s="143"/>
      <c r="C564" s="144"/>
      <c r="D564" s="145"/>
      <c r="E564" s="212"/>
      <c r="F564" s="212"/>
      <c r="G564" s="174"/>
      <c r="H564" s="148"/>
      <c r="I564" s="148"/>
      <c r="J564" s="149"/>
      <c r="K564" s="149"/>
      <c r="L564" s="149"/>
      <c r="M564" s="149"/>
      <c r="N564" s="142"/>
      <c r="O564" s="33"/>
    </row>
    <row r="565" ht="15.75" customHeight="1">
      <c r="A565" s="142"/>
      <c r="B565" s="143"/>
      <c r="C565" s="144"/>
      <c r="D565" s="145"/>
      <c r="E565" s="212"/>
      <c r="F565" s="212"/>
      <c r="G565" s="174"/>
      <c r="H565" s="148"/>
      <c r="I565" s="148"/>
      <c r="J565" s="149"/>
      <c r="K565" s="149"/>
      <c r="L565" s="149"/>
      <c r="M565" s="149"/>
      <c r="N565" s="142"/>
      <c r="O565" s="33"/>
    </row>
    <row r="566" ht="15.75" customHeight="1">
      <c r="A566" s="142"/>
      <c r="B566" s="143"/>
      <c r="C566" s="144"/>
      <c r="D566" s="145"/>
      <c r="E566" s="212"/>
      <c r="F566" s="212"/>
      <c r="G566" s="174"/>
      <c r="H566" s="148"/>
      <c r="I566" s="148"/>
      <c r="J566" s="149"/>
      <c r="K566" s="149"/>
      <c r="L566" s="149"/>
      <c r="M566" s="149"/>
      <c r="N566" s="142"/>
      <c r="O566" s="33"/>
    </row>
    <row r="567" ht="15.75" customHeight="1">
      <c r="A567" s="142"/>
      <c r="B567" s="143"/>
      <c r="C567" s="144"/>
      <c r="D567" s="145"/>
      <c r="E567" s="212"/>
      <c r="F567" s="212"/>
      <c r="G567" s="174"/>
      <c r="H567" s="148"/>
      <c r="I567" s="148"/>
      <c r="J567" s="149"/>
      <c r="K567" s="149"/>
      <c r="L567" s="149"/>
      <c r="M567" s="149"/>
      <c r="N567" s="142"/>
      <c r="O567" s="33"/>
    </row>
    <row r="568" ht="15.75" customHeight="1">
      <c r="A568" s="142"/>
      <c r="B568" s="143"/>
      <c r="C568" s="144"/>
      <c r="D568" s="145"/>
      <c r="E568" s="212"/>
      <c r="F568" s="212"/>
      <c r="G568" s="174"/>
      <c r="H568" s="148"/>
      <c r="I568" s="148"/>
      <c r="J568" s="149"/>
      <c r="K568" s="149"/>
      <c r="L568" s="149"/>
      <c r="M568" s="149"/>
      <c r="N568" s="142"/>
      <c r="O568" s="33"/>
    </row>
    <row r="569" ht="15.75" customHeight="1">
      <c r="A569" s="142"/>
      <c r="B569" s="143"/>
      <c r="C569" s="144"/>
      <c r="D569" s="145"/>
      <c r="E569" s="212"/>
      <c r="F569" s="212"/>
      <c r="G569" s="174"/>
      <c r="H569" s="148"/>
      <c r="I569" s="148"/>
      <c r="J569" s="149"/>
      <c r="K569" s="149"/>
      <c r="L569" s="149"/>
      <c r="M569" s="149"/>
      <c r="N569" s="142"/>
      <c r="O569" s="33"/>
    </row>
    <row r="570" ht="15.75" customHeight="1">
      <c r="A570" s="142"/>
      <c r="B570" s="143"/>
      <c r="C570" s="144"/>
      <c r="D570" s="145"/>
      <c r="E570" s="212"/>
      <c r="F570" s="212"/>
      <c r="G570" s="174"/>
      <c r="H570" s="148"/>
      <c r="I570" s="148"/>
      <c r="J570" s="149"/>
      <c r="K570" s="149"/>
      <c r="L570" s="149"/>
      <c r="M570" s="149"/>
      <c r="N570" s="142"/>
      <c r="O570" s="33"/>
    </row>
    <row r="571" ht="15.75" customHeight="1">
      <c r="A571" s="142"/>
      <c r="B571" s="143"/>
      <c r="C571" s="144"/>
      <c r="D571" s="145"/>
      <c r="E571" s="212"/>
      <c r="F571" s="212"/>
      <c r="G571" s="174"/>
      <c r="H571" s="148"/>
      <c r="I571" s="148"/>
      <c r="J571" s="149"/>
      <c r="K571" s="149"/>
      <c r="L571" s="149"/>
      <c r="M571" s="149"/>
      <c r="N571" s="142"/>
      <c r="O571" s="33"/>
    </row>
    <row r="572" ht="15.75" customHeight="1">
      <c r="A572" s="142"/>
      <c r="B572" s="143"/>
      <c r="C572" s="144"/>
      <c r="D572" s="145"/>
      <c r="E572" s="212"/>
      <c r="F572" s="212"/>
      <c r="G572" s="174"/>
      <c r="H572" s="148"/>
      <c r="I572" s="148"/>
      <c r="J572" s="149"/>
      <c r="K572" s="149"/>
      <c r="L572" s="149"/>
      <c r="M572" s="149"/>
      <c r="N572" s="142"/>
      <c r="O572" s="33"/>
    </row>
    <row r="573" ht="15.75" customHeight="1">
      <c r="A573" s="142"/>
      <c r="B573" s="143"/>
      <c r="C573" s="144"/>
      <c r="D573" s="145"/>
      <c r="E573" s="212"/>
      <c r="F573" s="212"/>
      <c r="G573" s="174"/>
      <c r="H573" s="148"/>
      <c r="I573" s="148"/>
      <c r="J573" s="149"/>
      <c r="K573" s="149"/>
      <c r="L573" s="149"/>
      <c r="M573" s="149"/>
      <c r="N573" s="142"/>
      <c r="O573" s="33"/>
    </row>
    <row r="574" ht="15.75" customHeight="1">
      <c r="A574" s="142"/>
      <c r="B574" s="143"/>
      <c r="C574" s="144"/>
      <c r="D574" s="145"/>
      <c r="E574" s="212"/>
      <c r="F574" s="212"/>
      <c r="G574" s="174"/>
      <c r="H574" s="148"/>
      <c r="I574" s="148"/>
      <c r="J574" s="149"/>
      <c r="K574" s="149"/>
      <c r="L574" s="149"/>
      <c r="M574" s="149"/>
      <c r="N574" s="142"/>
      <c r="O574" s="33"/>
    </row>
    <row r="575" ht="15.75" customHeight="1">
      <c r="A575" s="142"/>
      <c r="B575" s="143"/>
      <c r="C575" s="144"/>
      <c r="D575" s="145"/>
      <c r="E575" s="212"/>
      <c r="F575" s="212"/>
      <c r="G575" s="174"/>
      <c r="H575" s="148"/>
      <c r="I575" s="148"/>
      <c r="J575" s="149"/>
      <c r="K575" s="149"/>
      <c r="L575" s="149"/>
      <c r="M575" s="149"/>
      <c r="N575" s="142"/>
      <c r="O575" s="33"/>
    </row>
    <row r="576" ht="15.75" customHeight="1">
      <c r="A576" s="142"/>
      <c r="B576" s="143"/>
      <c r="C576" s="144"/>
      <c r="D576" s="145"/>
      <c r="E576" s="212"/>
      <c r="F576" s="212"/>
      <c r="G576" s="174"/>
      <c r="H576" s="148"/>
      <c r="I576" s="148"/>
      <c r="J576" s="149"/>
      <c r="K576" s="149"/>
      <c r="L576" s="149"/>
      <c r="M576" s="149"/>
      <c r="N576" s="142"/>
      <c r="O576" s="33"/>
    </row>
    <row r="577" ht="15.75" customHeight="1">
      <c r="A577" s="142"/>
      <c r="B577" s="143"/>
      <c r="C577" s="144"/>
      <c r="D577" s="145"/>
      <c r="E577" s="212"/>
      <c r="F577" s="212"/>
      <c r="G577" s="174"/>
      <c r="H577" s="148"/>
      <c r="I577" s="148"/>
      <c r="J577" s="149"/>
      <c r="K577" s="149"/>
      <c r="L577" s="149"/>
      <c r="M577" s="149"/>
      <c r="N577" s="142"/>
      <c r="O577" s="33"/>
    </row>
    <row r="578" ht="15.75" customHeight="1">
      <c r="A578" s="142"/>
      <c r="B578" s="143"/>
      <c r="C578" s="144"/>
      <c r="D578" s="145"/>
      <c r="E578" s="212"/>
      <c r="F578" s="212"/>
      <c r="G578" s="174"/>
      <c r="H578" s="148"/>
      <c r="I578" s="148"/>
      <c r="J578" s="149"/>
      <c r="K578" s="149"/>
      <c r="L578" s="149"/>
      <c r="M578" s="149"/>
      <c r="N578" s="142"/>
      <c r="O578" s="33"/>
    </row>
    <row r="579" ht="15.75" customHeight="1">
      <c r="A579" s="142"/>
      <c r="B579" s="143"/>
      <c r="C579" s="144"/>
      <c r="D579" s="145"/>
      <c r="E579" s="212"/>
      <c r="F579" s="212"/>
      <c r="G579" s="174"/>
      <c r="H579" s="148"/>
      <c r="I579" s="148"/>
      <c r="J579" s="149"/>
      <c r="K579" s="149"/>
      <c r="L579" s="149"/>
      <c r="M579" s="149"/>
      <c r="N579" s="142"/>
      <c r="O579" s="33"/>
    </row>
    <row r="580" ht="15.75" customHeight="1">
      <c r="A580" s="142"/>
      <c r="B580" s="143"/>
      <c r="C580" s="144"/>
      <c r="D580" s="145"/>
      <c r="E580" s="212"/>
      <c r="F580" s="212"/>
      <c r="G580" s="174"/>
      <c r="H580" s="148"/>
      <c r="I580" s="148"/>
      <c r="J580" s="149"/>
      <c r="K580" s="149"/>
      <c r="L580" s="149"/>
      <c r="M580" s="149"/>
      <c r="N580" s="142"/>
      <c r="O580" s="33"/>
    </row>
    <row r="581" ht="15.75" customHeight="1">
      <c r="A581" s="142"/>
      <c r="B581" s="143"/>
      <c r="C581" s="144"/>
      <c r="D581" s="145"/>
      <c r="E581" s="212"/>
      <c r="F581" s="212"/>
      <c r="G581" s="174"/>
      <c r="H581" s="148"/>
      <c r="I581" s="148"/>
      <c r="J581" s="149"/>
      <c r="K581" s="149"/>
      <c r="L581" s="149"/>
      <c r="M581" s="149"/>
      <c r="N581" s="142"/>
      <c r="O581" s="33"/>
    </row>
    <row r="582" ht="15.75" customHeight="1">
      <c r="A582" s="142"/>
      <c r="B582" s="143"/>
      <c r="C582" s="144"/>
      <c r="D582" s="145"/>
      <c r="E582" s="212"/>
      <c r="F582" s="212"/>
      <c r="G582" s="174"/>
      <c r="H582" s="148"/>
      <c r="I582" s="148"/>
      <c r="J582" s="149"/>
      <c r="K582" s="149"/>
      <c r="L582" s="149"/>
      <c r="M582" s="149"/>
      <c r="N582" s="142"/>
      <c r="O582" s="33"/>
    </row>
    <row r="583" ht="15.75" customHeight="1">
      <c r="A583" s="142"/>
      <c r="B583" s="143"/>
      <c r="C583" s="144"/>
      <c r="D583" s="145"/>
      <c r="E583" s="212"/>
      <c r="F583" s="212"/>
      <c r="G583" s="174"/>
      <c r="H583" s="148"/>
      <c r="I583" s="148"/>
      <c r="J583" s="149"/>
      <c r="K583" s="149"/>
      <c r="L583" s="149"/>
      <c r="M583" s="149"/>
      <c r="N583" s="142"/>
      <c r="O583" s="33"/>
    </row>
    <row r="584" ht="15.75" customHeight="1">
      <c r="A584" s="142"/>
      <c r="B584" s="143"/>
      <c r="C584" s="144"/>
      <c r="D584" s="145"/>
      <c r="E584" s="212"/>
      <c r="F584" s="212"/>
      <c r="G584" s="174"/>
      <c r="H584" s="148"/>
      <c r="I584" s="148"/>
      <c r="J584" s="149"/>
      <c r="K584" s="149"/>
      <c r="L584" s="149"/>
      <c r="M584" s="149"/>
      <c r="N584" s="142"/>
      <c r="O584" s="33"/>
    </row>
    <row r="585" ht="15.75" customHeight="1">
      <c r="A585" s="142"/>
      <c r="B585" s="143"/>
      <c r="C585" s="144"/>
      <c r="D585" s="145"/>
      <c r="E585" s="212"/>
      <c r="F585" s="212"/>
      <c r="G585" s="174"/>
      <c r="H585" s="148"/>
      <c r="I585" s="148"/>
      <c r="J585" s="149"/>
      <c r="K585" s="149"/>
      <c r="L585" s="149"/>
      <c r="M585" s="149"/>
      <c r="N585" s="142"/>
      <c r="O585" s="33"/>
    </row>
    <row r="586" ht="15.75" customHeight="1">
      <c r="A586" s="142"/>
      <c r="B586" s="143"/>
      <c r="C586" s="144"/>
      <c r="D586" s="145"/>
      <c r="E586" s="212"/>
      <c r="F586" s="212"/>
      <c r="G586" s="174"/>
      <c r="H586" s="148"/>
      <c r="I586" s="148"/>
      <c r="J586" s="149"/>
      <c r="K586" s="149"/>
      <c r="L586" s="149"/>
      <c r="M586" s="149"/>
      <c r="N586" s="142"/>
      <c r="O586" s="33"/>
    </row>
    <row r="587" ht="15.75" customHeight="1">
      <c r="A587" s="142"/>
      <c r="B587" s="143"/>
      <c r="C587" s="144"/>
      <c r="D587" s="145"/>
      <c r="E587" s="212"/>
      <c r="F587" s="212"/>
      <c r="G587" s="174"/>
      <c r="H587" s="148"/>
      <c r="I587" s="148"/>
      <c r="J587" s="149"/>
      <c r="K587" s="149"/>
      <c r="L587" s="149"/>
      <c r="M587" s="149"/>
      <c r="N587" s="142"/>
      <c r="O587" s="33"/>
    </row>
    <row r="588" ht="15.75" customHeight="1">
      <c r="A588" s="142"/>
      <c r="B588" s="143"/>
      <c r="C588" s="144"/>
      <c r="D588" s="145"/>
      <c r="E588" s="212"/>
      <c r="F588" s="212"/>
      <c r="G588" s="174"/>
      <c r="H588" s="148"/>
      <c r="I588" s="148"/>
      <c r="J588" s="149"/>
      <c r="K588" s="149"/>
      <c r="L588" s="149"/>
      <c r="M588" s="149"/>
      <c r="N588" s="142"/>
      <c r="O588" s="33"/>
    </row>
    <row r="589" ht="15.75" customHeight="1">
      <c r="A589" s="142"/>
      <c r="B589" s="143"/>
      <c r="C589" s="144"/>
      <c r="D589" s="145"/>
      <c r="E589" s="212"/>
      <c r="F589" s="212"/>
      <c r="G589" s="174"/>
      <c r="H589" s="148"/>
      <c r="I589" s="148"/>
      <c r="J589" s="149"/>
      <c r="K589" s="149"/>
      <c r="L589" s="149"/>
      <c r="M589" s="149"/>
      <c r="N589" s="142"/>
      <c r="O589" s="33"/>
    </row>
    <row r="590" ht="15.75" customHeight="1">
      <c r="A590" s="142"/>
      <c r="B590" s="143"/>
      <c r="C590" s="144"/>
      <c r="D590" s="145"/>
      <c r="E590" s="212"/>
      <c r="F590" s="212"/>
      <c r="G590" s="174"/>
      <c r="H590" s="148"/>
      <c r="I590" s="148"/>
      <c r="J590" s="149"/>
      <c r="K590" s="149"/>
      <c r="L590" s="149"/>
      <c r="M590" s="149"/>
      <c r="N590" s="142"/>
      <c r="O590" s="33"/>
    </row>
    <row r="591" ht="15.75" customHeight="1">
      <c r="A591" s="142"/>
      <c r="B591" s="143"/>
      <c r="C591" s="144"/>
      <c r="D591" s="145"/>
      <c r="E591" s="212"/>
      <c r="F591" s="212"/>
      <c r="G591" s="174"/>
      <c r="H591" s="148"/>
      <c r="I591" s="148"/>
      <c r="J591" s="149"/>
      <c r="K591" s="149"/>
      <c r="L591" s="149"/>
      <c r="M591" s="149"/>
      <c r="N591" s="142"/>
      <c r="O591" s="33"/>
    </row>
    <row r="592" ht="15.75" customHeight="1">
      <c r="A592" s="142"/>
      <c r="B592" s="143"/>
      <c r="C592" s="144"/>
      <c r="D592" s="145"/>
      <c r="E592" s="212"/>
      <c r="F592" s="212"/>
      <c r="G592" s="174"/>
      <c r="H592" s="148"/>
      <c r="I592" s="148"/>
      <c r="J592" s="149"/>
      <c r="K592" s="149"/>
      <c r="L592" s="149"/>
      <c r="M592" s="149"/>
      <c r="N592" s="142"/>
      <c r="O592" s="33"/>
    </row>
    <row r="593" ht="15.75" customHeight="1">
      <c r="A593" s="142"/>
      <c r="B593" s="143"/>
      <c r="C593" s="144"/>
      <c r="D593" s="145"/>
      <c r="E593" s="212"/>
      <c r="F593" s="212"/>
      <c r="G593" s="174"/>
      <c r="H593" s="148"/>
      <c r="I593" s="148"/>
      <c r="J593" s="149"/>
      <c r="K593" s="149"/>
      <c r="L593" s="149"/>
      <c r="M593" s="149"/>
      <c r="N593" s="142"/>
      <c r="O593" s="33"/>
    </row>
    <row r="594" ht="15.75" customHeight="1">
      <c r="A594" s="142"/>
      <c r="B594" s="143"/>
      <c r="C594" s="144"/>
      <c r="D594" s="145"/>
      <c r="E594" s="212"/>
      <c r="F594" s="212"/>
      <c r="G594" s="174"/>
      <c r="H594" s="148"/>
      <c r="I594" s="148"/>
      <c r="J594" s="149"/>
      <c r="K594" s="149"/>
      <c r="L594" s="149"/>
      <c r="M594" s="149"/>
      <c r="N594" s="142"/>
      <c r="O594" s="33"/>
    </row>
    <row r="595" ht="15.75" customHeight="1">
      <c r="A595" s="142"/>
      <c r="B595" s="143"/>
      <c r="C595" s="144"/>
      <c r="D595" s="145"/>
      <c r="E595" s="212"/>
      <c r="F595" s="212"/>
      <c r="G595" s="174"/>
      <c r="H595" s="148"/>
      <c r="I595" s="148"/>
      <c r="J595" s="149"/>
      <c r="K595" s="149"/>
      <c r="L595" s="149"/>
      <c r="M595" s="149"/>
      <c r="N595" s="142"/>
      <c r="O595" s="33"/>
    </row>
    <row r="596" ht="15.75" customHeight="1">
      <c r="A596" s="142"/>
      <c r="B596" s="143"/>
      <c r="C596" s="144"/>
      <c r="D596" s="145"/>
      <c r="E596" s="212"/>
      <c r="F596" s="212"/>
      <c r="G596" s="174"/>
      <c r="H596" s="148"/>
      <c r="I596" s="148"/>
      <c r="J596" s="149"/>
      <c r="K596" s="149"/>
      <c r="L596" s="149"/>
      <c r="M596" s="149"/>
      <c r="N596" s="142"/>
      <c r="O596" s="33"/>
    </row>
    <row r="597" ht="15.75" customHeight="1">
      <c r="A597" s="142"/>
      <c r="B597" s="143"/>
      <c r="C597" s="144"/>
      <c r="D597" s="145"/>
      <c r="E597" s="212"/>
      <c r="F597" s="212"/>
      <c r="G597" s="174"/>
      <c r="H597" s="148"/>
      <c r="I597" s="148"/>
      <c r="J597" s="149"/>
      <c r="K597" s="149"/>
      <c r="L597" s="149"/>
      <c r="M597" s="149"/>
      <c r="N597" s="142"/>
      <c r="O597" s="33"/>
    </row>
    <row r="598" ht="15.75" customHeight="1">
      <c r="A598" s="142"/>
      <c r="B598" s="143"/>
      <c r="C598" s="144"/>
      <c r="D598" s="145"/>
      <c r="E598" s="212"/>
      <c r="F598" s="212"/>
      <c r="G598" s="174"/>
      <c r="H598" s="148"/>
      <c r="I598" s="148"/>
      <c r="J598" s="149"/>
      <c r="K598" s="149"/>
      <c r="L598" s="149"/>
      <c r="M598" s="149"/>
      <c r="N598" s="142"/>
      <c r="O598" s="33"/>
    </row>
    <row r="599" ht="15.75" customHeight="1">
      <c r="A599" s="142"/>
      <c r="B599" s="143"/>
      <c r="C599" s="144"/>
      <c r="D599" s="145"/>
      <c r="E599" s="212"/>
      <c r="F599" s="212"/>
      <c r="G599" s="174"/>
      <c r="H599" s="148"/>
      <c r="I599" s="148"/>
      <c r="J599" s="149"/>
      <c r="K599" s="149"/>
      <c r="L599" s="149"/>
      <c r="M599" s="149"/>
      <c r="N599" s="142"/>
      <c r="O599" s="33"/>
    </row>
    <row r="600" ht="15.75" customHeight="1">
      <c r="A600" s="142"/>
      <c r="B600" s="143"/>
      <c r="C600" s="144"/>
      <c r="D600" s="145"/>
      <c r="E600" s="212"/>
      <c r="F600" s="212"/>
      <c r="G600" s="174"/>
      <c r="H600" s="148"/>
      <c r="I600" s="148"/>
      <c r="J600" s="149"/>
      <c r="K600" s="149"/>
      <c r="L600" s="149"/>
      <c r="M600" s="149"/>
      <c r="N600" s="142"/>
      <c r="O600" s="33"/>
    </row>
    <row r="601" ht="15.75" customHeight="1">
      <c r="A601" s="142"/>
      <c r="B601" s="143"/>
      <c r="C601" s="144"/>
      <c r="D601" s="145"/>
      <c r="E601" s="212"/>
      <c r="F601" s="212"/>
      <c r="G601" s="174"/>
      <c r="H601" s="148"/>
      <c r="I601" s="148"/>
      <c r="J601" s="149"/>
      <c r="K601" s="149"/>
      <c r="L601" s="149"/>
      <c r="M601" s="149"/>
      <c r="N601" s="142"/>
      <c r="O601" s="33"/>
    </row>
    <row r="602" ht="15.75" customHeight="1">
      <c r="A602" s="142"/>
      <c r="B602" s="143"/>
      <c r="C602" s="144"/>
      <c r="D602" s="145"/>
      <c r="E602" s="212"/>
      <c r="F602" s="212"/>
      <c r="G602" s="174"/>
      <c r="H602" s="148"/>
      <c r="I602" s="148"/>
      <c r="J602" s="149"/>
      <c r="K602" s="149"/>
      <c r="L602" s="149"/>
      <c r="M602" s="149"/>
      <c r="N602" s="142"/>
      <c r="O602" s="33"/>
    </row>
    <row r="603" ht="15.75" customHeight="1">
      <c r="A603" s="142"/>
      <c r="B603" s="143"/>
      <c r="C603" s="144"/>
      <c r="D603" s="145"/>
      <c r="E603" s="212"/>
      <c r="F603" s="212"/>
      <c r="G603" s="174"/>
      <c r="H603" s="148"/>
      <c r="I603" s="148"/>
      <c r="J603" s="149"/>
      <c r="K603" s="149"/>
      <c r="L603" s="149"/>
      <c r="M603" s="149"/>
      <c r="N603" s="142"/>
      <c r="O603" s="33"/>
    </row>
    <row r="604" ht="15.75" customHeight="1">
      <c r="A604" s="142"/>
      <c r="B604" s="143"/>
      <c r="C604" s="144"/>
      <c r="D604" s="145"/>
      <c r="E604" s="212"/>
      <c r="F604" s="212"/>
      <c r="G604" s="174"/>
      <c r="H604" s="148"/>
      <c r="I604" s="148"/>
      <c r="J604" s="149"/>
      <c r="K604" s="149"/>
      <c r="L604" s="149"/>
      <c r="M604" s="149"/>
      <c r="N604" s="142"/>
      <c r="O604" s="33"/>
    </row>
    <row r="605" ht="15.75" customHeight="1">
      <c r="A605" s="142"/>
      <c r="B605" s="143"/>
      <c r="C605" s="144"/>
      <c r="D605" s="145"/>
      <c r="E605" s="212"/>
      <c r="F605" s="212"/>
      <c r="G605" s="174"/>
      <c r="H605" s="148"/>
      <c r="I605" s="148"/>
      <c r="J605" s="149"/>
      <c r="K605" s="149"/>
      <c r="L605" s="149"/>
      <c r="M605" s="149"/>
      <c r="N605" s="142"/>
      <c r="O605" s="33"/>
    </row>
    <row r="606" ht="15.75" customHeight="1">
      <c r="A606" s="142"/>
      <c r="B606" s="143"/>
      <c r="C606" s="144"/>
      <c r="D606" s="145"/>
      <c r="E606" s="212"/>
      <c r="F606" s="212"/>
      <c r="G606" s="174"/>
      <c r="H606" s="148"/>
      <c r="I606" s="148"/>
      <c r="J606" s="149"/>
      <c r="K606" s="149"/>
      <c r="L606" s="149"/>
      <c r="M606" s="149"/>
      <c r="N606" s="142"/>
      <c r="O606" s="33"/>
    </row>
    <row r="607" ht="15.75" customHeight="1">
      <c r="A607" s="142"/>
      <c r="B607" s="143"/>
      <c r="C607" s="144"/>
      <c r="D607" s="145"/>
      <c r="E607" s="212"/>
      <c r="F607" s="212"/>
      <c r="G607" s="174"/>
      <c r="H607" s="148"/>
      <c r="I607" s="148"/>
      <c r="J607" s="149"/>
      <c r="K607" s="149"/>
      <c r="L607" s="149"/>
      <c r="M607" s="149"/>
      <c r="N607" s="142"/>
      <c r="O607" s="33"/>
    </row>
    <row r="608" ht="15.75" customHeight="1">
      <c r="A608" s="142"/>
      <c r="B608" s="143"/>
      <c r="C608" s="144"/>
      <c r="D608" s="145"/>
      <c r="E608" s="212"/>
      <c r="F608" s="212"/>
      <c r="G608" s="174"/>
      <c r="H608" s="148"/>
      <c r="I608" s="148"/>
      <c r="J608" s="149"/>
      <c r="K608" s="149"/>
      <c r="L608" s="149"/>
      <c r="M608" s="149"/>
      <c r="N608" s="142"/>
      <c r="O608" s="33"/>
    </row>
    <row r="609" ht="15.75" customHeight="1">
      <c r="A609" s="142"/>
      <c r="B609" s="143"/>
      <c r="C609" s="144"/>
      <c r="D609" s="145"/>
      <c r="E609" s="212"/>
      <c r="F609" s="212"/>
      <c r="G609" s="174"/>
      <c r="H609" s="148"/>
      <c r="I609" s="148"/>
      <c r="J609" s="149"/>
      <c r="K609" s="149"/>
      <c r="L609" s="149"/>
      <c r="M609" s="149"/>
      <c r="N609" s="142"/>
      <c r="O609" s="33"/>
    </row>
    <row r="610" ht="15.75" customHeight="1">
      <c r="A610" s="142"/>
      <c r="B610" s="143"/>
      <c r="C610" s="144"/>
      <c r="D610" s="145"/>
      <c r="E610" s="212"/>
      <c r="F610" s="212"/>
      <c r="G610" s="174"/>
      <c r="H610" s="148"/>
      <c r="I610" s="148"/>
      <c r="J610" s="149"/>
      <c r="K610" s="149"/>
      <c r="L610" s="149"/>
      <c r="M610" s="149"/>
      <c r="N610" s="142"/>
      <c r="O610" s="33"/>
    </row>
    <row r="611" ht="15.75" customHeight="1">
      <c r="A611" s="142"/>
      <c r="B611" s="143"/>
      <c r="C611" s="144"/>
      <c r="D611" s="145"/>
      <c r="E611" s="212"/>
      <c r="F611" s="212"/>
      <c r="G611" s="174"/>
      <c r="H611" s="148"/>
      <c r="I611" s="148"/>
      <c r="J611" s="149"/>
      <c r="K611" s="149"/>
      <c r="L611" s="149"/>
      <c r="M611" s="149"/>
      <c r="N611" s="142"/>
      <c r="O611" s="33"/>
    </row>
    <row r="612" ht="15.75" customHeight="1">
      <c r="A612" s="142"/>
      <c r="B612" s="143"/>
      <c r="C612" s="144"/>
      <c r="D612" s="145"/>
      <c r="E612" s="212"/>
      <c r="F612" s="212"/>
      <c r="G612" s="174"/>
      <c r="H612" s="148"/>
      <c r="I612" s="148"/>
      <c r="J612" s="149"/>
      <c r="K612" s="149"/>
      <c r="L612" s="149"/>
      <c r="M612" s="149"/>
      <c r="N612" s="142"/>
      <c r="O612" s="33"/>
    </row>
    <row r="613" ht="15.75" customHeight="1">
      <c r="A613" s="142"/>
      <c r="B613" s="143"/>
      <c r="C613" s="144"/>
      <c r="D613" s="145"/>
      <c r="E613" s="212"/>
      <c r="F613" s="212"/>
      <c r="G613" s="174"/>
      <c r="H613" s="148"/>
      <c r="I613" s="148"/>
      <c r="J613" s="149"/>
      <c r="K613" s="149"/>
      <c r="L613" s="149"/>
      <c r="M613" s="149"/>
      <c r="N613" s="142"/>
      <c r="O613" s="33"/>
    </row>
    <row r="614" ht="15.75" customHeight="1">
      <c r="A614" s="142"/>
      <c r="B614" s="143"/>
      <c r="C614" s="144"/>
      <c r="D614" s="145"/>
      <c r="E614" s="212"/>
      <c r="F614" s="212"/>
      <c r="G614" s="174"/>
      <c r="H614" s="148"/>
      <c r="I614" s="148"/>
      <c r="J614" s="149"/>
      <c r="K614" s="149"/>
      <c r="L614" s="149"/>
      <c r="M614" s="149"/>
      <c r="N614" s="142"/>
      <c r="O614" s="33"/>
    </row>
    <row r="615" ht="15.75" customHeight="1">
      <c r="A615" s="142"/>
      <c r="B615" s="143"/>
      <c r="C615" s="144"/>
      <c r="D615" s="145"/>
      <c r="E615" s="212"/>
      <c r="F615" s="212"/>
      <c r="G615" s="174"/>
      <c r="H615" s="148"/>
      <c r="I615" s="148"/>
      <c r="J615" s="149"/>
      <c r="K615" s="149"/>
      <c r="L615" s="149"/>
      <c r="M615" s="149"/>
      <c r="N615" s="142"/>
      <c r="O615" s="33"/>
    </row>
    <row r="616" ht="15.75" customHeight="1">
      <c r="A616" s="142"/>
      <c r="B616" s="143"/>
      <c r="C616" s="144"/>
      <c r="D616" s="145"/>
      <c r="E616" s="212"/>
      <c r="F616" s="212"/>
      <c r="G616" s="174"/>
      <c r="H616" s="148"/>
      <c r="I616" s="148"/>
      <c r="J616" s="149"/>
      <c r="K616" s="149"/>
      <c r="L616" s="149"/>
      <c r="M616" s="149"/>
      <c r="N616" s="142"/>
      <c r="O616" s="33"/>
    </row>
    <row r="617" ht="15.75" customHeight="1">
      <c r="A617" s="142"/>
      <c r="B617" s="143"/>
      <c r="C617" s="144"/>
      <c r="D617" s="145"/>
      <c r="E617" s="212"/>
      <c r="F617" s="212"/>
      <c r="G617" s="174"/>
      <c r="H617" s="148"/>
      <c r="I617" s="148"/>
      <c r="J617" s="149"/>
      <c r="K617" s="149"/>
      <c r="L617" s="149"/>
      <c r="M617" s="149"/>
      <c r="N617" s="142"/>
      <c r="O617" s="33"/>
    </row>
    <row r="618" ht="15.75" customHeight="1">
      <c r="A618" s="142"/>
      <c r="B618" s="143"/>
      <c r="C618" s="144"/>
      <c r="D618" s="145"/>
      <c r="E618" s="212"/>
      <c r="F618" s="212"/>
      <c r="G618" s="174"/>
      <c r="H618" s="148"/>
      <c r="I618" s="148"/>
      <c r="J618" s="149"/>
      <c r="K618" s="149"/>
      <c r="L618" s="149"/>
      <c r="M618" s="149"/>
      <c r="N618" s="142"/>
      <c r="O618" s="33"/>
    </row>
    <row r="619" ht="15.75" customHeight="1">
      <c r="A619" s="142"/>
      <c r="B619" s="143"/>
      <c r="C619" s="144"/>
      <c r="D619" s="145"/>
      <c r="E619" s="212"/>
      <c r="F619" s="212"/>
      <c r="G619" s="174"/>
      <c r="H619" s="148"/>
      <c r="I619" s="148"/>
      <c r="J619" s="149"/>
      <c r="K619" s="149"/>
      <c r="L619" s="149"/>
      <c r="M619" s="149"/>
      <c r="N619" s="142"/>
      <c r="O619" s="33"/>
    </row>
    <row r="620" ht="15.75" customHeight="1">
      <c r="A620" s="142"/>
      <c r="B620" s="143"/>
      <c r="C620" s="144"/>
      <c r="D620" s="145"/>
      <c r="E620" s="212"/>
      <c r="F620" s="212"/>
      <c r="G620" s="174"/>
      <c r="H620" s="148"/>
      <c r="I620" s="148"/>
      <c r="J620" s="149"/>
      <c r="K620" s="149"/>
      <c r="L620" s="149"/>
      <c r="M620" s="149"/>
      <c r="N620" s="142"/>
      <c r="O620" s="33"/>
    </row>
    <row r="621" ht="15.75" customHeight="1">
      <c r="A621" s="142"/>
      <c r="B621" s="143"/>
      <c r="C621" s="144"/>
      <c r="D621" s="145"/>
      <c r="E621" s="212"/>
      <c r="F621" s="212"/>
      <c r="G621" s="174"/>
      <c r="H621" s="148"/>
      <c r="I621" s="148"/>
      <c r="J621" s="149"/>
      <c r="K621" s="149"/>
      <c r="L621" s="149"/>
      <c r="M621" s="149"/>
      <c r="N621" s="142"/>
      <c r="O621" s="33"/>
    </row>
    <row r="622" ht="15.75" customHeight="1">
      <c r="A622" s="142"/>
      <c r="B622" s="143"/>
      <c r="C622" s="144"/>
      <c r="D622" s="145"/>
      <c r="E622" s="212"/>
      <c r="F622" s="212"/>
      <c r="G622" s="174"/>
      <c r="H622" s="148"/>
      <c r="I622" s="148"/>
      <c r="J622" s="149"/>
      <c r="K622" s="149"/>
      <c r="L622" s="149"/>
      <c r="M622" s="149"/>
      <c r="N622" s="142"/>
      <c r="O622" s="33"/>
    </row>
    <row r="623" ht="15.75" customHeight="1">
      <c r="A623" s="142"/>
      <c r="B623" s="143"/>
      <c r="C623" s="144"/>
      <c r="D623" s="145"/>
      <c r="E623" s="212"/>
      <c r="F623" s="212"/>
      <c r="G623" s="174"/>
      <c r="H623" s="148"/>
      <c r="I623" s="148"/>
      <c r="J623" s="149"/>
      <c r="K623" s="149"/>
      <c r="L623" s="149"/>
      <c r="M623" s="149"/>
      <c r="N623" s="142"/>
      <c r="O623" s="33"/>
    </row>
    <row r="624" ht="15.75" customHeight="1">
      <c r="A624" s="142"/>
      <c r="B624" s="143"/>
      <c r="C624" s="144"/>
      <c r="D624" s="145"/>
      <c r="E624" s="212"/>
      <c r="F624" s="212"/>
      <c r="G624" s="174"/>
      <c r="H624" s="148"/>
      <c r="I624" s="148"/>
      <c r="J624" s="149"/>
      <c r="K624" s="149"/>
      <c r="L624" s="149"/>
      <c r="M624" s="149"/>
      <c r="N624" s="142"/>
      <c r="O624" s="33"/>
    </row>
    <row r="625" ht="15.75" customHeight="1">
      <c r="A625" s="142"/>
      <c r="B625" s="143"/>
      <c r="C625" s="144"/>
      <c r="D625" s="145"/>
      <c r="E625" s="212"/>
      <c r="F625" s="212"/>
      <c r="G625" s="174"/>
      <c r="H625" s="148"/>
      <c r="I625" s="148"/>
      <c r="J625" s="149"/>
      <c r="K625" s="149"/>
      <c r="L625" s="149"/>
      <c r="M625" s="149"/>
      <c r="N625" s="142"/>
      <c r="O625" s="33"/>
    </row>
    <row r="626" ht="15.75" customHeight="1">
      <c r="A626" s="142"/>
      <c r="B626" s="143"/>
      <c r="C626" s="144"/>
      <c r="D626" s="145"/>
      <c r="E626" s="212"/>
      <c r="F626" s="212"/>
      <c r="G626" s="174"/>
      <c r="H626" s="148"/>
      <c r="I626" s="148"/>
      <c r="J626" s="149"/>
      <c r="K626" s="149"/>
      <c r="L626" s="149"/>
      <c r="M626" s="149"/>
      <c r="N626" s="142"/>
      <c r="O626" s="33"/>
    </row>
    <row r="627" ht="15.75" customHeight="1">
      <c r="A627" s="142"/>
      <c r="B627" s="143"/>
      <c r="C627" s="144"/>
      <c r="D627" s="145"/>
      <c r="E627" s="212"/>
      <c r="F627" s="212"/>
      <c r="G627" s="174"/>
      <c r="H627" s="148"/>
      <c r="I627" s="148"/>
      <c r="J627" s="149"/>
      <c r="K627" s="149"/>
      <c r="L627" s="149"/>
      <c r="M627" s="149"/>
      <c r="N627" s="142"/>
      <c r="O627" s="33"/>
    </row>
    <row r="628" ht="15.75" customHeight="1">
      <c r="A628" s="142"/>
      <c r="B628" s="143"/>
      <c r="C628" s="144"/>
      <c r="D628" s="145"/>
      <c r="E628" s="212"/>
      <c r="F628" s="212"/>
      <c r="G628" s="174"/>
      <c r="H628" s="148"/>
      <c r="I628" s="148"/>
      <c r="J628" s="149"/>
      <c r="K628" s="149"/>
      <c r="L628" s="149"/>
      <c r="M628" s="149"/>
      <c r="N628" s="142"/>
      <c r="O628" s="33"/>
    </row>
    <row r="629" ht="15.75" customHeight="1">
      <c r="A629" s="142"/>
      <c r="B629" s="143"/>
      <c r="C629" s="144"/>
      <c r="D629" s="145"/>
      <c r="E629" s="212"/>
      <c r="F629" s="212"/>
      <c r="G629" s="174"/>
      <c r="H629" s="148"/>
      <c r="I629" s="148"/>
      <c r="J629" s="149"/>
      <c r="K629" s="149"/>
      <c r="L629" s="149"/>
      <c r="M629" s="149"/>
      <c r="N629" s="142"/>
      <c r="O629" s="33"/>
    </row>
    <row r="630" ht="15.75" customHeight="1">
      <c r="A630" s="142"/>
      <c r="B630" s="143"/>
      <c r="C630" s="144"/>
      <c r="D630" s="145"/>
      <c r="E630" s="212"/>
      <c r="F630" s="212"/>
      <c r="G630" s="174"/>
      <c r="H630" s="148"/>
      <c r="I630" s="148"/>
      <c r="J630" s="149"/>
      <c r="K630" s="149"/>
      <c r="L630" s="149"/>
      <c r="M630" s="149"/>
      <c r="N630" s="142"/>
      <c r="O630" s="33"/>
    </row>
    <row r="631" ht="15.75" customHeight="1">
      <c r="A631" s="142"/>
      <c r="B631" s="143"/>
      <c r="C631" s="144"/>
      <c r="D631" s="145"/>
      <c r="E631" s="212"/>
      <c r="F631" s="212"/>
      <c r="G631" s="174"/>
      <c r="H631" s="148"/>
      <c r="I631" s="148"/>
      <c r="J631" s="149"/>
      <c r="K631" s="149"/>
      <c r="L631" s="149"/>
      <c r="M631" s="149"/>
      <c r="N631" s="142"/>
      <c r="O631" s="33"/>
    </row>
    <row r="632" ht="15.75" customHeight="1">
      <c r="A632" s="142"/>
      <c r="B632" s="143"/>
      <c r="C632" s="144"/>
      <c r="D632" s="145"/>
      <c r="E632" s="212"/>
      <c r="F632" s="212"/>
      <c r="G632" s="174"/>
      <c r="H632" s="148"/>
      <c r="I632" s="148"/>
      <c r="J632" s="149"/>
      <c r="K632" s="149"/>
      <c r="L632" s="149"/>
      <c r="M632" s="149"/>
      <c r="N632" s="142"/>
      <c r="O632" s="33"/>
    </row>
    <row r="633" ht="15.75" customHeight="1">
      <c r="A633" s="142"/>
      <c r="B633" s="143"/>
      <c r="C633" s="144"/>
      <c r="D633" s="145"/>
      <c r="E633" s="212"/>
      <c r="F633" s="212"/>
      <c r="G633" s="174"/>
      <c r="H633" s="148"/>
      <c r="I633" s="148"/>
      <c r="J633" s="149"/>
      <c r="K633" s="149"/>
      <c r="L633" s="149"/>
      <c r="M633" s="149"/>
      <c r="N633" s="142"/>
      <c r="O633" s="33"/>
    </row>
    <row r="634" ht="15.75" customHeight="1">
      <c r="A634" s="142"/>
      <c r="B634" s="143"/>
      <c r="C634" s="144"/>
      <c r="D634" s="145"/>
      <c r="E634" s="212"/>
      <c r="F634" s="212"/>
      <c r="G634" s="174"/>
      <c r="H634" s="148"/>
      <c r="I634" s="148"/>
      <c r="J634" s="149"/>
      <c r="K634" s="149"/>
      <c r="L634" s="149"/>
      <c r="M634" s="149"/>
      <c r="N634" s="142"/>
      <c r="O634" s="33"/>
    </row>
    <row r="635" ht="15.75" customHeight="1">
      <c r="A635" s="142"/>
      <c r="B635" s="143"/>
      <c r="C635" s="144"/>
      <c r="D635" s="145"/>
      <c r="E635" s="212"/>
      <c r="F635" s="212"/>
      <c r="G635" s="174"/>
      <c r="H635" s="148"/>
      <c r="I635" s="148"/>
      <c r="J635" s="149"/>
      <c r="K635" s="149"/>
      <c r="L635" s="149"/>
      <c r="M635" s="149"/>
      <c r="N635" s="142"/>
      <c r="O635" s="33"/>
    </row>
    <row r="636" ht="15.75" customHeight="1">
      <c r="A636" s="142"/>
      <c r="B636" s="143"/>
      <c r="C636" s="144"/>
      <c r="D636" s="145"/>
      <c r="E636" s="212"/>
      <c r="F636" s="212"/>
      <c r="G636" s="174"/>
      <c r="H636" s="148"/>
      <c r="I636" s="148"/>
      <c r="J636" s="149"/>
      <c r="K636" s="149"/>
      <c r="L636" s="149"/>
      <c r="M636" s="149"/>
      <c r="N636" s="142"/>
      <c r="O636" s="33"/>
    </row>
    <row r="637" ht="15.75" customHeight="1">
      <c r="A637" s="142"/>
      <c r="B637" s="143"/>
      <c r="C637" s="144"/>
      <c r="D637" s="145"/>
      <c r="E637" s="212"/>
      <c r="F637" s="212"/>
      <c r="G637" s="174"/>
      <c r="H637" s="148"/>
      <c r="I637" s="148"/>
      <c r="J637" s="149"/>
      <c r="K637" s="149"/>
      <c r="L637" s="149"/>
      <c r="M637" s="149"/>
      <c r="N637" s="142"/>
      <c r="O637" s="33"/>
    </row>
    <row r="638" ht="15.75" customHeight="1">
      <c r="A638" s="142"/>
      <c r="B638" s="143"/>
      <c r="C638" s="144"/>
      <c r="D638" s="145"/>
      <c r="E638" s="212"/>
      <c r="F638" s="212"/>
      <c r="G638" s="174"/>
      <c r="H638" s="148"/>
      <c r="I638" s="148"/>
      <c r="J638" s="149"/>
      <c r="K638" s="149"/>
      <c r="L638" s="149"/>
      <c r="M638" s="149"/>
      <c r="N638" s="142"/>
      <c r="O638" s="33"/>
    </row>
    <row r="639" ht="15.75" customHeight="1">
      <c r="A639" s="142"/>
      <c r="B639" s="143"/>
      <c r="C639" s="144"/>
      <c r="D639" s="145"/>
      <c r="E639" s="212"/>
      <c r="F639" s="212"/>
      <c r="G639" s="174"/>
      <c r="H639" s="148"/>
      <c r="I639" s="148"/>
      <c r="J639" s="149"/>
      <c r="K639" s="149"/>
      <c r="L639" s="149"/>
      <c r="M639" s="149"/>
      <c r="N639" s="142"/>
      <c r="O639" s="33"/>
    </row>
    <row r="640" ht="15.75" customHeight="1">
      <c r="A640" s="142"/>
      <c r="B640" s="143"/>
      <c r="C640" s="144"/>
      <c r="D640" s="145"/>
      <c r="E640" s="212"/>
      <c r="F640" s="212"/>
      <c r="G640" s="174"/>
      <c r="H640" s="148"/>
      <c r="I640" s="148"/>
      <c r="J640" s="149"/>
      <c r="K640" s="149"/>
      <c r="L640" s="149"/>
      <c r="M640" s="149"/>
      <c r="N640" s="142"/>
      <c r="O640" s="33"/>
    </row>
    <row r="641" ht="15.75" customHeight="1">
      <c r="A641" s="142"/>
      <c r="B641" s="143"/>
      <c r="C641" s="144"/>
      <c r="D641" s="145"/>
      <c r="E641" s="212"/>
      <c r="F641" s="212"/>
      <c r="G641" s="174"/>
      <c r="H641" s="148"/>
      <c r="I641" s="148"/>
      <c r="J641" s="149"/>
      <c r="K641" s="149"/>
      <c r="L641" s="149"/>
      <c r="M641" s="149"/>
      <c r="N641" s="142"/>
      <c r="O641" s="33"/>
    </row>
    <row r="642" ht="15.75" customHeight="1">
      <c r="A642" s="142"/>
      <c r="B642" s="143"/>
      <c r="C642" s="144"/>
      <c r="D642" s="145"/>
      <c r="E642" s="212"/>
      <c r="F642" s="212"/>
      <c r="G642" s="174"/>
      <c r="H642" s="148"/>
      <c r="I642" s="148"/>
      <c r="J642" s="149"/>
      <c r="K642" s="149"/>
      <c r="L642" s="149"/>
      <c r="M642" s="149"/>
      <c r="N642" s="142"/>
      <c r="O642" s="33"/>
    </row>
    <row r="643" ht="15.75" customHeight="1">
      <c r="A643" s="142"/>
      <c r="B643" s="143"/>
      <c r="C643" s="144"/>
      <c r="D643" s="145"/>
      <c r="E643" s="212"/>
      <c r="F643" s="212"/>
      <c r="G643" s="174"/>
      <c r="H643" s="148"/>
      <c r="I643" s="148"/>
      <c r="J643" s="149"/>
      <c r="K643" s="149"/>
      <c r="L643" s="149"/>
      <c r="M643" s="149"/>
      <c r="N643" s="142"/>
      <c r="O643" s="33"/>
    </row>
    <row r="644" ht="15.75" customHeight="1">
      <c r="A644" s="142"/>
      <c r="B644" s="143"/>
      <c r="C644" s="144"/>
      <c r="D644" s="145"/>
      <c r="E644" s="212"/>
      <c r="F644" s="212"/>
      <c r="G644" s="174"/>
      <c r="H644" s="148"/>
      <c r="I644" s="148"/>
      <c r="J644" s="149"/>
      <c r="K644" s="149"/>
      <c r="L644" s="149"/>
      <c r="M644" s="149"/>
      <c r="N644" s="142"/>
      <c r="O644" s="33"/>
    </row>
    <row r="645" ht="15.75" customHeight="1">
      <c r="A645" s="142"/>
      <c r="B645" s="143"/>
      <c r="C645" s="144"/>
      <c r="D645" s="145"/>
      <c r="E645" s="212"/>
      <c r="F645" s="212"/>
      <c r="G645" s="174"/>
      <c r="H645" s="148"/>
      <c r="I645" s="148"/>
      <c r="J645" s="149"/>
      <c r="K645" s="149"/>
      <c r="L645" s="149"/>
      <c r="M645" s="149"/>
      <c r="N645" s="142"/>
      <c r="O645" s="33"/>
    </row>
    <row r="646" ht="15.75" customHeight="1">
      <c r="A646" s="142"/>
      <c r="B646" s="143"/>
      <c r="C646" s="144"/>
      <c r="D646" s="145"/>
      <c r="E646" s="212"/>
      <c r="F646" s="212"/>
      <c r="G646" s="174"/>
      <c r="H646" s="148"/>
      <c r="I646" s="148"/>
      <c r="J646" s="149"/>
      <c r="K646" s="149"/>
      <c r="L646" s="149"/>
      <c r="M646" s="149"/>
      <c r="N646" s="142"/>
      <c r="O646" s="33"/>
    </row>
    <row r="647" ht="15.75" customHeight="1">
      <c r="A647" s="142"/>
      <c r="B647" s="143"/>
      <c r="C647" s="144"/>
      <c r="D647" s="145"/>
      <c r="E647" s="212"/>
      <c r="F647" s="212"/>
      <c r="G647" s="174"/>
      <c r="H647" s="148"/>
      <c r="I647" s="148"/>
      <c r="J647" s="149"/>
      <c r="K647" s="149"/>
      <c r="L647" s="149"/>
      <c r="M647" s="149"/>
      <c r="N647" s="142"/>
      <c r="O647" s="33"/>
    </row>
    <row r="648" ht="15.75" customHeight="1">
      <c r="A648" s="142"/>
      <c r="B648" s="143"/>
      <c r="C648" s="144"/>
      <c r="D648" s="145"/>
      <c r="E648" s="212"/>
      <c r="F648" s="212"/>
      <c r="G648" s="174"/>
      <c r="H648" s="148"/>
      <c r="I648" s="148"/>
      <c r="J648" s="149"/>
      <c r="K648" s="149"/>
      <c r="L648" s="149"/>
      <c r="M648" s="149"/>
      <c r="N648" s="142"/>
      <c r="O648" s="33"/>
    </row>
    <row r="649" ht="15.75" customHeight="1">
      <c r="A649" s="142"/>
      <c r="B649" s="143"/>
      <c r="C649" s="144"/>
      <c r="D649" s="145"/>
      <c r="E649" s="212"/>
      <c r="F649" s="212"/>
      <c r="G649" s="174"/>
      <c r="H649" s="148"/>
      <c r="I649" s="148"/>
      <c r="J649" s="149"/>
      <c r="K649" s="149"/>
      <c r="L649" s="149"/>
      <c r="M649" s="149"/>
      <c r="N649" s="142"/>
      <c r="O649" s="33"/>
    </row>
    <row r="650" ht="15.75" customHeight="1">
      <c r="A650" s="142"/>
      <c r="B650" s="143"/>
      <c r="C650" s="144"/>
      <c r="D650" s="145"/>
      <c r="E650" s="212"/>
      <c r="F650" s="212"/>
      <c r="G650" s="174"/>
      <c r="H650" s="148"/>
      <c r="I650" s="148"/>
      <c r="J650" s="149"/>
      <c r="K650" s="149"/>
      <c r="L650" s="149"/>
      <c r="M650" s="149"/>
      <c r="N650" s="142"/>
      <c r="O650" s="33"/>
    </row>
    <row r="651" ht="15.75" customHeight="1">
      <c r="A651" s="142"/>
      <c r="B651" s="143"/>
      <c r="C651" s="144"/>
      <c r="D651" s="145"/>
      <c r="E651" s="212"/>
      <c r="F651" s="212"/>
      <c r="G651" s="174"/>
      <c r="H651" s="148"/>
      <c r="I651" s="148"/>
      <c r="J651" s="149"/>
      <c r="K651" s="149"/>
      <c r="L651" s="149"/>
      <c r="M651" s="149"/>
      <c r="N651" s="142"/>
      <c r="O651" s="33"/>
    </row>
    <row r="652" ht="15.75" customHeight="1">
      <c r="A652" s="142"/>
      <c r="B652" s="143"/>
      <c r="C652" s="144"/>
      <c r="D652" s="145"/>
      <c r="E652" s="212"/>
      <c r="F652" s="212"/>
      <c r="G652" s="174"/>
      <c r="H652" s="148"/>
      <c r="I652" s="148"/>
      <c r="J652" s="149"/>
      <c r="K652" s="149"/>
      <c r="L652" s="149"/>
      <c r="M652" s="149"/>
      <c r="N652" s="142"/>
      <c r="O652" s="33"/>
    </row>
    <row r="653" ht="15.75" customHeight="1">
      <c r="A653" s="142"/>
      <c r="B653" s="143"/>
      <c r="C653" s="144"/>
      <c r="D653" s="145"/>
      <c r="E653" s="212"/>
      <c r="F653" s="212"/>
      <c r="G653" s="174"/>
      <c r="H653" s="148"/>
      <c r="I653" s="148"/>
      <c r="J653" s="149"/>
      <c r="K653" s="149"/>
      <c r="L653" s="149"/>
      <c r="M653" s="149"/>
      <c r="N653" s="142"/>
      <c r="O653" s="33"/>
    </row>
    <row r="654" ht="15.75" customHeight="1">
      <c r="A654" s="142"/>
      <c r="B654" s="143"/>
      <c r="C654" s="144"/>
      <c r="D654" s="145"/>
      <c r="E654" s="212"/>
      <c r="F654" s="212"/>
      <c r="G654" s="174"/>
      <c r="H654" s="148"/>
      <c r="I654" s="148"/>
      <c r="J654" s="149"/>
      <c r="K654" s="149"/>
      <c r="L654" s="149"/>
      <c r="M654" s="149"/>
      <c r="N654" s="142"/>
      <c r="O654" s="33"/>
    </row>
    <row r="655" ht="15.75" customHeight="1">
      <c r="A655" s="142"/>
      <c r="B655" s="143"/>
      <c r="C655" s="144"/>
      <c r="D655" s="145"/>
      <c r="E655" s="212"/>
      <c r="F655" s="212"/>
      <c r="G655" s="174"/>
      <c r="H655" s="148"/>
      <c r="I655" s="148"/>
      <c r="J655" s="149"/>
      <c r="K655" s="149"/>
      <c r="L655" s="149"/>
      <c r="M655" s="149"/>
      <c r="N655" s="142"/>
      <c r="O655" s="33"/>
    </row>
    <row r="656" ht="15.75" customHeight="1">
      <c r="A656" s="142"/>
      <c r="B656" s="143"/>
      <c r="C656" s="144"/>
      <c r="D656" s="145"/>
      <c r="E656" s="212"/>
      <c r="F656" s="212"/>
      <c r="G656" s="174"/>
      <c r="H656" s="148"/>
      <c r="I656" s="148"/>
      <c r="J656" s="149"/>
      <c r="K656" s="149"/>
      <c r="L656" s="149"/>
      <c r="M656" s="149"/>
      <c r="N656" s="142"/>
      <c r="O656" s="33"/>
    </row>
    <row r="657" ht="15.75" customHeight="1">
      <c r="A657" s="142"/>
      <c r="B657" s="143"/>
      <c r="C657" s="144"/>
      <c r="D657" s="145"/>
      <c r="E657" s="212"/>
      <c r="F657" s="212"/>
      <c r="G657" s="174"/>
      <c r="H657" s="148"/>
      <c r="I657" s="148"/>
      <c r="J657" s="149"/>
      <c r="K657" s="149"/>
      <c r="L657" s="149"/>
      <c r="M657" s="149"/>
      <c r="N657" s="142"/>
      <c r="O657" s="33"/>
    </row>
    <row r="658" ht="15.75" customHeight="1">
      <c r="A658" s="142"/>
      <c r="B658" s="143"/>
      <c r="C658" s="144"/>
      <c r="D658" s="145"/>
      <c r="E658" s="212"/>
      <c r="F658" s="212"/>
      <c r="G658" s="174"/>
      <c r="H658" s="148"/>
      <c r="I658" s="148"/>
      <c r="J658" s="149"/>
      <c r="K658" s="149"/>
      <c r="L658" s="149"/>
      <c r="M658" s="149"/>
      <c r="N658" s="142"/>
      <c r="O658" s="33"/>
    </row>
    <row r="659" ht="15.75" customHeight="1">
      <c r="A659" s="142"/>
      <c r="B659" s="143"/>
      <c r="C659" s="144"/>
      <c r="D659" s="145"/>
      <c r="E659" s="212"/>
      <c r="F659" s="212"/>
      <c r="G659" s="174"/>
      <c r="H659" s="148"/>
      <c r="I659" s="148"/>
      <c r="J659" s="149"/>
      <c r="K659" s="149"/>
      <c r="L659" s="149"/>
      <c r="M659" s="149"/>
      <c r="N659" s="142"/>
      <c r="O659" s="33"/>
    </row>
    <row r="660" ht="15.75" customHeight="1">
      <c r="A660" s="142"/>
      <c r="B660" s="143"/>
      <c r="C660" s="144"/>
      <c r="D660" s="145"/>
      <c r="E660" s="212"/>
      <c r="F660" s="212"/>
      <c r="G660" s="174"/>
      <c r="H660" s="148"/>
      <c r="I660" s="148"/>
      <c r="J660" s="149"/>
      <c r="K660" s="149"/>
      <c r="L660" s="149"/>
      <c r="M660" s="149"/>
      <c r="N660" s="142"/>
      <c r="O660" s="33"/>
    </row>
    <row r="661" ht="15.75" customHeight="1">
      <c r="A661" s="142"/>
      <c r="B661" s="143"/>
      <c r="C661" s="144"/>
      <c r="D661" s="145"/>
      <c r="E661" s="212"/>
      <c r="F661" s="212"/>
      <c r="G661" s="174"/>
      <c r="H661" s="148"/>
      <c r="I661" s="148"/>
      <c r="J661" s="149"/>
      <c r="K661" s="149"/>
      <c r="L661" s="149"/>
      <c r="M661" s="149"/>
      <c r="N661" s="142"/>
      <c r="O661" s="33"/>
    </row>
    <row r="662" ht="15.75" customHeight="1">
      <c r="A662" s="142"/>
      <c r="B662" s="143"/>
      <c r="C662" s="144"/>
      <c r="D662" s="145"/>
      <c r="E662" s="212"/>
      <c r="F662" s="212"/>
      <c r="G662" s="174"/>
      <c r="H662" s="148"/>
      <c r="I662" s="148"/>
      <c r="J662" s="149"/>
      <c r="K662" s="149"/>
      <c r="L662" s="149"/>
      <c r="M662" s="149"/>
      <c r="N662" s="142"/>
      <c r="O662" s="33"/>
    </row>
    <row r="663" ht="15.75" customHeight="1">
      <c r="A663" s="142"/>
      <c r="B663" s="143"/>
      <c r="C663" s="144"/>
      <c r="D663" s="145"/>
      <c r="E663" s="212"/>
      <c r="F663" s="212"/>
      <c r="G663" s="174"/>
      <c r="H663" s="148"/>
      <c r="I663" s="148"/>
      <c r="J663" s="149"/>
      <c r="K663" s="149"/>
      <c r="L663" s="149"/>
      <c r="M663" s="149"/>
      <c r="N663" s="142"/>
      <c r="O663" s="33"/>
    </row>
    <row r="664" ht="15.75" customHeight="1">
      <c r="A664" s="142"/>
      <c r="B664" s="143"/>
      <c r="C664" s="144"/>
      <c r="D664" s="145"/>
      <c r="E664" s="212"/>
      <c r="F664" s="212"/>
      <c r="G664" s="174"/>
      <c r="H664" s="148"/>
      <c r="I664" s="148"/>
      <c r="J664" s="149"/>
      <c r="K664" s="149"/>
      <c r="L664" s="149"/>
      <c r="M664" s="149"/>
      <c r="N664" s="142"/>
      <c r="O664" s="33"/>
    </row>
    <row r="665" ht="15.75" customHeight="1">
      <c r="A665" s="142"/>
      <c r="B665" s="143"/>
      <c r="C665" s="144"/>
      <c r="D665" s="145"/>
      <c r="E665" s="212"/>
      <c r="F665" s="212"/>
      <c r="G665" s="174"/>
      <c r="H665" s="148"/>
      <c r="I665" s="148"/>
      <c r="J665" s="149"/>
      <c r="K665" s="149"/>
      <c r="L665" s="149"/>
      <c r="M665" s="149"/>
      <c r="N665" s="142"/>
      <c r="O665" s="33"/>
    </row>
    <row r="666" ht="15.75" customHeight="1">
      <c r="A666" s="142"/>
      <c r="B666" s="143"/>
      <c r="C666" s="144"/>
      <c r="D666" s="145"/>
      <c r="E666" s="212"/>
      <c r="F666" s="212"/>
      <c r="G666" s="174"/>
      <c r="H666" s="148"/>
      <c r="I666" s="148"/>
      <c r="J666" s="149"/>
      <c r="K666" s="149"/>
      <c r="L666" s="149"/>
      <c r="M666" s="149"/>
      <c r="N666" s="142"/>
      <c r="O666" s="33"/>
    </row>
    <row r="667" ht="15.75" customHeight="1">
      <c r="A667" s="142"/>
      <c r="B667" s="143"/>
      <c r="C667" s="144"/>
      <c r="D667" s="145"/>
      <c r="E667" s="212"/>
      <c r="F667" s="212"/>
      <c r="G667" s="174"/>
      <c r="H667" s="148"/>
      <c r="I667" s="148"/>
      <c r="J667" s="149"/>
      <c r="K667" s="149"/>
      <c r="L667" s="149"/>
      <c r="M667" s="149"/>
      <c r="N667" s="142"/>
      <c r="O667" s="33"/>
    </row>
    <row r="668" ht="15.75" customHeight="1">
      <c r="A668" s="142"/>
      <c r="B668" s="143"/>
      <c r="C668" s="144"/>
      <c r="D668" s="145"/>
      <c r="E668" s="212"/>
      <c r="F668" s="212"/>
      <c r="G668" s="174"/>
      <c r="H668" s="148"/>
      <c r="I668" s="148"/>
      <c r="J668" s="149"/>
      <c r="K668" s="149"/>
      <c r="L668" s="149"/>
      <c r="M668" s="149"/>
      <c r="N668" s="142"/>
      <c r="O668" s="33"/>
    </row>
    <row r="669" ht="15.75" customHeight="1">
      <c r="A669" s="142"/>
      <c r="B669" s="143"/>
      <c r="C669" s="144"/>
      <c r="D669" s="145"/>
      <c r="E669" s="212"/>
      <c r="F669" s="212"/>
      <c r="G669" s="174"/>
      <c r="H669" s="148"/>
      <c r="I669" s="148"/>
      <c r="J669" s="149"/>
      <c r="K669" s="149"/>
      <c r="L669" s="149"/>
      <c r="M669" s="149"/>
      <c r="N669" s="142"/>
      <c r="O669" s="33"/>
    </row>
    <row r="670" ht="15.75" customHeight="1">
      <c r="A670" s="142"/>
      <c r="B670" s="143"/>
      <c r="C670" s="144"/>
      <c r="D670" s="145"/>
      <c r="E670" s="212"/>
      <c r="F670" s="212"/>
      <c r="G670" s="174"/>
      <c r="H670" s="148"/>
      <c r="I670" s="148"/>
      <c r="J670" s="149"/>
      <c r="K670" s="149"/>
      <c r="L670" s="149"/>
      <c r="M670" s="149"/>
      <c r="N670" s="142"/>
      <c r="O670" s="33"/>
    </row>
    <row r="671" ht="15.75" customHeight="1">
      <c r="A671" s="142"/>
      <c r="B671" s="143"/>
      <c r="C671" s="144"/>
      <c r="D671" s="145"/>
      <c r="E671" s="212"/>
      <c r="F671" s="212"/>
      <c r="G671" s="174"/>
      <c r="H671" s="148"/>
      <c r="I671" s="148"/>
      <c r="J671" s="149"/>
      <c r="K671" s="149"/>
      <c r="L671" s="149"/>
      <c r="M671" s="149"/>
      <c r="N671" s="142"/>
      <c r="O671" s="33"/>
    </row>
    <row r="672" ht="15.75" customHeight="1">
      <c r="A672" s="142"/>
      <c r="B672" s="143"/>
      <c r="C672" s="144"/>
      <c r="D672" s="145"/>
      <c r="E672" s="212"/>
      <c r="F672" s="212"/>
      <c r="G672" s="174"/>
      <c r="H672" s="148"/>
      <c r="I672" s="148"/>
      <c r="J672" s="149"/>
      <c r="K672" s="149"/>
      <c r="L672" s="149"/>
      <c r="M672" s="149"/>
      <c r="N672" s="142"/>
      <c r="O672" s="33"/>
    </row>
    <row r="673" ht="15.75" customHeight="1">
      <c r="A673" s="142"/>
      <c r="B673" s="143"/>
      <c r="C673" s="144"/>
      <c r="D673" s="145"/>
      <c r="E673" s="212"/>
      <c r="F673" s="212"/>
      <c r="G673" s="174"/>
      <c r="H673" s="148"/>
      <c r="I673" s="148"/>
      <c r="J673" s="149"/>
      <c r="K673" s="149"/>
      <c r="L673" s="149"/>
      <c r="M673" s="149"/>
      <c r="N673" s="142"/>
      <c r="O673" s="33"/>
    </row>
    <row r="674" ht="15.75" customHeight="1">
      <c r="A674" s="142"/>
      <c r="B674" s="143"/>
      <c r="C674" s="144"/>
      <c r="D674" s="145"/>
      <c r="E674" s="212"/>
      <c r="F674" s="212"/>
      <c r="G674" s="174"/>
      <c r="H674" s="148"/>
      <c r="I674" s="148"/>
      <c r="J674" s="149"/>
      <c r="K674" s="149"/>
      <c r="L674" s="149"/>
      <c r="M674" s="149"/>
      <c r="N674" s="142"/>
      <c r="O674" s="33"/>
    </row>
    <row r="675" ht="15.75" customHeight="1">
      <c r="A675" s="142"/>
      <c r="B675" s="143"/>
      <c r="C675" s="144"/>
      <c r="D675" s="145"/>
      <c r="E675" s="212"/>
      <c r="F675" s="212"/>
      <c r="G675" s="174"/>
      <c r="H675" s="148"/>
      <c r="I675" s="148"/>
      <c r="J675" s="149"/>
      <c r="K675" s="149"/>
      <c r="L675" s="149"/>
      <c r="M675" s="149"/>
      <c r="N675" s="142"/>
      <c r="O675" s="33"/>
    </row>
    <row r="676" ht="15.75" customHeight="1">
      <c r="A676" s="142"/>
      <c r="B676" s="143"/>
      <c r="C676" s="144"/>
      <c r="D676" s="145"/>
      <c r="E676" s="212"/>
      <c r="F676" s="212"/>
      <c r="G676" s="174"/>
      <c r="H676" s="148"/>
      <c r="I676" s="148"/>
      <c r="J676" s="149"/>
      <c r="K676" s="149"/>
      <c r="L676" s="149"/>
      <c r="M676" s="149"/>
      <c r="N676" s="142"/>
      <c r="O676" s="33"/>
    </row>
    <row r="677" ht="15.75" customHeight="1">
      <c r="A677" s="142"/>
      <c r="B677" s="143"/>
      <c r="C677" s="144"/>
      <c r="D677" s="145"/>
      <c r="E677" s="212"/>
      <c r="F677" s="212"/>
      <c r="G677" s="174"/>
      <c r="H677" s="148"/>
      <c r="I677" s="148"/>
      <c r="J677" s="149"/>
      <c r="K677" s="149"/>
      <c r="L677" s="149"/>
      <c r="M677" s="149"/>
      <c r="N677" s="142"/>
      <c r="O677" s="33"/>
    </row>
    <row r="678" ht="15.75" customHeight="1">
      <c r="A678" s="142"/>
      <c r="B678" s="143"/>
      <c r="C678" s="144"/>
      <c r="D678" s="145"/>
      <c r="E678" s="212"/>
      <c r="F678" s="212"/>
      <c r="G678" s="174"/>
      <c r="H678" s="148"/>
      <c r="I678" s="148"/>
      <c r="J678" s="149"/>
      <c r="K678" s="149"/>
      <c r="L678" s="149"/>
      <c r="M678" s="149"/>
      <c r="N678" s="142"/>
      <c r="O678" s="33"/>
    </row>
    <row r="679" ht="15.75" customHeight="1">
      <c r="A679" s="142"/>
      <c r="B679" s="143"/>
      <c r="C679" s="144"/>
      <c r="D679" s="145"/>
      <c r="E679" s="212"/>
      <c r="F679" s="212"/>
      <c r="G679" s="174"/>
      <c r="H679" s="148"/>
      <c r="I679" s="148"/>
      <c r="J679" s="149"/>
      <c r="K679" s="149"/>
      <c r="L679" s="149"/>
      <c r="M679" s="149"/>
      <c r="N679" s="142"/>
      <c r="O679" s="33"/>
    </row>
    <row r="680" ht="15.75" customHeight="1">
      <c r="A680" s="142"/>
      <c r="B680" s="143"/>
      <c r="C680" s="144"/>
      <c r="D680" s="145"/>
      <c r="E680" s="212"/>
      <c r="F680" s="212"/>
      <c r="G680" s="174"/>
      <c r="H680" s="148"/>
      <c r="I680" s="148"/>
      <c r="J680" s="149"/>
      <c r="K680" s="149"/>
      <c r="L680" s="149"/>
      <c r="M680" s="149"/>
      <c r="N680" s="142"/>
      <c r="O680" s="33"/>
    </row>
    <row r="681" ht="15.75" customHeight="1">
      <c r="A681" s="142"/>
      <c r="B681" s="143"/>
      <c r="C681" s="144"/>
      <c r="D681" s="145"/>
      <c r="E681" s="212"/>
      <c r="F681" s="212"/>
      <c r="G681" s="174"/>
      <c r="H681" s="148"/>
      <c r="I681" s="148"/>
      <c r="J681" s="149"/>
      <c r="K681" s="149"/>
      <c r="L681" s="149"/>
      <c r="M681" s="149"/>
      <c r="N681" s="142"/>
      <c r="O681" s="33"/>
    </row>
    <row r="682" ht="15.75" customHeight="1">
      <c r="A682" s="142"/>
      <c r="B682" s="143"/>
      <c r="C682" s="144"/>
      <c r="D682" s="145"/>
      <c r="E682" s="212"/>
      <c r="F682" s="212"/>
      <c r="G682" s="174"/>
      <c r="H682" s="148"/>
      <c r="I682" s="148"/>
      <c r="J682" s="149"/>
      <c r="K682" s="149"/>
      <c r="L682" s="149"/>
      <c r="M682" s="149"/>
      <c r="N682" s="142"/>
      <c r="O682" s="33"/>
    </row>
    <row r="683" ht="15.75" customHeight="1">
      <c r="A683" s="142"/>
      <c r="B683" s="143"/>
      <c r="C683" s="144"/>
      <c r="D683" s="145"/>
      <c r="E683" s="212"/>
      <c r="F683" s="212"/>
      <c r="G683" s="174"/>
      <c r="H683" s="148"/>
      <c r="I683" s="148"/>
      <c r="J683" s="149"/>
      <c r="K683" s="149"/>
      <c r="L683" s="149"/>
      <c r="M683" s="149"/>
      <c r="N683" s="142"/>
      <c r="O683" s="33"/>
    </row>
    <row r="684" ht="15.75" customHeight="1">
      <c r="A684" s="142"/>
      <c r="B684" s="143"/>
      <c r="C684" s="144"/>
      <c r="D684" s="145"/>
      <c r="E684" s="212"/>
      <c r="F684" s="212"/>
      <c r="G684" s="174"/>
      <c r="H684" s="148"/>
      <c r="I684" s="148"/>
      <c r="J684" s="149"/>
      <c r="K684" s="149"/>
      <c r="L684" s="149"/>
      <c r="M684" s="149"/>
      <c r="N684" s="142"/>
      <c r="O684" s="33"/>
    </row>
    <row r="685" ht="15.75" customHeight="1">
      <c r="A685" s="142"/>
      <c r="B685" s="143"/>
      <c r="C685" s="144"/>
      <c r="D685" s="145"/>
      <c r="E685" s="212"/>
      <c r="F685" s="212"/>
      <c r="G685" s="174"/>
      <c r="H685" s="148"/>
      <c r="I685" s="148"/>
      <c r="J685" s="149"/>
      <c r="K685" s="149"/>
      <c r="L685" s="149"/>
      <c r="M685" s="149"/>
      <c r="N685" s="142"/>
      <c r="O685" s="33"/>
    </row>
    <row r="686" ht="15.75" customHeight="1">
      <c r="A686" s="142"/>
      <c r="B686" s="143"/>
      <c r="C686" s="144"/>
      <c r="D686" s="145"/>
      <c r="E686" s="212"/>
      <c r="F686" s="212"/>
      <c r="G686" s="174"/>
      <c r="H686" s="148"/>
      <c r="I686" s="148"/>
      <c r="J686" s="149"/>
      <c r="K686" s="149"/>
      <c r="L686" s="149"/>
      <c r="M686" s="149"/>
      <c r="N686" s="142"/>
      <c r="O686" s="33"/>
    </row>
    <row r="687" ht="15.75" customHeight="1">
      <c r="A687" s="142"/>
      <c r="B687" s="143"/>
      <c r="C687" s="144"/>
      <c r="D687" s="145"/>
      <c r="E687" s="212"/>
      <c r="F687" s="212"/>
      <c r="G687" s="174"/>
      <c r="H687" s="148"/>
      <c r="I687" s="148"/>
      <c r="J687" s="149"/>
      <c r="K687" s="149"/>
      <c r="L687" s="149"/>
      <c r="M687" s="149"/>
      <c r="N687" s="142"/>
      <c r="O687" s="33"/>
    </row>
    <row r="688" ht="15.75" customHeight="1">
      <c r="A688" s="142"/>
      <c r="B688" s="143"/>
      <c r="C688" s="144"/>
      <c r="D688" s="145"/>
      <c r="E688" s="212"/>
      <c r="F688" s="212"/>
      <c r="G688" s="174"/>
      <c r="H688" s="148"/>
      <c r="I688" s="148"/>
      <c r="J688" s="149"/>
      <c r="K688" s="149"/>
      <c r="L688" s="149"/>
      <c r="M688" s="149"/>
      <c r="N688" s="142"/>
      <c r="O688" s="33"/>
    </row>
    <row r="689" ht="15.75" customHeight="1">
      <c r="A689" s="142"/>
      <c r="B689" s="143"/>
      <c r="C689" s="144"/>
      <c r="D689" s="145"/>
      <c r="E689" s="212"/>
      <c r="F689" s="212"/>
      <c r="G689" s="174"/>
      <c r="H689" s="148"/>
      <c r="I689" s="148"/>
      <c r="J689" s="149"/>
      <c r="K689" s="149"/>
      <c r="L689" s="149"/>
      <c r="M689" s="149"/>
      <c r="N689" s="142"/>
      <c r="O689" s="33"/>
    </row>
    <row r="690" ht="15.75" customHeight="1">
      <c r="A690" s="142"/>
      <c r="B690" s="143"/>
      <c r="C690" s="144"/>
      <c r="D690" s="145"/>
      <c r="E690" s="212"/>
      <c r="F690" s="212"/>
      <c r="G690" s="174"/>
      <c r="H690" s="148"/>
      <c r="I690" s="148"/>
      <c r="J690" s="149"/>
      <c r="K690" s="149"/>
      <c r="L690" s="149"/>
      <c r="M690" s="149"/>
      <c r="N690" s="142"/>
      <c r="O690" s="33"/>
    </row>
    <row r="691" ht="15.75" customHeight="1">
      <c r="A691" s="142"/>
      <c r="B691" s="143"/>
      <c r="C691" s="144"/>
      <c r="D691" s="145"/>
      <c r="E691" s="212"/>
      <c r="F691" s="212"/>
      <c r="G691" s="174"/>
      <c r="H691" s="148"/>
      <c r="I691" s="148"/>
      <c r="J691" s="149"/>
      <c r="K691" s="149"/>
      <c r="L691" s="149"/>
      <c r="M691" s="149"/>
      <c r="N691" s="142"/>
      <c r="O691" s="33"/>
    </row>
    <row r="692" ht="15.75" customHeight="1">
      <c r="A692" s="142"/>
      <c r="B692" s="143"/>
      <c r="C692" s="144"/>
      <c r="D692" s="145"/>
      <c r="E692" s="212"/>
      <c r="F692" s="212"/>
      <c r="G692" s="174"/>
      <c r="H692" s="148"/>
      <c r="I692" s="148"/>
      <c r="J692" s="149"/>
      <c r="K692" s="149"/>
      <c r="L692" s="149"/>
      <c r="M692" s="149"/>
      <c r="N692" s="142"/>
      <c r="O692" s="33"/>
    </row>
    <row r="693" ht="15.75" customHeight="1">
      <c r="A693" s="142"/>
      <c r="B693" s="143"/>
      <c r="C693" s="144"/>
      <c r="D693" s="145"/>
      <c r="E693" s="212"/>
      <c r="F693" s="212"/>
      <c r="G693" s="174"/>
      <c r="H693" s="148"/>
      <c r="I693" s="148"/>
      <c r="J693" s="149"/>
      <c r="K693" s="149"/>
      <c r="L693" s="149"/>
      <c r="M693" s="149"/>
      <c r="N693" s="142"/>
      <c r="O693" s="33"/>
    </row>
    <row r="694" ht="15.75" customHeight="1">
      <c r="A694" s="142"/>
      <c r="B694" s="143"/>
      <c r="C694" s="144"/>
      <c r="D694" s="145"/>
      <c r="E694" s="212"/>
      <c r="F694" s="212"/>
      <c r="G694" s="174"/>
      <c r="H694" s="148"/>
      <c r="I694" s="148"/>
      <c r="J694" s="149"/>
      <c r="K694" s="149"/>
      <c r="L694" s="149"/>
      <c r="M694" s="149"/>
      <c r="N694" s="142"/>
      <c r="O694" s="33"/>
    </row>
    <row r="695" ht="15.75" customHeight="1">
      <c r="A695" s="142"/>
      <c r="B695" s="143"/>
      <c r="C695" s="144"/>
      <c r="D695" s="145"/>
      <c r="E695" s="212"/>
      <c r="F695" s="212"/>
      <c r="G695" s="174"/>
      <c r="H695" s="148"/>
      <c r="I695" s="148"/>
      <c r="J695" s="149"/>
      <c r="K695" s="149"/>
      <c r="L695" s="149"/>
      <c r="M695" s="149"/>
      <c r="N695" s="142"/>
      <c r="O695" s="33"/>
    </row>
    <row r="696" ht="15.75" customHeight="1">
      <c r="A696" s="142"/>
      <c r="B696" s="143"/>
      <c r="C696" s="144"/>
      <c r="D696" s="145"/>
      <c r="E696" s="212"/>
      <c r="F696" s="212"/>
      <c r="G696" s="174"/>
      <c r="H696" s="148"/>
      <c r="I696" s="148"/>
      <c r="J696" s="149"/>
      <c r="K696" s="149"/>
      <c r="L696" s="149"/>
      <c r="M696" s="149"/>
      <c r="N696" s="142"/>
      <c r="O696" s="33"/>
    </row>
    <row r="697" ht="15.75" customHeight="1">
      <c r="A697" s="142"/>
      <c r="B697" s="143"/>
      <c r="C697" s="144"/>
      <c r="D697" s="145"/>
      <c r="E697" s="212"/>
      <c r="F697" s="212"/>
      <c r="G697" s="174"/>
      <c r="H697" s="148"/>
      <c r="I697" s="148"/>
      <c r="J697" s="149"/>
      <c r="K697" s="149"/>
      <c r="L697" s="149"/>
      <c r="M697" s="149"/>
      <c r="N697" s="142"/>
      <c r="O697" s="33"/>
    </row>
    <row r="698" ht="15.75" customHeight="1">
      <c r="A698" s="142"/>
      <c r="B698" s="143"/>
      <c r="C698" s="144"/>
      <c r="D698" s="145"/>
      <c r="E698" s="212"/>
      <c r="F698" s="212"/>
      <c r="G698" s="174"/>
      <c r="H698" s="148"/>
      <c r="I698" s="148"/>
      <c r="J698" s="149"/>
      <c r="K698" s="149"/>
      <c r="L698" s="149"/>
      <c r="M698" s="149"/>
      <c r="N698" s="142"/>
      <c r="O698" s="33"/>
    </row>
    <row r="699" ht="15.75" customHeight="1">
      <c r="A699" s="142"/>
      <c r="B699" s="143"/>
      <c r="C699" s="144"/>
      <c r="D699" s="145"/>
      <c r="E699" s="212"/>
      <c r="F699" s="212"/>
      <c r="G699" s="174"/>
      <c r="H699" s="148"/>
      <c r="I699" s="148"/>
      <c r="J699" s="149"/>
      <c r="K699" s="149"/>
      <c r="L699" s="149"/>
      <c r="M699" s="149"/>
      <c r="N699" s="142"/>
      <c r="O699" s="33"/>
    </row>
    <row r="700" ht="15.75" customHeight="1">
      <c r="A700" s="142"/>
      <c r="B700" s="143"/>
      <c r="C700" s="144"/>
      <c r="D700" s="145"/>
      <c r="E700" s="212"/>
      <c r="F700" s="212"/>
      <c r="G700" s="174"/>
      <c r="H700" s="148"/>
      <c r="I700" s="148"/>
      <c r="J700" s="149"/>
      <c r="K700" s="149"/>
      <c r="L700" s="149"/>
      <c r="M700" s="149"/>
      <c r="N700" s="142"/>
      <c r="O700" s="33"/>
    </row>
    <row r="701" ht="15.75" customHeight="1">
      <c r="A701" s="142"/>
      <c r="B701" s="143"/>
      <c r="C701" s="144"/>
      <c r="D701" s="145"/>
      <c r="E701" s="212"/>
      <c r="F701" s="212"/>
      <c r="G701" s="174"/>
      <c r="H701" s="148"/>
      <c r="I701" s="148"/>
      <c r="J701" s="149"/>
      <c r="K701" s="149"/>
      <c r="L701" s="149"/>
      <c r="M701" s="149"/>
      <c r="N701" s="142"/>
      <c r="O701" s="33"/>
    </row>
    <row r="702" ht="15.75" customHeight="1">
      <c r="A702" s="142"/>
      <c r="B702" s="143"/>
      <c r="C702" s="144"/>
      <c r="D702" s="145"/>
      <c r="E702" s="212"/>
      <c r="F702" s="212"/>
      <c r="G702" s="174"/>
      <c r="H702" s="148"/>
      <c r="I702" s="148"/>
      <c r="J702" s="149"/>
      <c r="K702" s="149"/>
      <c r="L702" s="149"/>
      <c r="M702" s="149"/>
      <c r="N702" s="142"/>
      <c r="O702" s="33"/>
    </row>
    <row r="703" ht="15.75" customHeight="1">
      <c r="A703" s="142"/>
      <c r="B703" s="143"/>
      <c r="C703" s="144"/>
      <c r="D703" s="145"/>
      <c r="E703" s="212"/>
      <c r="F703" s="212"/>
      <c r="G703" s="174"/>
      <c r="H703" s="148"/>
      <c r="I703" s="148"/>
      <c r="J703" s="149"/>
      <c r="K703" s="149"/>
      <c r="L703" s="149"/>
      <c r="M703" s="149"/>
      <c r="N703" s="142"/>
      <c r="O703" s="33"/>
    </row>
    <row r="704" ht="15.75" customHeight="1">
      <c r="A704" s="142"/>
      <c r="B704" s="143"/>
      <c r="C704" s="144"/>
      <c r="D704" s="145"/>
      <c r="E704" s="212"/>
      <c r="F704" s="212"/>
      <c r="G704" s="174"/>
      <c r="H704" s="148"/>
      <c r="I704" s="148"/>
      <c r="J704" s="149"/>
      <c r="K704" s="149"/>
      <c r="L704" s="149"/>
      <c r="M704" s="149"/>
      <c r="N704" s="142"/>
      <c r="O704" s="33"/>
    </row>
    <row r="705" ht="15.75" customHeight="1">
      <c r="A705" s="142"/>
      <c r="B705" s="143"/>
      <c r="C705" s="144"/>
      <c r="D705" s="145"/>
      <c r="E705" s="212"/>
      <c r="F705" s="212"/>
      <c r="G705" s="174"/>
      <c r="H705" s="148"/>
      <c r="I705" s="148"/>
      <c r="J705" s="149"/>
      <c r="K705" s="149"/>
      <c r="L705" s="149"/>
      <c r="M705" s="149"/>
      <c r="N705" s="142"/>
      <c r="O705" s="33"/>
    </row>
    <row r="706" ht="15.75" customHeight="1">
      <c r="A706" s="142"/>
      <c r="B706" s="143"/>
      <c r="C706" s="144"/>
      <c r="D706" s="145"/>
      <c r="E706" s="212"/>
      <c r="F706" s="212"/>
      <c r="G706" s="174"/>
      <c r="H706" s="148"/>
      <c r="I706" s="148"/>
      <c r="J706" s="149"/>
      <c r="K706" s="149"/>
      <c r="L706" s="149"/>
      <c r="M706" s="149"/>
      <c r="N706" s="142"/>
      <c r="O706" s="33"/>
    </row>
    <row r="707" ht="15.75" customHeight="1">
      <c r="A707" s="142"/>
      <c r="B707" s="143"/>
      <c r="C707" s="144"/>
      <c r="D707" s="145"/>
      <c r="E707" s="212"/>
      <c r="F707" s="212"/>
      <c r="G707" s="174"/>
      <c r="H707" s="148"/>
      <c r="I707" s="148"/>
      <c r="J707" s="149"/>
      <c r="K707" s="149"/>
      <c r="L707" s="149"/>
      <c r="M707" s="149"/>
      <c r="N707" s="142"/>
      <c r="O707" s="33"/>
    </row>
    <row r="708" ht="15.75" customHeight="1">
      <c r="A708" s="142"/>
      <c r="B708" s="143"/>
      <c r="C708" s="144"/>
      <c r="D708" s="145"/>
      <c r="E708" s="212"/>
      <c r="F708" s="212"/>
      <c r="G708" s="174"/>
      <c r="H708" s="148"/>
      <c r="I708" s="148"/>
      <c r="J708" s="149"/>
      <c r="K708" s="149"/>
      <c r="L708" s="149"/>
      <c r="M708" s="149"/>
      <c r="N708" s="142"/>
      <c r="O708" s="33"/>
    </row>
    <row r="709" ht="15.75" customHeight="1">
      <c r="A709" s="142"/>
      <c r="B709" s="143"/>
      <c r="C709" s="144"/>
      <c r="D709" s="145"/>
      <c r="E709" s="212"/>
      <c r="F709" s="212"/>
      <c r="G709" s="174"/>
      <c r="H709" s="148"/>
      <c r="I709" s="148"/>
      <c r="J709" s="149"/>
      <c r="K709" s="149"/>
      <c r="L709" s="149"/>
      <c r="M709" s="149"/>
      <c r="N709" s="142"/>
      <c r="O709" s="33"/>
    </row>
    <row r="710" ht="15.75" customHeight="1">
      <c r="A710" s="142"/>
      <c r="B710" s="143"/>
      <c r="C710" s="144"/>
      <c r="D710" s="145"/>
      <c r="E710" s="212"/>
      <c r="F710" s="212"/>
      <c r="G710" s="174"/>
      <c r="H710" s="148"/>
      <c r="I710" s="148"/>
      <c r="J710" s="149"/>
      <c r="K710" s="149"/>
      <c r="L710" s="149"/>
      <c r="M710" s="149"/>
      <c r="N710" s="142"/>
      <c r="O710" s="33"/>
    </row>
    <row r="711" ht="15.75" customHeight="1">
      <c r="A711" s="142"/>
      <c r="B711" s="143"/>
      <c r="C711" s="144"/>
      <c r="D711" s="145"/>
      <c r="E711" s="212"/>
      <c r="F711" s="212"/>
      <c r="G711" s="174"/>
      <c r="H711" s="148"/>
      <c r="I711" s="148"/>
      <c r="J711" s="149"/>
      <c r="K711" s="149"/>
      <c r="L711" s="149"/>
      <c r="M711" s="149"/>
      <c r="N711" s="142"/>
      <c r="O711" s="33"/>
    </row>
    <row r="712" ht="15.75" customHeight="1">
      <c r="A712" s="142"/>
      <c r="B712" s="143"/>
      <c r="C712" s="144"/>
      <c r="D712" s="145"/>
      <c r="E712" s="212"/>
      <c r="F712" s="212"/>
      <c r="G712" s="174"/>
      <c r="H712" s="148"/>
      <c r="I712" s="148"/>
      <c r="J712" s="149"/>
      <c r="K712" s="149"/>
      <c r="L712" s="149"/>
      <c r="M712" s="149"/>
      <c r="N712" s="142"/>
      <c r="O712" s="33"/>
    </row>
    <row r="713" ht="15.75" customHeight="1">
      <c r="A713" s="142"/>
      <c r="B713" s="143"/>
      <c r="C713" s="144"/>
      <c r="D713" s="145"/>
      <c r="E713" s="212"/>
      <c r="F713" s="212"/>
      <c r="G713" s="174"/>
      <c r="H713" s="148"/>
      <c r="I713" s="148"/>
      <c r="J713" s="149"/>
      <c r="K713" s="149"/>
      <c r="L713" s="149"/>
      <c r="M713" s="149"/>
      <c r="N713" s="142"/>
      <c r="O713" s="33"/>
    </row>
    <row r="714" ht="15.75" customHeight="1">
      <c r="A714" s="142"/>
      <c r="B714" s="143"/>
      <c r="C714" s="144"/>
      <c r="D714" s="145"/>
      <c r="E714" s="212"/>
      <c r="F714" s="212"/>
      <c r="G714" s="174"/>
      <c r="H714" s="148"/>
      <c r="I714" s="148"/>
      <c r="J714" s="149"/>
      <c r="K714" s="149"/>
      <c r="L714" s="149"/>
      <c r="M714" s="149"/>
      <c r="N714" s="142"/>
      <c r="O714" s="33"/>
    </row>
    <row r="715" ht="15.75" customHeight="1">
      <c r="A715" s="142"/>
      <c r="B715" s="143"/>
      <c r="C715" s="144"/>
      <c r="D715" s="145"/>
      <c r="E715" s="212"/>
      <c r="F715" s="212"/>
      <c r="G715" s="174"/>
      <c r="H715" s="148"/>
      <c r="I715" s="148"/>
      <c r="J715" s="149"/>
      <c r="K715" s="149"/>
      <c r="L715" s="149"/>
      <c r="M715" s="149"/>
      <c r="N715" s="142"/>
      <c r="O715" s="33"/>
    </row>
    <row r="716" ht="15.75" customHeight="1">
      <c r="A716" s="142"/>
      <c r="B716" s="143"/>
      <c r="C716" s="144"/>
      <c r="D716" s="145"/>
      <c r="E716" s="212"/>
      <c r="F716" s="212"/>
      <c r="G716" s="174"/>
      <c r="H716" s="148"/>
      <c r="I716" s="148"/>
      <c r="J716" s="149"/>
      <c r="K716" s="149"/>
      <c r="L716" s="149"/>
      <c r="M716" s="149"/>
      <c r="N716" s="142"/>
      <c r="O716" s="33"/>
    </row>
    <row r="717" ht="15.75" customHeight="1">
      <c r="A717" s="142"/>
      <c r="B717" s="143"/>
      <c r="C717" s="144"/>
      <c r="D717" s="145"/>
      <c r="E717" s="212"/>
      <c r="F717" s="212"/>
      <c r="G717" s="174"/>
      <c r="H717" s="148"/>
      <c r="I717" s="148"/>
      <c r="J717" s="149"/>
      <c r="K717" s="149"/>
      <c r="L717" s="149"/>
      <c r="M717" s="149"/>
      <c r="N717" s="142"/>
      <c r="O717" s="33"/>
    </row>
    <row r="718" ht="15.75" customHeight="1">
      <c r="A718" s="142"/>
      <c r="B718" s="143"/>
      <c r="C718" s="144"/>
      <c r="D718" s="145"/>
      <c r="E718" s="212"/>
      <c r="F718" s="212"/>
      <c r="G718" s="174"/>
      <c r="H718" s="148"/>
      <c r="I718" s="148"/>
      <c r="J718" s="149"/>
      <c r="K718" s="149"/>
      <c r="L718" s="149"/>
      <c r="M718" s="149"/>
      <c r="N718" s="142"/>
      <c r="O718" s="33"/>
    </row>
    <row r="719" ht="15.75" customHeight="1">
      <c r="A719" s="142"/>
      <c r="B719" s="143"/>
      <c r="C719" s="144"/>
      <c r="D719" s="145"/>
      <c r="E719" s="212"/>
      <c r="F719" s="212"/>
      <c r="G719" s="174"/>
      <c r="H719" s="148"/>
      <c r="I719" s="148"/>
      <c r="J719" s="149"/>
      <c r="K719" s="149"/>
      <c r="L719" s="149"/>
      <c r="M719" s="149"/>
      <c r="N719" s="142"/>
      <c r="O719" s="33"/>
    </row>
    <row r="720" ht="15.75" customHeight="1">
      <c r="A720" s="142"/>
      <c r="B720" s="143"/>
      <c r="C720" s="144"/>
      <c r="D720" s="145"/>
      <c r="E720" s="212"/>
      <c r="F720" s="212"/>
      <c r="G720" s="174"/>
      <c r="H720" s="148"/>
      <c r="I720" s="148"/>
      <c r="J720" s="149"/>
      <c r="K720" s="149"/>
      <c r="L720" s="149"/>
      <c r="M720" s="149"/>
      <c r="N720" s="142"/>
      <c r="O720" s="33"/>
    </row>
    <row r="721" ht="15.75" customHeight="1">
      <c r="A721" s="142"/>
      <c r="B721" s="143"/>
      <c r="C721" s="144"/>
      <c r="D721" s="145"/>
      <c r="E721" s="212"/>
      <c r="F721" s="212"/>
      <c r="G721" s="174"/>
      <c r="H721" s="148"/>
      <c r="I721" s="148"/>
      <c r="J721" s="149"/>
      <c r="K721" s="149"/>
      <c r="L721" s="149"/>
      <c r="M721" s="149"/>
      <c r="N721" s="142"/>
      <c r="O721" s="33"/>
    </row>
    <row r="722" ht="15.75" customHeight="1">
      <c r="A722" s="142"/>
      <c r="B722" s="143"/>
      <c r="C722" s="144"/>
      <c r="D722" s="145"/>
      <c r="E722" s="212"/>
      <c r="F722" s="212"/>
      <c r="G722" s="174"/>
      <c r="H722" s="148"/>
      <c r="I722" s="148"/>
      <c r="J722" s="149"/>
      <c r="K722" s="149"/>
      <c r="L722" s="149"/>
      <c r="M722" s="149"/>
      <c r="N722" s="142"/>
      <c r="O722" s="33"/>
    </row>
    <row r="723" ht="15.75" customHeight="1">
      <c r="A723" s="142"/>
      <c r="B723" s="143"/>
      <c r="C723" s="144"/>
      <c r="D723" s="145"/>
      <c r="E723" s="212"/>
      <c r="F723" s="212"/>
      <c r="G723" s="174"/>
      <c r="H723" s="148"/>
      <c r="I723" s="148"/>
      <c r="J723" s="149"/>
      <c r="K723" s="149"/>
      <c r="L723" s="149"/>
      <c r="M723" s="149"/>
      <c r="N723" s="142"/>
      <c r="O723" s="33"/>
    </row>
    <row r="724" ht="15.75" customHeight="1">
      <c r="A724" s="142"/>
      <c r="B724" s="143"/>
      <c r="C724" s="144"/>
      <c r="D724" s="145"/>
      <c r="E724" s="212"/>
      <c r="F724" s="212"/>
      <c r="G724" s="174"/>
      <c r="H724" s="148"/>
      <c r="I724" s="148"/>
      <c r="J724" s="149"/>
      <c r="K724" s="149"/>
      <c r="L724" s="149"/>
      <c r="M724" s="149"/>
      <c r="N724" s="142"/>
      <c r="O724" s="33"/>
    </row>
    <row r="725" ht="15.75" customHeight="1">
      <c r="A725" s="142"/>
      <c r="B725" s="143"/>
      <c r="C725" s="144"/>
      <c r="D725" s="145"/>
      <c r="E725" s="212"/>
      <c r="F725" s="212"/>
      <c r="G725" s="174"/>
      <c r="H725" s="148"/>
      <c r="I725" s="148"/>
      <c r="J725" s="149"/>
      <c r="K725" s="149"/>
      <c r="L725" s="149"/>
      <c r="M725" s="149"/>
      <c r="N725" s="142"/>
      <c r="O725" s="33"/>
    </row>
    <row r="726" ht="15.75" customHeight="1">
      <c r="A726" s="142"/>
      <c r="B726" s="143"/>
      <c r="C726" s="144"/>
      <c r="D726" s="145"/>
      <c r="E726" s="212"/>
      <c r="F726" s="212"/>
      <c r="G726" s="174"/>
      <c r="H726" s="148"/>
      <c r="I726" s="148"/>
      <c r="J726" s="149"/>
      <c r="K726" s="149"/>
      <c r="L726" s="149"/>
      <c r="M726" s="149"/>
      <c r="N726" s="142"/>
      <c r="O726" s="33"/>
    </row>
    <row r="727" ht="15.75" customHeight="1">
      <c r="A727" s="142"/>
      <c r="B727" s="143"/>
      <c r="C727" s="144"/>
      <c r="D727" s="145"/>
      <c r="E727" s="212"/>
      <c r="F727" s="212"/>
      <c r="G727" s="174"/>
      <c r="H727" s="148"/>
      <c r="I727" s="148"/>
      <c r="J727" s="149"/>
      <c r="K727" s="149"/>
      <c r="L727" s="149"/>
      <c r="M727" s="149"/>
      <c r="N727" s="142"/>
      <c r="O727" s="33"/>
    </row>
    <row r="728" ht="15.75" customHeight="1">
      <c r="A728" s="142"/>
      <c r="B728" s="143"/>
      <c r="C728" s="144"/>
      <c r="D728" s="145"/>
      <c r="E728" s="212"/>
      <c r="F728" s="212"/>
      <c r="G728" s="174"/>
      <c r="H728" s="148"/>
      <c r="I728" s="148"/>
      <c r="J728" s="149"/>
      <c r="K728" s="149"/>
      <c r="L728" s="149"/>
      <c r="M728" s="149"/>
      <c r="N728" s="142"/>
      <c r="O728" s="33"/>
    </row>
    <row r="729" ht="15.75" customHeight="1">
      <c r="A729" s="142"/>
      <c r="B729" s="143"/>
      <c r="C729" s="144"/>
      <c r="D729" s="145"/>
      <c r="E729" s="212"/>
      <c r="F729" s="212"/>
      <c r="G729" s="174"/>
      <c r="H729" s="148"/>
      <c r="I729" s="148"/>
      <c r="J729" s="149"/>
      <c r="K729" s="149"/>
      <c r="L729" s="149"/>
      <c r="M729" s="149"/>
      <c r="N729" s="142"/>
      <c r="O729" s="33"/>
    </row>
    <row r="730" ht="15.75" customHeight="1">
      <c r="A730" s="142"/>
      <c r="B730" s="143"/>
      <c r="C730" s="144"/>
      <c r="D730" s="145"/>
      <c r="E730" s="212"/>
      <c r="F730" s="212"/>
      <c r="G730" s="174"/>
      <c r="H730" s="148"/>
      <c r="I730" s="148"/>
      <c r="J730" s="149"/>
      <c r="K730" s="149"/>
      <c r="L730" s="149"/>
      <c r="M730" s="149"/>
      <c r="N730" s="142"/>
      <c r="O730" s="33"/>
    </row>
    <row r="731" ht="15.75" customHeight="1">
      <c r="A731" s="142"/>
      <c r="B731" s="143"/>
      <c r="C731" s="144"/>
      <c r="D731" s="145"/>
      <c r="E731" s="212"/>
      <c r="F731" s="212"/>
      <c r="G731" s="174"/>
      <c r="H731" s="148"/>
      <c r="I731" s="148"/>
      <c r="J731" s="149"/>
      <c r="K731" s="149"/>
      <c r="L731" s="149"/>
      <c r="M731" s="149"/>
      <c r="N731" s="142"/>
      <c r="O731" s="33"/>
    </row>
    <row r="732" ht="15.75" customHeight="1">
      <c r="A732" s="142"/>
      <c r="B732" s="143"/>
      <c r="C732" s="144"/>
      <c r="D732" s="145"/>
      <c r="E732" s="212"/>
      <c r="F732" s="212"/>
      <c r="G732" s="174"/>
      <c r="H732" s="148"/>
      <c r="I732" s="148"/>
      <c r="J732" s="149"/>
      <c r="K732" s="149"/>
      <c r="L732" s="149"/>
      <c r="M732" s="149"/>
      <c r="N732" s="142"/>
      <c r="O732" s="33"/>
    </row>
    <row r="733" ht="15.75" customHeight="1">
      <c r="A733" s="142"/>
      <c r="B733" s="143"/>
      <c r="C733" s="144"/>
      <c r="D733" s="145"/>
      <c r="E733" s="212"/>
      <c r="F733" s="212"/>
      <c r="G733" s="174"/>
      <c r="H733" s="148"/>
      <c r="I733" s="148"/>
      <c r="J733" s="149"/>
      <c r="K733" s="149"/>
      <c r="L733" s="149"/>
      <c r="M733" s="149"/>
      <c r="N733" s="142"/>
      <c r="O733" s="33"/>
    </row>
    <row r="734" ht="15.75" customHeight="1">
      <c r="A734" s="142"/>
      <c r="B734" s="143"/>
      <c r="C734" s="144"/>
      <c r="D734" s="145"/>
      <c r="E734" s="212"/>
      <c r="F734" s="212"/>
      <c r="G734" s="174"/>
      <c r="H734" s="148"/>
      <c r="I734" s="148"/>
      <c r="J734" s="149"/>
      <c r="K734" s="149"/>
      <c r="L734" s="149"/>
      <c r="M734" s="149"/>
      <c r="N734" s="142"/>
      <c r="O734" s="33"/>
    </row>
    <row r="735" ht="15.75" customHeight="1">
      <c r="A735" s="142"/>
      <c r="B735" s="143"/>
      <c r="C735" s="144"/>
      <c r="D735" s="145"/>
      <c r="E735" s="212"/>
      <c r="F735" s="212"/>
      <c r="G735" s="174"/>
      <c r="H735" s="148"/>
      <c r="I735" s="148"/>
      <c r="J735" s="149"/>
      <c r="K735" s="149"/>
      <c r="L735" s="149"/>
      <c r="M735" s="149"/>
      <c r="N735" s="142"/>
      <c r="O735" s="33"/>
    </row>
    <row r="736" ht="15.75" customHeight="1">
      <c r="A736" s="142"/>
      <c r="B736" s="143"/>
      <c r="C736" s="144"/>
      <c r="D736" s="145"/>
      <c r="E736" s="212"/>
      <c r="F736" s="212"/>
      <c r="G736" s="174"/>
      <c r="H736" s="148"/>
      <c r="I736" s="148"/>
      <c r="J736" s="149"/>
      <c r="K736" s="149"/>
      <c r="L736" s="149"/>
      <c r="M736" s="149"/>
      <c r="N736" s="142"/>
      <c r="O736" s="33"/>
    </row>
    <row r="737" ht="15.75" customHeight="1">
      <c r="A737" s="142"/>
      <c r="B737" s="143"/>
      <c r="C737" s="144"/>
      <c r="D737" s="145"/>
      <c r="E737" s="212"/>
      <c r="F737" s="212"/>
      <c r="G737" s="174"/>
      <c r="H737" s="148"/>
      <c r="I737" s="148"/>
      <c r="J737" s="149"/>
      <c r="K737" s="149"/>
      <c r="L737" s="149"/>
      <c r="M737" s="149"/>
      <c r="N737" s="142"/>
      <c r="O737" s="33"/>
    </row>
    <row r="738" ht="15.75" customHeight="1">
      <c r="A738" s="142"/>
      <c r="B738" s="143"/>
      <c r="C738" s="144"/>
      <c r="D738" s="145"/>
      <c r="E738" s="212"/>
      <c r="F738" s="212"/>
      <c r="G738" s="174"/>
      <c r="H738" s="148"/>
      <c r="I738" s="148"/>
      <c r="J738" s="149"/>
      <c r="K738" s="149"/>
      <c r="L738" s="149"/>
      <c r="M738" s="149"/>
      <c r="N738" s="142"/>
      <c r="O738" s="33"/>
    </row>
    <row r="739" ht="15.75" customHeight="1">
      <c r="A739" s="142"/>
      <c r="B739" s="143"/>
      <c r="C739" s="144"/>
      <c r="D739" s="145"/>
      <c r="E739" s="212"/>
      <c r="F739" s="212"/>
      <c r="G739" s="174"/>
      <c r="H739" s="148"/>
      <c r="I739" s="148"/>
      <c r="J739" s="149"/>
      <c r="K739" s="149"/>
      <c r="L739" s="149"/>
      <c r="M739" s="149"/>
      <c r="N739" s="142"/>
      <c r="O739" s="33"/>
    </row>
    <row r="740" ht="15.75" customHeight="1">
      <c r="A740" s="142"/>
      <c r="B740" s="143"/>
      <c r="C740" s="144"/>
      <c r="D740" s="145"/>
      <c r="E740" s="212"/>
      <c r="F740" s="212"/>
      <c r="G740" s="174"/>
      <c r="H740" s="148"/>
      <c r="I740" s="148"/>
      <c r="J740" s="149"/>
      <c r="K740" s="149"/>
      <c r="L740" s="149"/>
      <c r="M740" s="149"/>
      <c r="N740" s="142"/>
      <c r="O740" s="33"/>
    </row>
    <row r="741" ht="15.75" customHeight="1">
      <c r="A741" s="142"/>
      <c r="B741" s="143"/>
      <c r="C741" s="144"/>
      <c r="D741" s="145"/>
      <c r="E741" s="212"/>
      <c r="F741" s="212"/>
      <c r="G741" s="174"/>
      <c r="H741" s="148"/>
      <c r="I741" s="148"/>
      <c r="J741" s="149"/>
      <c r="K741" s="149"/>
      <c r="L741" s="149"/>
      <c r="M741" s="149"/>
      <c r="N741" s="142"/>
      <c r="O741" s="33"/>
    </row>
    <row r="742" ht="15.75" customHeight="1">
      <c r="A742" s="142"/>
      <c r="B742" s="143"/>
      <c r="C742" s="144"/>
      <c r="D742" s="145"/>
      <c r="E742" s="212"/>
      <c r="F742" s="212"/>
      <c r="G742" s="174"/>
      <c r="H742" s="148"/>
      <c r="I742" s="148"/>
      <c r="J742" s="149"/>
      <c r="K742" s="149"/>
      <c r="L742" s="149"/>
      <c r="M742" s="149"/>
      <c r="N742" s="142"/>
      <c r="O742" s="33"/>
    </row>
    <row r="743" ht="15.75" customHeight="1">
      <c r="A743" s="142"/>
      <c r="B743" s="143"/>
      <c r="C743" s="144"/>
      <c r="D743" s="145"/>
      <c r="E743" s="212"/>
      <c r="F743" s="212"/>
      <c r="G743" s="174"/>
      <c r="H743" s="148"/>
      <c r="I743" s="148"/>
      <c r="J743" s="149"/>
      <c r="K743" s="149"/>
      <c r="L743" s="149"/>
      <c r="M743" s="149"/>
      <c r="N743" s="142"/>
      <c r="O743" s="33"/>
    </row>
    <row r="744" ht="15.75" customHeight="1">
      <c r="A744" s="142"/>
      <c r="B744" s="143"/>
      <c r="C744" s="144"/>
      <c r="D744" s="145"/>
      <c r="E744" s="212"/>
      <c r="F744" s="212"/>
      <c r="G744" s="174"/>
      <c r="H744" s="148"/>
      <c r="I744" s="148"/>
      <c r="J744" s="149"/>
      <c r="K744" s="149"/>
      <c r="L744" s="149"/>
      <c r="M744" s="149"/>
      <c r="N744" s="142"/>
      <c r="O744" s="33"/>
    </row>
    <row r="745" ht="15.75" customHeight="1">
      <c r="A745" s="142"/>
      <c r="B745" s="143"/>
      <c r="C745" s="144"/>
      <c r="D745" s="145"/>
      <c r="E745" s="212"/>
      <c r="F745" s="212"/>
      <c r="G745" s="174"/>
      <c r="H745" s="148"/>
      <c r="I745" s="148"/>
      <c r="J745" s="149"/>
      <c r="K745" s="149"/>
      <c r="L745" s="149"/>
      <c r="M745" s="149"/>
      <c r="N745" s="142"/>
      <c r="O745" s="33"/>
    </row>
    <row r="746" ht="15.75" customHeight="1">
      <c r="A746" s="142"/>
      <c r="B746" s="143"/>
      <c r="C746" s="144"/>
      <c r="D746" s="145"/>
      <c r="E746" s="212"/>
      <c r="F746" s="212"/>
      <c r="G746" s="174"/>
      <c r="H746" s="148"/>
      <c r="I746" s="148"/>
      <c r="J746" s="149"/>
      <c r="K746" s="149"/>
      <c r="L746" s="149"/>
      <c r="M746" s="149"/>
      <c r="N746" s="142"/>
      <c r="O746" s="33"/>
    </row>
    <row r="747" ht="15.75" customHeight="1">
      <c r="A747" s="142"/>
      <c r="B747" s="143"/>
      <c r="C747" s="144"/>
      <c r="D747" s="145"/>
      <c r="E747" s="212"/>
      <c r="F747" s="212"/>
      <c r="G747" s="174"/>
      <c r="H747" s="148"/>
      <c r="I747" s="148"/>
      <c r="J747" s="149"/>
      <c r="K747" s="149"/>
      <c r="L747" s="149"/>
      <c r="M747" s="149"/>
      <c r="N747" s="142"/>
      <c r="O747" s="33"/>
    </row>
    <row r="748" ht="15.75" customHeight="1">
      <c r="A748" s="142"/>
      <c r="B748" s="143"/>
      <c r="C748" s="144"/>
      <c r="D748" s="145"/>
      <c r="E748" s="212"/>
      <c r="F748" s="212"/>
      <c r="G748" s="174"/>
      <c r="H748" s="148"/>
      <c r="I748" s="148"/>
      <c r="J748" s="149"/>
      <c r="K748" s="149"/>
      <c r="L748" s="149"/>
      <c r="M748" s="149"/>
      <c r="N748" s="142"/>
      <c r="O748" s="33"/>
    </row>
    <row r="749" ht="15.75" customHeight="1">
      <c r="A749" s="142"/>
      <c r="B749" s="143"/>
      <c r="C749" s="144"/>
      <c r="D749" s="145"/>
      <c r="E749" s="212"/>
      <c r="F749" s="212"/>
      <c r="G749" s="174"/>
      <c r="H749" s="148"/>
      <c r="I749" s="148"/>
      <c r="J749" s="149"/>
      <c r="K749" s="149"/>
      <c r="L749" s="149"/>
      <c r="M749" s="149"/>
      <c r="N749" s="142"/>
      <c r="O749" s="33"/>
    </row>
    <row r="750" ht="15.75" customHeight="1">
      <c r="A750" s="142"/>
      <c r="B750" s="143"/>
      <c r="C750" s="144"/>
      <c r="D750" s="145"/>
      <c r="E750" s="212"/>
      <c r="F750" s="212"/>
      <c r="G750" s="174"/>
      <c r="H750" s="148"/>
      <c r="I750" s="148"/>
      <c r="J750" s="149"/>
      <c r="K750" s="149"/>
      <c r="L750" s="149"/>
      <c r="M750" s="149"/>
      <c r="N750" s="142"/>
      <c r="O750" s="33"/>
    </row>
    <row r="751" ht="15.75" customHeight="1">
      <c r="A751" s="142"/>
      <c r="B751" s="143"/>
      <c r="C751" s="144"/>
      <c r="D751" s="145"/>
      <c r="E751" s="212"/>
      <c r="F751" s="212"/>
      <c r="G751" s="174"/>
      <c r="H751" s="148"/>
      <c r="I751" s="148"/>
      <c r="J751" s="149"/>
      <c r="K751" s="149"/>
      <c r="L751" s="149"/>
      <c r="M751" s="149"/>
      <c r="N751" s="142"/>
      <c r="O751" s="33"/>
    </row>
    <row r="752" ht="15.75" customHeight="1">
      <c r="A752" s="142"/>
      <c r="B752" s="143"/>
      <c r="C752" s="144"/>
      <c r="D752" s="145"/>
      <c r="E752" s="212"/>
      <c r="F752" s="212"/>
      <c r="G752" s="174"/>
      <c r="H752" s="148"/>
      <c r="I752" s="148"/>
      <c r="J752" s="149"/>
      <c r="K752" s="149"/>
      <c r="L752" s="149"/>
      <c r="M752" s="149"/>
      <c r="N752" s="142"/>
      <c r="O752" s="33"/>
    </row>
    <row r="753" ht="15.75" customHeight="1">
      <c r="A753" s="142"/>
      <c r="B753" s="143"/>
      <c r="C753" s="144"/>
      <c r="D753" s="145"/>
      <c r="E753" s="212"/>
      <c r="F753" s="212"/>
      <c r="G753" s="174"/>
      <c r="H753" s="148"/>
      <c r="I753" s="148"/>
      <c r="J753" s="149"/>
      <c r="K753" s="149"/>
      <c r="L753" s="149"/>
      <c r="M753" s="149"/>
      <c r="N753" s="142"/>
      <c r="O753" s="33"/>
    </row>
    <row r="754" ht="15.75" customHeight="1">
      <c r="A754" s="142"/>
      <c r="B754" s="143"/>
      <c r="C754" s="144"/>
      <c r="D754" s="145"/>
      <c r="E754" s="212"/>
      <c r="F754" s="212"/>
      <c r="G754" s="174"/>
      <c r="H754" s="148"/>
      <c r="I754" s="148"/>
      <c r="J754" s="149"/>
      <c r="K754" s="149"/>
      <c r="L754" s="149"/>
      <c r="M754" s="149"/>
      <c r="N754" s="142"/>
      <c r="O754" s="33"/>
    </row>
    <row r="755" ht="15.75" customHeight="1">
      <c r="A755" s="142"/>
      <c r="B755" s="143"/>
      <c r="C755" s="144"/>
      <c r="D755" s="145"/>
      <c r="E755" s="212"/>
      <c r="F755" s="212"/>
      <c r="G755" s="174"/>
      <c r="H755" s="148"/>
      <c r="I755" s="148"/>
      <c r="J755" s="149"/>
      <c r="K755" s="149"/>
      <c r="L755" s="149"/>
      <c r="M755" s="149"/>
      <c r="N755" s="142"/>
      <c r="O755" s="33"/>
    </row>
    <row r="756" ht="15.75" customHeight="1">
      <c r="A756" s="142"/>
      <c r="B756" s="143"/>
      <c r="C756" s="144"/>
      <c r="D756" s="145"/>
      <c r="E756" s="212"/>
      <c r="F756" s="212"/>
      <c r="G756" s="174"/>
      <c r="H756" s="148"/>
      <c r="I756" s="148"/>
      <c r="J756" s="149"/>
      <c r="K756" s="149"/>
      <c r="L756" s="149"/>
      <c r="M756" s="149"/>
      <c r="N756" s="142"/>
      <c r="O756" s="33"/>
    </row>
    <row r="757" ht="15.75" customHeight="1">
      <c r="A757" s="142"/>
      <c r="B757" s="143"/>
      <c r="C757" s="144"/>
      <c r="D757" s="145"/>
      <c r="E757" s="212"/>
      <c r="F757" s="212"/>
      <c r="G757" s="174"/>
      <c r="H757" s="148"/>
      <c r="I757" s="148"/>
      <c r="J757" s="149"/>
      <c r="K757" s="149"/>
      <c r="L757" s="149"/>
      <c r="M757" s="149"/>
      <c r="N757" s="142"/>
      <c r="O757" s="33"/>
    </row>
    <row r="758" ht="15.75" customHeight="1">
      <c r="A758" s="142"/>
      <c r="B758" s="143"/>
      <c r="C758" s="144"/>
      <c r="D758" s="145"/>
      <c r="E758" s="212"/>
      <c r="F758" s="212"/>
      <c r="G758" s="174"/>
      <c r="H758" s="148"/>
      <c r="I758" s="148"/>
      <c r="J758" s="149"/>
      <c r="K758" s="149"/>
      <c r="L758" s="149"/>
      <c r="M758" s="149"/>
      <c r="N758" s="142"/>
      <c r="O758" s="33"/>
    </row>
    <row r="759" ht="15.75" customHeight="1">
      <c r="A759" s="142"/>
      <c r="B759" s="143"/>
      <c r="C759" s="144"/>
      <c r="D759" s="145"/>
      <c r="E759" s="212"/>
      <c r="F759" s="212"/>
      <c r="G759" s="174"/>
      <c r="H759" s="148"/>
      <c r="I759" s="148"/>
      <c r="J759" s="149"/>
      <c r="K759" s="149"/>
      <c r="L759" s="149"/>
      <c r="M759" s="149"/>
      <c r="N759" s="142"/>
      <c r="O759" s="33"/>
    </row>
    <row r="760" ht="15.75" customHeight="1">
      <c r="A760" s="142"/>
      <c r="B760" s="143"/>
      <c r="C760" s="144"/>
      <c r="D760" s="145"/>
      <c r="E760" s="212"/>
      <c r="F760" s="212"/>
      <c r="G760" s="174"/>
      <c r="H760" s="148"/>
      <c r="I760" s="148"/>
      <c r="J760" s="149"/>
      <c r="K760" s="149"/>
      <c r="L760" s="149"/>
      <c r="M760" s="149"/>
      <c r="N760" s="142"/>
      <c r="O760" s="33"/>
    </row>
    <row r="761" ht="15.75" customHeight="1">
      <c r="A761" s="142"/>
      <c r="B761" s="143"/>
      <c r="C761" s="144"/>
      <c r="D761" s="145"/>
      <c r="E761" s="212"/>
      <c r="F761" s="212"/>
      <c r="G761" s="174"/>
      <c r="H761" s="148"/>
      <c r="I761" s="148"/>
      <c r="J761" s="149"/>
      <c r="K761" s="149"/>
      <c r="L761" s="149"/>
      <c r="M761" s="149"/>
      <c r="N761" s="142"/>
      <c r="O761" s="33"/>
    </row>
    <row r="762" ht="15.75" customHeight="1">
      <c r="A762" s="142"/>
      <c r="B762" s="143"/>
      <c r="C762" s="144"/>
      <c r="D762" s="145"/>
      <c r="E762" s="212"/>
      <c r="F762" s="212"/>
      <c r="G762" s="174"/>
      <c r="H762" s="148"/>
      <c r="I762" s="148"/>
      <c r="J762" s="149"/>
      <c r="K762" s="149"/>
      <c r="L762" s="149"/>
      <c r="M762" s="149"/>
      <c r="N762" s="142"/>
      <c r="O762" s="33"/>
    </row>
    <row r="763" ht="15.75" customHeight="1">
      <c r="A763" s="142"/>
      <c r="B763" s="143"/>
      <c r="C763" s="144"/>
      <c r="D763" s="145"/>
      <c r="E763" s="212"/>
      <c r="F763" s="212"/>
      <c r="G763" s="174"/>
      <c r="H763" s="148"/>
      <c r="I763" s="148"/>
      <c r="J763" s="149"/>
      <c r="K763" s="149"/>
      <c r="L763" s="149"/>
      <c r="M763" s="149"/>
      <c r="N763" s="142"/>
      <c r="O763" s="33"/>
    </row>
    <row r="764" ht="15.75" customHeight="1">
      <c r="A764" s="142"/>
      <c r="B764" s="143"/>
      <c r="C764" s="144"/>
      <c r="D764" s="145"/>
      <c r="E764" s="212"/>
      <c r="F764" s="212"/>
      <c r="G764" s="174"/>
      <c r="H764" s="148"/>
      <c r="I764" s="148"/>
      <c r="J764" s="149"/>
      <c r="K764" s="149"/>
      <c r="L764" s="149"/>
      <c r="M764" s="149"/>
      <c r="N764" s="142"/>
      <c r="O764" s="33"/>
    </row>
    <row r="765" ht="15.75" customHeight="1">
      <c r="A765" s="142"/>
      <c r="B765" s="143"/>
      <c r="C765" s="144"/>
      <c r="D765" s="145"/>
      <c r="E765" s="212"/>
      <c r="F765" s="212"/>
      <c r="G765" s="174"/>
      <c r="H765" s="148"/>
      <c r="I765" s="148"/>
      <c r="J765" s="149"/>
      <c r="K765" s="149"/>
      <c r="L765" s="149"/>
      <c r="M765" s="149"/>
      <c r="N765" s="142"/>
      <c r="O765" s="33"/>
    </row>
    <row r="766" ht="15.75" customHeight="1">
      <c r="A766" s="142"/>
      <c r="B766" s="143"/>
      <c r="C766" s="144"/>
      <c r="D766" s="145"/>
      <c r="E766" s="212"/>
      <c r="F766" s="212"/>
      <c r="G766" s="174"/>
      <c r="H766" s="148"/>
      <c r="I766" s="148"/>
      <c r="J766" s="149"/>
      <c r="K766" s="149"/>
      <c r="L766" s="149"/>
      <c r="M766" s="149"/>
      <c r="N766" s="142"/>
      <c r="O766" s="33"/>
    </row>
    <row r="767" ht="15.75" customHeight="1">
      <c r="A767" s="142"/>
      <c r="B767" s="143"/>
      <c r="C767" s="144"/>
      <c r="D767" s="145"/>
      <c r="E767" s="212"/>
      <c r="F767" s="212"/>
      <c r="G767" s="174"/>
      <c r="H767" s="148"/>
      <c r="I767" s="148"/>
      <c r="J767" s="149"/>
      <c r="K767" s="149"/>
      <c r="L767" s="149"/>
      <c r="M767" s="149"/>
      <c r="N767" s="142"/>
      <c r="O767" s="33"/>
    </row>
    <row r="768" ht="15.75" customHeight="1">
      <c r="A768" s="142"/>
      <c r="B768" s="143"/>
      <c r="C768" s="144"/>
      <c r="D768" s="145"/>
      <c r="E768" s="212"/>
      <c r="F768" s="212"/>
      <c r="G768" s="174"/>
      <c r="H768" s="148"/>
      <c r="I768" s="148"/>
      <c r="J768" s="149"/>
      <c r="K768" s="149"/>
      <c r="L768" s="149"/>
      <c r="M768" s="149"/>
      <c r="N768" s="142"/>
      <c r="O768" s="33"/>
    </row>
    <row r="769" ht="15.75" customHeight="1">
      <c r="A769" s="142"/>
      <c r="B769" s="143"/>
      <c r="C769" s="144"/>
      <c r="D769" s="145"/>
      <c r="E769" s="212"/>
      <c r="F769" s="212"/>
      <c r="G769" s="174"/>
      <c r="H769" s="148"/>
      <c r="I769" s="148"/>
      <c r="J769" s="149"/>
      <c r="K769" s="149"/>
      <c r="L769" s="149"/>
      <c r="M769" s="149"/>
      <c r="N769" s="142"/>
      <c r="O769" s="33"/>
    </row>
    <row r="770" ht="15.75" customHeight="1">
      <c r="A770" s="142"/>
      <c r="B770" s="143"/>
      <c r="C770" s="144"/>
      <c r="D770" s="145"/>
      <c r="E770" s="212"/>
      <c r="F770" s="212"/>
      <c r="G770" s="174"/>
      <c r="H770" s="148"/>
      <c r="I770" s="148"/>
      <c r="J770" s="149"/>
      <c r="K770" s="149"/>
      <c r="L770" s="149"/>
      <c r="M770" s="149"/>
      <c r="N770" s="142"/>
      <c r="O770" s="33"/>
    </row>
    <row r="771" ht="15.75" customHeight="1">
      <c r="A771" s="142"/>
      <c r="B771" s="143"/>
      <c r="C771" s="144"/>
      <c r="D771" s="145"/>
      <c r="E771" s="212"/>
      <c r="F771" s="212"/>
      <c r="G771" s="174"/>
      <c r="H771" s="148"/>
      <c r="I771" s="148"/>
      <c r="J771" s="149"/>
      <c r="K771" s="149"/>
      <c r="L771" s="149"/>
      <c r="M771" s="149"/>
      <c r="N771" s="142"/>
      <c r="O771" s="33"/>
    </row>
    <row r="772" ht="15.75" customHeight="1">
      <c r="A772" s="142"/>
      <c r="B772" s="143"/>
      <c r="C772" s="144"/>
      <c r="D772" s="145"/>
      <c r="E772" s="212"/>
      <c r="F772" s="212"/>
      <c r="G772" s="174"/>
      <c r="H772" s="148"/>
      <c r="I772" s="148"/>
      <c r="J772" s="149"/>
      <c r="K772" s="149"/>
      <c r="L772" s="149"/>
      <c r="M772" s="149"/>
      <c r="N772" s="142"/>
      <c r="O772" s="33"/>
    </row>
    <row r="773" ht="15.75" customHeight="1">
      <c r="A773" s="142"/>
      <c r="B773" s="143"/>
      <c r="C773" s="144"/>
      <c r="D773" s="145"/>
      <c r="E773" s="212"/>
      <c r="F773" s="212"/>
      <c r="G773" s="174"/>
      <c r="H773" s="148"/>
      <c r="I773" s="148"/>
      <c r="J773" s="149"/>
      <c r="K773" s="149"/>
      <c r="L773" s="149"/>
      <c r="M773" s="149"/>
      <c r="N773" s="142"/>
      <c r="O773" s="33"/>
    </row>
    <row r="774" ht="15.75" customHeight="1">
      <c r="A774" s="142"/>
      <c r="B774" s="143"/>
      <c r="C774" s="144"/>
      <c r="D774" s="145"/>
      <c r="E774" s="212"/>
      <c r="F774" s="212"/>
      <c r="G774" s="174"/>
      <c r="H774" s="148"/>
      <c r="I774" s="148"/>
      <c r="J774" s="149"/>
      <c r="K774" s="149"/>
      <c r="L774" s="149"/>
      <c r="M774" s="149"/>
      <c r="N774" s="142"/>
      <c r="O774" s="33"/>
    </row>
    <row r="775" ht="15.75" customHeight="1">
      <c r="A775" s="142"/>
      <c r="B775" s="143"/>
      <c r="C775" s="144"/>
      <c r="D775" s="145"/>
      <c r="E775" s="212"/>
      <c r="F775" s="212"/>
      <c r="G775" s="174"/>
      <c r="H775" s="148"/>
      <c r="I775" s="148"/>
      <c r="J775" s="149"/>
      <c r="K775" s="149"/>
      <c r="L775" s="149"/>
      <c r="M775" s="149"/>
      <c r="N775" s="142"/>
      <c r="O775" s="33"/>
    </row>
    <row r="776" ht="15.75" customHeight="1">
      <c r="A776" s="142"/>
      <c r="B776" s="143"/>
      <c r="C776" s="144"/>
      <c r="D776" s="145"/>
      <c r="E776" s="212"/>
      <c r="F776" s="212"/>
      <c r="G776" s="174"/>
      <c r="H776" s="148"/>
      <c r="I776" s="148"/>
      <c r="J776" s="149"/>
      <c r="K776" s="149"/>
      <c r="L776" s="149"/>
      <c r="M776" s="149"/>
      <c r="N776" s="142"/>
      <c r="O776" s="33"/>
    </row>
    <row r="777" ht="15.75" customHeight="1">
      <c r="A777" s="142"/>
      <c r="B777" s="143"/>
      <c r="C777" s="144"/>
      <c r="D777" s="145"/>
      <c r="E777" s="212"/>
      <c r="F777" s="212"/>
      <c r="G777" s="174"/>
      <c r="H777" s="148"/>
      <c r="I777" s="148"/>
      <c r="J777" s="149"/>
      <c r="K777" s="149"/>
      <c r="L777" s="149"/>
      <c r="M777" s="149"/>
      <c r="N777" s="142"/>
      <c r="O777" s="33"/>
    </row>
    <row r="778" ht="15.75" customHeight="1">
      <c r="A778" s="142"/>
      <c r="B778" s="143"/>
      <c r="C778" s="144"/>
      <c r="D778" s="145"/>
      <c r="E778" s="212"/>
      <c r="F778" s="212"/>
      <c r="G778" s="174"/>
      <c r="H778" s="148"/>
      <c r="I778" s="148"/>
      <c r="J778" s="149"/>
      <c r="K778" s="149"/>
      <c r="L778" s="149"/>
      <c r="M778" s="149"/>
      <c r="N778" s="142"/>
      <c r="O778" s="33"/>
    </row>
    <row r="779" ht="15.75" customHeight="1">
      <c r="A779" s="142"/>
      <c r="B779" s="143"/>
      <c r="C779" s="144"/>
      <c r="D779" s="145"/>
      <c r="E779" s="212"/>
      <c r="F779" s="212"/>
      <c r="G779" s="174"/>
      <c r="H779" s="148"/>
      <c r="I779" s="148"/>
      <c r="J779" s="149"/>
      <c r="K779" s="149"/>
      <c r="L779" s="149"/>
      <c r="M779" s="149"/>
      <c r="N779" s="142"/>
      <c r="O779" s="33"/>
    </row>
    <row r="780" ht="15.75" customHeight="1">
      <c r="A780" s="142"/>
      <c r="B780" s="143"/>
      <c r="C780" s="144"/>
      <c r="D780" s="145"/>
      <c r="E780" s="212"/>
      <c r="F780" s="212"/>
      <c r="G780" s="174"/>
      <c r="H780" s="148"/>
      <c r="I780" s="148"/>
      <c r="J780" s="149"/>
      <c r="K780" s="149"/>
      <c r="L780" s="149"/>
      <c r="M780" s="149"/>
      <c r="N780" s="142"/>
      <c r="O780" s="33"/>
    </row>
    <row r="781" ht="15.75" customHeight="1">
      <c r="A781" s="142"/>
      <c r="B781" s="143"/>
      <c r="C781" s="144"/>
      <c r="D781" s="145"/>
      <c r="E781" s="212"/>
      <c r="F781" s="212"/>
      <c r="G781" s="174"/>
      <c r="H781" s="148"/>
      <c r="I781" s="148"/>
      <c r="J781" s="149"/>
      <c r="K781" s="149"/>
      <c r="L781" s="149"/>
      <c r="M781" s="149"/>
      <c r="N781" s="142"/>
      <c r="O781" s="33"/>
    </row>
    <row r="782" ht="15.75" customHeight="1">
      <c r="A782" s="142"/>
      <c r="B782" s="143"/>
      <c r="C782" s="144"/>
      <c r="D782" s="145"/>
      <c r="E782" s="212"/>
      <c r="F782" s="212"/>
      <c r="G782" s="174"/>
      <c r="H782" s="148"/>
      <c r="I782" s="148"/>
      <c r="J782" s="149"/>
      <c r="K782" s="149"/>
      <c r="L782" s="149"/>
      <c r="M782" s="149"/>
      <c r="N782" s="142"/>
      <c r="O782" s="33"/>
    </row>
    <row r="783" ht="15.75" customHeight="1">
      <c r="A783" s="142"/>
      <c r="B783" s="143"/>
      <c r="C783" s="144"/>
      <c r="D783" s="145"/>
      <c r="E783" s="212"/>
      <c r="F783" s="212"/>
      <c r="G783" s="174"/>
      <c r="H783" s="148"/>
      <c r="I783" s="148"/>
      <c r="J783" s="149"/>
      <c r="K783" s="149"/>
      <c r="L783" s="149"/>
      <c r="M783" s="149"/>
      <c r="N783" s="142"/>
      <c r="O783" s="33"/>
    </row>
    <row r="784" ht="15.75" customHeight="1">
      <c r="A784" s="142"/>
      <c r="B784" s="143"/>
      <c r="C784" s="144"/>
      <c r="D784" s="145"/>
      <c r="E784" s="212"/>
      <c r="F784" s="212"/>
      <c r="G784" s="174"/>
      <c r="H784" s="148"/>
      <c r="I784" s="148"/>
      <c r="J784" s="149"/>
      <c r="K784" s="149"/>
      <c r="L784" s="149"/>
      <c r="M784" s="149"/>
      <c r="N784" s="142"/>
      <c r="O784" s="33"/>
    </row>
    <row r="785" ht="15.75" customHeight="1">
      <c r="A785" s="142"/>
      <c r="B785" s="143"/>
      <c r="C785" s="144"/>
      <c r="D785" s="145"/>
      <c r="E785" s="212"/>
      <c r="F785" s="212"/>
      <c r="G785" s="174"/>
      <c r="H785" s="148"/>
      <c r="I785" s="148"/>
      <c r="J785" s="149"/>
      <c r="K785" s="149"/>
      <c r="L785" s="149"/>
      <c r="M785" s="149"/>
      <c r="N785" s="142"/>
      <c r="O785" s="33"/>
    </row>
    <row r="786" ht="15.75" customHeight="1">
      <c r="A786" s="142"/>
      <c r="B786" s="143"/>
      <c r="C786" s="144"/>
      <c r="D786" s="145"/>
      <c r="E786" s="212"/>
      <c r="F786" s="212"/>
      <c r="G786" s="174"/>
      <c r="H786" s="148"/>
      <c r="I786" s="148"/>
      <c r="J786" s="149"/>
      <c r="K786" s="149"/>
      <c r="L786" s="149"/>
      <c r="M786" s="149"/>
      <c r="N786" s="142"/>
      <c r="O786" s="33"/>
    </row>
    <row r="787" ht="15.75" customHeight="1">
      <c r="A787" s="142"/>
      <c r="B787" s="143"/>
      <c r="C787" s="144"/>
      <c r="D787" s="145"/>
      <c r="E787" s="212"/>
      <c r="F787" s="212"/>
      <c r="G787" s="174"/>
      <c r="H787" s="148"/>
      <c r="I787" s="148"/>
      <c r="J787" s="149"/>
      <c r="K787" s="149"/>
      <c r="L787" s="149"/>
      <c r="M787" s="149"/>
      <c r="N787" s="142"/>
      <c r="O787" s="33"/>
    </row>
    <row r="788" ht="15.75" customHeight="1">
      <c r="A788" s="142"/>
      <c r="B788" s="143"/>
      <c r="C788" s="144"/>
      <c r="D788" s="145"/>
      <c r="E788" s="212"/>
      <c r="F788" s="212"/>
      <c r="G788" s="174"/>
      <c r="H788" s="148"/>
      <c r="I788" s="148"/>
      <c r="J788" s="149"/>
      <c r="K788" s="149"/>
      <c r="L788" s="149"/>
      <c r="M788" s="149"/>
      <c r="N788" s="142"/>
      <c r="O788" s="33"/>
    </row>
    <row r="789" ht="15.75" customHeight="1">
      <c r="A789" s="142"/>
      <c r="B789" s="143"/>
      <c r="C789" s="144"/>
      <c r="D789" s="145"/>
      <c r="E789" s="212"/>
      <c r="F789" s="212"/>
      <c r="G789" s="174"/>
      <c r="H789" s="148"/>
      <c r="I789" s="148"/>
      <c r="J789" s="149"/>
      <c r="K789" s="149"/>
      <c r="L789" s="149"/>
      <c r="M789" s="149"/>
      <c r="N789" s="142"/>
      <c r="O789" s="33"/>
    </row>
    <row r="790" ht="15.75" customHeight="1">
      <c r="A790" s="142"/>
      <c r="B790" s="143"/>
      <c r="C790" s="144"/>
      <c r="D790" s="145"/>
      <c r="E790" s="212"/>
      <c r="F790" s="212"/>
      <c r="G790" s="174"/>
      <c r="H790" s="148"/>
      <c r="I790" s="148"/>
      <c r="J790" s="149"/>
      <c r="K790" s="149"/>
      <c r="L790" s="149"/>
      <c r="M790" s="149"/>
      <c r="N790" s="142"/>
      <c r="O790" s="33"/>
    </row>
    <row r="791" ht="15.75" customHeight="1">
      <c r="A791" s="142"/>
      <c r="B791" s="143"/>
      <c r="C791" s="144"/>
      <c r="D791" s="145"/>
      <c r="E791" s="212"/>
      <c r="F791" s="212"/>
      <c r="G791" s="174"/>
      <c r="H791" s="148"/>
      <c r="I791" s="148"/>
      <c r="J791" s="149"/>
      <c r="K791" s="149"/>
      <c r="L791" s="149"/>
      <c r="M791" s="149"/>
      <c r="N791" s="142"/>
      <c r="O791" s="33"/>
    </row>
    <row r="792" ht="15.75" customHeight="1">
      <c r="A792" s="142"/>
      <c r="B792" s="143"/>
      <c r="C792" s="144"/>
      <c r="D792" s="145"/>
      <c r="E792" s="212"/>
      <c r="F792" s="212"/>
      <c r="G792" s="174"/>
      <c r="H792" s="148"/>
      <c r="I792" s="148"/>
      <c r="J792" s="149"/>
      <c r="K792" s="149"/>
      <c r="L792" s="149"/>
      <c r="M792" s="149"/>
      <c r="N792" s="142"/>
      <c r="O792" s="33"/>
    </row>
    <row r="793" ht="15.75" customHeight="1">
      <c r="A793" s="142"/>
      <c r="B793" s="143"/>
      <c r="C793" s="144"/>
      <c r="D793" s="145"/>
      <c r="E793" s="212"/>
      <c r="F793" s="212"/>
      <c r="G793" s="174"/>
      <c r="H793" s="148"/>
      <c r="I793" s="148"/>
      <c r="J793" s="149"/>
      <c r="K793" s="149"/>
      <c r="L793" s="149"/>
      <c r="M793" s="149"/>
      <c r="N793" s="142"/>
      <c r="O793" s="33"/>
    </row>
    <row r="794" ht="15.75" customHeight="1">
      <c r="A794" s="142"/>
      <c r="B794" s="143"/>
      <c r="C794" s="144"/>
      <c r="D794" s="145"/>
      <c r="E794" s="212"/>
      <c r="F794" s="212"/>
      <c r="G794" s="174"/>
      <c r="H794" s="148"/>
      <c r="I794" s="148"/>
      <c r="J794" s="149"/>
      <c r="K794" s="149"/>
      <c r="L794" s="149"/>
      <c r="M794" s="149"/>
      <c r="N794" s="142"/>
      <c r="O794" s="33"/>
    </row>
    <row r="795" ht="15.75" customHeight="1">
      <c r="A795" s="142"/>
      <c r="B795" s="143"/>
      <c r="C795" s="144"/>
      <c r="D795" s="145"/>
      <c r="E795" s="212"/>
      <c r="F795" s="212"/>
      <c r="G795" s="174"/>
      <c r="H795" s="148"/>
      <c r="I795" s="148"/>
      <c r="J795" s="149"/>
      <c r="K795" s="149"/>
      <c r="L795" s="149"/>
      <c r="M795" s="149"/>
      <c r="N795" s="142"/>
      <c r="O795" s="33"/>
    </row>
    <row r="796" ht="15.75" customHeight="1">
      <c r="A796" s="142"/>
      <c r="B796" s="143"/>
      <c r="C796" s="144"/>
      <c r="D796" s="145"/>
      <c r="E796" s="212"/>
      <c r="F796" s="212"/>
      <c r="G796" s="174"/>
      <c r="H796" s="148"/>
      <c r="I796" s="148"/>
      <c r="J796" s="149"/>
      <c r="K796" s="149"/>
      <c r="L796" s="149"/>
      <c r="M796" s="149"/>
      <c r="N796" s="142"/>
      <c r="O796" s="33"/>
    </row>
    <row r="797" ht="15.75" customHeight="1">
      <c r="A797" s="142"/>
      <c r="B797" s="143"/>
      <c r="C797" s="144"/>
      <c r="D797" s="145"/>
      <c r="E797" s="212"/>
      <c r="F797" s="212"/>
      <c r="G797" s="174"/>
      <c r="H797" s="148"/>
      <c r="I797" s="148"/>
      <c r="J797" s="149"/>
      <c r="K797" s="149"/>
      <c r="L797" s="149"/>
      <c r="M797" s="149"/>
      <c r="N797" s="142"/>
      <c r="O797" s="33"/>
    </row>
    <row r="798" ht="15.75" customHeight="1">
      <c r="A798" s="142"/>
      <c r="B798" s="143"/>
      <c r="C798" s="144"/>
      <c r="D798" s="145"/>
      <c r="E798" s="212"/>
      <c r="F798" s="212"/>
      <c r="G798" s="174"/>
      <c r="H798" s="148"/>
      <c r="I798" s="148"/>
      <c r="J798" s="149"/>
      <c r="K798" s="149"/>
      <c r="L798" s="149"/>
      <c r="M798" s="149"/>
      <c r="N798" s="142"/>
      <c r="O798" s="33"/>
    </row>
    <row r="799" ht="15.75" customHeight="1">
      <c r="A799" s="142"/>
      <c r="B799" s="143"/>
      <c r="C799" s="144"/>
      <c r="D799" s="145"/>
      <c r="E799" s="212"/>
      <c r="F799" s="212"/>
      <c r="G799" s="174"/>
      <c r="H799" s="148"/>
      <c r="I799" s="148"/>
      <c r="J799" s="149"/>
      <c r="K799" s="149"/>
      <c r="L799" s="149"/>
      <c r="M799" s="149"/>
      <c r="N799" s="142"/>
      <c r="O799" s="33"/>
    </row>
    <row r="800" ht="15.75" customHeight="1">
      <c r="A800" s="142"/>
      <c r="B800" s="143"/>
      <c r="C800" s="144"/>
      <c r="D800" s="145"/>
      <c r="E800" s="212"/>
      <c r="F800" s="212"/>
      <c r="G800" s="174"/>
      <c r="H800" s="148"/>
      <c r="I800" s="148"/>
      <c r="J800" s="149"/>
      <c r="K800" s="149"/>
      <c r="L800" s="149"/>
      <c r="M800" s="149"/>
      <c r="N800" s="142"/>
      <c r="O800" s="33"/>
    </row>
    <row r="801" ht="15.75" customHeight="1">
      <c r="A801" s="142"/>
      <c r="B801" s="143"/>
      <c r="C801" s="144"/>
      <c r="D801" s="145"/>
      <c r="E801" s="212"/>
      <c r="F801" s="212"/>
      <c r="G801" s="174"/>
      <c r="H801" s="148"/>
      <c r="I801" s="148"/>
      <c r="J801" s="149"/>
      <c r="K801" s="149"/>
      <c r="L801" s="149"/>
      <c r="M801" s="149"/>
      <c r="N801" s="142"/>
      <c r="O801" s="33"/>
    </row>
    <row r="802" ht="15.75" customHeight="1">
      <c r="A802" s="142"/>
      <c r="B802" s="143"/>
      <c r="C802" s="144"/>
      <c r="D802" s="145"/>
      <c r="E802" s="212"/>
      <c r="F802" s="212"/>
      <c r="G802" s="174"/>
      <c r="H802" s="148"/>
      <c r="I802" s="148"/>
      <c r="J802" s="149"/>
      <c r="K802" s="149"/>
      <c r="L802" s="149"/>
      <c r="M802" s="149"/>
      <c r="N802" s="142"/>
      <c r="O802" s="33"/>
    </row>
    <row r="803" ht="15.75" customHeight="1">
      <c r="A803" s="142"/>
      <c r="B803" s="143"/>
      <c r="C803" s="144"/>
      <c r="D803" s="145"/>
      <c r="E803" s="212"/>
      <c r="F803" s="212"/>
      <c r="G803" s="174"/>
      <c r="H803" s="148"/>
      <c r="I803" s="148"/>
      <c r="J803" s="149"/>
      <c r="K803" s="149"/>
      <c r="L803" s="149"/>
      <c r="M803" s="149"/>
      <c r="N803" s="142"/>
      <c r="O803" s="33"/>
    </row>
    <row r="804" ht="15.75" customHeight="1">
      <c r="A804" s="142"/>
      <c r="B804" s="143"/>
      <c r="C804" s="144"/>
      <c r="D804" s="145"/>
      <c r="E804" s="212"/>
      <c r="F804" s="212"/>
      <c r="G804" s="174"/>
      <c r="H804" s="148"/>
      <c r="I804" s="148"/>
      <c r="J804" s="149"/>
      <c r="K804" s="149"/>
      <c r="L804" s="149"/>
      <c r="M804" s="149"/>
      <c r="N804" s="142"/>
      <c r="O804" s="33"/>
    </row>
    <row r="805" ht="15.75" customHeight="1">
      <c r="A805" s="142"/>
      <c r="B805" s="143"/>
      <c r="C805" s="144"/>
      <c r="D805" s="145"/>
      <c r="E805" s="212"/>
      <c r="F805" s="212"/>
      <c r="G805" s="174"/>
      <c r="H805" s="148"/>
      <c r="I805" s="148"/>
      <c r="J805" s="149"/>
      <c r="K805" s="149"/>
      <c r="L805" s="149"/>
      <c r="M805" s="149"/>
      <c r="N805" s="142"/>
      <c r="O805" s="33"/>
    </row>
    <row r="806" ht="15.75" customHeight="1">
      <c r="A806" s="142"/>
      <c r="B806" s="143"/>
      <c r="C806" s="144"/>
      <c r="D806" s="145"/>
      <c r="E806" s="212"/>
      <c r="F806" s="212"/>
      <c r="G806" s="174"/>
      <c r="H806" s="148"/>
      <c r="I806" s="148"/>
      <c r="J806" s="149"/>
      <c r="K806" s="149"/>
      <c r="L806" s="149"/>
      <c r="M806" s="149"/>
      <c r="N806" s="142"/>
      <c r="O806" s="33"/>
    </row>
    <row r="807" ht="15.75" customHeight="1">
      <c r="A807" s="142"/>
      <c r="B807" s="143"/>
      <c r="C807" s="144"/>
      <c r="D807" s="145"/>
      <c r="E807" s="212"/>
      <c r="F807" s="212"/>
      <c r="G807" s="174"/>
      <c r="H807" s="148"/>
      <c r="I807" s="148"/>
      <c r="J807" s="149"/>
      <c r="K807" s="149"/>
      <c r="L807" s="149"/>
      <c r="M807" s="149"/>
      <c r="N807" s="142"/>
      <c r="O807" s="33"/>
    </row>
    <row r="808" ht="15.75" customHeight="1">
      <c r="A808" s="142"/>
      <c r="B808" s="143"/>
      <c r="C808" s="144"/>
      <c r="D808" s="145"/>
      <c r="E808" s="212"/>
      <c r="F808" s="212"/>
      <c r="G808" s="174"/>
      <c r="H808" s="148"/>
      <c r="I808" s="148"/>
      <c r="J808" s="149"/>
      <c r="K808" s="149"/>
      <c r="L808" s="149"/>
      <c r="M808" s="149"/>
      <c r="N808" s="142"/>
      <c r="O808" s="33"/>
    </row>
    <row r="809" ht="15.75" customHeight="1">
      <c r="A809" s="142"/>
      <c r="B809" s="143"/>
      <c r="C809" s="144"/>
      <c r="D809" s="145"/>
      <c r="E809" s="212"/>
      <c r="F809" s="212"/>
      <c r="G809" s="174"/>
      <c r="H809" s="148"/>
      <c r="I809" s="148"/>
      <c r="J809" s="149"/>
      <c r="K809" s="149"/>
      <c r="L809" s="149"/>
      <c r="M809" s="149"/>
      <c r="N809" s="142"/>
      <c r="O809" s="33"/>
    </row>
    <row r="810" ht="15.75" customHeight="1">
      <c r="A810" s="142"/>
      <c r="B810" s="143"/>
      <c r="C810" s="144"/>
      <c r="D810" s="145"/>
      <c r="E810" s="212"/>
      <c r="F810" s="212"/>
      <c r="G810" s="174"/>
      <c r="H810" s="148"/>
      <c r="I810" s="148"/>
      <c r="J810" s="149"/>
      <c r="K810" s="149"/>
      <c r="L810" s="149"/>
      <c r="M810" s="149"/>
      <c r="N810" s="142"/>
      <c r="O810" s="33"/>
    </row>
    <row r="811" ht="15.75" customHeight="1">
      <c r="A811" s="142"/>
      <c r="B811" s="143"/>
      <c r="C811" s="144"/>
      <c r="D811" s="145"/>
      <c r="E811" s="212"/>
      <c r="F811" s="212"/>
      <c r="G811" s="174"/>
      <c r="H811" s="148"/>
      <c r="I811" s="148"/>
      <c r="J811" s="149"/>
      <c r="K811" s="149"/>
      <c r="L811" s="149"/>
      <c r="M811" s="149"/>
      <c r="N811" s="142"/>
      <c r="O811" s="33"/>
    </row>
    <row r="812" ht="15.75" customHeight="1">
      <c r="A812" s="142"/>
      <c r="B812" s="143"/>
      <c r="C812" s="144"/>
      <c r="D812" s="145"/>
      <c r="E812" s="212"/>
      <c r="F812" s="212"/>
      <c r="G812" s="174"/>
      <c r="H812" s="148"/>
      <c r="I812" s="148"/>
      <c r="J812" s="149"/>
      <c r="K812" s="149"/>
      <c r="L812" s="149"/>
      <c r="M812" s="149"/>
      <c r="N812" s="142"/>
      <c r="O812" s="33"/>
    </row>
    <row r="813" ht="15.75" customHeight="1">
      <c r="A813" s="142"/>
      <c r="B813" s="143"/>
      <c r="C813" s="144"/>
      <c r="D813" s="145"/>
      <c r="E813" s="212"/>
      <c r="F813" s="212"/>
      <c r="G813" s="174"/>
      <c r="H813" s="148"/>
      <c r="I813" s="148"/>
      <c r="J813" s="149"/>
      <c r="K813" s="149"/>
      <c r="L813" s="149"/>
      <c r="M813" s="149"/>
      <c r="N813" s="142"/>
      <c r="O813" s="33"/>
    </row>
    <row r="814" ht="15.75" customHeight="1">
      <c r="A814" s="142"/>
      <c r="B814" s="143"/>
      <c r="C814" s="144"/>
      <c r="D814" s="145"/>
      <c r="E814" s="212"/>
      <c r="F814" s="212"/>
      <c r="G814" s="174"/>
      <c r="H814" s="148"/>
      <c r="I814" s="148"/>
      <c r="J814" s="149"/>
      <c r="K814" s="149"/>
      <c r="L814" s="149"/>
      <c r="M814" s="149"/>
      <c r="N814" s="142"/>
      <c r="O814" s="33"/>
    </row>
    <row r="815" ht="15.75" customHeight="1">
      <c r="A815" s="142"/>
      <c r="B815" s="143"/>
      <c r="C815" s="144"/>
      <c r="D815" s="145"/>
      <c r="E815" s="212"/>
      <c r="F815" s="212"/>
      <c r="G815" s="174"/>
      <c r="H815" s="148"/>
      <c r="I815" s="148"/>
      <c r="J815" s="149"/>
      <c r="K815" s="149"/>
      <c r="L815" s="149"/>
      <c r="M815" s="149"/>
      <c r="N815" s="142"/>
      <c r="O815" s="33"/>
    </row>
    <row r="816" ht="15.75" customHeight="1">
      <c r="A816" s="142"/>
      <c r="B816" s="143"/>
      <c r="C816" s="144"/>
      <c r="D816" s="145"/>
      <c r="E816" s="212"/>
      <c r="F816" s="212"/>
      <c r="G816" s="174"/>
      <c r="H816" s="148"/>
      <c r="I816" s="148"/>
      <c r="J816" s="149"/>
      <c r="K816" s="149"/>
      <c r="L816" s="149"/>
      <c r="M816" s="149"/>
      <c r="N816" s="142"/>
      <c r="O816" s="33"/>
    </row>
    <row r="817" ht="15.75" customHeight="1">
      <c r="A817" s="142"/>
      <c r="B817" s="143"/>
      <c r="C817" s="144"/>
      <c r="D817" s="145"/>
      <c r="E817" s="212"/>
      <c r="F817" s="212"/>
      <c r="G817" s="174"/>
      <c r="H817" s="148"/>
      <c r="I817" s="148"/>
      <c r="J817" s="149"/>
      <c r="K817" s="149"/>
      <c r="L817" s="149"/>
      <c r="M817" s="149"/>
      <c r="N817" s="142"/>
      <c r="O817" s="33"/>
    </row>
    <row r="818" ht="15.75" customHeight="1">
      <c r="A818" s="142"/>
      <c r="B818" s="143"/>
      <c r="C818" s="144"/>
      <c r="D818" s="145"/>
      <c r="E818" s="212"/>
      <c r="F818" s="212"/>
      <c r="G818" s="174"/>
      <c r="H818" s="148"/>
      <c r="I818" s="148"/>
      <c r="J818" s="149"/>
      <c r="K818" s="149"/>
      <c r="L818" s="149"/>
      <c r="M818" s="149"/>
      <c r="N818" s="142"/>
      <c r="O818" s="33"/>
    </row>
    <row r="819" ht="15.75" customHeight="1">
      <c r="A819" s="142"/>
      <c r="B819" s="143"/>
      <c r="C819" s="144"/>
      <c r="D819" s="145"/>
      <c r="E819" s="212"/>
      <c r="F819" s="212"/>
      <c r="G819" s="174"/>
      <c r="H819" s="148"/>
      <c r="I819" s="148"/>
      <c r="J819" s="149"/>
      <c r="K819" s="149"/>
      <c r="L819" s="149"/>
      <c r="M819" s="149"/>
      <c r="N819" s="142"/>
      <c r="O819" s="33"/>
    </row>
    <row r="820" ht="15.75" customHeight="1">
      <c r="A820" s="142"/>
      <c r="B820" s="143"/>
      <c r="C820" s="144"/>
      <c r="D820" s="145"/>
      <c r="E820" s="212"/>
      <c r="F820" s="212"/>
      <c r="G820" s="174"/>
      <c r="H820" s="148"/>
      <c r="I820" s="148"/>
      <c r="J820" s="149"/>
      <c r="K820" s="149"/>
      <c r="L820" s="149"/>
      <c r="M820" s="149"/>
      <c r="N820" s="142"/>
      <c r="O820" s="33"/>
    </row>
    <row r="821" ht="15.75" customHeight="1">
      <c r="A821" s="142"/>
      <c r="B821" s="143"/>
      <c r="C821" s="144"/>
      <c r="D821" s="145"/>
      <c r="E821" s="212"/>
      <c r="F821" s="212"/>
      <c r="G821" s="174"/>
      <c r="H821" s="148"/>
      <c r="I821" s="148"/>
      <c r="J821" s="149"/>
      <c r="K821" s="149"/>
      <c r="L821" s="149"/>
      <c r="M821" s="149"/>
      <c r="N821" s="142"/>
      <c r="O821" s="33"/>
    </row>
    <row r="822" ht="15.75" customHeight="1">
      <c r="A822" s="142"/>
      <c r="B822" s="143"/>
      <c r="C822" s="144"/>
      <c r="D822" s="145"/>
      <c r="E822" s="212"/>
      <c r="F822" s="212"/>
      <c r="G822" s="174"/>
      <c r="H822" s="148"/>
      <c r="I822" s="148"/>
      <c r="J822" s="149"/>
      <c r="K822" s="149"/>
      <c r="L822" s="149"/>
      <c r="M822" s="149"/>
      <c r="N822" s="142"/>
      <c r="O822" s="33"/>
    </row>
    <row r="823" ht="15.75" customHeight="1">
      <c r="A823" s="142"/>
      <c r="B823" s="143"/>
      <c r="C823" s="144"/>
      <c r="D823" s="145"/>
      <c r="E823" s="212"/>
      <c r="F823" s="212"/>
      <c r="G823" s="174"/>
      <c r="H823" s="148"/>
      <c r="I823" s="148"/>
      <c r="J823" s="149"/>
      <c r="K823" s="149"/>
      <c r="L823" s="149"/>
      <c r="M823" s="149"/>
      <c r="N823" s="142"/>
      <c r="O823" s="33"/>
    </row>
    <row r="824" ht="15.75" customHeight="1">
      <c r="A824" s="142"/>
      <c r="B824" s="143"/>
      <c r="C824" s="144"/>
      <c r="D824" s="145"/>
      <c r="E824" s="212"/>
      <c r="F824" s="212"/>
      <c r="G824" s="174"/>
      <c r="H824" s="148"/>
      <c r="I824" s="148"/>
      <c r="J824" s="149"/>
      <c r="K824" s="149"/>
      <c r="L824" s="149"/>
      <c r="M824" s="149"/>
      <c r="N824" s="142"/>
      <c r="O824" s="33"/>
    </row>
    <row r="825" ht="15.75" customHeight="1">
      <c r="A825" s="142"/>
      <c r="B825" s="143"/>
      <c r="C825" s="144"/>
      <c r="D825" s="145"/>
      <c r="E825" s="212"/>
      <c r="F825" s="212"/>
      <c r="G825" s="174"/>
      <c r="H825" s="148"/>
      <c r="I825" s="148"/>
      <c r="J825" s="149"/>
      <c r="K825" s="149"/>
      <c r="L825" s="149"/>
      <c r="M825" s="149"/>
      <c r="N825" s="142"/>
      <c r="O825" s="33"/>
    </row>
    <row r="826" ht="15.75" customHeight="1">
      <c r="A826" s="142"/>
      <c r="B826" s="143"/>
      <c r="C826" s="144"/>
      <c r="D826" s="145"/>
      <c r="E826" s="212"/>
      <c r="F826" s="212"/>
      <c r="G826" s="174"/>
      <c r="H826" s="148"/>
      <c r="I826" s="148"/>
      <c r="J826" s="149"/>
      <c r="K826" s="149"/>
      <c r="L826" s="149"/>
      <c r="M826" s="149"/>
      <c r="N826" s="142"/>
      <c r="O826" s="33"/>
    </row>
    <row r="827" ht="15.75" customHeight="1">
      <c r="A827" s="142"/>
      <c r="B827" s="143"/>
      <c r="C827" s="144"/>
      <c r="D827" s="145"/>
      <c r="E827" s="212"/>
      <c r="F827" s="212"/>
      <c r="G827" s="174"/>
      <c r="H827" s="148"/>
      <c r="I827" s="148"/>
      <c r="J827" s="149"/>
      <c r="K827" s="149"/>
      <c r="L827" s="149"/>
      <c r="M827" s="149"/>
      <c r="N827" s="142"/>
      <c r="O827" s="33"/>
    </row>
    <row r="828" ht="15.75" customHeight="1">
      <c r="A828" s="142"/>
      <c r="B828" s="143"/>
      <c r="C828" s="144"/>
      <c r="D828" s="145"/>
      <c r="E828" s="212"/>
      <c r="F828" s="212"/>
      <c r="G828" s="174"/>
      <c r="H828" s="148"/>
      <c r="I828" s="148"/>
      <c r="J828" s="149"/>
      <c r="K828" s="149"/>
      <c r="L828" s="149"/>
      <c r="M828" s="149"/>
      <c r="N828" s="142"/>
      <c r="O828" s="33"/>
    </row>
    <row r="829" ht="15.75" customHeight="1">
      <c r="A829" s="142"/>
      <c r="B829" s="143"/>
      <c r="C829" s="144"/>
      <c r="D829" s="145"/>
      <c r="E829" s="212"/>
      <c r="F829" s="212"/>
      <c r="G829" s="174"/>
      <c r="H829" s="148"/>
      <c r="I829" s="148"/>
      <c r="J829" s="149"/>
      <c r="K829" s="149"/>
      <c r="L829" s="149"/>
      <c r="M829" s="149"/>
      <c r="N829" s="142"/>
      <c r="O829" s="33"/>
    </row>
    <row r="830" ht="15.75" customHeight="1">
      <c r="A830" s="142"/>
      <c r="B830" s="143"/>
      <c r="C830" s="144"/>
      <c r="D830" s="145"/>
      <c r="E830" s="212"/>
      <c r="F830" s="212"/>
      <c r="G830" s="174"/>
      <c r="H830" s="148"/>
      <c r="I830" s="148"/>
      <c r="J830" s="149"/>
      <c r="K830" s="149"/>
      <c r="L830" s="149"/>
      <c r="M830" s="149"/>
      <c r="N830" s="142"/>
      <c r="O830" s="33"/>
    </row>
    <row r="831" ht="15.75" customHeight="1">
      <c r="A831" s="142"/>
      <c r="B831" s="143"/>
      <c r="C831" s="144"/>
      <c r="D831" s="145"/>
      <c r="E831" s="212"/>
      <c r="F831" s="212"/>
      <c r="G831" s="174"/>
      <c r="H831" s="148"/>
      <c r="I831" s="148"/>
      <c r="J831" s="149"/>
      <c r="K831" s="149"/>
      <c r="L831" s="149"/>
      <c r="M831" s="149"/>
      <c r="N831" s="142"/>
      <c r="O831" s="33"/>
    </row>
    <row r="832" ht="15.75" customHeight="1">
      <c r="A832" s="142"/>
      <c r="B832" s="143"/>
      <c r="C832" s="144"/>
      <c r="D832" s="145"/>
      <c r="E832" s="212"/>
      <c r="F832" s="212"/>
      <c r="G832" s="174"/>
      <c r="H832" s="148"/>
      <c r="I832" s="148"/>
      <c r="J832" s="149"/>
      <c r="K832" s="149"/>
      <c r="L832" s="149"/>
      <c r="M832" s="149"/>
      <c r="N832" s="142"/>
      <c r="O832" s="33"/>
    </row>
    <row r="833" ht="15.75" customHeight="1">
      <c r="A833" s="142"/>
      <c r="B833" s="143"/>
      <c r="C833" s="144"/>
      <c r="D833" s="145"/>
      <c r="E833" s="212"/>
      <c r="F833" s="212"/>
      <c r="G833" s="174"/>
      <c r="H833" s="148"/>
      <c r="I833" s="148"/>
      <c r="J833" s="149"/>
      <c r="K833" s="149"/>
      <c r="L833" s="149"/>
      <c r="M833" s="149"/>
      <c r="N833" s="142"/>
      <c r="O833" s="33"/>
    </row>
    <row r="834" ht="15.75" customHeight="1">
      <c r="A834" s="142"/>
      <c r="B834" s="143"/>
      <c r="C834" s="144"/>
      <c r="D834" s="145"/>
      <c r="E834" s="212"/>
      <c r="F834" s="212"/>
      <c r="G834" s="174"/>
      <c r="H834" s="148"/>
      <c r="I834" s="148"/>
      <c r="J834" s="149"/>
      <c r="K834" s="149"/>
      <c r="L834" s="149"/>
      <c r="M834" s="149"/>
      <c r="N834" s="142"/>
      <c r="O834" s="33"/>
    </row>
    <row r="835" ht="15.75" customHeight="1">
      <c r="A835" s="142"/>
      <c r="B835" s="143"/>
      <c r="C835" s="144"/>
      <c r="D835" s="145"/>
      <c r="E835" s="212"/>
      <c r="F835" s="212"/>
      <c r="G835" s="174"/>
      <c r="H835" s="148"/>
      <c r="I835" s="148"/>
      <c r="J835" s="149"/>
      <c r="K835" s="149"/>
      <c r="L835" s="149"/>
      <c r="M835" s="149"/>
      <c r="N835" s="142"/>
      <c r="O835" s="33"/>
    </row>
    <row r="836" ht="15.75" customHeight="1">
      <c r="A836" s="142"/>
      <c r="B836" s="143"/>
      <c r="C836" s="144"/>
      <c r="D836" s="145"/>
      <c r="E836" s="212"/>
      <c r="F836" s="212"/>
      <c r="G836" s="174"/>
      <c r="H836" s="148"/>
      <c r="I836" s="148"/>
      <c r="J836" s="149"/>
      <c r="K836" s="149"/>
      <c r="L836" s="149"/>
      <c r="M836" s="149"/>
      <c r="N836" s="142"/>
      <c r="O836" s="33"/>
    </row>
    <row r="837" ht="15.75" customHeight="1">
      <c r="A837" s="142"/>
      <c r="B837" s="143"/>
      <c r="C837" s="144"/>
      <c r="D837" s="145"/>
      <c r="E837" s="212"/>
      <c r="F837" s="212"/>
      <c r="G837" s="174"/>
      <c r="H837" s="148"/>
      <c r="I837" s="148"/>
      <c r="J837" s="149"/>
      <c r="K837" s="149"/>
      <c r="L837" s="149"/>
      <c r="M837" s="149"/>
      <c r="N837" s="142"/>
      <c r="O837" s="33"/>
    </row>
    <row r="838" ht="15.75" customHeight="1">
      <c r="A838" s="142"/>
      <c r="B838" s="143"/>
      <c r="C838" s="144"/>
      <c r="D838" s="145"/>
      <c r="E838" s="212"/>
      <c r="F838" s="212"/>
      <c r="G838" s="174"/>
      <c r="H838" s="148"/>
      <c r="I838" s="148"/>
      <c r="J838" s="149"/>
      <c r="K838" s="149"/>
      <c r="L838" s="149"/>
      <c r="M838" s="149"/>
      <c r="N838" s="142"/>
      <c r="O838" s="33"/>
    </row>
    <row r="839" ht="15.75" customHeight="1">
      <c r="A839" s="142"/>
      <c r="B839" s="143"/>
      <c r="C839" s="144"/>
      <c r="D839" s="145"/>
      <c r="E839" s="212"/>
      <c r="F839" s="212"/>
      <c r="G839" s="174"/>
      <c r="H839" s="148"/>
      <c r="I839" s="148"/>
      <c r="J839" s="149"/>
      <c r="K839" s="149"/>
      <c r="L839" s="149"/>
      <c r="M839" s="149"/>
      <c r="N839" s="142"/>
      <c r="O839" s="33"/>
    </row>
    <row r="840" ht="15.75" customHeight="1">
      <c r="A840" s="142"/>
      <c r="B840" s="143"/>
      <c r="C840" s="144"/>
      <c r="D840" s="145"/>
      <c r="E840" s="212"/>
      <c r="F840" s="212"/>
      <c r="G840" s="174"/>
      <c r="H840" s="148"/>
      <c r="I840" s="148"/>
      <c r="J840" s="149"/>
      <c r="K840" s="149"/>
      <c r="L840" s="149"/>
      <c r="M840" s="149"/>
      <c r="N840" s="142"/>
      <c r="O840" s="33"/>
    </row>
    <row r="841" ht="15.75" customHeight="1">
      <c r="A841" s="142"/>
      <c r="B841" s="143"/>
      <c r="C841" s="144"/>
      <c r="D841" s="145"/>
      <c r="E841" s="212"/>
      <c r="F841" s="212"/>
      <c r="G841" s="174"/>
      <c r="H841" s="148"/>
      <c r="I841" s="148"/>
      <c r="J841" s="149"/>
      <c r="K841" s="149"/>
      <c r="L841" s="149"/>
      <c r="M841" s="149"/>
      <c r="N841" s="142"/>
      <c r="O841" s="33"/>
    </row>
    <row r="842" ht="15.75" customHeight="1">
      <c r="A842" s="142"/>
      <c r="B842" s="143"/>
      <c r="C842" s="144"/>
      <c r="D842" s="145"/>
      <c r="E842" s="212"/>
      <c r="F842" s="212"/>
      <c r="G842" s="174"/>
      <c r="H842" s="148"/>
      <c r="I842" s="148"/>
      <c r="J842" s="149"/>
      <c r="K842" s="149"/>
      <c r="L842" s="149"/>
      <c r="M842" s="149"/>
      <c r="N842" s="142"/>
      <c r="O842" s="33"/>
    </row>
    <row r="843" ht="15.75" customHeight="1">
      <c r="A843" s="142"/>
      <c r="B843" s="143"/>
      <c r="C843" s="144"/>
      <c r="D843" s="145"/>
      <c r="E843" s="212"/>
      <c r="F843" s="212"/>
      <c r="G843" s="174"/>
      <c r="H843" s="148"/>
      <c r="I843" s="148"/>
      <c r="J843" s="149"/>
      <c r="K843" s="149"/>
      <c r="L843" s="149"/>
      <c r="M843" s="149"/>
      <c r="N843" s="142"/>
      <c r="O843" s="33"/>
    </row>
    <row r="844" ht="15.75" customHeight="1">
      <c r="A844" s="142"/>
      <c r="B844" s="143"/>
      <c r="C844" s="144"/>
      <c r="D844" s="145"/>
      <c r="E844" s="212"/>
      <c r="F844" s="212"/>
      <c r="G844" s="174"/>
      <c r="H844" s="148"/>
      <c r="I844" s="148"/>
      <c r="J844" s="149"/>
      <c r="K844" s="149"/>
      <c r="L844" s="149"/>
      <c r="M844" s="149"/>
      <c r="N844" s="142"/>
      <c r="O844" s="33"/>
    </row>
    <row r="845" ht="15.75" customHeight="1">
      <c r="A845" s="142"/>
      <c r="B845" s="143"/>
      <c r="C845" s="144"/>
      <c r="D845" s="145"/>
      <c r="E845" s="212"/>
      <c r="F845" s="212"/>
      <c r="G845" s="174"/>
      <c r="H845" s="148"/>
      <c r="I845" s="148"/>
      <c r="J845" s="149"/>
      <c r="K845" s="149"/>
      <c r="L845" s="149"/>
      <c r="M845" s="149"/>
      <c r="N845" s="142"/>
      <c r="O845" s="33"/>
    </row>
    <row r="846" ht="15.75" customHeight="1">
      <c r="A846" s="142"/>
      <c r="B846" s="143"/>
      <c r="C846" s="144"/>
      <c r="D846" s="145"/>
      <c r="E846" s="212"/>
      <c r="F846" s="212"/>
      <c r="G846" s="174"/>
      <c r="H846" s="148"/>
      <c r="I846" s="148"/>
      <c r="J846" s="149"/>
      <c r="K846" s="149"/>
      <c r="L846" s="149"/>
      <c r="M846" s="149"/>
      <c r="N846" s="142"/>
      <c r="O846" s="33"/>
    </row>
    <row r="847" ht="15.75" customHeight="1">
      <c r="A847" s="142"/>
      <c r="B847" s="143"/>
      <c r="C847" s="144"/>
      <c r="D847" s="145"/>
      <c r="E847" s="212"/>
      <c r="F847" s="212"/>
      <c r="G847" s="174"/>
      <c r="H847" s="148"/>
      <c r="I847" s="148"/>
      <c r="J847" s="149"/>
      <c r="K847" s="149"/>
      <c r="L847" s="149"/>
      <c r="M847" s="149"/>
      <c r="N847" s="142"/>
      <c r="O847" s="33"/>
    </row>
    <row r="848" ht="15.75" customHeight="1">
      <c r="A848" s="142"/>
      <c r="B848" s="143"/>
      <c r="C848" s="144"/>
      <c r="D848" s="145"/>
      <c r="E848" s="212"/>
      <c r="F848" s="212"/>
      <c r="G848" s="174"/>
      <c r="H848" s="148"/>
      <c r="I848" s="148"/>
      <c r="J848" s="149"/>
      <c r="K848" s="149"/>
      <c r="L848" s="149"/>
      <c r="M848" s="149"/>
      <c r="N848" s="142"/>
      <c r="O848" s="33"/>
    </row>
    <row r="849" ht="15.75" customHeight="1">
      <c r="A849" s="142"/>
      <c r="B849" s="143"/>
      <c r="C849" s="144"/>
      <c r="D849" s="145"/>
      <c r="E849" s="212"/>
      <c r="F849" s="212"/>
      <c r="G849" s="174"/>
      <c r="H849" s="148"/>
      <c r="I849" s="148"/>
      <c r="J849" s="149"/>
      <c r="K849" s="149"/>
      <c r="L849" s="149"/>
      <c r="M849" s="149"/>
      <c r="N849" s="142"/>
      <c r="O849" s="33"/>
    </row>
    <row r="850" ht="15.75" customHeight="1">
      <c r="A850" s="142"/>
      <c r="B850" s="143"/>
      <c r="C850" s="144"/>
      <c r="D850" s="145"/>
      <c r="E850" s="212"/>
      <c r="F850" s="212"/>
      <c r="G850" s="174"/>
      <c r="H850" s="148"/>
      <c r="I850" s="148"/>
      <c r="J850" s="149"/>
      <c r="K850" s="149"/>
      <c r="L850" s="149"/>
      <c r="M850" s="149"/>
      <c r="N850" s="142"/>
      <c r="O850" s="33"/>
    </row>
    <row r="851" ht="15.75" customHeight="1">
      <c r="A851" s="142"/>
      <c r="B851" s="143"/>
      <c r="C851" s="144"/>
      <c r="D851" s="145"/>
      <c r="E851" s="212"/>
      <c r="F851" s="212"/>
      <c r="G851" s="174"/>
      <c r="H851" s="148"/>
      <c r="I851" s="148"/>
      <c r="J851" s="149"/>
      <c r="K851" s="149"/>
      <c r="L851" s="149"/>
      <c r="M851" s="149"/>
      <c r="N851" s="142"/>
      <c r="O851" s="33"/>
    </row>
    <row r="852" ht="15.75" customHeight="1">
      <c r="A852" s="142"/>
      <c r="B852" s="143"/>
      <c r="C852" s="144"/>
      <c r="D852" s="145"/>
      <c r="E852" s="212"/>
      <c r="F852" s="212"/>
      <c r="G852" s="174"/>
      <c r="H852" s="148"/>
      <c r="I852" s="148"/>
      <c r="J852" s="149"/>
      <c r="K852" s="149"/>
      <c r="L852" s="149"/>
      <c r="M852" s="149"/>
      <c r="N852" s="142"/>
      <c r="O852" s="33"/>
    </row>
    <row r="853" ht="15.75" customHeight="1">
      <c r="A853" s="142"/>
      <c r="B853" s="143"/>
      <c r="C853" s="144"/>
      <c r="D853" s="145"/>
      <c r="E853" s="212"/>
      <c r="F853" s="212"/>
      <c r="G853" s="174"/>
      <c r="H853" s="148"/>
      <c r="I853" s="148"/>
      <c r="J853" s="149"/>
      <c r="K853" s="149"/>
      <c r="L853" s="149"/>
      <c r="M853" s="149"/>
      <c r="N853" s="142"/>
      <c r="O853" s="33"/>
    </row>
    <row r="854" ht="15.75" customHeight="1">
      <c r="A854" s="142"/>
      <c r="B854" s="143"/>
      <c r="C854" s="144"/>
      <c r="D854" s="145"/>
      <c r="E854" s="212"/>
      <c r="F854" s="212"/>
      <c r="G854" s="174"/>
      <c r="H854" s="148"/>
      <c r="I854" s="148"/>
      <c r="J854" s="149"/>
      <c r="K854" s="149"/>
      <c r="L854" s="149"/>
      <c r="M854" s="149"/>
      <c r="N854" s="142"/>
      <c r="O854" s="33"/>
    </row>
    <row r="855" ht="15.75" customHeight="1">
      <c r="A855" s="142"/>
      <c r="B855" s="143"/>
      <c r="C855" s="144"/>
      <c r="D855" s="145"/>
      <c r="E855" s="212"/>
      <c r="F855" s="212"/>
      <c r="G855" s="174"/>
      <c r="H855" s="148"/>
      <c r="I855" s="148"/>
      <c r="J855" s="149"/>
      <c r="K855" s="149"/>
      <c r="L855" s="149"/>
      <c r="M855" s="149"/>
      <c r="N855" s="142"/>
      <c r="O855" s="33"/>
    </row>
    <row r="856" ht="15.75" customHeight="1">
      <c r="A856" s="142"/>
      <c r="B856" s="143"/>
      <c r="C856" s="144"/>
      <c r="D856" s="145"/>
      <c r="E856" s="212"/>
      <c r="F856" s="212"/>
      <c r="G856" s="174"/>
      <c r="H856" s="148"/>
      <c r="I856" s="148"/>
      <c r="J856" s="149"/>
      <c r="K856" s="149"/>
      <c r="L856" s="149"/>
      <c r="M856" s="149"/>
      <c r="N856" s="142"/>
      <c r="O856" s="33"/>
    </row>
    <row r="857" ht="15.75" customHeight="1">
      <c r="A857" s="142"/>
      <c r="B857" s="143"/>
      <c r="C857" s="144"/>
      <c r="D857" s="145"/>
      <c r="E857" s="212"/>
      <c r="F857" s="212"/>
      <c r="G857" s="174"/>
      <c r="H857" s="148"/>
      <c r="I857" s="148"/>
      <c r="J857" s="149"/>
      <c r="K857" s="149"/>
      <c r="L857" s="149"/>
      <c r="M857" s="149"/>
      <c r="N857" s="142"/>
      <c r="O857" s="33"/>
    </row>
    <row r="858" ht="15.75" customHeight="1">
      <c r="A858" s="142"/>
      <c r="B858" s="143"/>
      <c r="C858" s="144"/>
      <c r="D858" s="145"/>
      <c r="E858" s="212"/>
      <c r="F858" s="212"/>
      <c r="G858" s="174"/>
      <c r="H858" s="148"/>
      <c r="I858" s="148"/>
      <c r="J858" s="149"/>
      <c r="K858" s="149"/>
      <c r="L858" s="149"/>
      <c r="M858" s="149"/>
      <c r="N858" s="142"/>
      <c r="O858" s="33"/>
    </row>
    <row r="859" ht="15.75" customHeight="1">
      <c r="A859" s="142"/>
      <c r="B859" s="143"/>
      <c r="C859" s="144"/>
      <c r="D859" s="145"/>
      <c r="E859" s="212"/>
      <c r="F859" s="212"/>
      <c r="G859" s="174"/>
      <c r="H859" s="148"/>
      <c r="I859" s="148"/>
      <c r="J859" s="149"/>
      <c r="K859" s="149"/>
      <c r="L859" s="149"/>
      <c r="M859" s="149"/>
      <c r="N859" s="142"/>
      <c r="O859" s="33"/>
    </row>
    <row r="860" ht="15.75" customHeight="1">
      <c r="A860" s="142"/>
      <c r="B860" s="143"/>
      <c r="C860" s="144"/>
      <c r="D860" s="145"/>
      <c r="E860" s="212"/>
      <c r="F860" s="212"/>
      <c r="G860" s="174"/>
      <c r="H860" s="148"/>
      <c r="I860" s="148"/>
      <c r="J860" s="149"/>
      <c r="K860" s="149"/>
      <c r="L860" s="149"/>
      <c r="M860" s="149"/>
      <c r="N860" s="142"/>
      <c r="O860" s="33"/>
    </row>
    <row r="861" ht="15.75" customHeight="1">
      <c r="A861" s="142"/>
      <c r="B861" s="143"/>
      <c r="C861" s="144"/>
      <c r="D861" s="145"/>
      <c r="E861" s="212"/>
      <c r="F861" s="212"/>
      <c r="G861" s="174"/>
      <c r="H861" s="148"/>
      <c r="I861" s="148"/>
      <c r="J861" s="149"/>
      <c r="K861" s="149"/>
      <c r="L861" s="149"/>
      <c r="M861" s="149"/>
      <c r="N861" s="142"/>
      <c r="O861" s="33"/>
    </row>
    <row r="862" ht="15.75" customHeight="1">
      <c r="A862" s="142"/>
      <c r="B862" s="143"/>
      <c r="C862" s="144"/>
      <c r="D862" s="145"/>
      <c r="E862" s="212"/>
      <c r="F862" s="212"/>
      <c r="G862" s="174"/>
      <c r="H862" s="148"/>
      <c r="I862" s="148"/>
      <c r="J862" s="149"/>
      <c r="K862" s="149"/>
      <c r="L862" s="149"/>
      <c r="M862" s="149"/>
      <c r="N862" s="142"/>
      <c r="O862" s="33"/>
    </row>
    <row r="863" ht="15.75" customHeight="1">
      <c r="A863" s="142"/>
      <c r="B863" s="143"/>
      <c r="C863" s="144"/>
      <c r="D863" s="145"/>
      <c r="E863" s="212"/>
      <c r="F863" s="212"/>
      <c r="G863" s="174"/>
      <c r="H863" s="148"/>
      <c r="I863" s="148"/>
      <c r="J863" s="149"/>
      <c r="K863" s="149"/>
      <c r="L863" s="149"/>
      <c r="M863" s="149"/>
      <c r="N863" s="142"/>
      <c r="O863" s="33"/>
    </row>
    <row r="864" ht="15.75" customHeight="1">
      <c r="A864" s="142"/>
      <c r="B864" s="143"/>
      <c r="C864" s="144"/>
      <c r="D864" s="145"/>
      <c r="E864" s="212"/>
      <c r="F864" s="212"/>
      <c r="G864" s="174"/>
      <c r="H864" s="148"/>
      <c r="I864" s="148"/>
      <c r="J864" s="149"/>
      <c r="K864" s="149"/>
      <c r="L864" s="149"/>
      <c r="M864" s="149"/>
      <c r="N864" s="142"/>
      <c r="O864" s="33"/>
    </row>
    <row r="865" ht="15.75" customHeight="1">
      <c r="A865" s="142"/>
      <c r="B865" s="143"/>
      <c r="C865" s="144"/>
      <c r="D865" s="145"/>
      <c r="E865" s="212"/>
      <c r="F865" s="212"/>
      <c r="G865" s="174"/>
      <c r="H865" s="148"/>
      <c r="I865" s="148"/>
      <c r="J865" s="149"/>
      <c r="K865" s="149"/>
      <c r="L865" s="149"/>
      <c r="M865" s="149"/>
      <c r="N865" s="142"/>
      <c r="O865" s="33"/>
    </row>
    <row r="866" ht="15.75" customHeight="1">
      <c r="A866" s="142"/>
      <c r="B866" s="143"/>
      <c r="C866" s="144"/>
      <c r="D866" s="145"/>
      <c r="E866" s="212"/>
      <c r="F866" s="212"/>
      <c r="G866" s="174"/>
      <c r="H866" s="148"/>
      <c r="I866" s="148"/>
      <c r="J866" s="149"/>
      <c r="K866" s="149"/>
      <c r="L866" s="149"/>
      <c r="M866" s="149"/>
      <c r="N866" s="142"/>
      <c r="O866" s="33"/>
    </row>
    <row r="867" ht="15.75" customHeight="1">
      <c r="A867" s="142"/>
      <c r="B867" s="143"/>
      <c r="C867" s="144"/>
      <c r="D867" s="145"/>
      <c r="E867" s="212"/>
      <c r="F867" s="212"/>
      <c r="G867" s="174"/>
      <c r="H867" s="148"/>
      <c r="I867" s="148"/>
      <c r="J867" s="149"/>
      <c r="K867" s="149"/>
      <c r="L867" s="149"/>
      <c r="M867" s="149"/>
      <c r="N867" s="142"/>
      <c r="O867" s="33"/>
    </row>
    <row r="868" ht="15.75" customHeight="1">
      <c r="A868" s="142"/>
      <c r="B868" s="143"/>
      <c r="C868" s="144"/>
      <c r="D868" s="145"/>
      <c r="E868" s="212"/>
      <c r="F868" s="212"/>
      <c r="G868" s="174"/>
      <c r="H868" s="148"/>
      <c r="I868" s="148"/>
      <c r="J868" s="149"/>
      <c r="K868" s="149"/>
      <c r="L868" s="149"/>
      <c r="M868" s="149"/>
      <c r="N868" s="142"/>
      <c r="O868" s="33"/>
    </row>
    <row r="869" ht="15.75" customHeight="1">
      <c r="A869" s="142"/>
      <c r="B869" s="143"/>
      <c r="C869" s="144"/>
      <c r="D869" s="145"/>
      <c r="E869" s="212"/>
      <c r="F869" s="212"/>
      <c r="G869" s="174"/>
      <c r="H869" s="148"/>
      <c r="I869" s="148"/>
      <c r="J869" s="149"/>
      <c r="K869" s="149"/>
      <c r="L869" s="149"/>
      <c r="M869" s="149"/>
      <c r="N869" s="142"/>
      <c r="O869" s="33"/>
    </row>
    <row r="870" ht="15.75" customHeight="1">
      <c r="A870" s="142"/>
      <c r="B870" s="143"/>
      <c r="C870" s="144"/>
      <c r="D870" s="145"/>
      <c r="E870" s="212"/>
      <c r="F870" s="212"/>
      <c r="G870" s="174"/>
      <c r="H870" s="148"/>
      <c r="I870" s="148"/>
      <c r="J870" s="149"/>
      <c r="K870" s="149"/>
      <c r="L870" s="149"/>
      <c r="M870" s="149"/>
      <c r="N870" s="142"/>
      <c r="O870" s="33"/>
    </row>
    <row r="871" ht="15.75" customHeight="1">
      <c r="A871" s="142"/>
      <c r="B871" s="143"/>
      <c r="C871" s="144"/>
      <c r="D871" s="145"/>
      <c r="E871" s="212"/>
      <c r="F871" s="212"/>
      <c r="G871" s="174"/>
      <c r="H871" s="148"/>
      <c r="I871" s="148"/>
      <c r="J871" s="149"/>
      <c r="K871" s="149"/>
      <c r="L871" s="149"/>
      <c r="M871" s="149"/>
      <c r="N871" s="142"/>
      <c r="O871" s="33"/>
    </row>
    <row r="872" ht="15.75" customHeight="1">
      <c r="A872" s="142"/>
      <c r="B872" s="143"/>
      <c r="C872" s="144"/>
      <c r="D872" s="145"/>
      <c r="E872" s="212"/>
      <c r="F872" s="212"/>
      <c r="G872" s="174"/>
      <c r="H872" s="148"/>
      <c r="I872" s="148"/>
      <c r="J872" s="149"/>
      <c r="K872" s="149"/>
      <c r="L872" s="149"/>
      <c r="M872" s="149"/>
      <c r="N872" s="142"/>
      <c r="O872" s="33"/>
    </row>
    <row r="873" ht="15.75" customHeight="1">
      <c r="A873" s="142"/>
      <c r="B873" s="143"/>
      <c r="C873" s="144"/>
      <c r="D873" s="145"/>
      <c r="E873" s="212"/>
      <c r="F873" s="212"/>
      <c r="G873" s="174"/>
      <c r="H873" s="148"/>
      <c r="I873" s="148"/>
      <c r="J873" s="149"/>
      <c r="K873" s="149"/>
      <c r="L873" s="149"/>
      <c r="M873" s="149"/>
      <c r="N873" s="142"/>
      <c r="O873" s="33"/>
    </row>
    <row r="874" ht="15.75" customHeight="1">
      <c r="A874" s="142"/>
      <c r="B874" s="143"/>
      <c r="C874" s="144"/>
      <c r="D874" s="145"/>
      <c r="E874" s="212"/>
      <c r="F874" s="212"/>
      <c r="G874" s="174"/>
      <c r="H874" s="148"/>
      <c r="I874" s="148"/>
      <c r="J874" s="149"/>
      <c r="K874" s="149"/>
      <c r="L874" s="149"/>
      <c r="M874" s="149"/>
      <c r="N874" s="142"/>
      <c r="O874" s="33"/>
    </row>
    <row r="875" ht="15.75" customHeight="1">
      <c r="A875" s="142"/>
      <c r="B875" s="143"/>
      <c r="C875" s="144"/>
      <c r="D875" s="145"/>
      <c r="E875" s="212"/>
      <c r="F875" s="212"/>
      <c r="G875" s="174"/>
      <c r="H875" s="148"/>
      <c r="I875" s="148"/>
      <c r="J875" s="149"/>
      <c r="K875" s="149"/>
      <c r="L875" s="149"/>
      <c r="M875" s="149"/>
      <c r="N875" s="142"/>
      <c r="O875" s="33"/>
    </row>
    <row r="876" ht="15.75" customHeight="1">
      <c r="A876" s="142"/>
      <c r="B876" s="143"/>
      <c r="C876" s="144"/>
      <c r="D876" s="145"/>
      <c r="E876" s="212"/>
      <c r="F876" s="212"/>
      <c r="G876" s="174"/>
      <c r="H876" s="148"/>
      <c r="I876" s="148"/>
      <c r="J876" s="149"/>
      <c r="K876" s="149"/>
      <c r="L876" s="149"/>
      <c r="M876" s="149"/>
      <c r="N876" s="142"/>
      <c r="O876" s="33"/>
    </row>
    <row r="877" ht="15.75" customHeight="1">
      <c r="A877" s="142"/>
      <c r="B877" s="143"/>
      <c r="C877" s="144"/>
      <c r="D877" s="145"/>
      <c r="E877" s="212"/>
      <c r="F877" s="212"/>
      <c r="G877" s="174"/>
      <c r="H877" s="148"/>
      <c r="I877" s="148"/>
      <c r="J877" s="149"/>
      <c r="K877" s="149"/>
      <c r="L877" s="149"/>
      <c r="M877" s="149"/>
      <c r="N877" s="142"/>
      <c r="O877" s="33"/>
    </row>
    <row r="878" ht="15.75" customHeight="1">
      <c r="A878" s="142"/>
      <c r="B878" s="143"/>
      <c r="C878" s="144"/>
      <c r="D878" s="145"/>
      <c r="E878" s="212"/>
      <c r="F878" s="212"/>
      <c r="G878" s="174"/>
      <c r="H878" s="148"/>
      <c r="I878" s="148"/>
      <c r="J878" s="149"/>
      <c r="K878" s="149"/>
      <c r="L878" s="149"/>
      <c r="M878" s="149"/>
      <c r="N878" s="142"/>
      <c r="O878" s="33"/>
    </row>
    <row r="879" ht="15.75" customHeight="1">
      <c r="A879" s="142"/>
      <c r="B879" s="143"/>
      <c r="C879" s="144"/>
      <c r="D879" s="145"/>
      <c r="E879" s="212"/>
      <c r="F879" s="212"/>
      <c r="G879" s="174"/>
      <c r="H879" s="148"/>
      <c r="I879" s="148"/>
      <c r="J879" s="149"/>
      <c r="K879" s="149"/>
      <c r="L879" s="149"/>
      <c r="M879" s="149"/>
      <c r="N879" s="142"/>
      <c r="O879" s="33"/>
    </row>
    <row r="880" ht="15.75" customHeight="1">
      <c r="A880" s="142"/>
      <c r="B880" s="143"/>
      <c r="C880" s="144"/>
      <c r="D880" s="145"/>
      <c r="E880" s="212"/>
      <c r="F880" s="212"/>
      <c r="G880" s="174"/>
      <c r="H880" s="148"/>
      <c r="I880" s="148"/>
      <c r="J880" s="149"/>
      <c r="K880" s="149"/>
      <c r="L880" s="149"/>
      <c r="M880" s="149"/>
      <c r="N880" s="142"/>
      <c r="O880" s="33"/>
    </row>
    <row r="881" ht="15.75" customHeight="1">
      <c r="A881" s="142"/>
      <c r="B881" s="143"/>
      <c r="C881" s="144"/>
      <c r="D881" s="145"/>
      <c r="E881" s="212"/>
      <c r="F881" s="212"/>
      <c r="G881" s="174"/>
      <c r="H881" s="148"/>
      <c r="I881" s="148"/>
      <c r="J881" s="149"/>
      <c r="K881" s="149"/>
      <c r="L881" s="149"/>
      <c r="M881" s="149"/>
      <c r="N881" s="142"/>
      <c r="O881" s="33"/>
    </row>
    <row r="882" ht="15.75" customHeight="1">
      <c r="A882" s="142"/>
      <c r="B882" s="143"/>
      <c r="C882" s="144"/>
      <c r="D882" s="145"/>
      <c r="E882" s="212"/>
      <c r="F882" s="212"/>
      <c r="G882" s="174"/>
      <c r="H882" s="148"/>
      <c r="I882" s="148"/>
      <c r="J882" s="149"/>
      <c r="K882" s="149"/>
      <c r="L882" s="149"/>
      <c r="M882" s="149"/>
      <c r="N882" s="142"/>
      <c r="O882" s="33"/>
    </row>
    <row r="883" ht="15.75" customHeight="1">
      <c r="A883" s="142"/>
      <c r="B883" s="143"/>
      <c r="C883" s="144"/>
      <c r="D883" s="145"/>
      <c r="E883" s="212"/>
      <c r="F883" s="212"/>
      <c r="G883" s="174"/>
      <c r="H883" s="148"/>
      <c r="I883" s="148"/>
      <c r="J883" s="149"/>
      <c r="K883" s="149"/>
      <c r="L883" s="149"/>
      <c r="M883" s="149"/>
      <c r="N883" s="142"/>
      <c r="O883" s="33"/>
    </row>
    <row r="884" ht="15.75" customHeight="1">
      <c r="A884" s="142"/>
      <c r="B884" s="143"/>
      <c r="C884" s="144"/>
      <c r="D884" s="145"/>
      <c r="E884" s="212"/>
      <c r="F884" s="212"/>
      <c r="G884" s="174"/>
      <c r="H884" s="148"/>
      <c r="I884" s="148"/>
      <c r="J884" s="149"/>
      <c r="K884" s="149"/>
      <c r="L884" s="149"/>
      <c r="M884" s="149"/>
      <c r="N884" s="142"/>
      <c r="O884" s="33"/>
    </row>
    <row r="885" ht="15.75" customHeight="1">
      <c r="A885" s="142"/>
      <c r="B885" s="143"/>
      <c r="C885" s="144"/>
      <c r="D885" s="145"/>
      <c r="E885" s="212"/>
      <c r="F885" s="212"/>
      <c r="G885" s="174"/>
      <c r="H885" s="148"/>
      <c r="I885" s="148"/>
      <c r="J885" s="149"/>
      <c r="K885" s="149"/>
      <c r="L885" s="149"/>
      <c r="M885" s="149"/>
      <c r="N885" s="142"/>
      <c r="O885" s="33"/>
    </row>
    <row r="886" ht="15.75" customHeight="1">
      <c r="A886" s="142"/>
      <c r="B886" s="143"/>
      <c r="C886" s="144"/>
      <c r="D886" s="145"/>
      <c r="E886" s="212"/>
      <c r="F886" s="212"/>
      <c r="G886" s="174"/>
      <c r="H886" s="148"/>
      <c r="I886" s="148"/>
      <c r="J886" s="149"/>
      <c r="K886" s="149"/>
      <c r="L886" s="149"/>
      <c r="M886" s="149"/>
      <c r="N886" s="142"/>
      <c r="O886" s="33"/>
    </row>
    <row r="887" ht="15.75" customHeight="1">
      <c r="A887" s="142"/>
      <c r="B887" s="143"/>
      <c r="C887" s="144"/>
      <c r="D887" s="145"/>
      <c r="E887" s="212"/>
      <c r="F887" s="212"/>
      <c r="G887" s="174"/>
      <c r="H887" s="148"/>
      <c r="I887" s="148"/>
      <c r="J887" s="149"/>
      <c r="K887" s="149"/>
      <c r="L887" s="149"/>
      <c r="M887" s="149"/>
      <c r="N887" s="142"/>
      <c r="O887" s="33"/>
    </row>
    <row r="888" ht="15.75" customHeight="1">
      <c r="A888" s="142"/>
      <c r="B888" s="143"/>
      <c r="C888" s="144"/>
      <c r="D888" s="145"/>
      <c r="E888" s="212"/>
      <c r="F888" s="212"/>
      <c r="G888" s="174"/>
      <c r="H888" s="148"/>
      <c r="I888" s="148"/>
      <c r="J888" s="149"/>
      <c r="K888" s="149"/>
      <c r="L888" s="149"/>
      <c r="M888" s="149"/>
      <c r="N888" s="142"/>
      <c r="O888" s="33"/>
    </row>
    <row r="889" ht="15.75" customHeight="1">
      <c r="A889" s="142"/>
      <c r="B889" s="143"/>
      <c r="C889" s="144"/>
      <c r="D889" s="145"/>
      <c r="E889" s="212"/>
      <c r="F889" s="212"/>
      <c r="G889" s="174"/>
      <c r="H889" s="148"/>
      <c r="I889" s="148"/>
      <c r="J889" s="149"/>
      <c r="K889" s="149"/>
      <c r="L889" s="149"/>
      <c r="M889" s="149"/>
      <c r="N889" s="142"/>
      <c r="O889" s="33"/>
    </row>
    <row r="890" ht="15.75" customHeight="1">
      <c r="A890" s="142"/>
      <c r="B890" s="143"/>
      <c r="C890" s="144"/>
      <c r="D890" s="145"/>
      <c r="E890" s="212"/>
      <c r="F890" s="212"/>
      <c r="G890" s="174"/>
      <c r="H890" s="148"/>
      <c r="I890" s="148"/>
      <c r="J890" s="149"/>
      <c r="K890" s="149"/>
      <c r="L890" s="149"/>
      <c r="M890" s="149"/>
      <c r="N890" s="142"/>
      <c r="O890" s="33"/>
    </row>
    <row r="891" ht="15.75" customHeight="1">
      <c r="A891" s="142"/>
      <c r="B891" s="143"/>
      <c r="C891" s="144"/>
      <c r="D891" s="145"/>
      <c r="E891" s="212"/>
      <c r="F891" s="212"/>
      <c r="G891" s="174"/>
      <c r="H891" s="148"/>
      <c r="I891" s="148"/>
      <c r="J891" s="149"/>
      <c r="K891" s="149"/>
      <c r="L891" s="149"/>
      <c r="M891" s="149"/>
      <c r="N891" s="142"/>
      <c r="O891" s="33"/>
    </row>
    <row r="892" ht="15.75" customHeight="1">
      <c r="A892" s="142"/>
      <c r="B892" s="143"/>
      <c r="C892" s="144"/>
      <c r="D892" s="145"/>
      <c r="E892" s="212"/>
      <c r="F892" s="212"/>
      <c r="G892" s="174"/>
      <c r="H892" s="148"/>
      <c r="I892" s="148"/>
      <c r="J892" s="149"/>
      <c r="K892" s="149"/>
      <c r="L892" s="149"/>
      <c r="M892" s="149"/>
      <c r="N892" s="142"/>
      <c r="O892" s="33"/>
    </row>
    <row r="893" ht="15.75" customHeight="1">
      <c r="A893" s="142"/>
      <c r="B893" s="143"/>
      <c r="C893" s="144"/>
      <c r="D893" s="145"/>
      <c r="E893" s="212"/>
      <c r="F893" s="212"/>
      <c r="G893" s="174"/>
      <c r="H893" s="148"/>
      <c r="I893" s="148"/>
      <c r="J893" s="149"/>
      <c r="K893" s="149"/>
      <c r="L893" s="149"/>
      <c r="M893" s="149"/>
      <c r="N893" s="142"/>
      <c r="O893" s="33"/>
    </row>
    <row r="894" ht="15.75" customHeight="1">
      <c r="A894" s="142"/>
      <c r="B894" s="143"/>
      <c r="C894" s="144"/>
      <c r="D894" s="145"/>
      <c r="E894" s="212"/>
      <c r="F894" s="212"/>
      <c r="G894" s="174"/>
      <c r="H894" s="148"/>
      <c r="I894" s="148"/>
      <c r="J894" s="149"/>
      <c r="K894" s="149"/>
      <c r="L894" s="149"/>
      <c r="M894" s="149"/>
      <c r="N894" s="142"/>
      <c r="O894" s="33"/>
    </row>
    <row r="895" ht="15.75" customHeight="1">
      <c r="A895" s="142"/>
      <c r="B895" s="143"/>
      <c r="C895" s="144"/>
      <c r="D895" s="145"/>
      <c r="E895" s="212"/>
      <c r="F895" s="212"/>
      <c r="G895" s="174"/>
      <c r="H895" s="148"/>
      <c r="I895" s="148"/>
      <c r="J895" s="149"/>
      <c r="K895" s="149"/>
      <c r="L895" s="149"/>
      <c r="M895" s="149"/>
      <c r="N895" s="142"/>
      <c r="O895" s="33"/>
    </row>
    <row r="896" ht="15.75" customHeight="1">
      <c r="A896" s="142"/>
      <c r="B896" s="143"/>
      <c r="C896" s="144"/>
      <c r="D896" s="145"/>
      <c r="E896" s="212"/>
      <c r="F896" s="212"/>
      <c r="G896" s="174"/>
      <c r="H896" s="148"/>
      <c r="I896" s="148"/>
      <c r="J896" s="149"/>
      <c r="K896" s="149"/>
      <c r="L896" s="149"/>
      <c r="M896" s="149"/>
      <c r="N896" s="142"/>
      <c r="O896" s="33"/>
    </row>
    <row r="897" ht="15.75" customHeight="1">
      <c r="A897" s="142"/>
      <c r="B897" s="143"/>
      <c r="C897" s="144"/>
      <c r="D897" s="145"/>
      <c r="E897" s="212"/>
      <c r="F897" s="212"/>
      <c r="G897" s="174"/>
      <c r="H897" s="148"/>
      <c r="I897" s="148"/>
      <c r="J897" s="149"/>
      <c r="K897" s="149"/>
      <c r="L897" s="149"/>
      <c r="M897" s="149"/>
      <c r="N897" s="142"/>
      <c r="O897" s="33"/>
    </row>
    <row r="898" ht="15.75" customHeight="1">
      <c r="A898" s="142"/>
      <c r="B898" s="143"/>
      <c r="C898" s="144"/>
      <c r="D898" s="145"/>
      <c r="E898" s="212"/>
      <c r="F898" s="212"/>
      <c r="G898" s="174"/>
      <c r="H898" s="148"/>
      <c r="I898" s="148"/>
      <c r="J898" s="149"/>
      <c r="K898" s="149"/>
      <c r="L898" s="149"/>
      <c r="M898" s="149"/>
      <c r="N898" s="142"/>
      <c r="O898" s="33"/>
    </row>
    <row r="899" ht="15.75" customHeight="1">
      <c r="A899" s="142"/>
      <c r="B899" s="143"/>
      <c r="C899" s="144"/>
      <c r="D899" s="145"/>
      <c r="E899" s="212"/>
      <c r="F899" s="212"/>
      <c r="G899" s="174"/>
      <c r="H899" s="148"/>
      <c r="I899" s="148"/>
      <c r="J899" s="149"/>
      <c r="K899" s="149"/>
      <c r="L899" s="149"/>
      <c r="M899" s="149"/>
      <c r="N899" s="142"/>
      <c r="O899" s="33"/>
    </row>
    <row r="900" ht="15.75" customHeight="1">
      <c r="A900" s="142"/>
      <c r="B900" s="143"/>
      <c r="C900" s="144"/>
      <c r="D900" s="145"/>
      <c r="E900" s="212"/>
      <c r="F900" s="212"/>
      <c r="G900" s="174"/>
      <c r="H900" s="148"/>
      <c r="I900" s="148"/>
      <c r="J900" s="149"/>
      <c r="K900" s="149"/>
      <c r="L900" s="149"/>
      <c r="M900" s="149"/>
      <c r="N900" s="142"/>
      <c r="O900" s="33"/>
    </row>
    <row r="901" ht="15.75" customHeight="1">
      <c r="A901" s="142"/>
      <c r="B901" s="143"/>
      <c r="C901" s="144"/>
      <c r="D901" s="145"/>
      <c r="E901" s="212"/>
      <c r="F901" s="212"/>
      <c r="G901" s="174"/>
      <c r="H901" s="148"/>
      <c r="I901" s="148"/>
      <c r="J901" s="149"/>
      <c r="K901" s="149"/>
      <c r="L901" s="149"/>
      <c r="M901" s="149"/>
      <c r="N901" s="142"/>
      <c r="O901" s="33"/>
    </row>
    <row r="902" ht="15.75" customHeight="1">
      <c r="A902" s="142"/>
      <c r="B902" s="143"/>
      <c r="C902" s="144"/>
      <c r="D902" s="145"/>
      <c r="E902" s="212"/>
      <c r="F902" s="212"/>
      <c r="G902" s="174"/>
      <c r="H902" s="148"/>
      <c r="I902" s="148"/>
      <c r="J902" s="149"/>
      <c r="K902" s="149"/>
      <c r="L902" s="149"/>
      <c r="M902" s="149"/>
      <c r="N902" s="142"/>
      <c r="O902" s="33"/>
    </row>
    <row r="903" ht="15.75" customHeight="1">
      <c r="A903" s="142"/>
      <c r="B903" s="143"/>
      <c r="C903" s="144"/>
      <c r="D903" s="145"/>
      <c r="E903" s="212"/>
      <c r="F903" s="212"/>
      <c r="G903" s="174"/>
      <c r="H903" s="148"/>
      <c r="I903" s="148"/>
      <c r="J903" s="149"/>
      <c r="K903" s="149"/>
      <c r="L903" s="149"/>
      <c r="M903" s="149"/>
      <c r="N903" s="142"/>
      <c r="O903" s="33"/>
    </row>
    <row r="904" ht="15.75" customHeight="1">
      <c r="A904" s="142"/>
      <c r="B904" s="143"/>
      <c r="C904" s="144"/>
      <c r="D904" s="145"/>
      <c r="E904" s="212"/>
      <c r="F904" s="212"/>
      <c r="G904" s="174"/>
      <c r="H904" s="148"/>
      <c r="I904" s="148"/>
      <c r="J904" s="149"/>
      <c r="K904" s="149"/>
      <c r="L904" s="149"/>
      <c r="M904" s="149"/>
      <c r="N904" s="142"/>
      <c r="O904" s="33"/>
    </row>
    <row r="905" ht="15.75" customHeight="1">
      <c r="A905" s="142"/>
      <c r="B905" s="143"/>
      <c r="C905" s="144"/>
      <c r="D905" s="145"/>
      <c r="E905" s="212"/>
      <c r="F905" s="212"/>
      <c r="G905" s="174"/>
      <c r="H905" s="148"/>
      <c r="I905" s="148"/>
      <c r="J905" s="149"/>
      <c r="K905" s="149"/>
      <c r="L905" s="149"/>
      <c r="M905" s="149"/>
      <c r="N905" s="142"/>
      <c r="O905" s="33"/>
    </row>
    <row r="906" ht="15.75" customHeight="1">
      <c r="A906" s="142"/>
      <c r="B906" s="143"/>
      <c r="C906" s="144"/>
      <c r="D906" s="145"/>
      <c r="E906" s="212"/>
      <c r="F906" s="212"/>
      <c r="G906" s="174"/>
      <c r="H906" s="148"/>
      <c r="I906" s="148"/>
      <c r="J906" s="149"/>
      <c r="K906" s="149"/>
      <c r="L906" s="149"/>
      <c r="M906" s="149"/>
      <c r="N906" s="142"/>
      <c r="O906" s="33"/>
    </row>
    <row r="907" ht="15.75" customHeight="1">
      <c r="A907" s="142"/>
      <c r="B907" s="143"/>
      <c r="C907" s="144"/>
      <c r="D907" s="145"/>
      <c r="E907" s="212"/>
      <c r="F907" s="212"/>
      <c r="G907" s="174"/>
      <c r="H907" s="148"/>
      <c r="I907" s="148"/>
      <c r="J907" s="149"/>
      <c r="K907" s="149"/>
      <c r="L907" s="149"/>
      <c r="M907" s="149"/>
      <c r="N907" s="142"/>
      <c r="O907" s="33"/>
    </row>
    <row r="908" ht="15.75" customHeight="1">
      <c r="A908" s="142"/>
      <c r="B908" s="143"/>
      <c r="C908" s="144"/>
      <c r="D908" s="145"/>
      <c r="E908" s="212"/>
      <c r="F908" s="212"/>
      <c r="G908" s="174"/>
      <c r="H908" s="148"/>
      <c r="I908" s="148"/>
      <c r="J908" s="149"/>
      <c r="K908" s="149"/>
      <c r="L908" s="149"/>
      <c r="M908" s="149"/>
      <c r="N908" s="142"/>
      <c r="O908" s="33"/>
    </row>
    <row r="909" ht="15.75" customHeight="1">
      <c r="A909" s="142"/>
      <c r="B909" s="143"/>
      <c r="C909" s="144"/>
      <c r="D909" s="145"/>
      <c r="E909" s="212"/>
      <c r="F909" s="212"/>
      <c r="G909" s="174"/>
      <c r="H909" s="148"/>
      <c r="I909" s="148"/>
      <c r="J909" s="149"/>
      <c r="K909" s="149"/>
      <c r="L909" s="149"/>
      <c r="M909" s="149"/>
      <c r="N909" s="142"/>
      <c r="O909" s="33"/>
    </row>
    <row r="910" ht="15.75" customHeight="1">
      <c r="A910" s="142"/>
      <c r="B910" s="143"/>
      <c r="C910" s="144"/>
      <c r="D910" s="145"/>
      <c r="E910" s="212"/>
      <c r="F910" s="212"/>
      <c r="G910" s="174"/>
      <c r="H910" s="148"/>
      <c r="I910" s="148"/>
      <c r="J910" s="149"/>
      <c r="K910" s="149"/>
      <c r="L910" s="149"/>
      <c r="M910" s="149"/>
      <c r="N910" s="142"/>
      <c r="O910" s="33"/>
    </row>
    <row r="911" ht="15.75" customHeight="1">
      <c r="A911" s="142"/>
      <c r="B911" s="143"/>
      <c r="C911" s="144"/>
      <c r="D911" s="145"/>
      <c r="E911" s="212"/>
      <c r="F911" s="212"/>
      <c r="G911" s="174"/>
      <c r="H911" s="148"/>
      <c r="I911" s="148"/>
      <c r="J911" s="149"/>
      <c r="K911" s="149"/>
      <c r="L911" s="149"/>
      <c r="M911" s="149"/>
      <c r="N911" s="142"/>
      <c r="O911" s="33"/>
    </row>
    <row r="912" ht="15.75" customHeight="1">
      <c r="A912" s="142"/>
      <c r="B912" s="143"/>
      <c r="C912" s="144"/>
      <c r="D912" s="145"/>
      <c r="E912" s="212"/>
      <c r="F912" s="212"/>
      <c r="G912" s="174"/>
      <c r="H912" s="148"/>
      <c r="I912" s="148"/>
      <c r="J912" s="149"/>
      <c r="K912" s="149"/>
      <c r="L912" s="149"/>
      <c r="M912" s="149"/>
      <c r="N912" s="142"/>
      <c r="O912" s="33"/>
    </row>
    <row r="913" ht="15.75" customHeight="1">
      <c r="A913" s="142"/>
      <c r="B913" s="143"/>
      <c r="C913" s="144"/>
      <c r="D913" s="145"/>
      <c r="E913" s="212"/>
      <c r="F913" s="212"/>
      <c r="G913" s="174"/>
      <c r="H913" s="148"/>
      <c r="I913" s="148"/>
      <c r="J913" s="149"/>
      <c r="K913" s="149"/>
      <c r="L913" s="149"/>
      <c r="M913" s="149"/>
      <c r="N913" s="142"/>
      <c r="O913" s="33"/>
    </row>
    <row r="914" ht="15.75" customHeight="1">
      <c r="A914" s="142"/>
      <c r="B914" s="143"/>
      <c r="C914" s="144"/>
      <c r="D914" s="145"/>
      <c r="E914" s="212"/>
      <c r="F914" s="212"/>
      <c r="G914" s="174"/>
      <c r="H914" s="148"/>
      <c r="I914" s="148"/>
      <c r="J914" s="149"/>
      <c r="K914" s="149"/>
      <c r="L914" s="149"/>
      <c r="M914" s="149"/>
      <c r="N914" s="142"/>
      <c r="O914" s="33"/>
    </row>
    <row r="915" ht="15.75" customHeight="1">
      <c r="A915" s="142"/>
      <c r="B915" s="143"/>
      <c r="C915" s="144"/>
      <c r="D915" s="145"/>
      <c r="E915" s="212"/>
      <c r="F915" s="212"/>
      <c r="G915" s="174"/>
      <c r="H915" s="148"/>
      <c r="I915" s="148"/>
      <c r="J915" s="149"/>
      <c r="K915" s="149"/>
      <c r="L915" s="149"/>
      <c r="M915" s="149"/>
      <c r="N915" s="142"/>
      <c r="O915" s="33"/>
    </row>
    <row r="916" ht="15.75" customHeight="1">
      <c r="A916" s="142"/>
      <c r="B916" s="143"/>
      <c r="C916" s="144"/>
      <c r="D916" s="145"/>
      <c r="E916" s="212"/>
      <c r="F916" s="212"/>
      <c r="G916" s="174"/>
      <c r="H916" s="148"/>
      <c r="I916" s="148"/>
      <c r="J916" s="149"/>
      <c r="K916" s="149"/>
      <c r="L916" s="149"/>
      <c r="M916" s="149"/>
      <c r="N916" s="142"/>
      <c r="O916" s="33"/>
    </row>
    <row r="917" ht="15.75" customHeight="1">
      <c r="A917" s="142"/>
      <c r="B917" s="143"/>
      <c r="C917" s="144"/>
      <c r="D917" s="145"/>
      <c r="E917" s="212"/>
      <c r="F917" s="212"/>
      <c r="G917" s="174"/>
      <c r="H917" s="148"/>
      <c r="I917" s="148"/>
      <c r="J917" s="149"/>
      <c r="K917" s="149"/>
      <c r="L917" s="149"/>
      <c r="M917" s="149"/>
      <c r="N917" s="142"/>
      <c r="O917" s="33"/>
    </row>
    <row r="918" ht="15.75" customHeight="1">
      <c r="A918" s="142"/>
      <c r="B918" s="143"/>
      <c r="C918" s="144"/>
      <c r="D918" s="145"/>
      <c r="E918" s="212"/>
      <c r="F918" s="212"/>
      <c r="G918" s="174"/>
      <c r="H918" s="148"/>
      <c r="I918" s="148"/>
      <c r="J918" s="149"/>
      <c r="K918" s="149"/>
      <c r="L918" s="149"/>
      <c r="M918" s="149"/>
      <c r="N918" s="142"/>
      <c r="O918" s="33"/>
    </row>
    <row r="919" ht="15.75" customHeight="1">
      <c r="A919" s="142"/>
      <c r="B919" s="143"/>
      <c r="C919" s="144"/>
      <c r="D919" s="145"/>
      <c r="E919" s="212"/>
      <c r="F919" s="212"/>
      <c r="G919" s="174"/>
      <c r="H919" s="148"/>
      <c r="I919" s="148"/>
      <c r="J919" s="149"/>
      <c r="K919" s="149"/>
      <c r="L919" s="149"/>
      <c r="M919" s="149"/>
      <c r="N919" s="142"/>
      <c r="O919" s="33"/>
    </row>
    <row r="920" ht="15.75" customHeight="1">
      <c r="A920" s="142"/>
      <c r="B920" s="143"/>
      <c r="C920" s="144"/>
      <c r="D920" s="145"/>
      <c r="E920" s="212"/>
      <c r="F920" s="212"/>
      <c r="G920" s="174"/>
      <c r="H920" s="148"/>
      <c r="I920" s="148"/>
      <c r="J920" s="149"/>
      <c r="K920" s="149"/>
      <c r="L920" s="149"/>
      <c r="M920" s="149"/>
      <c r="N920" s="142"/>
      <c r="O920" s="33"/>
    </row>
    <row r="921" ht="15.75" customHeight="1">
      <c r="A921" s="142"/>
      <c r="B921" s="143"/>
      <c r="C921" s="144"/>
      <c r="D921" s="145"/>
      <c r="E921" s="212"/>
      <c r="F921" s="212"/>
      <c r="G921" s="174"/>
      <c r="H921" s="148"/>
      <c r="I921" s="148"/>
      <c r="J921" s="149"/>
      <c r="K921" s="149"/>
      <c r="L921" s="149"/>
      <c r="M921" s="149"/>
      <c r="N921" s="142"/>
      <c r="O921" s="33"/>
    </row>
    <row r="922" ht="15.75" customHeight="1">
      <c r="A922" s="142"/>
      <c r="B922" s="143"/>
      <c r="C922" s="144"/>
      <c r="D922" s="145"/>
      <c r="E922" s="212"/>
      <c r="F922" s="212"/>
      <c r="G922" s="174"/>
      <c r="H922" s="148"/>
      <c r="I922" s="148"/>
      <c r="J922" s="149"/>
      <c r="K922" s="149"/>
      <c r="L922" s="149"/>
      <c r="M922" s="149"/>
      <c r="N922" s="142"/>
      <c r="O922" s="33"/>
    </row>
    <row r="923" ht="15.75" customHeight="1">
      <c r="A923" s="142"/>
      <c r="B923" s="143"/>
      <c r="C923" s="144"/>
      <c r="D923" s="145"/>
      <c r="E923" s="212"/>
      <c r="F923" s="212"/>
      <c r="G923" s="174"/>
      <c r="H923" s="148"/>
      <c r="I923" s="148"/>
      <c r="J923" s="149"/>
      <c r="K923" s="149"/>
      <c r="L923" s="149"/>
      <c r="M923" s="149"/>
      <c r="N923" s="142"/>
      <c r="O923" s="33"/>
    </row>
    <row r="924" ht="15.75" customHeight="1">
      <c r="A924" s="142"/>
      <c r="B924" s="143"/>
      <c r="C924" s="144"/>
      <c r="D924" s="145"/>
      <c r="E924" s="212"/>
      <c r="F924" s="212"/>
      <c r="G924" s="174"/>
      <c r="H924" s="148"/>
      <c r="I924" s="148"/>
      <c r="J924" s="149"/>
      <c r="K924" s="149"/>
      <c r="L924" s="149"/>
      <c r="M924" s="149"/>
      <c r="N924" s="142"/>
      <c r="O924" s="33"/>
    </row>
    <row r="925" ht="15.75" customHeight="1">
      <c r="A925" s="142"/>
      <c r="B925" s="143"/>
      <c r="C925" s="144"/>
      <c r="D925" s="145"/>
      <c r="E925" s="212"/>
      <c r="F925" s="212"/>
      <c r="G925" s="174"/>
      <c r="H925" s="148"/>
      <c r="I925" s="148"/>
      <c r="J925" s="149"/>
      <c r="K925" s="149"/>
      <c r="L925" s="149"/>
      <c r="M925" s="149"/>
      <c r="N925" s="142"/>
      <c r="O925" s="33"/>
    </row>
    <row r="926" ht="15.75" customHeight="1">
      <c r="A926" s="142"/>
      <c r="B926" s="143"/>
      <c r="C926" s="144"/>
      <c r="D926" s="145"/>
      <c r="E926" s="212"/>
      <c r="F926" s="212"/>
      <c r="G926" s="174"/>
      <c r="H926" s="148"/>
      <c r="I926" s="148"/>
      <c r="J926" s="149"/>
      <c r="K926" s="149"/>
      <c r="L926" s="149"/>
      <c r="M926" s="149"/>
      <c r="N926" s="142"/>
      <c r="O926" s="33"/>
    </row>
    <row r="927" ht="15.75" customHeight="1">
      <c r="A927" s="142"/>
      <c r="B927" s="143"/>
      <c r="C927" s="144"/>
      <c r="D927" s="145"/>
      <c r="E927" s="212"/>
      <c r="F927" s="212"/>
      <c r="G927" s="174"/>
      <c r="H927" s="148"/>
      <c r="I927" s="148"/>
      <c r="J927" s="149"/>
      <c r="K927" s="149"/>
      <c r="L927" s="149"/>
      <c r="M927" s="149"/>
      <c r="N927" s="142"/>
      <c r="O927" s="33"/>
    </row>
    <row r="928" ht="15.75" customHeight="1">
      <c r="A928" s="142"/>
      <c r="B928" s="143"/>
      <c r="C928" s="144"/>
      <c r="D928" s="145"/>
      <c r="E928" s="212"/>
      <c r="F928" s="212"/>
      <c r="G928" s="174"/>
      <c r="H928" s="148"/>
      <c r="I928" s="148"/>
      <c r="J928" s="149"/>
      <c r="K928" s="149"/>
      <c r="L928" s="149"/>
      <c r="M928" s="149"/>
      <c r="N928" s="142"/>
      <c r="O928" s="33"/>
    </row>
    <row r="929" ht="15.75" customHeight="1">
      <c r="A929" s="142"/>
      <c r="B929" s="143"/>
      <c r="C929" s="144"/>
      <c r="D929" s="145"/>
      <c r="E929" s="212"/>
      <c r="F929" s="212"/>
      <c r="G929" s="174"/>
      <c r="H929" s="148"/>
      <c r="I929" s="148"/>
      <c r="J929" s="149"/>
      <c r="K929" s="149"/>
      <c r="L929" s="149"/>
      <c r="M929" s="149"/>
      <c r="N929" s="142"/>
      <c r="O929" s="33"/>
    </row>
    <row r="930" ht="15.75" customHeight="1">
      <c r="A930" s="142"/>
      <c r="B930" s="143"/>
      <c r="C930" s="144"/>
      <c r="D930" s="145"/>
      <c r="E930" s="212"/>
      <c r="F930" s="212"/>
      <c r="G930" s="174"/>
      <c r="H930" s="148"/>
      <c r="I930" s="148"/>
      <c r="J930" s="149"/>
      <c r="K930" s="149"/>
      <c r="L930" s="149"/>
      <c r="M930" s="149"/>
      <c r="N930" s="142"/>
      <c r="O930" s="33"/>
    </row>
    <row r="931" ht="15.75" customHeight="1">
      <c r="A931" s="142"/>
      <c r="B931" s="143"/>
      <c r="C931" s="144"/>
      <c r="D931" s="145"/>
      <c r="E931" s="212"/>
      <c r="F931" s="212"/>
      <c r="G931" s="174"/>
      <c r="H931" s="148"/>
      <c r="I931" s="148"/>
      <c r="J931" s="149"/>
      <c r="K931" s="149"/>
      <c r="L931" s="149"/>
      <c r="M931" s="149"/>
      <c r="N931" s="142"/>
      <c r="O931" s="33"/>
    </row>
    <row r="932" ht="15.75" customHeight="1">
      <c r="A932" s="142"/>
      <c r="B932" s="143"/>
      <c r="C932" s="144"/>
      <c r="D932" s="145"/>
      <c r="E932" s="212"/>
      <c r="F932" s="212"/>
      <c r="G932" s="174"/>
      <c r="H932" s="148"/>
      <c r="I932" s="148"/>
      <c r="J932" s="149"/>
      <c r="K932" s="149"/>
      <c r="L932" s="149"/>
      <c r="M932" s="149"/>
      <c r="N932" s="142"/>
      <c r="O932" s="33"/>
    </row>
    <row r="933" ht="15.75" customHeight="1">
      <c r="A933" s="142"/>
      <c r="B933" s="143"/>
      <c r="C933" s="144"/>
      <c r="D933" s="145"/>
      <c r="E933" s="212"/>
      <c r="F933" s="212"/>
      <c r="G933" s="174"/>
      <c r="H933" s="148"/>
      <c r="I933" s="148"/>
      <c r="J933" s="149"/>
      <c r="K933" s="149"/>
      <c r="L933" s="149"/>
      <c r="M933" s="149"/>
      <c r="N933" s="142"/>
      <c r="O933" s="33"/>
    </row>
    <row r="934" ht="15.75" customHeight="1">
      <c r="A934" s="142"/>
      <c r="B934" s="143"/>
      <c r="C934" s="144"/>
      <c r="D934" s="145"/>
      <c r="E934" s="212"/>
      <c r="F934" s="212"/>
      <c r="G934" s="174"/>
      <c r="H934" s="148"/>
      <c r="I934" s="148"/>
      <c r="J934" s="149"/>
      <c r="K934" s="149"/>
      <c r="L934" s="149"/>
      <c r="M934" s="149"/>
      <c r="N934" s="142"/>
      <c r="O934" s="33"/>
    </row>
    <row r="935" ht="15.75" customHeight="1">
      <c r="A935" s="142"/>
      <c r="B935" s="143"/>
      <c r="C935" s="144"/>
      <c r="D935" s="145"/>
      <c r="E935" s="212"/>
      <c r="F935" s="212"/>
      <c r="G935" s="174"/>
      <c r="H935" s="148"/>
      <c r="I935" s="148"/>
      <c r="J935" s="149"/>
      <c r="K935" s="149"/>
      <c r="L935" s="149"/>
      <c r="M935" s="149"/>
      <c r="N935" s="142"/>
      <c r="O935" s="33"/>
    </row>
    <row r="936" ht="15.75" customHeight="1">
      <c r="A936" s="142"/>
      <c r="B936" s="143"/>
      <c r="C936" s="144"/>
      <c r="D936" s="145"/>
      <c r="E936" s="212"/>
      <c r="F936" s="212"/>
      <c r="G936" s="174"/>
      <c r="H936" s="148"/>
      <c r="I936" s="148"/>
      <c r="J936" s="149"/>
      <c r="K936" s="149"/>
      <c r="L936" s="149"/>
      <c r="M936" s="149"/>
      <c r="N936" s="142"/>
      <c r="O936" s="33"/>
    </row>
    <row r="937" ht="15.75" customHeight="1">
      <c r="A937" s="142"/>
      <c r="B937" s="143"/>
      <c r="C937" s="144"/>
      <c r="D937" s="145"/>
      <c r="E937" s="212"/>
      <c r="F937" s="212"/>
      <c r="G937" s="174"/>
      <c r="H937" s="148"/>
      <c r="I937" s="148"/>
      <c r="J937" s="149"/>
      <c r="K937" s="149"/>
      <c r="L937" s="149"/>
      <c r="M937" s="149"/>
      <c r="N937" s="142"/>
      <c r="O937" s="33"/>
    </row>
    <row r="938" ht="15.75" customHeight="1">
      <c r="A938" s="142"/>
      <c r="B938" s="143"/>
      <c r="C938" s="144"/>
      <c r="D938" s="145"/>
      <c r="E938" s="212"/>
      <c r="F938" s="212"/>
      <c r="G938" s="174"/>
      <c r="H938" s="148"/>
      <c r="I938" s="148"/>
      <c r="J938" s="149"/>
      <c r="K938" s="149"/>
      <c r="L938" s="149"/>
      <c r="M938" s="149"/>
      <c r="N938" s="142"/>
      <c r="O938" s="33"/>
    </row>
    <row r="939" ht="15.75" customHeight="1">
      <c r="A939" s="142"/>
      <c r="B939" s="143"/>
      <c r="C939" s="144"/>
      <c r="D939" s="145"/>
      <c r="E939" s="212"/>
      <c r="F939" s="212"/>
      <c r="G939" s="174"/>
      <c r="H939" s="148"/>
      <c r="I939" s="148"/>
      <c r="J939" s="149"/>
      <c r="K939" s="149"/>
      <c r="L939" s="149"/>
      <c r="M939" s="149"/>
      <c r="N939" s="142"/>
      <c r="O939" s="33"/>
    </row>
  </sheetData>
  <mergeCells count="11">
    <mergeCell ref="J1:K1"/>
    <mergeCell ref="L1:M1"/>
    <mergeCell ref="N1:N2"/>
    <mergeCell ref="A1:A2"/>
    <mergeCell ref="B1:B2"/>
    <mergeCell ref="C1:C2"/>
    <mergeCell ref="D1:D2"/>
    <mergeCell ref="E1:E2"/>
    <mergeCell ref="G1:G2"/>
    <mergeCell ref="H1:I1"/>
    <mergeCell ref="F1:F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14"/>
    <col customWidth="1" min="2" max="2" width="15.14"/>
    <col customWidth="1" min="3" max="3" width="21.0"/>
    <col customWidth="1" min="4" max="4" width="30.86"/>
    <col customWidth="1" min="5" max="5" width="16.71"/>
    <col customWidth="1" min="6" max="6" width="11.14"/>
    <col customWidth="1" min="7" max="12" width="13.0"/>
    <col customWidth="1" min="13" max="13" width="29.14"/>
    <col customWidth="1" min="14" max="14" width="13.57"/>
    <col customWidth="1" min="15" max="15" width="15.14"/>
    <col customWidth="1" min="16" max="16" width="43.0"/>
    <col customWidth="1" min="17" max="25" width="9.86"/>
  </cols>
  <sheetData>
    <row r="1" ht="24.75" customHeight="1">
      <c r="A1" s="1" t="s">
        <v>0</v>
      </c>
      <c r="B1" s="2" t="s">
        <v>1</v>
      </c>
      <c r="C1" s="2" t="s">
        <v>2</v>
      </c>
      <c r="D1" s="2" t="s">
        <v>3</v>
      </c>
      <c r="E1" s="175" t="s">
        <v>5</v>
      </c>
      <c r="F1" s="158" t="s">
        <v>6</v>
      </c>
      <c r="G1" s="5" t="s">
        <v>7</v>
      </c>
      <c r="H1" s="6"/>
      <c r="I1" s="7" t="s">
        <v>8</v>
      </c>
      <c r="J1" s="6"/>
      <c r="K1" s="8" t="s">
        <v>9</v>
      </c>
      <c r="L1" s="6"/>
      <c r="M1" s="9" t="s">
        <v>10</v>
      </c>
      <c r="N1" s="10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31.5" customHeight="1">
      <c r="A2" s="12"/>
      <c r="B2" s="13"/>
      <c r="C2" s="13"/>
      <c r="D2" s="13"/>
      <c r="E2" s="13"/>
      <c r="F2" s="13"/>
      <c r="G2" s="14" t="s">
        <v>804</v>
      </c>
      <c r="H2" s="15" t="s">
        <v>805</v>
      </c>
      <c r="I2" s="16" t="s">
        <v>806</v>
      </c>
      <c r="J2" s="17" t="s">
        <v>807</v>
      </c>
      <c r="K2" s="18" t="s">
        <v>808</v>
      </c>
      <c r="L2" s="19" t="s">
        <v>809</v>
      </c>
      <c r="M2" s="20"/>
      <c r="N2" s="10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5.75" customHeight="1">
      <c r="A3" s="177" t="s">
        <v>263</v>
      </c>
      <c r="B3" s="178"/>
      <c r="C3" s="179" t="s">
        <v>264</v>
      </c>
      <c r="D3" s="179" t="s">
        <v>265</v>
      </c>
      <c r="E3" s="180">
        <v>35.0</v>
      </c>
      <c r="F3" s="161"/>
      <c r="G3" s="181">
        <f t="shared" ref="G3:G479" si="1">E3*0.5+E3</f>
        <v>52.5</v>
      </c>
      <c r="H3" s="29">
        <f t="shared" ref="H3:H479" si="2">E3*0.3+E3</f>
        <v>45.5</v>
      </c>
      <c r="I3" s="30">
        <f t="shared" ref="I3:I479" si="3">E3*0.3+E3</f>
        <v>45.5</v>
      </c>
      <c r="J3" s="31">
        <f t="shared" ref="J3:J479" si="4">E3*0.2+E3</f>
        <v>42</v>
      </c>
      <c r="K3" s="30">
        <f t="shared" ref="K3:K479" si="5">E3*0.15+E3</f>
        <v>40.25</v>
      </c>
      <c r="L3" s="31">
        <f t="shared" ref="L3:L479" si="6">E3*0.1+E3</f>
        <v>38.5</v>
      </c>
      <c r="M3" s="32"/>
      <c r="N3" s="33"/>
    </row>
    <row r="4" ht="15.75" customHeight="1">
      <c r="A4" s="177" t="s">
        <v>263</v>
      </c>
      <c r="B4" s="178"/>
      <c r="C4" s="182" t="s">
        <v>266</v>
      </c>
      <c r="D4" s="182" t="s">
        <v>267</v>
      </c>
      <c r="E4" s="180">
        <v>25.0</v>
      </c>
      <c r="F4" s="162"/>
      <c r="G4" s="181">
        <f t="shared" si="1"/>
        <v>37.5</v>
      </c>
      <c r="H4" s="29">
        <f t="shared" si="2"/>
        <v>32.5</v>
      </c>
      <c r="I4" s="30">
        <f t="shared" si="3"/>
        <v>32.5</v>
      </c>
      <c r="J4" s="31">
        <f t="shared" si="4"/>
        <v>30</v>
      </c>
      <c r="K4" s="30">
        <f t="shared" si="5"/>
        <v>28.75</v>
      </c>
      <c r="L4" s="31">
        <f t="shared" si="6"/>
        <v>27.5</v>
      </c>
      <c r="M4" s="32"/>
      <c r="N4" s="33"/>
    </row>
    <row r="5" ht="15.75" customHeight="1">
      <c r="A5" s="177" t="s">
        <v>263</v>
      </c>
      <c r="B5" s="178"/>
      <c r="C5" s="182" t="s">
        <v>268</v>
      </c>
      <c r="D5" s="182" t="s">
        <v>269</v>
      </c>
      <c r="E5" s="180">
        <v>65.0</v>
      </c>
      <c r="F5" s="162"/>
      <c r="G5" s="181">
        <f t="shared" si="1"/>
        <v>97.5</v>
      </c>
      <c r="H5" s="29">
        <f t="shared" si="2"/>
        <v>84.5</v>
      </c>
      <c r="I5" s="30">
        <f t="shared" si="3"/>
        <v>84.5</v>
      </c>
      <c r="J5" s="31">
        <f t="shared" si="4"/>
        <v>78</v>
      </c>
      <c r="K5" s="30">
        <f t="shared" si="5"/>
        <v>74.75</v>
      </c>
      <c r="L5" s="31">
        <f t="shared" si="6"/>
        <v>71.5</v>
      </c>
      <c r="M5" s="32"/>
      <c r="N5" s="33"/>
    </row>
    <row r="6" ht="15.75" customHeight="1">
      <c r="A6" s="177" t="s">
        <v>263</v>
      </c>
      <c r="B6" s="178"/>
      <c r="C6" s="182" t="s">
        <v>270</v>
      </c>
      <c r="D6" s="182" t="s">
        <v>271</v>
      </c>
      <c r="E6" s="180">
        <v>55.0</v>
      </c>
      <c r="F6" s="161"/>
      <c r="G6" s="181">
        <f t="shared" si="1"/>
        <v>82.5</v>
      </c>
      <c r="H6" s="29">
        <f t="shared" si="2"/>
        <v>71.5</v>
      </c>
      <c r="I6" s="30">
        <f t="shared" si="3"/>
        <v>71.5</v>
      </c>
      <c r="J6" s="31">
        <f t="shared" si="4"/>
        <v>66</v>
      </c>
      <c r="K6" s="30">
        <f t="shared" si="5"/>
        <v>63.25</v>
      </c>
      <c r="L6" s="31">
        <f t="shared" si="6"/>
        <v>60.5</v>
      </c>
      <c r="M6" s="32"/>
      <c r="N6" s="33"/>
    </row>
    <row r="7" ht="15.75" customHeight="1">
      <c r="A7" s="177" t="s">
        <v>263</v>
      </c>
      <c r="B7" s="178"/>
      <c r="C7" s="182" t="s">
        <v>272</v>
      </c>
      <c r="D7" s="182" t="s">
        <v>273</v>
      </c>
      <c r="E7" s="180">
        <v>35.0</v>
      </c>
      <c r="F7" s="164"/>
      <c r="G7" s="181">
        <f t="shared" si="1"/>
        <v>52.5</v>
      </c>
      <c r="H7" s="29">
        <f t="shared" si="2"/>
        <v>45.5</v>
      </c>
      <c r="I7" s="30">
        <f t="shared" si="3"/>
        <v>45.5</v>
      </c>
      <c r="J7" s="31">
        <f t="shared" si="4"/>
        <v>42</v>
      </c>
      <c r="K7" s="30">
        <f t="shared" si="5"/>
        <v>40.25</v>
      </c>
      <c r="L7" s="31">
        <f t="shared" si="6"/>
        <v>38.5</v>
      </c>
      <c r="M7" s="32"/>
      <c r="N7" s="33"/>
    </row>
    <row r="8" ht="15.75" customHeight="1">
      <c r="A8" s="177" t="s">
        <v>263</v>
      </c>
      <c r="B8" s="178"/>
      <c r="C8" s="182" t="s">
        <v>274</v>
      </c>
      <c r="D8" s="182" t="s">
        <v>275</v>
      </c>
      <c r="E8" s="180">
        <v>55.0</v>
      </c>
      <c r="F8" s="164"/>
      <c r="G8" s="181">
        <f t="shared" si="1"/>
        <v>82.5</v>
      </c>
      <c r="H8" s="29">
        <f t="shared" si="2"/>
        <v>71.5</v>
      </c>
      <c r="I8" s="30">
        <f t="shared" si="3"/>
        <v>71.5</v>
      </c>
      <c r="J8" s="31">
        <f t="shared" si="4"/>
        <v>66</v>
      </c>
      <c r="K8" s="30">
        <f t="shared" si="5"/>
        <v>63.25</v>
      </c>
      <c r="L8" s="31">
        <f t="shared" si="6"/>
        <v>60.5</v>
      </c>
      <c r="M8" s="32"/>
      <c r="N8" s="33"/>
    </row>
    <row r="9" ht="15.75" customHeight="1">
      <c r="A9" s="177" t="s">
        <v>263</v>
      </c>
      <c r="B9" s="178"/>
      <c r="C9" s="182" t="s">
        <v>276</v>
      </c>
      <c r="D9" s="182" t="s">
        <v>277</v>
      </c>
      <c r="E9" s="180">
        <v>190.0</v>
      </c>
      <c r="F9" s="164"/>
      <c r="G9" s="181">
        <f t="shared" si="1"/>
        <v>285</v>
      </c>
      <c r="H9" s="29">
        <f t="shared" si="2"/>
        <v>247</v>
      </c>
      <c r="I9" s="30">
        <f t="shared" si="3"/>
        <v>247</v>
      </c>
      <c r="J9" s="31">
        <f t="shared" si="4"/>
        <v>228</v>
      </c>
      <c r="K9" s="30">
        <f t="shared" si="5"/>
        <v>218.5</v>
      </c>
      <c r="L9" s="31">
        <f t="shared" si="6"/>
        <v>209</v>
      </c>
      <c r="M9" s="32"/>
      <c r="N9" s="33"/>
    </row>
    <row r="10" ht="15.75" customHeight="1">
      <c r="A10" s="177" t="s">
        <v>263</v>
      </c>
      <c r="B10" s="178"/>
      <c r="C10" s="182" t="s">
        <v>278</v>
      </c>
      <c r="D10" s="182" t="s">
        <v>279</v>
      </c>
      <c r="E10" s="180">
        <v>90.0</v>
      </c>
      <c r="F10" s="161"/>
      <c r="G10" s="181">
        <f t="shared" si="1"/>
        <v>135</v>
      </c>
      <c r="H10" s="29">
        <f t="shared" si="2"/>
        <v>117</v>
      </c>
      <c r="I10" s="30">
        <f t="shared" si="3"/>
        <v>117</v>
      </c>
      <c r="J10" s="31">
        <f t="shared" si="4"/>
        <v>108</v>
      </c>
      <c r="K10" s="30">
        <f t="shared" si="5"/>
        <v>103.5</v>
      </c>
      <c r="L10" s="31">
        <f t="shared" si="6"/>
        <v>99</v>
      </c>
      <c r="M10" s="32"/>
      <c r="N10" s="33"/>
    </row>
    <row r="11" ht="15.75" customHeight="1">
      <c r="A11" s="177" t="s">
        <v>263</v>
      </c>
      <c r="B11" s="178"/>
      <c r="C11" s="182" t="s">
        <v>280</v>
      </c>
      <c r="D11" s="182" t="s">
        <v>281</v>
      </c>
      <c r="E11" s="180">
        <v>3.0</v>
      </c>
      <c r="F11" s="161"/>
      <c r="G11" s="181">
        <f t="shared" si="1"/>
        <v>4.5</v>
      </c>
      <c r="H11" s="29">
        <f t="shared" si="2"/>
        <v>3.9</v>
      </c>
      <c r="I11" s="30">
        <f t="shared" si="3"/>
        <v>3.9</v>
      </c>
      <c r="J11" s="31">
        <f t="shared" si="4"/>
        <v>3.6</v>
      </c>
      <c r="K11" s="30">
        <f t="shared" si="5"/>
        <v>3.45</v>
      </c>
      <c r="L11" s="31">
        <f t="shared" si="6"/>
        <v>3.3</v>
      </c>
      <c r="M11" s="32"/>
      <c r="N11" s="33"/>
    </row>
    <row r="12" ht="15.75" customHeight="1">
      <c r="A12" s="177" t="s">
        <v>263</v>
      </c>
      <c r="B12" s="178"/>
      <c r="C12" s="182" t="s">
        <v>282</v>
      </c>
      <c r="D12" s="182" t="s">
        <v>810</v>
      </c>
      <c r="E12" s="180">
        <v>4.0</v>
      </c>
      <c r="F12" s="161"/>
      <c r="G12" s="181">
        <f t="shared" si="1"/>
        <v>6</v>
      </c>
      <c r="H12" s="29">
        <f t="shared" si="2"/>
        <v>5.2</v>
      </c>
      <c r="I12" s="30">
        <f t="shared" si="3"/>
        <v>5.2</v>
      </c>
      <c r="J12" s="31">
        <f t="shared" si="4"/>
        <v>4.8</v>
      </c>
      <c r="K12" s="30">
        <f t="shared" si="5"/>
        <v>4.6</v>
      </c>
      <c r="L12" s="31">
        <f t="shared" si="6"/>
        <v>4.4</v>
      </c>
      <c r="M12" s="32"/>
      <c r="N12" s="33"/>
    </row>
    <row r="13" ht="15.75" customHeight="1">
      <c r="A13" s="177" t="s">
        <v>263</v>
      </c>
      <c r="B13" s="178"/>
      <c r="C13" s="182" t="s">
        <v>284</v>
      </c>
      <c r="D13" s="182" t="s">
        <v>285</v>
      </c>
      <c r="E13" s="180">
        <v>2.0</v>
      </c>
      <c r="F13" s="161"/>
      <c r="G13" s="181">
        <f t="shared" si="1"/>
        <v>3</v>
      </c>
      <c r="H13" s="29">
        <f t="shared" si="2"/>
        <v>2.6</v>
      </c>
      <c r="I13" s="30">
        <f t="shared" si="3"/>
        <v>2.6</v>
      </c>
      <c r="J13" s="31">
        <f t="shared" si="4"/>
        <v>2.4</v>
      </c>
      <c r="K13" s="30">
        <f t="shared" si="5"/>
        <v>2.3</v>
      </c>
      <c r="L13" s="31">
        <f t="shared" si="6"/>
        <v>2.2</v>
      </c>
      <c r="M13" s="32"/>
      <c r="N13" s="33"/>
    </row>
    <row r="14" ht="15.75" customHeight="1">
      <c r="A14" s="177" t="s">
        <v>263</v>
      </c>
      <c r="B14" s="178"/>
      <c r="C14" s="182" t="s">
        <v>286</v>
      </c>
      <c r="D14" s="182" t="s">
        <v>811</v>
      </c>
      <c r="E14" s="180">
        <v>2.0</v>
      </c>
      <c r="F14" s="161"/>
      <c r="G14" s="181">
        <f t="shared" si="1"/>
        <v>3</v>
      </c>
      <c r="H14" s="29">
        <f t="shared" si="2"/>
        <v>2.6</v>
      </c>
      <c r="I14" s="30">
        <f t="shared" si="3"/>
        <v>2.6</v>
      </c>
      <c r="J14" s="31">
        <f t="shared" si="4"/>
        <v>2.4</v>
      </c>
      <c r="K14" s="30">
        <f t="shared" si="5"/>
        <v>2.3</v>
      </c>
      <c r="L14" s="31">
        <f t="shared" si="6"/>
        <v>2.2</v>
      </c>
      <c r="M14" s="32"/>
      <c r="N14" s="33"/>
    </row>
    <row r="15" ht="17.25" customHeight="1">
      <c r="A15" s="177" t="s">
        <v>263</v>
      </c>
      <c r="B15" s="183"/>
      <c r="C15" s="182" t="s">
        <v>288</v>
      </c>
      <c r="D15" s="182" t="s">
        <v>289</v>
      </c>
      <c r="E15" s="180">
        <v>1.0</v>
      </c>
      <c r="F15" s="165"/>
      <c r="G15" s="181">
        <f t="shared" si="1"/>
        <v>1.5</v>
      </c>
      <c r="H15" s="29">
        <f t="shared" si="2"/>
        <v>1.3</v>
      </c>
      <c r="I15" s="30">
        <f t="shared" si="3"/>
        <v>1.3</v>
      </c>
      <c r="J15" s="31">
        <f t="shared" si="4"/>
        <v>1.2</v>
      </c>
      <c r="K15" s="30">
        <f t="shared" si="5"/>
        <v>1.15</v>
      </c>
      <c r="L15" s="31">
        <f t="shared" si="6"/>
        <v>1.1</v>
      </c>
      <c r="M15" s="32"/>
      <c r="N15" s="33"/>
    </row>
    <row r="16" ht="15.75" customHeight="1">
      <c r="A16" s="177" t="s">
        <v>290</v>
      </c>
      <c r="B16" s="183"/>
      <c r="C16" s="182" t="s">
        <v>291</v>
      </c>
      <c r="D16" s="182" t="s">
        <v>292</v>
      </c>
      <c r="E16" s="180">
        <v>1.0</v>
      </c>
      <c r="F16" s="165"/>
      <c r="G16" s="181">
        <f t="shared" si="1"/>
        <v>1.5</v>
      </c>
      <c r="H16" s="29">
        <f t="shared" si="2"/>
        <v>1.3</v>
      </c>
      <c r="I16" s="30">
        <f t="shared" si="3"/>
        <v>1.3</v>
      </c>
      <c r="J16" s="31">
        <f t="shared" si="4"/>
        <v>1.2</v>
      </c>
      <c r="K16" s="30">
        <f t="shared" si="5"/>
        <v>1.15</v>
      </c>
      <c r="L16" s="31">
        <f t="shared" si="6"/>
        <v>1.1</v>
      </c>
      <c r="M16" s="32"/>
      <c r="N16" s="33"/>
    </row>
    <row r="17" ht="15.75" customHeight="1">
      <c r="A17" s="177" t="s">
        <v>290</v>
      </c>
      <c r="B17" s="183"/>
      <c r="C17" s="182" t="s">
        <v>293</v>
      </c>
      <c r="D17" s="182" t="s">
        <v>294</v>
      </c>
      <c r="E17" s="180">
        <v>1.0</v>
      </c>
      <c r="F17" s="162"/>
      <c r="G17" s="181">
        <f t="shared" si="1"/>
        <v>1.5</v>
      </c>
      <c r="H17" s="29">
        <f t="shared" si="2"/>
        <v>1.3</v>
      </c>
      <c r="I17" s="30">
        <f t="shared" si="3"/>
        <v>1.3</v>
      </c>
      <c r="J17" s="31">
        <f t="shared" si="4"/>
        <v>1.2</v>
      </c>
      <c r="K17" s="30">
        <f t="shared" si="5"/>
        <v>1.15</v>
      </c>
      <c r="L17" s="31">
        <f t="shared" si="6"/>
        <v>1.1</v>
      </c>
      <c r="M17" s="32"/>
      <c r="N17" s="33"/>
    </row>
    <row r="18" ht="15.75" customHeight="1">
      <c r="A18" s="177" t="s">
        <v>290</v>
      </c>
      <c r="B18" s="178"/>
      <c r="C18" s="182" t="s">
        <v>295</v>
      </c>
      <c r="D18" s="182" t="s">
        <v>296</v>
      </c>
      <c r="E18" s="180">
        <v>1.0</v>
      </c>
      <c r="F18" s="162"/>
      <c r="G18" s="181">
        <f t="shared" si="1"/>
        <v>1.5</v>
      </c>
      <c r="H18" s="29">
        <f t="shared" si="2"/>
        <v>1.3</v>
      </c>
      <c r="I18" s="30">
        <f t="shared" si="3"/>
        <v>1.3</v>
      </c>
      <c r="J18" s="31">
        <f t="shared" si="4"/>
        <v>1.2</v>
      </c>
      <c r="K18" s="30">
        <f t="shared" si="5"/>
        <v>1.15</v>
      </c>
      <c r="L18" s="31">
        <f t="shared" si="6"/>
        <v>1.1</v>
      </c>
      <c r="M18" s="32"/>
      <c r="N18" s="33"/>
    </row>
    <row r="19" ht="15.75" customHeight="1">
      <c r="A19" s="177" t="s">
        <v>290</v>
      </c>
      <c r="B19" s="178"/>
      <c r="C19" s="182" t="s">
        <v>297</v>
      </c>
      <c r="D19" s="182" t="s">
        <v>298</v>
      </c>
      <c r="E19" s="180">
        <v>1.0</v>
      </c>
      <c r="F19" s="161"/>
      <c r="G19" s="181">
        <f t="shared" si="1"/>
        <v>1.5</v>
      </c>
      <c r="H19" s="29">
        <f t="shared" si="2"/>
        <v>1.3</v>
      </c>
      <c r="I19" s="30">
        <f t="shared" si="3"/>
        <v>1.3</v>
      </c>
      <c r="J19" s="31">
        <f t="shared" si="4"/>
        <v>1.2</v>
      </c>
      <c r="K19" s="30">
        <f t="shared" si="5"/>
        <v>1.15</v>
      </c>
      <c r="L19" s="31">
        <f t="shared" si="6"/>
        <v>1.1</v>
      </c>
      <c r="M19" s="32"/>
      <c r="N19" s="33"/>
    </row>
    <row r="20" ht="15.75" customHeight="1">
      <c r="A20" s="177" t="s">
        <v>290</v>
      </c>
      <c r="B20" s="178"/>
      <c r="C20" s="182" t="s">
        <v>299</v>
      </c>
      <c r="D20" s="182" t="s">
        <v>300</v>
      </c>
      <c r="E20" s="180">
        <v>300.0</v>
      </c>
      <c r="F20" s="161"/>
      <c r="G20" s="181">
        <f t="shared" si="1"/>
        <v>450</v>
      </c>
      <c r="H20" s="29">
        <f t="shared" si="2"/>
        <v>390</v>
      </c>
      <c r="I20" s="30">
        <f t="shared" si="3"/>
        <v>390</v>
      </c>
      <c r="J20" s="31">
        <f t="shared" si="4"/>
        <v>360</v>
      </c>
      <c r="K20" s="30">
        <f t="shared" si="5"/>
        <v>345</v>
      </c>
      <c r="L20" s="31">
        <f t="shared" si="6"/>
        <v>330</v>
      </c>
      <c r="M20" s="32"/>
      <c r="N20" s="33"/>
    </row>
    <row r="21" ht="15.75" customHeight="1">
      <c r="A21" s="177" t="s">
        <v>290</v>
      </c>
      <c r="B21" s="178"/>
      <c r="C21" s="182" t="s">
        <v>301</v>
      </c>
      <c r="D21" s="182" t="s">
        <v>302</v>
      </c>
      <c r="E21" s="180">
        <v>1.0</v>
      </c>
      <c r="F21" s="172"/>
      <c r="G21" s="181">
        <f t="shared" si="1"/>
        <v>1.5</v>
      </c>
      <c r="H21" s="29">
        <f t="shared" si="2"/>
        <v>1.3</v>
      </c>
      <c r="I21" s="30">
        <f t="shared" si="3"/>
        <v>1.3</v>
      </c>
      <c r="J21" s="31">
        <f t="shared" si="4"/>
        <v>1.2</v>
      </c>
      <c r="K21" s="30">
        <f t="shared" si="5"/>
        <v>1.15</v>
      </c>
      <c r="L21" s="31">
        <f t="shared" si="6"/>
        <v>1.1</v>
      </c>
      <c r="M21" s="32"/>
      <c r="N21" s="33"/>
    </row>
    <row r="22" ht="15.75" customHeight="1">
      <c r="A22" s="177" t="s">
        <v>290</v>
      </c>
      <c r="B22" s="178"/>
      <c r="C22" s="182" t="s">
        <v>303</v>
      </c>
      <c r="D22" s="182" t="s">
        <v>304</v>
      </c>
      <c r="E22" s="180">
        <v>1.0</v>
      </c>
      <c r="F22" s="172"/>
      <c r="G22" s="181">
        <f t="shared" si="1"/>
        <v>1.5</v>
      </c>
      <c r="H22" s="29">
        <f t="shared" si="2"/>
        <v>1.3</v>
      </c>
      <c r="I22" s="30">
        <f t="shared" si="3"/>
        <v>1.3</v>
      </c>
      <c r="J22" s="31">
        <f t="shared" si="4"/>
        <v>1.2</v>
      </c>
      <c r="K22" s="30">
        <f t="shared" si="5"/>
        <v>1.15</v>
      </c>
      <c r="L22" s="31">
        <f t="shared" si="6"/>
        <v>1.1</v>
      </c>
      <c r="M22" s="32"/>
      <c r="N22" s="33"/>
    </row>
    <row r="23" ht="14.25" customHeight="1">
      <c r="A23" s="177" t="s">
        <v>290</v>
      </c>
      <c r="B23" s="178"/>
      <c r="C23" s="182" t="s">
        <v>305</v>
      </c>
      <c r="D23" s="182" t="s">
        <v>306</v>
      </c>
      <c r="E23" s="180">
        <v>1.0</v>
      </c>
      <c r="F23" s="172"/>
      <c r="G23" s="181">
        <f t="shared" si="1"/>
        <v>1.5</v>
      </c>
      <c r="H23" s="29">
        <f t="shared" si="2"/>
        <v>1.3</v>
      </c>
      <c r="I23" s="30">
        <f t="shared" si="3"/>
        <v>1.3</v>
      </c>
      <c r="J23" s="31">
        <f t="shared" si="4"/>
        <v>1.2</v>
      </c>
      <c r="K23" s="30">
        <f t="shared" si="5"/>
        <v>1.15</v>
      </c>
      <c r="L23" s="31">
        <f t="shared" si="6"/>
        <v>1.1</v>
      </c>
      <c r="M23" s="32"/>
      <c r="N23" s="33"/>
    </row>
    <row r="24" ht="15.75" customHeight="1">
      <c r="A24" s="177" t="s">
        <v>290</v>
      </c>
      <c r="B24" s="178"/>
      <c r="C24" s="182" t="s">
        <v>307</v>
      </c>
      <c r="D24" s="182" t="s">
        <v>308</v>
      </c>
      <c r="E24" s="180">
        <v>25.0</v>
      </c>
      <c r="F24" s="172"/>
      <c r="G24" s="181">
        <f t="shared" si="1"/>
        <v>37.5</v>
      </c>
      <c r="H24" s="29">
        <f t="shared" si="2"/>
        <v>32.5</v>
      </c>
      <c r="I24" s="30">
        <f t="shared" si="3"/>
        <v>32.5</v>
      </c>
      <c r="J24" s="31">
        <f t="shared" si="4"/>
        <v>30</v>
      </c>
      <c r="K24" s="30">
        <f t="shared" si="5"/>
        <v>28.75</v>
      </c>
      <c r="L24" s="31">
        <f t="shared" si="6"/>
        <v>27.5</v>
      </c>
      <c r="M24" s="32"/>
      <c r="N24" s="33"/>
    </row>
    <row r="25" ht="15.75" customHeight="1">
      <c r="A25" s="177" t="s">
        <v>290</v>
      </c>
      <c r="B25" s="178"/>
      <c r="C25" s="182" t="s">
        <v>310</v>
      </c>
      <c r="D25" s="182" t="s">
        <v>311</v>
      </c>
      <c r="E25" s="180">
        <v>25.0</v>
      </c>
      <c r="F25" s="172"/>
      <c r="G25" s="181">
        <f t="shared" si="1"/>
        <v>37.5</v>
      </c>
      <c r="H25" s="29">
        <f t="shared" si="2"/>
        <v>32.5</v>
      </c>
      <c r="I25" s="30">
        <f t="shared" si="3"/>
        <v>32.5</v>
      </c>
      <c r="J25" s="31">
        <f t="shared" si="4"/>
        <v>30</v>
      </c>
      <c r="K25" s="30">
        <f t="shared" si="5"/>
        <v>28.75</v>
      </c>
      <c r="L25" s="31">
        <f t="shared" si="6"/>
        <v>27.5</v>
      </c>
      <c r="M25" s="32"/>
      <c r="N25" s="33"/>
    </row>
    <row r="26" ht="14.25" customHeight="1">
      <c r="A26" s="177" t="s">
        <v>290</v>
      </c>
      <c r="B26" s="178"/>
      <c r="C26" s="182" t="s">
        <v>312</v>
      </c>
      <c r="D26" s="182" t="s">
        <v>313</v>
      </c>
      <c r="E26" s="180">
        <v>35.0</v>
      </c>
      <c r="F26" s="184"/>
      <c r="G26" s="181">
        <f t="shared" si="1"/>
        <v>52.5</v>
      </c>
      <c r="H26" s="29">
        <f t="shared" si="2"/>
        <v>45.5</v>
      </c>
      <c r="I26" s="30">
        <f t="shared" si="3"/>
        <v>45.5</v>
      </c>
      <c r="J26" s="31">
        <f t="shared" si="4"/>
        <v>42</v>
      </c>
      <c r="K26" s="30">
        <f t="shared" si="5"/>
        <v>40.25</v>
      </c>
      <c r="L26" s="31">
        <f t="shared" si="6"/>
        <v>38.5</v>
      </c>
      <c r="M26" s="32"/>
      <c r="N26" s="33"/>
    </row>
    <row r="27" ht="15.75" customHeight="1">
      <c r="A27" s="177" t="s">
        <v>290</v>
      </c>
      <c r="B27" s="178"/>
      <c r="C27" s="182" t="s">
        <v>314</v>
      </c>
      <c r="D27" s="182" t="s">
        <v>315</v>
      </c>
      <c r="E27" s="180">
        <v>25.0</v>
      </c>
      <c r="F27" s="172"/>
      <c r="G27" s="181">
        <f t="shared" si="1"/>
        <v>37.5</v>
      </c>
      <c r="H27" s="29">
        <f t="shared" si="2"/>
        <v>32.5</v>
      </c>
      <c r="I27" s="30">
        <f t="shared" si="3"/>
        <v>32.5</v>
      </c>
      <c r="J27" s="31">
        <f t="shared" si="4"/>
        <v>30</v>
      </c>
      <c r="K27" s="30">
        <f t="shared" si="5"/>
        <v>28.75</v>
      </c>
      <c r="L27" s="31">
        <f t="shared" si="6"/>
        <v>27.5</v>
      </c>
      <c r="M27" s="32"/>
      <c r="N27" s="33"/>
    </row>
    <row r="28" ht="15.75" customHeight="1">
      <c r="A28" s="177" t="s">
        <v>290</v>
      </c>
      <c r="B28" s="178"/>
      <c r="C28" s="182" t="s">
        <v>316</v>
      </c>
      <c r="D28" s="182" t="s">
        <v>39</v>
      </c>
      <c r="E28" s="180">
        <v>520.0</v>
      </c>
      <c r="F28" s="172"/>
      <c r="G28" s="181">
        <f t="shared" si="1"/>
        <v>780</v>
      </c>
      <c r="H28" s="29">
        <f t="shared" si="2"/>
        <v>676</v>
      </c>
      <c r="I28" s="30">
        <f t="shared" si="3"/>
        <v>676</v>
      </c>
      <c r="J28" s="31">
        <f t="shared" si="4"/>
        <v>624</v>
      </c>
      <c r="K28" s="30">
        <f t="shared" si="5"/>
        <v>598</v>
      </c>
      <c r="L28" s="31">
        <f t="shared" si="6"/>
        <v>572</v>
      </c>
      <c r="M28" s="32"/>
      <c r="N28" s="33"/>
    </row>
    <row r="29" ht="15.75" customHeight="1">
      <c r="A29" s="177" t="s">
        <v>290</v>
      </c>
      <c r="B29" s="178"/>
      <c r="C29" s="182" t="s">
        <v>317</v>
      </c>
      <c r="D29" s="182" t="s">
        <v>40</v>
      </c>
      <c r="E29" s="180">
        <v>1.0</v>
      </c>
      <c r="F29" s="172"/>
      <c r="G29" s="181">
        <f t="shared" si="1"/>
        <v>1.5</v>
      </c>
      <c r="H29" s="29">
        <f t="shared" si="2"/>
        <v>1.3</v>
      </c>
      <c r="I29" s="30">
        <f t="shared" si="3"/>
        <v>1.3</v>
      </c>
      <c r="J29" s="31">
        <f t="shared" si="4"/>
        <v>1.2</v>
      </c>
      <c r="K29" s="30">
        <f t="shared" si="5"/>
        <v>1.15</v>
      </c>
      <c r="L29" s="31">
        <f t="shared" si="6"/>
        <v>1.1</v>
      </c>
      <c r="M29" s="32"/>
      <c r="N29" s="33"/>
    </row>
    <row r="30" ht="15.75" customHeight="1">
      <c r="A30" s="177" t="s">
        <v>290</v>
      </c>
      <c r="B30" s="178"/>
      <c r="C30" s="182" t="s">
        <v>318</v>
      </c>
      <c r="D30" s="182" t="s">
        <v>319</v>
      </c>
      <c r="E30" s="180">
        <v>1.0</v>
      </c>
      <c r="F30" s="172"/>
      <c r="G30" s="181">
        <f t="shared" si="1"/>
        <v>1.5</v>
      </c>
      <c r="H30" s="29">
        <f t="shared" si="2"/>
        <v>1.3</v>
      </c>
      <c r="I30" s="30">
        <f t="shared" si="3"/>
        <v>1.3</v>
      </c>
      <c r="J30" s="31">
        <f t="shared" si="4"/>
        <v>1.2</v>
      </c>
      <c r="K30" s="30">
        <f t="shared" si="5"/>
        <v>1.15</v>
      </c>
      <c r="L30" s="31">
        <f t="shared" si="6"/>
        <v>1.1</v>
      </c>
      <c r="M30" s="32"/>
      <c r="N30" s="33"/>
    </row>
    <row r="31" ht="15.75" customHeight="1">
      <c r="A31" s="177" t="s">
        <v>290</v>
      </c>
      <c r="B31" s="178"/>
      <c r="C31" s="182" t="s">
        <v>320</v>
      </c>
      <c r="D31" s="182" t="s">
        <v>321</v>
      </c>
      <c r="E31" s="180">
        <v>1.0</v>
      </c>
      <c r="F31" s="172"/>
      <c r="G31" s="181">
        <f t="shared" si="1"/>
        <v>1.5</v>
      </c>
      <c r="H31" s="29">
        <f t="shared" si="2"/>
        <v>1.3</v>
      </c>
      <c r="I31" s="30">
        <f t="shared" si="3"/>
        <v>1.3</v>
      </c>
      <c r="J31" s="31">
        <f t="shared" si="4"/>
        <v>1.2</v>
      </c>
      <c r="K31" s="30">
        <f t="shared" si="5"/>
        <v>1.15</v>
      </c>
      <c r="L31" s="31">
        <f t="shared" si="6"/>
        <v>1.1</v>
      </c>
      <c r="M31" s="32"/>
      <c r="N31" s="33"/>
    </row>
    <row r="32" ht="15.75" customHeight="1">
      <c r="A32" s="177" t="s">
        <v>290</v>
      </c>
      <c r="B32" s="178"/>
      <c r="C32" s="182" t="s">
        <v>322</v>
      </c>
      <c r="D32" s="182" t="s">
        <v>323</v>
      </c>
      <c r="E32" s="180">
        <v>1.0</v>
      </c>
      <c r="F32" s="172"/>
      <c r="G32" s="181">
        <f t="shared" si="1"/>
        <v>1.5</v>
      </c>
      <c r="H32" s="29">
        <f t="shared" si="2"/>
        <v>1.3</v>
      </c>
      <c r="I32" s="30">
        <f t="shared" si="3"/>
        <v>1.3</v>
      </c>
      <c r="J32" s="31">
        <f t="shared" si="4"/>
        <v>1.2</v>
      </c>
      <c r="K32" s="30">
        <f t="shared" si="5"/>
        <v>1.15</v>
      </c>
      <c r="L32" s="31">
        <f t="shared" si="6"/>
        <v>1.1</v>
      </c>
      <c r="M32" s="32"/>
      <c r="N32" s="33"/>
    </row>
    <row r="33" ht="15.75" customHeight="1">
      <c r="A33" s="177" t="s">
        <v>290</v>
      </c>
      <c r="B33" s="178"/>
      <c r="C33" s="182" t="s">
        <v>324</v>
      </c>
      <c r="D33" s="182" t="s">
        <v>325</v>
      </c>
      <c r="E33" s="180">
        <v>1.0</v>
      </c>
      <c r="F33" s="172"/>
      <c r="G33" s="181">
        <f t="shared" si="1"/>
        <v>1.5</v>
      </c>
      <c r="H33" s="29">
        <f t="shared" si="2"/>
        <v>1.3</v>
      </c>
      <c r="I33" s="30">
        <f t="shared" si="3"/>
        <v>1.3</v>
      </c>
      <c r="J33" s="31">
        <f t="shared" si="4"/>
        <v>1.2</v>
      </c>
      <c r="K33" s="30">
        <f t="shared" si="5"/>
        <v>1.15</v>
      </c>
      <c r="L33" s="31">
        <f t="shared" si="6"/>
        <v>1.1</v>
      </c>
      <c r="M33" s="32"/>
      <c r="N33" s="33"/>
    </row>
    <row r="34" ht="15.75" customHeight="1">
      <c r="A34" s="177" t="s">
        <v>290</v>
      </c>
      <c r="B34" s="178"/>
      <c r="C34" s="182" t="s">
        <v>326</v>
      </c>
      <c r="D34" s="182" t="s">
        <v>327</v>
      </c>
      <c r="E34" s="180">
        <v>1.0</v>
      </c>
      <c r="F34" s="172"/>
      <c r="G34" s="181">
        <f t="shared" si="1"/>
        <v>1.5</v>
      </c>
      <c r="H34" s="29">
        <f t="shared" si="2"/>
        <v>1.3</v>
      </c>
      <c r="I34" s="30">
        <f t="shared" si="3"/>
        <v>1.3</v>
      </c>
      <c r="J34" s="31">
        <f t="shared" si="4"/>
        <v>1.2</v>
      </c>
      <c r="K34" s="30">
        <f t="shared" si="5"/>
        <v>1.15</v>
      </c>
      <c r="L34" s="31">
        <f t="shared" si="6"/>
        <v>1.1</v>
      </c>
      <c r="M34" s="32"/>
      <c r="N34" s="33"/>
    </row>
    <row r="35" ht="15.75" customHeight="1">
      <c r="A35" s="177" t="s">
        <v>290</v>
      </c>
      <c r="B35" s="178"/>
      <c r="C35" s="182" t="s">
        <v>328</v>
      </c>
      <c r="D35" s="182" t="s">
        <v>329</v>
      </c>
      <c r="E35" s="180">
        <v>1.0</v>
      </c>
      <c r="F35" s="172"/>
      <c r="G35" s="181">
        <f t="shared" si="1"/>
        <v>1.5</v>
      </c>
      <c r="H35" s="29">
        <f t="shared" si="2"/>
        <v>1.3</v>
      </c>
      <c r="I35" s="30">
        <f t="shared" si="3"/>
        <v>1.3</v>
      </c>
      <c r="J35" s="31">
        <f t="shared" si="4"/>
        <v>1.2</v>
      </c>
      <c r="K35" s="30">
        <f t="shared" si="5"/>
        <v>1.15</v>
      </c>
      <c r="L35" s="31">
        <f t="shared" si="6"/>
        <v>1.1</v>
      </c>
      <c r="M35" s="32"/>
      <c r="N35" s="33"/>
      <c r="P35" s="82"/>
      <c r="Q35" s="82"/>
      <c r="R35" s="82"/>
      <c r="S35" s="82"/>
      <c r="T35" s="82"/>
      <c r="U35" s="82"/>
      <c r="V35" s="82"/>
      <c r="W35" s="82"/>
      <c r="X35" s="82"/>
      <c r="Y35" s="82"/>
    </row>
    <row r="36" ht="15.75" customHeight="1">
      <c r="A36" s="177" t="s">
        <v>290</v>
      </c>
      <c r="B36" s="178"/>
      <c r="C36" s="182" t="s">
        <v>330</v>
      </c>
      <c r="D36" s="182" t="s">
        <v>331</v>
      </c>
      <c r="E36" s="180">
        <v>1.0</v>
      </c>
      <c r="F36" s="172"/>
      <c r="G36" s="181">
        <f t="shared" si="1"/>
        <v>1.5</v>
      </c>
      <c r="H36" s="29">
        <f t="shared" si="2"/>
        <v>1.3</v>
      </c>
      <c r="I36" s="30">
        <f t="shared" si="3"/>
        <v>1.3</v>
      </c>
      <c r="J36" s="31">
        <f t="shared" si="4"/>
        <v>1.2</v>
      </c>
      <c r="K36" s="30">
        <f t="shared" si="5"/>
        <v>1.15</v>
      </c>
      <c r="L36" s="31">
        <f t="shared" si="6"/>
        <v>1.1</v>
      </c>
      <c r="M36" s="32"/>
      <c r="N36" s="33"/>
    </row>
    <row r="37" ht="15.75" customHeight="1">
      <c r="A37" s="177" t="s">
        <v>290</v>
      </c>
      <c r="B37" s="178"/>
      <c r="C37" s="182" t="s">
        <v>332</v>
      </c>
      <c r="D37" s="182" t="s">
        <v>333</v>
      </c>
      <c r="E37" s="180">
        <v>1.0</v>
      </c>
      <c r="F37" s="172"/>
      <c r="G37" s="181">
        <f t="shared" si="1"/>
        <v>1.5</v>
      </c>
      <c r="H37" s="29">
        <f t="shared" si="2"/>
        <v>1.3</v>
      </c>
      <c r="I37" s="30">
        <f t="shared" si="3"/>
        <v>1.3</v>
      </c>
      <c r="J37" s="31">
        <f t="shared" si="4"/>
        <v>1.2</v>
      </c>
      <c r="K37" s="30">
        <f t="shared" si="5"/>
        <v>1.15</v>
      </c>
      <c r="L37" s="31">
        <f t="shared" si="6"/>
        <v>1.1</v>
      </c>
      <c r="M37" s="32"/>
      <c r="N37" s="33"/>
      <c r="P37" s="82"/>
      <c r="Q37" s="82"/>
      <c r="R37" s="82"/>
      <c r="S37" s="82"/>
      <c r="T37" s="82"/>
      <c r="U37" s="82"/>
      <c r="V37" s="82"/>
      <c r="W37" s="82"/>
      <c r="X37" s="82"/>
      <c r="Y37" s="82"/>
    </row>
    <row r="38" ht="15.75" customHeight="1">
      <c r="A38" s="177" t="s">
        <v>263</v>
      </c>
      <c r="B38" s="178"/>
      <c r="C38" s="182" t="s">
        <v>334</v>
      </c>
      <c r="D38" s="182" t="s">
        <v>335</v>
      </c>
      <c r="E38" s="180">
        <v>1.0</v>
      </c>
      <c r="F38" s="172"/>
      <c r="G38" s="181">
        <f t="shared" si="1"/>
        <v>1.5</v>
      </c>
      <c r="H38" s="29">
        <f t="shared" si="2"/>
        <v>1.3</v>
      </c>
      <c r="I38" s="30">
        <f t="shared" si="3"/>
        <v>1.3</v>
      </c>
      <c r="J38" s="31">
        <f t="shared" si="4"/>
        <v>1.2</v>
      </c>
      <c r="K38" s="30">
        <f t="shared" si="5"/>
        <v>1.15</v>
      </c>
      <c r="L38" s="31">
        <f t="shared" si="6"/>
        <v>1.1</v>
      </c>
      <c r="M38" s="32"/>
      <c r="N38" s="33"/>
    </row>
    <row r="39" ht="15.75" customHeight="1">
      <c r="A39" s="177" t="s">
        <v>263</v>
      </c>
      <c r="B39" s="178"/>
      <c r="C39" s="182" t="s">
        <v>336</v>
      </c>
      <c r="D39" s="182" t="s">
        <v>302</v>
      </c>
      <c r="E39" s="180">
        <v>1.0</v>
      </c>
      <c r="F39" s="172"/>
      <c r="G39" s="181">
        <f t="shared" si="1"/>
        <v>1.5</v>
      </c>
      <c r="H39" s="29">
        <f t="shared" si="2"/>
        <v>1.3</v>
      </c>
      <c r="I39" s="30">
        <f t="shared" si="3"/>
        <v>1.3</v>
      </c>
      <c r="J39" s="31">
        <f t="shared" si="4"/>
        <v>1.2</v>
      </c>
      <c r="K39" s="30">
        <f t="shared" si="5"/>
        <v>1.15</v>
      </c>
      <c r="L39" s="31">
        <f t="shared" si="6"/>
        <v>1.1</v>
      </c>
      <c r="M39" s="32"/>
      <c r="N39" s="33"/>
    </row>
    <row r="40" ht="15.75" customHeight="1">
      <c r="A40" s="177" t="s">
        <v>263</v>
      </c>
      <c r="B40" s="178"/>
      <c r="C40" s="182" t="s">
        <v>337</v>
      </c>
      <c r="D40" s="182" t="s">
        <v>304</v>
      </c>
      <c r="E40" s="180">
        <v>1.0</v>
      </c>
      <c r="F40" s="172"/>
      <c r="G40" s="181">
        <f t="shared" si="1"/>
        <v>1.5</v>
      </c>
      <c r="H40" s="29">
        <f t="shared" si="2"/>
        <v>1.3</v>
      </c>
      <c r="I40" s="30">
        <f t="shared" si="3"/>
        <v>1.3</v>
      </c>
      <c r="J40" s="31">
        <f t="shared" si="4"/>
        <v>1.2</v>
      </c>
      <c r="K40" s="30">
        <f t="shared" si="5"/>
        <v>1.15</v>
      </c>
      <c r="L40" s="31">
        <f t="shared" si="6"/>
        <v>1.1</v>
      </c>
      <c r="M40" s="32"/>
      <c r="N40" s="33"/>
    </row>
    <row r="41" ht="15.75" customHeight="1">
      <c r="A41" s="177" t="s">
        <v>263</v>
      </c>
      <c r="B41" s="178"/>
      <c r="C41" s="182" t="s">
        <v>338</v>
      </c>
      <c r="D41" s="182" t="s">
        <v>306</v>
      </c>
      <c r="E41" s="180">
        <v>1.0</v>
      </c>
      <c r="F41" s="172"/>
      <c r="G41" s="181">
        <f t="shared" si="1"/>
        <v>1.5</v>
      </c>
      <c r="H41" s="29">
        <f t="shared" si="2"/>
        <v>1.3</v>
      </c>
      <c r="I41" s="30">
        <f t="shared" si="3"/>
        <v>1.3</v>
      </c>
      <c r="J41" s="31">
        <f t="shared" si="4"/>
        <v>1.2</v>
      </c>
      <c r="K41" s="30">
        <f t="shared" si="5"/>
        <v>1.15</v>
      </c>
      <c r="L41" s="31">
        <f t="shared" si="6"/>
        <v>1.1</v>
      </c>
      <c r="M41" s="32"/>
      <c r="N41" s="33"/>
    </row>
    <row r="42" ht="15.75" customHeight="1">
      <c r="A42" s="177" t="s">
        <v>263</v>
      </c>
      <c r="B42" s="178"/>
      <c r="C42" s="182" t="s">
        <v>339</v>
      </c>
      <c r="D42" s="182" t="s">
        <v>340</v>
      </c>
      <c r="E42" s="180">
        <v>1.0</v>
      </c>
      <c r="F42" s="185"/>
      <c r="G42" s="181">
        <f t="shared" si="1"/>
        <v>1.5</v>
      </c>
      <c r="H42" s="29">
        <f t="shared" si="2"/>
        <v>1.3</v>
      </c>
      <c r="I42" s="30">
        <f t="shared" si="3"/>
        <v>1.3</v>
      </c>
      <c r="J42" s="31">
        <f t="shared" si="4"/>
        <v>1.2</v>
      </c>
      <c r="K42" s="30">
        <f t="shared" si="5"/>
        <v>1.15</v>
      </c>
      <c r="L42" s="31">
        <f t="shared" si="6"/>
        <v>1.1</v>
      </c>
      <c r="M42" s="32"/>
      <c r="N42" s="33"/>
    </row>
    <row r="43" ht="15.75" customHeight="1">
      <c r="A43" s="21"/>
      <c r="B43" s="70"/>
      <c r="C43" s="186" t="s">
        <v>341</v>
      </c>
      <c r="D43" s="186" t="s">
        <v>342</v>
      </c>
      <c r="E43" s="187">
        <v>1.0</v>
      </c>
      <c r="F43" s="185"/>
      <c r="G43" s="181">
        <f t="shared" si="1"/>
        <v>1.5</v>
      </c>
      <c r="H43" s="29">
        <f t="shared" si="2"/>
        <v>1.3</v>
      </c>
      <c r="I43" s="30">
        <f t="shared" si="3"/>
        <v>1.3</v>
      </c>
      <c r="J43" s="31">
        <f t="shared" si="4"/>
        <v>1.2</v>
      </c>
      <c r="K43" s="30">
        <f t="shared" si="5"/>
        <v>1.15</v>
      </c>
      <c r="L43" s="31">
        <f t="shared" si="6"/>
        <v>1.1</v>
      </c>
      <c r="M43" s="32"/>
      <c r="N43" s="33"/>
    </row>
    <row r="44" ht="15.75" customHeight="1">
      <c r="A44" s="21"/>
      <c r="B44" s="70"/>
      <c r="C44" s="186" t="s">
        <v>343</v>
      </c>
      <c r="D44" s="186" t="s">
        <v>344</v>
      </c>
      <c r="E44" s="187">
        <v>30.0</v>
      </c>
      <c r="F44" s="185"/>
      <c r="G44" s="181">
        <f t="shared" si="1"/>
        <v>45</v>
      </c>
      <c r="H44" s="29">
        <f t="shared" si="2"/>
        <v>39</v>
      </c>
      <c r="I44" s="30">
        <f t="shared" si="3"/>
        <v>39</v>
      </c>
      <c r="J44" s="31">
        <f t="shared" si="4"/>
        <v>36</v>
      </c>
      <c r="K44" s="30">
        <f t="shared" si="5"/>
        <v>34.5</v>
      </c>
      <c r="L44" s="31">
        <f t="shared" si="6"/>
        <v>33</v>
      </c>
      <c r="M44" s="32"/>
      <c r="N44" s="33"/>
    </row>
    <row r="45" ht="15.75" customHeight="1">
      <c r="A45" s="21"/>
      <c r="B45" s="70"/>
      <c r="C45" s="186" t="s">
        <v>345</v>
      </c>
      <c r="D45" s="186" t="s">
        <v>346</v>
      </c>
      <c r="E45" s="187">
        <v>1.0</v>
      </c>
      <c r="F45" s="185"/>
      <c r="G45" s="181">
        <f t="shared" si="1"/>
        <v>1.5</v>
      </c>
      <c r="H45" s="29">
        <f t="shared" si="2"/>
        <v>1.3</v>
      </c>
      <c r="I45" s="30">
        <f t="shared" si="3"/>
        <v>1.3</v>
      </c>
      <c r="J45" s="31">
        <f t="shared" si="4"/>
        <v>1.2</v>
      </c>
      <c r="K45" s="30">
        <f t="shared" si="5"/>
        <v>1.15</v>
      </c>
      <c r="L45" s="31">
        <f t="shared" si="6"/>
        <v>1.1</v>
      </c>
      <c r="M45" s="32"/>
      <c r="N45" s="33"/>
    </row>
    <row r="46" ht="15.75" customHeight="1">
      <c r="A46" s="21"/>
      <c r="B46" s="70"/>
      <c r="C46" s="186" t="s">
        <v>347</v>
      </c>
      <c r="D46" s="186" t="s">
        <v>812</v>
      </c>
      <c r="E46" s="187">
        <v>1.0</v>
      </c>
      <c r="F46" s="185"/>
      <c r="G46" s="181">
        <f t="shared" si="1"/>
        <v>1.5</v>
      </c>
      <c r="H46" s="29">
        <f t="shared" si="2"/>
        <v>1.3</v>
      </c>
      <c r="I46" s="30">
        <f t="shared" si="3"/>
        <v>1.3</v>
      </c>
      <c r="J46" s="31">
        <f t="shared" si="4"/>
        <v>1.2</v>
      </c>
      <c r="K46" s="30">
        <f t="shared" si="5"/>
        <v>1.15</v>
      </c>
      <c r="L46" s="31">
        <f t="shared" si="6"/>
        <v>1.1</v>
      </c>
      <c r="M46" s="32"/>
      <c r="N46" s="33"/>
    </row>
    <row r="47" ht="15.75" customHeight="1">
      <c r="A47" s="21"/>
      <c r="B47" s="70"/>
      <c r="C47" s="186" t="s">
        <v>349</v>
      </c>
      <c r="D47" s="186" t="s">
        <v>350</v>
      </c>
      <c r="E47" s="187">
        <v>1.0</v>
      </c>
      <c r="F47" s="185"/>
      <c r="G47" s="181">
        <f t="shared" si="1"/>
        <v>1.5</v>
      </c>
      <c r="H47" s="29">
        <f t="shared" si="2"/>
        <v>1.3</v>
      </c>
      <c r="I47" s="30">
        <f t="shared" si="3"/>
        <v>1.3</v>
      </c>
      <c r="J47" s="31">
        <f t="shared" si="4"/>
        <v>1.2</v>
      </c>
      <c r="K47" s="30">
        <f t="shared" si="5"/>
        <v>1.15</v>
      </c>
      <c r="L47" s="31">
        <f t="shared" si="6"/>
        <v>1.1</v>
      </c>
      <c r="M47" s="32"/>
      <c r="N47" s="33"/>
    </row>
    <row r="48" ht="15.75" customHeight="1">
      <c r="A48" s="21"/>
      <c r="B48" s="70"/>
      <c r="C48" s="186" t="s">
        <v>351</v>
      </c>
      <c r="D48" s="186" t="s">
        <v>813</v>
      </c>
      <c r="E48" s="187">
        <v>1.0</v>
      </c>
      <c r="F48" s="185"/>
      <c r="G48" s="181">
        <f t="shared" si="1"/>
        <v>1.5</v>
      </c>
      <c r="H48" s="29">
        <f t="shared" si="2"/>
        <v>1.3</v>
      </c>
      <c r="I48" s="30">
        <f t="shared" si="3"/>
        <v>1.3</v>
      </c>
      <c r="J48" s="31">
        <f t="shared" si="4"/>
        <v>1.2</v>
      </c>
      <c r="K48" s="30">
        <f t="shared" si="5"/>
        <v>1.15</v>
      </c>
      <c r="L48" s="31">
        <f t="shared" si="6"/>
        <v>1.1</v>
      </c>
      <c r="M48" s="32"/>
      <c r="N48" s="33"/>
    </row>
    <row r="49" ht="15.75" customHeight="1">
      <c r="A49" s="21"/>
      <c r="B49" s="70"/>
      <c r="C49" s="186" t="s">
        <v>353</v>
      </c>
      <c r="D49" s="186" t="s">
        <v>354</v>
      </c>
      <c r="E49" s="187">
        <v>1.0</v>
      </c>
      <c r="F49" s="185"/>
      <c r="G49" s="181">
        <f t="shared" si="1"/>
        <v>1.5</v>
      </c>
      <c r="H49" s="29">
        <f t="shared" si="2"/>
        <v>1.3</v>
      </c>
      <c r="I49" s="30">
        <f t="shared" si="3"/>
        <v>1.3</v>
      </c>
      <c r="J49" s="31">
        <f t="shared" si="4"/>
        <v>1.2</v>
      </c>
      <c r="K49" s="30">
        <f t="shared" si="5"/>
        <v>1.15</v>
      </c>
      <c r="L49" s="31">
        <f t="shared" si="6"/>
        <v>1.1</v>
      </c>
      <c r="M49" s="32"/>
      <c r="N49" s="33"/>
    </row>
    <row r="50" ht="15.75" customHeight="1">
      <c r="A50" s="21"/>
      <c r="B50" s="70"/>
      <c r="C50" s="186" t="s">
        <v>355</v>
      </c>
      <c r="D50" s="186" t="s">
        <v>356</v>
      </c>
      <c r="E50" s="187">
        <v>1.0</v>
      </c>
      <c r="F50" s="185"/>
      <c r="G50" s="181">
        <f t="shared" si="1"/>
        <v>1.5</v>
      </c>
      <c r="H50" s="29">
        <f t="shared" si="2"/>
        <v>1.3</v>
      </c>
      <c r="I50" s="30">
        <f t="shared" si="3"/>
        <v>1.3</v>
      </c>
      <c r="J50" s="31">
        <f t="shared" si="4"/>
        <v>1.2</v>
      </c>
      <c r="K50" s="30">
        <f t="shared" si="5"/>
        <v>1.15</v>
      </c>
      <c r="L50" s="31">
        <f t="shared" si="6"/>
        <v>1.1</v>
      </c>
      <c r="M50" s="32"/>
      <c r="N50" s="33"/>
    </row>
    <row r="51" ht="15.75" customHeight="1">
      <c r="A51" s="21"/>
      <c r="B51" s="70"/>
      <c r="C51" s="186" t="s">
        <v>357</v>
      </c>
      <c r="D51" s="186" t="s">
        <v>358</v>
      </c>
      <c r="E51" s="187">
        <v>1.0</v>
      </c>
      <c r="F51" s="185"/>
      <c r="G51" s="181">
        <f t="shared" si="1"/>
        <v>1.5</v>
      </c>
      <c r="H51" s="29">
        <f t="shared" si="2"/>
        <v>1.3</v>
      </c>
      <c r="I51" s="30">
        <f t="shared" si="3"/>
        <v>1.3</v>
      </c>
      <c r="J51" s="31">
        <f t="shared" si="4"/>
        <v>1.2</v>
      </c>
      <c r="K51" s="30">
        <f t="shared" si="5"/>
        <v>1.15</v>
      </c>
      <c r="L51" s="31">
        <f t="shared" si="6"/>
        <v>1.1</v>
      </c>
      <c r="M51" s="32"/>
      <c r="N51" s="33"/>
    </row>
    <row r="52" ht="15.75" customHeight="1">
      <c r="A52" s="21"/>
      <c r="B52" s="70"/>
      <c r="C52" s="186" t="s">
        <v>359</v>
      </c>
      <c r="D52" s="186" t="s">
        <v>360</v>
      </c>
      <c r="E52" s="187">
        <v>1.0</v>
      </c>
      <c r="F52" s="185"/>
      <c r="G52" s="181">
        <f t="shared" si="1"/>
        <v>1.5</v>
      </c>
      <c r="H52" s="29">
        <f t="shared" si="2"/>
        <v>1.3</v>
      </c>
      <c r="I52" s="30">
        <f t="shared" si="3"/>
        <v>1.3</v>
      </c>
      <c r="J52" s="31">
        <f t="shared" si="4"/>
        <v>1.2</v>
      </c>
      <c r="K52" s="30">
        <f t="shared" si="5"/>
        <v>1.15</v>
      </c>
      <c r="L52" s="31">
        <f t="shared" si="6"/>
        <v>1.1</v>
      </c>
      <c r="M52" s="32"/>
      <c r="N52" s="86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</row>
    <row r="53" ht="15.75" customHeight="1">
      <c r="A53" s="21"/>
      <c r="B53" s="70"/>
      <c r="C53" s="186" t="s">
        <v>361</v>
      </c>
      <c r="D53" s="186" t="s">
        <v>362</v>
      </c>
      <c r="E53" s="187">
        <v>1.0</v>
      </c>
      <c r="F53" s="185"/>
      <c r="G53" s="181">
        <f t="shared" si="1"/>
        <v>1.5</v>
      </c>
      <c r="H53" s="29">
        <f t="shared" si="2"/>
        <v>1.3</v>
      </c>
      <c r="I53" s="30">
        <f t="shared" si="3"/>
        <v>1.3</v>
      </c>
      <c r="J53" s="31">
        <f t="shared" si="4"/>
        <v>1.2</v>
      </c>
      <c r="K53" s="30">
        <f t="shared" si="5"/>
        <v>1.15</v>
      </c>
      <c r="L53" s="31">
        <f t="shared" si="6"/>
        <v>1.1</v>
      </c>
      <c r="M53" s="32"/>
      <c r="N53" s="86"/>
    </row>
    <row r="54" ht="15.75" customHeight="1">
      <c r="A54" s="21"/>
      <c r="B54" s="70"/>
      <c r="C54" s="186" t="s">
        <v>363</v>
      </c>
      <c r="D54" s="186" t="s">
        <v>364</v>
      </c>
      <c r="E54" s="187">
        <v>100.0</v>
      </c>
      <c r="F54" s="185"/>
      <c r="G54" s="181">
        <f t="shared" si="1"/>
        <v>150</v>
      </c>
      <c r="H54" s="29">
        <f t="shared" si="2"/>
        <v>130</v>
      </c>
      <c r="I54" s="30">
        <f t="shared" si="3"/>
        <v>130</v>
      </c>
      <c r="J54" s="31">
        <f t="shared" si="4"/>
        <v>120</v>
      </c>
      <c r="K54" s="30">
        <f t="shared" si="5"/>
        <v>115</v>
      </c>
      <c r="L54" s="31">
        <f t="shared" si="6"/>
        <v>110</v>
      </c>
      <c r="M54" s="32"/>
      <c r="N54" s="86"/>
    </row>
    <row r="55" ht="15.75" customHeight="1">
      <c r="A55" s="21"/>
      <c r="B55" s="70"/>
      <c r="C55" s="186" t="s">
        <v>365</v>
      </c>
      <c r="D55" s="186" t="s">
        <v>366</v>
      </c>
      <c r="E55" s="187">
        <v>1.0</v>
      </c>
      <c r="F55" s="185"/>
      <c r="G55" s="181">
        <f t="shared" si="1"/>
        <v>1.5</v>
      </c>
      <c r="H55" s="29">
        <f t="shared" si="2"/>
        <v>1.3</v>
      </c>
      <c r="I55" s="30">
        <f t="shared" si="3"/>
        <v>1.3</v>
      </c>
      <c r="J55" s="31">
        <f t="shared" si="4"/>
        <v>1.2</v>
      </c>
      <c r="K55" s="30">
        <f t="shared" si="5"/>
        <v>1.15</v>
      </c>
      <c r="L55" s="31">
        <f t="shared" si="6"/>
        <v>1.1</v>
      </c>
      <c r="M55" s="32"/>
      <c r="N55" s="33"/>
    </row>
    <row r="56" ht="15.75" customHeight="1">
      <c r="A56" s="21"/>
      <c r="B56" s="70"/>
      <c r="C56" s="186" t="s">
        <v>367</v>
      </c>
      <c r="D56" s="186" t="s">
        <v>368</v>
      </c>
      <c r="E56" s="187">
        <v>1.0</v>
      </c>
      <c r="F56" s="185"/>
      <c r="G56" s="181">
        <f t="shared" si="1"/>
        <v>1.5</v>
      </c>
      <c r="H56" s="29">
        <f t="shared" si="2"/>
        <v>1.3</v>
      </c>
      <c r="I56" s="30">
        <f t="shared" si="3"/>
        <v>1.3</v>
      </c>
      <c r="J56" s="31">
        <f t="shared" si="4"/>
        <v>1.2</v>
      </c>
      <c r="K56" s="30">
        <f t="shared" si="5"/>
        <v>1.15</v>
      </c>
      <c r="L56" s="31">
        <f t="shared" si="6"/>
        <v>1.1</v>
      </c>
      <c r="M56" s="32"/>
      <c r="N56" s="86"/>
    </row>
    <row r="57" ht="15.75" customHeight="1">
      <c r="A57" s="21"/>
      <c r="B57" s="70"/>
      <c r="C57" s="186" t="s">
        <v>369</v>
      </c>
      <c r="D57" s="186" t="s">
        <v>370</v>
      </c>
      <c r="E57" s="187">
        <v>1.0</v>
      </c>
      <c r="F57" s="185"/>
      <c r="G57" s="181">
        <f t="shared" si="1"/>
        <v>1.5</v>
      </c>
      <c r="H57" s="29">
        <f t="shared" si="2"/>
        <v>1.3</v>
      </c>
      <c r="I57" s="30">
        <f t="shared" si="3"/>
        <v>1.3</v>
      </c>
      <c r="J57" s="31">
        <f t="shared" si="4"/>
        <v>1.2</v>
      </c>
      <c r="K57" s="30">
        <f t="shared" si="5"/>
        <v>1.15</v>
      </c>
      <c r="L57" s="31">
        <f t="shared" si="6"/>
        <v>1.1</v>
      </c>
      <c r="M57" s="32"/>
      <c r="N57" s="33"/>
    </row>
    <row r="58" ht="15.75" customHeight="1">
      <c r="A58" s="21"/>
      <c r="B58" s="70"/>
      <c r="C58" s="186" t="s">
        <v>371</v>
      </c>
      <c r="D58" s="186" t="s">
        <v>372</v>
      </c>
      <c r="E58" s="187">
        <v>1.0</v>
      </c>
      <c r="F58" s="185"/>
      <c r="G58" s="181">
        <f t="shared" si="1"/>
        <v>1.5</v>
      </c>
      <c r="H58" s="29">
        <f t="shared" si="2"/>
        <v>1.3</v>
      </c>
      <c r="I58" s="30">
        <f t="shared" si="3"/>
        <v>1.3</v>
      </c>
      <c r="J58" s="31">
        <f t="shared" si="4"/>
        <v>1.2</v>
      </c>
      <c r="K58" s="30">
        <f t="shared" si="5"/>
        <v>1.15</v>
      </c>
      <c r="L58" s="31">
        <f t="shared" si="6"/>
        <v>1.1</v>
      </c>
      <c r="M58" s="32"/>
      <c r="N58" s="86"/>
    </row>
    <row r="59" ht="15.75" customHeight="1">
      <c r="A59" s="21"/>
      <c r="B59" s="70"/>
      <c r="C59" s="186" t="s">
        <v>373</v>
      </c>
      <c r="D59" s="186" t="s">
        <v>374</v>
      </c>
      <c r="E59" s="187">
        <v>1.0</v>
      </c>
      <c r="F59" s="185"/>
      <c r="G59" s="181">
        <f t="shared" si="1"/>
        <v>1.5</v>
      </c>
      <c r="H59" s="29">
        <f t="shared" si="2"/>
        <v>1.3</v>
      </c>
      <c r="I59" s="30">
        <f t="shared" si="3"/>
        <v>1.3</v>
      </c>
      <c r="J59" s="31">
        <f t="shared" si="4"/>
        <v>1.2</v>
      </c>
      <c r="K59" s="30">
        <f t="shared" si="5"/>
        <v>1.15</v>
      </c>
      <c r="L59" s="31">
        <f t="shared" si="6"/>
        <v>1.1</v>
      </c>
      <c r="M59" s="32"/>
      <c r="N59" s="86"/>
    </row>
    <row r="60" ht="15.75" customHeight="1">
      <c r="A60" s="21"/>
      <c r="B60" s="70"/>
      <c r="C60" s="186" t="s">
        <v>375</v>
      </c>
      <c r="D60" s="186" t="s">
        <v>376</v>
      </c>
      <c r="E60" s="187">
        <v>1.0</v>
      </c>
      <c r="F60" s="185"/>
      <c r="G60" s="181">
        <f t="shared" si="1"/>
        <v>1.5</v>
      </c>
      <c r="H60" s="29">
        <f t="shared" si="2"/>
        <v>1.3</v>
      </c>
      <c r="I60" s="30">
        <f t="shared" si="3"/>
        <v>1.3</v>
      </c>
      <c r="J60" s="31">
        <f t="shared" si="4"/>
        <v>1.2</v>
      </c>
      <c r="K60" s="30">
        <f t="shared" si="5"/>
        <v>1.15</v>
      </c>
      <c r="L60" s="31">
        <f t="shared" si="6"/>
        <v>1.1</v>
      </c>
      <c r="M60" s="32"/>
      <c r="N60" s="86"/>
    </row>
    <row r="61" ht="15.75" customHeight="1">
      <c r="A61" s="21"/>
      <c r="B61" s="70"/>
      <c r="C61" s="186" t="s">
        <v>377</v>
      </c>
      <c r="D61" s="186" t="s">
        <v>378</v>
      </c>
      <c r="E61" s="187">
        <v>1.0</v>
      </c>
      <c r="F61" s="185"/>
      <c r="G61" s="181">
        <f t="shared" si="1"/>
        <v>1.5</v>
      </c>
      <c r="H61" s="29">
        <f t="shared" si="2"/>
        <v>1.3</v>
      </c>
      <c r="I61" s="30">
        <f t="shared" si="3"/>
        <v>1.3</v>
      </c>
      <c r="J61" s="31">
        <f t="shared" si="4"/>
        <v>1.2</v>
      </c>
      <c r="K61" s="30">
        <f t="shared" si="5"/>
        <v>1.15</v>
      </c>
      <c r="L61" s="31">
        <f t="shared" si="6"/>
        <v>1.1</v>
      </c>
      <c r="M61" s="32"/>
      <c r="N61" s="33"/>
    </row>
    <row r="62" ht="15.75" customHeight="1">
      <c r="A62" s="21"/>
      <c r="B62" s="70"/>
      <c r="C62" s="186" t="s">
        <v>379</v>
      </c>
      <c r="D62" s="186" t="s">
        <v>380</v>
      </c>
      <c r="E62" s="187">
        <v>1.0</v>
      </c>
      <c r="F62" s="185"/>
      <c r="G62" s="181">
        <f t="shared" si="1"/>
        <v>1.5</v>
      </c>
      <c r="H62" s="29">
        <f t="shared" si="2"/>
        <v>1.3</v>
      </c>
      <c r="I62" s="30">
        <f t="shared" si="3"/>
        <v>1.3</v>
      </c>
      <c r="J62" s="31">
        <f t="shared" si="4"/>
        <v>1.2</v>
      </c>
      <c r="K62" s="30">
        <f t="shared" si="5"/>
        <v>1.15</v>
      </c>
      <c r="L62" s="31">
        <f t="shared" si="6"/>
        <v>1.1</v>
      </c>
      <c r="M62" s="32"/>
      <c r="N62" s="33"/>
    </row>
    <row r="63" ht="15.75" customHeight="1">
      <c r="A63" s="21"/>
      <c r="B63" s="70"/>
      <c r="C63" s="186" t="s">
        <v>381</v>
      </c>
      <c r="D63" s="186" t="s">
        <v>382</v>
      </c>
      <c r="E63" s="187">
        <v>1.0</v>
      </c>
      <c r="F63" s="185"/>
      <c r="G63" s="181">
        <f t="shared" si="1"/>
        <v>1.5</v>
      </c>
      <c r="H63" s="29">
        <f t="shared" si="2"/>
        <v>1.3</v>
      </c>
      <c r="I63" s="30">
        <f t="shared" si="3"/>
        <v>1.3</v>
      </c>
      <c r="J63" s="31">
        <f t="shared" si="4"/>
        <v>1.2</v>
      </c>
      <c r="K63" s="30">
        <f t="shared" si="5"/>
        <v>1.15</v>
      </c>
      <c r="L63" s="31">
        <f t="shared" si="6"/>
        <v>1.1</v>
      </c>
      <c r="M63" s="32"/>
      <c r="N63" s="33"/>
    </row>
    <row r="64" ht="15.75" customHeight="1">
      <c r="A64" s="21"/>
      <c r="B64" s="70"/>
      <c r="C64" s="186" t="s">
        <v>383</v>
      </c>
      <c r="D64" s="186" t="s">
        <v>384</v>
      </c>
      <c r="E64" s="187">
        <v>1.0</v>
      </c>
      <c r="F64" s="185"/>
      <c r="G64" s="181">
        <f t="shared" si="1"/>
        <v>1.5</v>
      </c>
      <c r="H64" s="29">
        <f t="shared" si="2"/>
        <v>1.3</v>
      </c>
      <c r="I64" s="30">
        <f t="shared" si="3"/>
        <v>1.3</v>
      </c>
      <c r="J64" s="31">
        <f t="shared" si="4"/>
        <v>1.2</v>
      </c>
      <c r="K64" s="30">
        <f t="shared" si="5"/>
        <v>1.15</v>
      </c>
      <c r="L64" s="31">
        <f t="shared" si="6"/>
        <v>1.1</v>
      </c>
      <c r="M64" s="32"/>
      <c r="N64" s="33"/>
    </row>
    <row r="65" ht="15.75" customHeight="1">
      <c r="A65" s="21"/>
      <c r="B65" s="70"/>
      <c r="C65" s="186" t="s">
        <v>385</v>
      </c>
      <c r="D65" s="186" t="s">
        <v>386</v>
      </c>
      <c r="E65" s="187">
        <v>1.0</v>
      </c>
      <c r="F65" s="185"/>
      <c r="G65" s="181">
        <f t="shared" si="1"/>
        <v>1.5</v>
      </c>
      <c r="H65" s="29">
        <f t="shared" si="2"/>
        <v>1.3</v>
      </c>
      <c r="I65" s="30">
        <f t="shared" si="3"/>
        <v>1.3</v>
      </c>
      <c r="J65" s="31">
        <f t="shared" si="4"/>
        <v>1.2</v>
      </c>
      <c r="K65" s="30">
        <f t="shared" si="5"/>
        <v>1.15</v>
      </c>
      <c r="L65" s="31">
        <f t="shared" si="6"/>
        <v>1.1</v>
      </c>
      <c r="M65" s="32"/>
      <c r="N65" s="33"/>
    </row>
    <row r="66" ht="15.75" customHeight="1">
      <c r="A66" s="21"/>
      <c r="B66" s="70"/>
      <c r="C66" s="186" t="s">
        <v>387</v>
      </c>
      <c r="D66" s="186" t="s">
        <v>388</v>
      </c>
      <c r="E66" s="187">
        <v>1.0</v>
      </c>
      <c r="F66" s="185"/>
      <c r="G66" s="181">
        <f t="shared" si="1"/>
        <v>1.5</v>
      </c>
      <c r="H66" s="29">
        <f t="shared" si="2"/>
        <v>1.3</v>
      </c>
      <c r="I66" s="30">
        <f t="shared" si="3"/>
        <v>1.3</v>
      </c>
      <c r="J66" s="31">
        <f t="shared" si="4"/>
        <v>1.2</v>
      </c>
      <c r="K66" s="30">
        <f t="shared" si="5"/>
        <v>1.15</v>
      </c>
      <c r="L66" s="31">
        <f t="shared" si="6"/>
        <v>1.1</v>
      </c>
      <c r="M66" s="32"/>
      <c r="N66" s="33"/>
    </row>
    <row r="67" ht="15.75" customHeight="1">
      <c r="A67" s="21"/>
      <c r="B67" s="70"/>
      <c r="C67" s="186" t="s">
        <v>389</v>
      </c>
      <c r="D67" s="186" t="s">
        <v>390</v>
      </c>
      <c r="E67" s="187">
        <v>1.0</v>
      </c>
      <c r="F67" s="185"/>
      <c r="G67" s="181">
        <f t="shared" si="1"/>
        <v>1.5</v>
      </c>
      <c r="H67" s="29">
        <f t="shared" si="2"/>
        <v>1.3</v>
      </c>
      <c r="I67" s="30">
        <f t="shared" si="3"/>
        <v>1.3</v>
      </c>
      <c r="J67" s="31">
        <f t="shared" si="4"/>
        <v>1.2</v>
      </c>
      <c r="K67" s="30">
        <f t="shared" si="5"/>
        <v>1.15</v>
      </c>
      <c r="L67" s="31">
        <f t="shared" si="6"/>
        <v>1.1</v>
      </c>
      <c r="M67" s="32"/>
      <c r="N67" s="33"/>
    </row>
    <row r="68" ht="15.75" customHeight="1">
      <c r="A68" s="21"/>
      <c r="B68" s="70"/>
      <c r="C68" s="186" t="s">
        <v>391</v>
      </c>
      <c r="D68" s="186" t="s">
        <v>392</v>
      </c>
      <c r="E68" s="187">
        <v>1.0</v>
      </c>
      <c r="F68" s="185"/>
      <c r="G68" s="181">
        <f t="shared" si="1"/>
        <v>1.5</v>
      </c>
      <c r="H68" s="29">
        <f t="shared" si="2"/>
        <v>1.3</v>
      </c>
      <c r="I68" s="30">
        <f t="shared" si="3"/>
        <v>1.3</v>
      </c>
      <c r="J68" s="31">
        <f t="shared" si="4"/>
        <v>1.2</v>
      </c>
      <c r="K68" s="30">
        <f t="shared" si="5"/>
        <v>1.15</v>
      </c>
      <c r="L68" s="31">
        <f t="shared" si="6"/>
        <v>1.1</v>
      </c>
      <c r="M68" s="32"/>
      <c r="N68" s="86"/>
    </row>
    <row r="69" ht="15.75" customHeight="1">
      <c r="A69" s="21"/>
      <c r="B69" s="70"/>
      <c r="C69" s="186" t="s">
        <v>393</v>
      </c>
      <c r="D69" s="186" t="s">
        <v>394</v>
      </c>
      <c r="E69" s="187">
        <v>1.0</v>
      </c>
      <c r="F69" s="185"/>
      <c r="G69" s="181">
        <f t="shared" si="1"/>
        <v>1.5</v>
      </c>
      <c r="H69" s="29">
        <f t="shared" si="2"/>
        <v>1.3</v>
      </c>
      <c r="I69" s="30">
        <f t="shared" si="3"/>
        <v>1.3</v>
      </c>
      <c r="J69" s="31">
        <f t="shared" si="4"/>
        <v>1.2</v>
      </c>
      <c r="K69" s="30">
        <f t="shared" si="5"/>
        <v>1.15</v>
      </c>
      <c r="L69" s="31">
        <f t="shared" si="6"/>
        <v>1.1</v>
      </c>
      <c r="M69" s="32"/>
      <c r="N69" s="86"/>
    </row>
    <row r="70" ht="15.75" customHeight="1">
      <c r="A70" s="21"/>
      <c r="B70" s="70"/>
      <c r="C70" s="186" t="s">
        <v>395</v>
      </c>
      <c r="D70" s="186" t="s">
        <v>396</v>
      </c>
      <c r="E70" s="187">
        <v>1.0</v>
      </c>
      <c r="F70" s="185"/>
      <c r="G70" s="181">
        <f t="shared" si="1"/>
        <v>1.5</v>
      </c>
      <c r="H70" s="29">
        <f t="shared" si="2"/>
        <v>1.3</v>
      </c>
      <c r="I70" s="30">
        <f t="shared" si="3"/>
        <v>1.3</v>
      </c>
      <c r="J70" s="31">
        <f t="shared" si="4"/>
        <v>1.2</v>
      </c>
      <c r="K70" s="30">
        <f t="shared" si="5"/>
        <v>1.15</v>
      </c>
      <c r="L70" s="31">
        <f t="shared" si="6"/>
        <v>1.1</v>
      </c>
      <c r="M70" s="32"/>
      <c r="N70" s="86"/>
    </row>
    <row r="71" ht="15.75" customHeight="1">
      <c r="A71" s="21"/>
      <c r="B71" s="70"/>
      <c r="C71" s="186" t="s">
        <v>397</v>
      </c>
      <c r="D71" s="186" t="s">
        <v>398</v>
      </c>
      <c r="E71" s="187">
        <v>1.0</v>
      </c>
      <c r="F71" s="185"/>
      <c r="G71" s="181">
        <f t="shared" si="1"/>
        <v>1.5</v>
      </c>
      <c r="H71" s="29">
        <f t="shared" si="2"/>
        <v>1.3</v>
      </c>
      <c r="I71" s="30">
        <f t="shared" si="3"/>
        <v>1.3</v>
      </c>
      <c r="J71" s="31">
        <f t="shared" si="4"/>
        <v>1.2</v>
      </c>
      <c r="K71" s="30">
        <f t="shared" si="5"/>
        <v>1.15</v>
      </c>
      <c r="L71" s="31">
        <f t="shared" si="6"/>
        <v>1.1</v>
      </c>
      <c r="M71" s="32"/>
      <c r="N71" s="86"/>
    </row>
    <row r="72" ht="15.75" customHeight="1">
      <c r="A72" s="21"/>
      <c r="B72" s="70"/>
      <c r="C72" s="186" t="s">
        <v>399</v>
      </c>
      <c r="D72" s="186" t="s">
        <v>400</v>
      </c>
      <c r="E72" s="187">
        <v>1.0</v>
      </c>
      <c r="F72" s="185"/>
      <c r="G72" s="181">
        <f t="shared" si="1"/>
        <v>1.5</v>
      </c>
      <c r="H72" s="29">
        <f t="shared" si="2"/>
        <v>1.3</v>
      </c>
      <c r="I72" s="30">
        <f t="shared" si="3"/>
        <v>1.3</v>
      </c>
      <c r="J72" s="31">
        <f t="shared" si="4"/>
        <v>1.2</v>
      </c>
      <c r="K72" s="30">
        <f t="shared" si="5"/>
        <v>1.15</v>
      </c>
      <c r="L72" s="31">
        <f t="shared" si="6"/>
        <v>1.1</v>
      </c>
      <c r="M72" s="32"/>
      <c r="N72" s="86"/>
    </row>
    <row r="73" ht="15.75" customHeight="1">
      <c r="A73" s="21"/>
      <c r="B73" s="70"/>
      <c r="C73" s="186" t="s">
        <v>401</v>
      </c>
      <c r="D73" s="186" t="s">
        <v>402</v>
      </c>
      <c r="E73" s="187">
        <v>1.0</v>
      </c>
      <c r="F73" s="185"/>
      <c r="G73" s="181">
        <f t="shared" si="1"/>
        <v>1.5</v>
      </c>
      <c r="H73" s="29">
        <f t="shared" si="2"/>
        <v>1.3</v>
      </c>
      <c r="I73" s="30">
        <f t="shared" si="3"/>
        <v>1.3</v>
      </c>
      <c r="J73" s="31">
        <f t="shared" si="4"/>
        <v>1.2</v>
      </c>
      <c r="K73" s="30">
        <f t="shared" si="5"/>
        <v>1.15</v>
      </c>
      <c r="L73" s="31">
        <f t="shared" si="6"/>
        <v>1.1</v>
      </c>
      <c r="M73" s="32"/>
      <c r="N73" s="86"/>
    </row>
    <row r="74" ht="15.75" customHeight="1">
      <c r="A74" s="21"/>
      <c r="B74" s="70"/>
      <c r="C74" s="186" t="s">
        <v>403</v>
      </c>
      <c r="D74" s="186" t="s">
        <v>404</v>
      </c>
      <c r="E74" s="187">
        <v>1.0</v>
      </c>
      <c r="F74" s="185"/>
      <c r="G74" s="181">
        <f t="shared" si="1"/>
        <v>1.5</v>
      </c>
      <c r="H74" s="29">
        <f t="shared" si="2"/>
        <v>1.3</v>
      </c>
      <c r="I74" s="30">
        <f t="shared" si="3"/>
        <v>1.3</v>
      </c>
      <c r="J74" s="31">
        <f t="shared" si="4"/>
        <v>1.2</v>
      </c>
      <c r="K74" s="30">
        <f t="shared" si="5"/>
        <v>1.15</v>
      </c>
      <c r="L74" s="31">
        <f t="shared" si="6"/>
        <v>1.1</v>
      </c>
      <c r="M74" s="32"/>
      <c r="N74" s="86"/>
    </row>
    <row r="75" ht="15.75" customHeight="1">
      <c r="A75" s="21"/>
      <c r="B75" s="70"/>
      <c r="C75" s="186" t="s">
        <v>405</v>
      </c>
      <c r="D75" s="186" t="s">
        <v>406</v>
      </c>
      <c r="E75" s="187">
        <v>1.0</v>
      </c>
      <c r="F75" s="185"/>
      <c r="G75" s="181">
        <f t="shared" si="1"/>
        <v>1.5</v>
      </c>
      <c r="H75" s="29">
        <f t="shared" si="2"/>
        <v>1.3</v>
      </c>
      <c r="I75" s="30">
        <f t="shared" si="3"/>
        <v>1.3</v>
      </c>
      <c r="J75" s="31">
        <f t="shared" si="4"/>
        <v>1.2</v>
      </c>
      <c r="K75" s="30">
        <f t="shared" si="5"/>
        <v>1.15</v>
      </c>
      <c r="L75" s="31">
        <f t="shared" si="6"/>
        <v>1.1</v>
      </c>
      <c r="M75" s="32"/>
      <c r="N75" s="86"/>
    </row>
    <row r="76" ht="15.75" customHeight="1">
      <c r="A76" s="21"/>
      <c r="B76" s="70"/>
      <c r="C76" s="186" t="s">
        <v>407</v>
      </c>
      <c r="D76" s="186" t="s">
        <v>408</v>
      </c>
      <c r="E76" s="187">
        <v>1.0</v>
      </c>
      <c r="F76" s="185"/>
      <c r="G76" s="181">
        <f t="shared" si="1"/>
        <v>1.5</v>
      </c>
      <c r="H76" s="29">
        <f t="shared" si="2"/>
        <v>1.3</v>
      </c>
      <c r="I76" s="30">
        <f t="shared" si="3"/>
        <v>1.3</v>
      </c>
      <c r="J76" s="31">
        <f t="shared" si="4"/>
        <v>1.2</v>
      </c>
      <c r="K76" s="30">
        <f t="shared" si="5"/>
        <v>1.15</v>
      </c>
      <c r="L76" s="31">
        <f t="shared" si="6"/>
        <v>1.1</v>
      </c>
      <c r="M76" s="32"/>
      <c r="N76" s="86"/>
    </row>
    <row r="77" ht="15.75" customHeight="1">
      <c r="A77" s="21"/>
      <c r="B77" s="70"/>
      <c r="C77" s="186" t="s">
        <v>409</v>
      </c>
      <c r="D77" s="186" t="s">
        <v>410</v>
      </c>
      <c r="E77" s="187">
        <v>1.0</v>
      </c>
      <c r="F77" s="185"/>
      <c r="G77" s="181">
        <f t="shared" si="1"/>
        <v>1.5</v>
      </c>
      <c r="H77" s="29">
        <f t="shared" si="2"/>
        <v>1.3</v>
      </c>
      <c r="I77" s="30">
        <f t="shared" si="3"/>
        <v>1.3</v>
      </c>
      <c r="J77" s="31">
        <f t="shared" si="4"/>
        <v>1.2</v>
      </c>
      <c r="K77" s="30">
        <f t="shared" si="5"/>
        <v>1.15</v>
      </c>
      <c r="L77" s="31">
        <f t="shared" si="6"/>
        <v>1.1</v>
      </c>
      <c r="M77" s="32"/>
      <c r="N77" s="86"/>
    </row>
    <row r="78" ht="15.75" customHeight="1">
      <c r="A78" s="21"/>
      <c r="B78" s="70"/>
      <c r="C78" s="186" t="s">
        <v>411</v>
      </c>
      <c r="D78" s="186" t="s">
        <v>412</v>
      </c>
      <c r="E78" s="187">
        <v>1.0</v>
      </c>
      <c r="F78" s="185"/>
      <c r="G78" s="181">
        <f t="shared" si="1"/>
        <v>1.5</v>
      </c>
      <c r="H78" s="29">
        <f t="shared" si="2"/>
        <v>1.3</v>
      </c>
      <c r="I78" s="30">
        <f t="shared" si="3"/>
        <v>1.3</v>
      </c>
      <c r="J78" s="31">
        <f t="shared" si="4"/>
        <v>1.2</v>
      </c>
      <c r="K78" s="30">
        <f t="shared" si="5"/>
        <v>1.15</v>
      </c>
      <c r="L78" s="31">
        <f t="shared" si="6"/>
        <v>1.1</v>
      </c>
      <c r="M78" s="32"/>
      <c r="N78" s="86"/>
    </row>
    <row r="79" ht="15.75" customHeight="1">
      <c r="A79" s="21"/>
      <c r="B79" s="70"/>
      <c r="C79" s="186" t="s">
        <v>413</v>
      </c>
      <c r="D79" s="186" t="s">
        <v>414</v>
      </c>
      <c r="E79" s="187">
        <v>1.0</v>
      </c>
      <c r="F79" s="185"/>
      <c r="G79" s="181">
        <f t="shared" si="1"/>
        <v>1.5</v>
      </c>
      <c r="H79" s="29">
        <f t="shared" si="2"/>
        <v>1.3</v>
      </c>
      <c r="I79" s="30">
        <f t="shared" si="3"/>
        <v>1.3</v>
      </c>
      <c r="J79" s="31">
        <f t="shared" si="4"/>
        <v>1.2</v>
      </c>
      <c r="K79" s="30">
        <f t="shared" si="5"/>
        <v>1.15</v>
      </c>
      <c r="L79" s="31">
        <f t="shared" si="6"/>
        <v>1.1</v>
      </c>
      <c r="M79" s="32"/>
      <c r="N79" s="86"/>
    </row>
    <row r="80" ht="15.75" customHeight="1">
      <c r="A80" s="21"/>
      <c r="B80" s="70"/>
      <c r="C80" s="186" t="s">
        <v>415</v>
      </c>
      <c r="D80" s="186" t="s">
        <v>416</v>
      </c>
      <c r="E80" s="187">
        <v>1.0</v>
      </c>
      <c r="F80" s="185"/>
      <c r="G80" s="181">
        <f t="shared" si="1"/>
        <v>1.5</v>
      </c>
      <c r="H80" s="29">
        <f t="shared" si="2"/>
        <v>1.3</v>
      </c>
      <c r="I80" s="30">
        <f t="shared" si="3"/>
        <v>1.3</v>
      </c>
      <c r="J80" s="31">
        <f t="shared" si="4"/>
        <v>1.2</v>
      </c>
      <c r="K80" s="30">
        <f t="shared" si="5"/>
        <v>1.15</v>
      </c>
      <c r="L80" s="31">
        <f t="shared" si="6"/>
        <v>1.1</v>
      </c>
      <c r="M80" s="32"/>
      <c r="N80" s="86"/>
    </row>
    <row r="81" ht="15.75" customHeight="1">
      <c r="A81" s="21"/>
      <c r="B81" s="70"/>
      <c r="C81" s="186" t="s">
        <v>417</v>
      </c>
      <c r="D81" s="186" t="s">
        <v>418</v>
      </c>
      <c r="E81" s="187">
        <v>1.0</v>
      </c>
      <c r="F81" s="185"/>
      <c r="G81" s="181">
        <f t="shared" si="1"/>
        <v>1.5</v>
      </c>
      <c r="H81" s="29">
        <f t="shared" si="2"/>
        <v>1.3</v>
      </c>
      <c r="I81" s="30">
        <f t="shared" si="3"/>
        <v>1.3</v>
      </c>
      <c r="J81" s="31">
        <f t="shared" si="4"/>
        <v>1.2</v>
      </c>
      <c r="K81" s="30">
        <f t="shared" si="5"/>
        <v>1.15</v>
      </c>
      <c r="L81" s="31">
        <f t="shared" si="6"/>
        <v>1.1</v>
      </c>
      <c r="M81" s="32"/>
      <c r="N81" s="86"/>
    </row>
    <row r="82" ht="15.75" customHeight="1">
      <c r="A82" s="21"/>
      <c r="B82" s="70"/>
      <c r="C82" s="186" t="s">
        <v>419</v>
      </c>
      <c r="D82" s="186" t="s">
        <v>420</v>
      </c>
      <c r="E82" s="187">
        <v>1.0</v>
      </c>
      <c r="F82" s="185"/>
      <c r="G82" s="181">
        <f t="shared" si="1"/>
        <v>1.5</v>
      </c>
      <c r="H82" s="29">
        <f t="shared" si="2"/>
        <v>1.3</v>
      </c>
      <c r="I82" s="30">
        <f t="shared" si="3"/>
        <v>1.3</v>
      </c>
      <c r="J82" s="31">
        <f t="shared" si="4"/>
        <v>1.2</v>
      </c>
      <c r="K82" s="30">
        <f t="shared" si="5"/>
        <v>1.15</v>
      </c>
      <c r="L82" s="31">
        <f t="shared" si="6"/>
        <v>1.1</v>
      </c>
      <c r="M82" s="32"/>
      <c r="N82" s="86"/>
    </row>
    <row r="83" ht="15.75" customHeight="1">
      <c r="A83" s="21"/>
      <c r="B83" s="70"/>
      <c r="C83" s="186" t="s">
        <v>421</v>
      </c>
      <c r="D83" s="186" t="s">
        <v>422</v>
      </c>
      <c r="E83" s="187">
        <v>1.0</v>
      </c>
      <c r="F83" s="185"/>
      <c r="G83" s="181">
        <f t="shared" si="1"/>
        <v>1.5</v>
      </c>
      <c r="H83" s="29">
        <f t="shared" si="2"/>
        <v>1.3</v>
      </c>
      <c r="I83" s="30">
        <f t="shared" si="3"/>
        <v>1.3</v>
      </c>
      <c r="J83" s="31">
        <f t="shared" si="4"/>
        <v>1.2</v>
      </c>
      <c r="K83" s="30">
        <f t="shared" si="5"/>
        <v>1.15</v>
      </c>
      <c r="L83" s="31">
        <f t="shared" si="6"/>
        <v>1.1</v>
      </c>
      <c r="M83" s="32"/>
      <c r="N83" s="86"/>
    </row>
    <row r="84" ht="15.75" customHeight="1">
      <c r="A84" s="21"/>
      <c r="B84" s="70"/>
      <c r="C84" s="186" t="s">
        <v>423</v>
      </c>
      <c r="D84" s="186" t="s">
        <v>424</v>
      </c>
      <c r="E84" s="187">
        <v>1.0</v>
      </c>
      <c r="F84" s="185"/>
      <c r="G84" s="181">
        <f t="shared" si="1"/>
        <v>1.5</v>
      </c>
      <c r="H84" s="29">
        <f t="shared" si="2"/>
        <v>1.3</v>
      </c>
      <c r="I84" s="30">
        <f t="shared" si="3"/>
        <v>1.3</v>
      </c>
      <c r="J84" s="31">
        <f t="shared" si="4"/>
        <v>1.2</v>
      </c>
      <c r="K84" s="30">
        <f t="shared" si="5"/>
        <v>1.15</v>
      </c>
      <c r="L84" s="31">
        <f t="shared" si="6"/>
        <v>1.1</v>
      </c>
      <c r="M84" s="32"/>
      <c r="N84" s="86"/>
    </row>
    <row r="85" ht="15.75" customHeight="1">
      <c r="A85" s="21"/>
      <c r="B85" s="70"/>
      <c r="C85" s="186" t="s">
        <v>425</v>
      </c>
      <c r="D85" s="186" t="s">
        <v>426</v>
      </c>
      <c r="E85" s="187">
        <v>1.0</v>
      </c>
      <c r="F85" s="185"/>
      <c r="G85" s="181">
        <f t="shared" si="1"/>
        <v>1.5</v>
      </c>
      <c r="H85" s="29">
        <f t="shared" si="2"/>
        <v>1.3</v>
      </c>
      <c r="I85" s="30">
        <f t="shared" si="3"/>
        <v>1.3</v>
      </c>
      <c r="J85" s="31">
        <f t="shared" si="4"/>
        <v>1.2</v>
      </c>
      <c r="K85" s="30">
        <f t="shared" si="5"/>
        <v>1.15</v>
      </c>
      <c r="L85" s="31">
        <f t="shared" si="6"/>
        <v>1.1</v>
      </c>
      <c r="M85" s="32"/>
      <c r="N85" s="86"/>
    </row>
    <row r="86" ht="15.75" customHeight="1">
      <c r="A86" s="21"/>
      <c r="B86" s="70"/>
      <c r="C86" s="186" t="s">
        <v>427</v>
      </c>
      <c r="D86" s="186" t="s">
        <v>428</v>
      </c>
      <c r="E86" s="187">
        <v>1.0</v>
      </c>
      <c r="F86" s="185"/>
      <c r="G86" s="181">
        <f t="shared" si="1"/>
        <v>1.5</v>
      </c>
      <c r="H86" s="29">
        <f t="shared" si="2"/>
        <v>1.3</v>
      </c>
      <c r="I86" s="30">
        <f t="shared" si="3"/>
        <v>1.3</v>
      </c>
      <c r="J86" s="31">
        <f t="shared" si="4"/>
        <v>1.2</v>
      </c>
      <c r="K86" s="30">
        <f t="shared" si="5"/>
        <v>1.15</v>
      </c>
      <c r="L86" s="31">
        <f t="shared" si="6"/>
        <v>1.1</v>
      </c>
      <c r="M86" s="32"/>
      <c r="N86" s="86"/>
    </row>
    <row r="87" ht="15.75" customHeight="1">
      <c r="A87" s="21"/>
      <c r="B87" s="70"/>
      <c r="C87" s="186" t="s">
        <v>429</v>
      </c>
      <c r="D87" s="186" t="s">
        <v>430</v>
      </c>
      <c r="E87" s="187">
        <v>1.0</v>
      </c>
      <c r="F87" s="185"/>
      <c r="G87" s="181">
        <f t="shared" si="1"/>
        <v>1.5</v>
      </c>
      <c r="H87" s="29">
        <f t="shared" si="2"/>
        <v>1.3</v>
      </c>
      <c r="I87" s="30">
        <f t="shared" si="3"/>
        <v>1.3</v>
      </c>
      <c r="J87" s="31">
        <f t="shared" si="4"/>
        <v>1.2</v>
      </c>
      <c r="K87" s="30">
        <f t="shared" si="5"/>
        <v>1.15</v>
      </c>
      <c r="L87" s="31">
        <f t="shared" si="6"/>
        <v>1.1</v>
      </c>
      <c r="M87" s="32"/>
      <c r="N87" s="86"/>
    </row>
    <row r="88" ht="15.75" customHeight="1">
      <c r="A88" s="21"/>
      <c r="B88" s="70"/>
      <c r="C88" s="186" t="s">
        <v>431</v>
      </c>
      <c r="D88" s="186" t="s">
        <v>432</v>
      </c>
      <c r="E88" s="187">
        <v>1.0</v>
      </c>
      <c r="F88" s="185"/>
      <c r="G88" s="181">
        <f t="shared" si="1"/>
        <v>1.5</v>
      </c>
      <c r="H88" s="29">
        <f t="shared" si="2"/>
        <v>1.3</v>
      </c>
      <c r="I88" s="30">
        <f t="shared" si="3"/>
        <v>1.3</v>
      </c>
      <c r="J88" s="31">
        <f t="shared" si="4"/>
        <v>1.2</v>
      </c>
      <c r="K88" s="30">
        <f t="shared" si="5"/>
        <v>1.15</v>
      </c>
      <c r="L88" s="31">
        <f t="shared" si="6"/>
        <v>1.1</v>
      </c>
      <c r="M88" s="32"/>
      <c r="N88" s="86"/>
    </row>
    <row r="89" ht="15.75" customHeight="1">
      <c r="A89" s="21"/>
      <c r="B89" s="70"/>
      <c r="C89" s="186" t="s">
        <v>433</v>
      </c>
      <c r="D89" s="186" t="s">
        <v>434</v>
      </c>
      <c r="E89" s="187">
        <v>1.0</v>
      </c>
      <c r="F89" s="185"/>
      <c r="G89" s="181">
        <f t="shared" si="1"/>
        <v>1.5</v>
      </c>
      <c r="H89" s="29">
        <f t="shared" si="2"/>
        <v>1.3</v>
      </c>
      <c r="I89" s="30">
        <f t="shared" si="3"/>
        <v>1.3</v>
      </c>
      <c r="J89" s="31">
        <f t="shared" si="4"/>
        <v>1.2</v>
      </c>
      <c r="K89" s="30">
        <f t="shared" si="5"/>
        <v>1.15</v>
      </c>
      <c r="L89" s="31">
        <f t="shared" si="6"/>
        <v>1.1</v>
      </c>
      <c r="M89" s="32"/>
      <c r="N89" s="86"/>
    </row>
    <row r="90" ht="15.75" customHeight="1">
      <c r="A90" s="21"/>
      <c r="B90" s="70"/>
      <c r="C90" s="186" t="s">
        <v>435</v>
      </c>
      <c r="D90" s="186" t="s">
        <v>436</v>
      </c>
      <c r="E90" s="187">
        <v>1.0</v>
      </c>
      <c r="F90" s="185"/>
      <c r="G90" s="181">
        <f t="shared" si="1"/>
        <v>1.5</v>
      </c>
      <c r="H90" s="29">
        <f t="shared" si="2"/>
        <v>1.3</v>
      </c>
      <c r="I90" s="30">
        <f t="shared" si="3"/>
        <v>1.3</v>
      </c>
      <c r="J90" s="31">
        <f t="shared" si="4"/>
        <v>1.2</v>
      </c>
      <c r="K90" s="30">
        <f t="shared" si="5"/>
        <v>1.15</v>
      </c>
      <c r="L90" s="31">
        <f t="shared" si="6"/>
        <v>1.1</v>
      </c>
      <c r="M90" s="32"/>
      <c r="N90" s="86"/>
    </row>
    <row r="91" ht="15.75" customHeight="1">
      <c r="A91" s="21"/>
      <c r="B91" s="70"/>
      <c r="C91" s="186" t="s">
        <v>437</v>
      </c>
      <c r="D91" s="186" t="s">
        <v>438</v>
      </c>
      <c r="E91" s="187">
        <v>1.0</v>
      </c>
      <c r="F91" s="185"/>
      <c r="G91" s="181">
        <f t="shared" si="1"/>
        <v>1.5</v>
      </c>
      <c r="H91" s="29">
        <f t="shared" si="2"/>
        <v>1.3</v>
      </c>
      <c r="I91" s="30">
        <f t="shared" si="3"/>
        <v>1.3</v>
      </c>
      <c r="J91" s="31">
        <f t="shared" si="4"/>
        <v>1.2</v>
      </c>
      <c r="K91" s="30">
        <f t="shared" si="5"/>
        <v>1.15</v>
      </c>
      <c r="L91" s="31">
        <f t="shared" si="6"/>
        <v>1.1</v>
      </c>
      <c r="M91" s="32"/>
      <c r="N91" s="86"/>
    </row>
    <row r="92" ht="15.75" customHeight="1">
      <c r="A92" s="21"/>
      <c r="B92" s="70"/>
      <c r="C92" s="186" t="s">
        <v>439</v>
      </c>
      <c r="D92" s="186" t="s">
        <v>440</v>
      </c>
      <c r="E92" s="187">
        <v>1.0</v>
      </c>
      <c r="F92" s="185"/>
      <c r="G92" s="181">
        <f t="shared" si="1"/>
        <v>1.5</v>
      </c>
      <c r="H92" s="29">
        <f t="shared" si="2"/>
        <v>1.3</v>
      </c>
      <c r="I92" s="30">
        <f t="shared" si="3"/>
        <v>1.3</v>
      </c>
      <c r="J92" s="31">
        <f t="shared" si="4"/>
        <v>1.2</v>
      </c>
      <c r="K92" s="30">
        <f t="shared" si="5"/>
        <v>1.15</v>
      </c>
      <c r="L92" s="31">
        <f t="shared" si="6"/>
        <v>1.1</v>
      </c>
      <c r="M92" s="32"/>
      <c r="N92" s="86"/>
    </row>
    <row r="93" ht="15.75" customHeight="1">
      <c r="A93" s="21"/>
      <c r="B93" s="70"/>
      <c r="C93" s="186" t="s">
        <v>441</v>
      </c>
      <c r="D93" s="186" t="s">
        <v>442</v>
      </c>
      <c r="E93" s="187">
        <v>1.0</v>
      </c>
      <c r="F93" s="185"/>
      <c r="G93" s="181">
        <f t="shared" si="1"/>
        <v>1.5</v>
      </c>
      <c r="H93" s="29">
        <f t="shared" si="2"/>
        <v>1.3</v>
      </c>
      <c r="I93" s="30">
        <f t="shared" si="3"/>
        <v>1.3</v>
      </c>
      <c r="J93" s="31">
        <f t="shared" si="4"/>
        <v>1.2</v>
      </c>
      <c r="K93" s="30">
        <f t="shared" si="5"/>
        <v>1.15</v>
      </c>
      <c r="L93" s="31">
        <f t="shared" si="6"/>
        <v>1.1</v>
      </c>
      <c r="M93" s="32"/>
      <c r="N93" s="86"/>
    </row>
    <row r="94" ht="15.75" customHeight="1">
      <c r="A94" s="21"/>
      <c r="B94" s="70"/>
      <c r="C94" s="186" t="s">
        <v>443</v>
      </c>
      <c r="D94" s="186" t="s">
        <v>444</v>
      </c>
      <c r="E94" s="187">
        <v>1.0</v>
      </c>
      <c r="F94" s="185"/>
      <c r="G94" s="181">
        <f t="shared" si="1"/>
        <v>1.5</v>
      </c>
      <c r="H94" s="29">
        <f t="shared" si="2"/>
        <v>1.3</v>
      </c>
      <c r="I94" s="30">
        <f t="shared" si="3"/>
        <v>1.3</v>
      </c>
      <c r="J94" s="31">
        <f t="shared" si="4"/>
        <v>1.2</v>
      </c>
      <c r="K94" s="30">
        <f t="shared" si="5"/>
        <v>1.15</v>
      </c>
      <c r="L94" s="31">
        <f t="shared" si="6"/>
        <v>1.1</v>
      </c>
      <c r="M94" s="32"/>
      <c r="N94" s="86"/>
    </row>
    <row r="95" ht="15.75" customHeight="1">
      <c r="A95" s="21"/>
      <c r="B95" s="70"/>
      <c r="C95" s="186" t="s">
        <v>445</v>
      </c>
      <c r="D95" s="186" t="s">
        <v>446</v>
      </c>
      <c r="E95" s="187">
        <v>1.0</v>
      </c>
      <c r="F95" s="185"/>
      <c r="G95" s="181">
        <f t="shared" si="1"/>
        <v>1.5</v>
      </c>
      <c r="H95" s="29">
        <f t="shared" si="2"/>
        <v>1.3</v>
      </c>
      <c r="I95" s="30">
        <f t="shared" si="3"/>
        <v>1.3</v>
      </c>
      <c r="J95" s="31">
        <f t="shared" si="4"/>
        <v>1.2</v>
      </c>
      <c r="K95" s="30">
        <f t="shared" si="5"/>
        <v>1.15</v>
      </c>
      <c r="L95" s="31">
        <f t="shared" si="6"/>
        <v>1.1</v>
      </c>
      <c r="M95" s="32"/>
      <c r="N95" s="86"/>
    </row>
    <row r="96" ht="15.75" customHeight="1">
      <c r="A96" s="21"/>
      <c r="B96" s="70"/>
      <c r="C96" s="186" t="s">
        <v>447</v>
      </c>
      <c r="D96" s="186" t="s">
        <v>814</v>
      </c>
      <c r="E96" s="187">
        <v>130.0</v>
      </c>
      <c r="F96" s="185"/>
      <c r="G96" s="181">
        <f t="shared" si="1"/>
        <v>195</v>
      </c>
      <c r="H96" s="29">
        <f t="shared" si="2"/>
        <v>169</v>
      </c>
      <c r="I96" s="30">
        <f t="shared" si="3"/>
        <v>169</v>
      </c>
      <c r="J96" s="31">
        <f t="shared" si="4"/>
        <v>156</v>
      </c>
      <c r="K96" s="30">
        <f t="shared" si="5"/>
        <v>149.5</v>
      </c>
      <c r="L96" s="31">
        <f t="shared" si="6"/>
        <v>143</v>
      </c>
      <c r="M96" s="32"/>
      <c r="N96" s="86"/>
    </row>
    <row r="97" ht="15.75" customHeight="1">
      <c r="A97" s="21"/>
      <c r="B97" s="70"/>
      <c r="C97" s="186" t="s">
        <v>449</v>
      </c>
      <c r="D97" s="186" t="s">
        <v>450</v>
      </c>
      <c r="E97" s="187">
        <v>1.0</v>
      </c>
      <c r="F97" s="185"/>
      <c r="G97" s="181">
        <f t="shared" si="1"/>
        <v>1.5</v>
      </c>
      <c r="H97" s="29">
        <f t="shared" si="2"/>
        <v>1.3</v>
      </c>
      <c r="I97" s="30">
        <f t="shared" si="3"/>
        <v>1.3</v>
      </c>
      <c r="J97" s="31">
        <f t="shared" si="4"/>
        <v>1.2</v>
      </c>
      <c r="K97" s="30">
        <f t="shared" si="5"/>
        <v>1.15</v>
      </c>
      <c r="L97" s="31">
        <f t="shared" si="6"/>
        <v>1.1</v>
      </c>
      <c r="M97" s="32"/>
      <c r="N97" s="86"/>
    </row>
    <row r="98" ht="15.75" customHeight="1">
      <c r="A98" s="21"/>
      <c r="B98" s="70"/>
      <c r="C98" s="186" t="s">
        <v>451</v>
      </c>
      <c r="D98" s="186" t="s">
        <v>452</v>
      </c>
      <c r="E98" s="187">
        <v>1.0</v>
      </c>
      <c r="F98" s="185"/>
      <c r="G98" s="181">
        <f t="shared" si="1"/>
        <v>1.5</v>
      </c>
      <c r="H98" s="29">
        <f t="shared" si="2"/>
        <v>1.3</v>
      </c>
      <c r="I98" s="30">
        <f t="shared" si="3"/>
        <v>1.3</v>
      </c>
      <c r="J98" s="31">
        <f t="shared" si="4"/>
        <v>1.2</v>
      </c>
      <c r="K98" s="30">
        <f t="shared" si="5"/>
        <v>1.15</v>
      </c>
      <c r="L98" s="31">
        <f t="shared" si="6"/>
        <v>1.1</v>
      </c>
      <c r="M98" s="32"/>
      <c r="N98" s="86"/>
    </row>
    <row r="99" ht="15.75" customHeight="1">
      <c r="A99" s="21"/>
      <c r="B99" s="70"/>
      <c r="C99" s="186" t="s">
        <v>453</v>
      </c>
      <c r="D99" s="186" t="s">
        <v>454</v>
      </c>
      <c r="E99" s="187">
        <v>1.0</v>
      </c>
      <c r="F99" s="185"/>
      <c r="G99" s="181">
        <f t="shared" si="1"/>
        <v>1.5</v>
      </c>
      <c r="H99" s="29">
        <f t="shared" si="2"/>
        <v>1.3</v>
      </c>
      <c r="I99" s="30">
        <f t="shared" si="3"/>
        <v>1.3</v>
      </c>
      <c r="J99" s="31">
        <f t="shared" si="4"/>
        <v>1.2</v>
      </c>
      <c r="K99" s="30">
        <f t="shared" si="5"/>
        <v>1.15</v>
      </c>
      <c r="L99" s="31">
        <f t="shared" si="6"/>
        <v>1.1</v>
      </c>
      <c r="M99" s="32"/>
      <c r="N99" s="86"/>
    </row>
    <row r="100" ht="15.75" customHeight="1">
      <c r="A100" s="21"/>
      <c r="B100" s="70"/>
      <c r="C100" s="186" t="s">
        <v>455</v>
      </c>
      <c r="D100" s="186" t="s">
        <v>456</v>
      </c>
      <c r="E100" s="187">
        <v>1.0</v>
      </c>
      <c r="F100" s="185"/>
      <c r="G100" s="181">
        <f t="shared" si="1"/>
        <v>1.5</v>
      </c>
      <c r="H100" s="29">
        <f t="shared" si="2"/>
        <v>1.3</v>
      </c>
      <c r="I100" s="30">
        <f t="shared" si="3"/>
        <v>1.3</v>
      </c>
      <c r="J100" s="31">
        <f t="shared" si="4"/>
        <v>1.2</v>
      </c>
      <c r="K100" s="30">
        <f t="shared" si="5"/>
        <v>1.15</v>
      </c>
      <c r="L100" s="31">
        <f t="shared" si="6"/>
        <v>1.1</v>
      </c>
      <c r="M100" s="32"/>
      <c r="N100" s="86"/>
    </row>
    <row r="101" ht="15.75" customHeight="1">
      <c r="A101" s="21"/>
      <c r="B101" s="70"/>
      <c r="C101" s="186" t="s">
        <v>457</v>
      </c>
      <c r="D101" s="186" t="s">
        <v>458</v>
      </c>
      <c r="E101" s="187">
        <v>1.0</v>
      </c>
      <c r="F101" s="185"/>
      <c r="G101" s="181">
        <f t="shared" si="1"/>
        <v>1.5</v>
      </c>
      <c r="H101" s="29">
        <f t="shared" si="2"/>
        <v>1.3</v>
      </c>
      <c r="I101" s="30">
        <f t="shared" si="3"/>
        <v>1.3</v>
      </c>
      <c r="J101" s="31">
        <f t="shared" si="4"/>
        <v>1.2</v>
      </c>
      <c r="K101" s="30">
        <f t="shared" si="5"/>
        <v>1.15</v>
      </c>
      <c r="L101" s="31">
        <f t="shared" si="6"/>
        <v>1.1</v>
      </c>
      <c r="M101" s="32"/>
      <c r="N101" s="86"/>
    </row>
    <row r="102" ht="15.75" customHeight="1">
      <c r="A102" s="21"/>
      <c r="B102" s="70"/>
      <c r="C102" s="186" t="s">
        <v>459</v>
      </c>
      <c r="D102" s="186" t="s">
        <v>460</v>
      </c>
      <c r="E102" s="187">
        <v>1.0</v>
      </c>
      <c r="F102" s="185"/>
      <c r="G102" s="181">
        <f t="shared" si="1"/>
        <v>1.5</v>
      </c>
      <c r="H102" s="29">
        <f t="shared" si="2"/>
        <v>1.3</v>
      </c>
      <c r="I102" s="30">
        <f t="shared" si="3"/>
        <v>1.3</v>
      </c>
      <c r="J102" s="31">
        <f t="shared" si="4"/>
        <v>1.2</v>
      </c>
      <c r="K102" s="30">
        <f t="shared" si="5"/>
        <v>1.15</v>
      </c>
      <c r="L102" s="31">
        <f t="shared" si="6"/>
        <v>1.1</v>
      </c>
      <c r="M102" s="32"/>
      <c r="N102" s="86"/>
    </row>
    <row r="103" ht="15.75" customHeight="1">
      <c r="A103" s="21"/>
      <c r="B103" s="70"/>
      <c r="C103" s="186" t="s">
        <v>461</v>
      </c>
      <c r="D103" s="186" t="s">
        <v>462</v>
      </c>
      <c r="E103" s="187">
        <v>1.0</v>
      </c>
      <c r="F103" s="185"/>
      <c r="G103" s="181">
        <f t="shared" si="1"/>
        <v>1.5</v>
      </c>
      <c r="H103" s="29">
        <f t="shared" si="2"/>
        <v>1.3</v>
      </c>
      <c r="I103" s="30">
        <f t="shared" si="3"/>
        <v>1.3</v>
      </c>
      <c r="J103" s="31">
        <f t="shared" si="4"/>
        <v>1.2</v>
      </c>
      <c r="K103" s="30">
        <f t="shared" si="5"/>
        <v>1.15</v>
      </c>
      <c r="L103" s="31">
        <f t="shared" si="6"/>
        <v>1.1</v>
      </c>
      <c r="M103" s="32"/>
      <c r="N103" s="86"/>
    </row>
    <row r="104" ht="15.75" customHeight="1">
      <c r="A104" s="21"/>
      <c r="B104" s="70"/>
      <c r="C104" s="186" t="s">
        <v>463</v>
      </c>
      <c r="D104" s="186" t="s">
        <v>464</v>
      </c>
      <c r="E104" s="187">
        <v>1.0</v>
      </c>
      <c r="F104" s="185"/>
      <c r="G104" s="181">
        <f t="shared" si="1"/>
        <v>1.5</v>
      </c>
      <c r="H104" s="29">
        <f t="shared" si="2"/>
        <v>1.3</v>
      </c>
      <c r="I104" s="30">
        <f t="shared" si="3"/>
        <v>1.3</v>
      </c>
      <c r="J104" s="31">
        <f t="shared" si="4"/>
        <v>1.2</v>
      </c>
      <c r="K104" s="30">
        <f t="shared" si="5"/>
        <v>1.15</v>
      </c>
      <c r="L104" s="31">
        <f t="shared" si="6"/>
        <v>1.1</v>
      </c>
      <c r="M104" s="32"/>
      <c r="N104" s="86"/>
    </row>
    <row r="105" ht="15.75" customHeight="1">
      <c r="A105" s="21"/>
      <c r="B105" s="70"/>
      <c r="C105" s="186" t="s">
        <v>465</v>
      </c>
      <c r="D105" s="186" t="s">
        <v>466</v>
      </c>
      <c r="E105" s="187">
        <v>1.0</v>
      </c>
      <c r="F105" s="185"/>
      <c r="G105" s="181">
        <f t="shared" si="1"/>
        <v>1.5</v>
      </c>
      <c r="H105" s="29">
        <f t="shared" si="2"/>
        <v>1.3</v>
      </c>
      <c r="I105" s="30">
        <f t="shared" si="3"/>
        <v>1.3</v>
      </c>
      <c r="J105" s="31">
        <f t="shared" si="4"/>
        <v>1.2</v>
      </c>
      <c r="K105" s="30">
        <f t="shared" si="5"/>
        <v>1.15</v>
      </c>
      <c r="L105" s="31">
        <f t="shared" si="6"/>
        <v>1.1</v>
      </c>
      <c r="M105" s="32"/>
      <c r="N105" s="86"/>
    </row>
    <row r="106" ht="15.75" customHeight="1">
      <c r="A106" s="21"/>
      <c r="B106" s="70"/>
      <c r="C106" s="186" t="s">
        <v>467</v>
      </c>
      <c r="D106" s="186" t="s">
        <v>468</v>
      </c>
      <c r="E106" s="187">
        <v>1.0</v>
      </c>
      <c r="F106" s="185"/>
      <c r="G106" s="181">
        <f t="shared" si="1"/>
        <v>1.5</v>
      </c>
      <c r="H106" s="29">
        <f t="shared" si="2"/>
        <v>1.3</v>
      </c>
      <c r="I106" s="30">
        <f t="shared" si="3"/>
        <v>1.3</v>
      </c>
      <c r="J106" s="31">
        <f t="shared" si="4"/>
        <v>1.2</v>
      </c>
      <c r="K106" s="30">
        <f t="shared" si="5"/>
        <v>1.15</v>
      </c>
      <c r="L106" s="31">
        <f t="shared" si="6"/>
        <v>1.1</v>
      </c>
      <c r="M106" s="32"/>
      <c r="N106" s="86"/>
    </row>
    <row r="107" ht="15.75" customHeight="1">
      <c r="A107" s="21"/>
      <c r="B107" s="70"/>
      <c r="C107" s="186" t="s">
        <v>469</v>
      </c>
      <c r="D107" s="186" t="s">
        <v>470</v>
      </c>
      <c r="E107" s="187">
        <v>1.0</v>
      </c>
      <c r="F107" s="185"/>
      <c r="G107" s="181">
        <f t="shared" si="1"/>
        <v>1.5</v>
      </c>
      <c r="H107" s="29">
        <f t="shared" si="2"/>
        <v>1.3</v>
      </c>
      <c r="I107" s="30">
        <f t="shared" si="3"/>
        <v>1.3</v>
      </c>
      <c r="J107" s="31">
        <f t="shared" si="4"/>
        <v>1.2</v>
      </c>
      <c r="K107" s="30">
        <f t="shared" si="5"/>
        <v>1.15</v>
      </c>
      <c r="L107" s="31">
        <f t="shared" si="6"/>
        <v>1.1</v>
      </c>
      <c r="M107" s="32"/>
      <c r="N107" s="86"/>
    </row>
    <row r="108" ht="15.75" customHeight="1">
      <c r="A108" s="21"/>
      <c r="B108" s="70"/>
      <c r="C108" s="186" t="s">
        <v>471</v>
      </c>
      <c r="D108" s="186" t="s">
        <v>472</v>
      </c>
      <c r="E108" s="187">
        <v>1.0</v>
      </c>
      <c r="F108" s="185"/>
      <c r="G108" s="181">
        <f t="shared" si="1"/>
        <v>1.5</v>
      </c>
      <c r="H108" s="29">
        <f t="shared" si="2"/>
        <v>1.3</v>
      </c>
      <c r="I108" s="30">
        <f t="shared" si="3"/>
        <v>1.3</v>
      </c>
      <c r="J108" s="31">
        <f t="shared" si="4"/>
        <v>1.2</v>
      </c>
      <c r="K108" s="30">
        <f t="shared" si="5"/>
        <v>1.15</v>
      </c>
      <c r="L108" s="31">
        <f t="shared" si="6"/>
        <v>1.1</v>
      </c>
      <c r="M108" s="32"/>
      <c r="N108" s="86"/>
    </row>
    <row r="109" ht="15.75" customHeight="1">
      <c r="A109" s="21"/>
      <c r="B109" s="70"/>
      <c r="C109" s="186" t="s">
        <v>473</v>
      </c>
      <c r="D109" s="186" t="s">
        <v>474</v>
      </c>
      <c r="E109" s="187">
        <v>1.0</v>
      </c>
      <c r="F109" s="185"/>
      <c r="G109" s="181">
        <f t="shared" si="1"/>
        <v>1.5</v>
      </c>
      <c r="H109" s="29">
        <f t="shared" si="2"/>
        <v>1.3</v>
      </c>
      <c r="I109" s="30">
        <f t="shared" si="3"/>
        <v>1.3</v>
      </c>
      <c r="J109" s="31">
        <f t="shared" si="4"/>
        <v>1.2</v>
      </c>
      <c r="K109" s="30">
        <f t="shared" si="5"/>
        <v>1.15</v>
      </c>
      <c r="L109" s="31">
        <f t="shared" si="6"/>
        <v>1.1</v>
      </c>
      <c r="M109" s="32"/>
      <c r="N109" s="86"/>
    </row>
    <row r="110" ht="15.75" customHeight="1">
      <c r="A110" s="21"/>
      <c r="B110" s="70"/>
      <c r="C110" s="186" t="s">
        <v>475</v>
      </c>
      <c r="D110" s="186" t="s">
        <v>476</v>
      </c>
      <c r="E110" s="187">
        <v>1.0</v>
      </c>
      <c r="F110" s="185"/>
      <c r="G110" s="181">
        <f t="shared" si="1"/>
        <v>1.5</v>
      </c>
      <c r="H110" s="29">
        <f t="shared" si="2"/>
        <v>1.3</v>
      </c>
      <c r="I110" s="30">
        <f t="shared" si="3"/>
        <v>1.3</v>
      </c>
      <c r="J110" s="31">
        <f t="shared" si="4"/>
        <v>1.2</v>
      </c>
      <c r="K110" s="30">
        <f t="shared" si="5"/>
        <v>1.15</v>
      </c>
      <c r="L110" s="31">
        <f t="shared" si="6"/>
        <v>1.1</v>
      </c>
      <c r="M110" s="32"/>
      <c r="N110" s="86"/>
    </row>
    <row r="111" ht="15.75" customHeight="1">
      <c r="A111" s="21"/>
      <c r="B111" s="70"/>
      <c r="C111" s="186" t="s">
        <v>477</v>
      </c>
      <c r="D111" s="186" t="s">
        <v>478</v>
      </c>
      <c r="E111" s="187">
        <v>1.0</v>
      </c>
      <c r="F111" s="185"/>
      <c r="G111" s="181">
        <f t="shared" si="1"/>
        <v>1.5</v>
      </c>
      <c r="H111" s="29">
        <f t="shared" si="2"/>
        <v>1.3</v>
      </c>
      <c r="I111" s="30">
        <f t="shared" si="3"/>
        <v>1.3</v>
      </c>
      <c r="J111" s="31">
        <f t="shared" si="4"/>
        <v>1.2</v>
      </c>
      <c r="K111" s="30">
        <f t="shared" si="5"/>
        <v>1.15</v>
      </c>
      <c r="L111" s="31">
        <f t="shared" si="6"/>
        <v>1.1</v>
      </c>
      <c r="M111" s="32"/>
      <c r="N111" s="33"/>
    </row>
    <row r="112" ht="15.75" customHeight="1">
      <c r="A112" s="21"/>
      <c r="B112" s="70"/>
      <c r="C112" s="186" t="s">
        <v>479</v>
      </c>
      <c r="D112" s="186" t="s">
        <v>480</v>
      </c>
      <c r="E112" s="187">
        <v>1.0</v>
      </c>
      <c r="F112" s="185"/>
      <c r="G112" s="181">
        <f t="shared" si="1"/>
        <v>1.5</v>
      </c>
      <c r="H112" s="29">
        <f t="shared" si="2"/>
        <v>1.3</v>
      </c>
      <c r="I112" s="30">
        <f t="shared" si="3"/>
        <v>1.3</v>
      </c>
      <c r="J112" s="31">
        <f t="shared" si="4"/>
        <v>1.2</v>
      </c>
      <c r="K112" s="30">
        <f t="shared" si="5"/>
        <v>1.15</v>
      </c>
      <c r="L112" s="31">
        <f t="shared" si="6"/>
        <v>1.1</v>
      </c>
      <c r="M112" s="32"/>
      <c r="N112" s="33"/>
    </row>
    <row r="113" ht="15.75" customHeight="1">
      <c r="A113" s="21"/>
      <c r="B113" s="70"/>
      <c r="C113" s="186" t="s">
        <v>481</v>
      </c>
      <c r="D113" s="186" t="s">
        <v>482</v>
      </c>
      <c r="E113" s="187">
        <v>1.0</v>
      </c>
      <c r="F113" s="185"/>
      <c r="G113" s="181">
        <f t="shared" si="1"/>
        <v>1.5</v>
      </c>
      <c r="H113" s="29">
        <f t="shared" si="2"/>
        <v>1.3</v>
      </c>
      <c r="I113" s="30">
        <f t="shared" si="3"/>
        <v>1.3</v>
      </c>
      <c r="J113" s="31">
        <f t="shared" si="4"/>
        <v>1.2</v>
      </c>
      <c r="K113" s="30">
        <f t="shared" si="5"/>
        <v>1.15</v>
      </c>
      <c r="L113" s="31">
        <f t="shared" si="6"/>
        <v>1.1</v>
      </c>
      <c r="M113" s="32"/>
      <c r="N113" s="33"/>
    </row>
    <row r="114" ht="15.75" customHeight="1">
      <c r="A114" s="21"/>
      <c r="B114" s="70"/>
      <c r="C114" s="186" t="s">
        <v>483</v>
      </c>
      <c r="D114" s="186" t="s">
        <v>484</v>
      </c>
      <c r="E114" s="187">
        <v>1.0</v>
      </c>
      <c r="F114" s="185"/>
      <c r="G114" s="181">
        <f t="shared" si="1"/>
        <v>1.5</v>
      </c>
      <c r="H114" s="29">
        <f t="shared" si="2"/>
        <v>1.3</v>
      </c>
      <c r="I114" s="30">
        <f t="shared" si="3"/>
        <v>1.3</v>
      </c>
      <c r="J114" s="31">
        <f t="shared" si="4"/>
        <v>1.2</v>
      </c>
      <c r="K114" s="30">
        <f t="shared" si="5"/>
        <v>1.15</v>
      </c>
      <c r="L114" s="31">
        <f t="shared" si="6"/>
        <v>1.1</v>
      </c>
      <c r="M114" s="32"/>
      <c r="N114" s="33"/>
    </row>
    <row r="115" ht="15.75" customHeight="1">
      <c r="A115" s="21"/>
      <c r="B115" s="70"/>
      <c r="C115" s="186" t="s">
        <v>485</v>
      </c>
      <c r="D115" s="186" t="s">
        <v>486</v>
      </c>
      <c r="E115" s="187">
        <v>1.0</v>
      </c>
      <c r="F115" s="185"/>
      <c r="G115" s="181">
        <f t="shared" si="1"/>
        <v>1.5</v>
      </c>
      <c r="H115" s="29">
        <f t="shared" si="2"/>
        <v>1.3</v>
      </c>
      <c r="I115" s="30">
        <f t="shared" si="3"/>
        <v>1.3</v>
      </c>
      <c r="J115" s="31">
        <f t="shared" si="4"/>
        <v>1.2</v>
      </c>
      <c r="K115" s="30">
        <f t="shared" si="5"/>
        <v>1.15</v>
      </c>
      <c r="L115" s="31">
        <f t="shared" si="6"/>
        <v>1.1</v>
      </c>
      <c r="M115" s="32"/>
      <c r="N115" s="33"/>
    </row>
    <row r="116" ht="15.75" customHeight="1">
      <c r="A116" s="21"/>
      <c r="B116" s="70"/>
      <c r="C116" s="186" t="s">
        <v>487</v>
      </c>
      <c r="D116" s="186" t="s">
        <v>488</v>
      </c>
      <c r="E116" s="187">
        <v>1.0</v>
      </c>
      <c r="F116" s="185"/>
      <c r="G116" s="181">
        <f t="shared" si="1"/>
        <v>1.5</v>
      </c>
      <c r="H116" s="29">
        <f t="shared" si="2"/>
        <v>1.3</v>
      </c>
      <c r="I116" s="30">
        <f t="shared" si="3"/>
        <v>1.3</v>
      </c>
      <c r="J116" s="31">
        <f t="shared" si="4"/>
        <v>1.2</v>
      </c>
      <c r="K116" s="30">
        <f t="shared" si="5"/>
        <v>1.15</v>
      </c>
      <c r="L116" s="31">
        <f t="shared" si="6"/>
        <v>1.1</v>
      </c>
      <c r="M116" s="32"/>
      <c r="N116" s="33"/>
    </row>
    <row r="117" ht="15.75" customHeight="1">
      <c r="A117" s="21"/>
      <c r="B117" s="70"/>
      <c r="C117" s="186" t="s">
        <v>489</v>
      </c>
      <c r="D117" s="186" t="s">
        <v>490</v>
      </c>
      <c r="E117" s="187">
        <v>1.0</v>
      </c>
      <c r="F117" s="185"/>
      <c r="G117" s="181">
        <f t="shared" si="1"/>
        <v>1.5</v>
      </c>
      <c r="H117" s="29">
        <f t="shared" si="2"/>
        <v>1.3</v>
      </c>
      <c r="I117" s="30">
        <f t="shared" si="3"/>
        <v>1.3</v>
      </c>
      <c r="J117" s="31">
        <f t="shared" si="4"/>
        <v>1.2</v>
      </c>
      <c r="K117" s="30">
        <f t="shared" si="5"/>
        <v>1.15</v>
      </c>
      <c r="L117" s="31">
        <f t="shared" si="6"/>
        <v>1.1</v>
      </c>
      <c r="M117" s="32"/>
      <c r="N117" s="86"/>
    </row>
    <row r="118" ht="15.75" customHeight="1">
      <c r="A118" s="21"/>
      <c r="B118" s="70"/>
      <c r="C118" s="186" t="s">
        <v>491</v>
      </c>
      <c r="D118" s="186" t="s">
        <v>492</v>
      </c>
      <c r="E118" s="187">
        <v>1.0</v>
      </c>
      <c r="F118" s="185"/>
      <c r="G118" s="181">
        <f t="shared" si="1"/>
        <v>1.5</v>
      </c>
      <c r="H118" s="29">
        <f t="shared" si="2"/>
        <v>1.3</v>
      </c>
      <c r="I118" s="30">
        <f t="shared" si="3"/>
        <v>1.3</v>
      </c>
      <c r="J118" s="31">
        <f t="shared" si="4"/>
        <v>1.2</v>
      </c>
      <c r="K118" s="30">
        <f t="shared" si="5"/>
        <v>1.15</v>
      </c>
      <c r="L118" s="31">
        <f t="shared" si="6"/>
        <v>1.1</v>
      </c>
      <c r="M118" s="32"/>
      <c r="N118" s="86"/>
    </row>
    <row r="119" ht="15.75" customHeight="1">
      <c r="A119" s="21"/>
      <c r="B119" s="70"/>
      <c r="C119" s="186" t="s">
        <v>493</v>
      </c>
      <c r="D119" s="186" t="s">
        <v>494</v>
      </c>
      <c r="E119" s="187">
        <v>1.0</v>
      </c>
      <c r="F119" s="185"/>
      <c r="G119" s="181">
        <f t="shared" si="1"/>
        <v>1.5</v>
      </c>
      <c r="H119" s="29">
        <f t="shared" si="2"/>
        <v>1.3</v>
      </c>
      <c r="I119" s="30">
        <f t="shared" si="3"/>
        <v>1.3</v>
      </c>
      <c r="J119" s="31">
        <f t="shared" si="4"/>
        <v>1.2</v>
      </c>
      <c r="K119" s="30">
        <f t="shared" si="5"/>
        <v>1.15</v>
      </c>
      <c r="L119" s="31">
        <f t="shared" si="6"/>
        <v>1.1</v>
      </c>
      <c r="M119" s="32"/>
      <c r="N119" s="86"/>
    </row>
    <row r="120" ht="15.75" customHeight="1">
      <c r="A120" s="21"/>
      <c r="B120" s="70"/>
      <c r="C120" s="186" t="s">
        <v>495</v>
      </c>
      <c r="D120" s="186" t="s">
        <v>496</v>
      </c>
      <c r="E120" s="187">
        <v>10.0</v>
      </c>
      <c r="F120" s="185"/>
      <c r="G120" s="181">
        <f t="shared" si="1"/>
        <v>15</v>
      </c>
      <c r="H120" s="29">
        <f t="shared" si="2"/>
        <v>13</v>
      </c>
      <c r="I120" s="30">
        <f t="shared" si="3"/>
        <v>13</v>
      </c>
      <c r="J120" s="31">
        <f t="shared" si="4"/>
        <v>12</v>
      </c>
      <c r="K120" s="30">
        <f t="shared" si="5"/>
        <v>11.5</v>
      </c>
      <c r="L120" s="31">
        <f t="shared" si="6"/>
        <v>11</v>
      </c>
      <c r="M120" s="32"/>
      <c r="N120" s="86"/>
    </row>
    <row r="121" ht="15.75" customHeight="1">
      <c r="A121" s="21"/>
      <c r="B121" s="70"/>
      <c r="C121" s="186" t="s">
        <v>497</v>
      </c>
      <c r="D121" s="186" t="s">
        <v>498</v>
      </c>
      <c r="E121" s="187">
        <v>1.0</v>
      </c>
      <c r="F121" s="185"/>
      <c r="G121" s="181">
        <f t="shared" si="1"/>
        <v>1.5</v>
      </c>
      <c r="H121" s="29">
        <f t="shared" si="2"/>
        <v>1.3</v>
      </c>
      <c r="I121" s="30">
        <f t="shared" si="3"/>
        <v>1.3</v>
      </c>
      <c r="J121" s="31">
        <f t="shared" si="4"/>
        <v>1.2</v>
      </c>
      <c r="K121" s="30">
        <f t="shared" si="5"/>
        <v>1.15</v>
      </c>
      <c r="L121" s="31">
        <f t="shared" si="6"/>
        <v>1.1</v>
      </c>
      <c r="M121" s="32"/>
      <c r="N121" s="86"/>
    </row>
    <row r="122" ht="15.75" customHeight="1">
      <c r="A122" s="21"/>
      <c r="B122" s="70"/>
      <c r="C122" s="186" t="s">
        <v>499</v>
      </c>
      <c r="D122" s="186" t="s">
        <v>500</v>
      </c>
      <c r="E122" s="187">
        <v>1.0</v>
      </c>
      <c r="F122" s="185"/>
      <c r="G122" s="181">
        <f t="shared" si="1"/>
        <v>1.5</v>
      </c>
      <c r="H122" s="29">
        <f t="shared" si="2"/>
        <v>1.3</v>
      </c>
      <c r="I122" s="30">
        <f t="shared" si="3"/>
        <v>1.3</v>
      </c>
      <c r="J122" s="31">
        <f t="shared" si="4"/>
        <v>1.2</v>
      </c>
      <c r="K122" s="30">
        <f t="shared" si="5"/>
        <v>1.15</v>
      </c>
      <c r="L122" s="31">
        <f t="shared" si="6"/>
        <v>1.1</v>
      </c>
      <c r="M122" s="32"/>
      <c r="N122" s="86"/>
    </row>
    <row r="123" ht="15.75" customHeight="1">
      <c r="A123" s="21"/>
      <c r="B123" s="70"/>
      <c r="C123" s="186" t="s">
        <v>501</v>
      </c>
      <c r="D123" s="186" t="s">
        <v>502</v>
      </c>
      <c r="E123" s="187">
        <v>1.0</v>
      </c>
      <c r="F123" s="185"/>
      <c r="G123" s="181">
        <f t="shared" si="1"/>
        <v>1.5</v>
      </c>
      <c r="H123" s="29">
        <f t="shared" si="2"/>
        <v>1.3</v>
      </c>
      <c r="I123" s="30">
        <f t="shared" si="3"/>
        <v>1.3</v>
      </c>
      <c r="J123" s="31">
        <f t="shared" si="4"/>
        <v>1.2</v>
      </c>
      <c r="K123" s="30">
        <f t="shared" si="5"/>
        <v>1.15</v>
      </c>
      <c r="L123" s="31">
        <f t="shared" si="6"/>
        <v>1.1</v>
      </c>
      <c r="M123" s="32"/>
      <c r="N123" s="86"/>
    </row>
    <row r="124" ht="15.75" customHeight="1">
      <c r="A124" s="21"/>
      <c r="B124" s="70"/>
      <c r="C124" s="186" t="s">
        <v>503</v>
      </c>
      <c r="D124" s="186" t="s">
        <v>504</v>
      </c>
      <c r="E124" s="187">
        <v>1.0</v>
      </c>
      <c r="F124" s="185"/>
      <c r="G124" s="181">
        <f t="shared" si="1"/>
        <v>1.5</v>
      </c>
      <c r="H124" s="29">
        <f t="shared" si="2"/>
        <v>1.3</v>
      </c>
      <c r="I124" s="30">
        <f t="shared" si="3"/>
        <v>1.3</v>
      </c>
      <c r="J124" s="31">
        <f t="shared" si="4"/>
        <v>1.2</v>
      </c>
      <c r="K124" s="30">
        <f t="shared" si="5"/>
        <v>1.15</v>
      </c>
      <c r="L124" s="31">
        <f t="shared" si="6"/>
        <v>1.1</v>
      </c>
      <c r="M124" s="32"/>
      <c r="N124" s="86"/>
    </row>
    <row r="125" ht="15.75" customHeight="1">
      <c r="A125" s="21"/>
      <c r="B125" s="70"/>
      <c r="C125" s="186" t="s">
        <v>505</v>
      </c>
      <c r="D125" s="186" t="s">
        <v>506</v>
      </c>
      <c r="E125" s="187">
        <v>1.0</v>
      </c>
      <c r="F125" s="185"/>
      <c r="G125" s="181">
        <f t="shared" si="1"/>
        <v>1.5</v>
      </c>
      <c r="H125" s="29">
        <f t="shared" si="2"/>
        <v>1.3</v>
      </c>
      <c r="I125" s="30">
        <f t="shared" si="3"/>
        <v>1.3</v>
      </c>
      <c r="J125" s="31">
        <f t="shared" si="4"/>
        <v>1.2</v>
      </c>
      <c r="K125" s="30">
        <f t="shared" si="5"/>
        <v>1.15</v>
      </c>
      <c r="L125" s="31">
        <f t="shared" si="6"/>
        <v>1.1</v>
      </c>
      <c r="M125" s="32"/>
      <c r="N125" s="86"/>
    </row>
    <row r="126" ht="15.75" customHeight="1">
      <c r="A126" s="21"/>
      <c r="B126" s="70"/>
      <c r="C126" s="186" t="s">
        <v>507</v>
      </c>
      <c r="D126" s="186" t="s">
        <v>508</v>
      </c>
      <c r="E126" s="187">
        <v>1.0</v>
      </c>
      <c r="F126" s="185"/>
      <c r="G126" s="181">
        <f t="shared" si="1"/>
        <v>1.5</v>
      </c>
      <c r="H126" s="29">
        <f t="shared" si="2"/>
        <v>1.3</v>
      </c>
      <c r="I126" s="30">
        <f t="shared" si="3"/>
        <v>1.3</v>
      </c>
      <c r="J126" s="31">
        <f t="shared" si="4"/>
        <v>1.2</v>
      </c>
      <c r="K126" s="30">
        <f t="shared" si="5"/>
        <v>1.15</v>
      </c>
      <c r="L126" s="31">
        <f t="shared" si="6"/>
        <v>1.1</v>
      </c>
      <c r="M126" s="32"/>
      <c r="N126" s="86"/>
    </row>
    <row r="127" ht="15.75" customHeight="1">
      <c r="A127" s="21"/>
      <c r="B127" s="70"/>
      <c r="C127" s="186" t="s">
        <v>509</v>
      </c>
      <c r="D127" s="186" t="s">
        <v>510</v>
      </c>
      <c r="E127" s="187">
        <v>1.0</v>
      </c>
      <c r="F127" s="185"/>
      <c r="G127" s="181">
        <f t="shared" si="1"/>
        <v>1.5</v>
      </c>
      <c r="H127" s="29">
        <f t="shared" si="2"/>
        <v>1.3</v>
      </c>
      <c r="I127" s="30">
        <f t="shared" si="3"/>
        <v>1.3</v>
      </c>
      <c r="J127" s="31">
        <f t="shared" si="4"/>
        <v>1.2</v>
      </c>
      <c r="K127" s="30">
        <f t="shared" si="5"/>
        <v>1.15</v>
      </c>
      <c r="L127" s="31">
        <f t="shared" si="6"/>
        <v>1.1</v>
      </c>
      <c r="M127" s="32"/>
      <c r="N127" s="86"/>
    </row>
    <row r="128" ht="15.75" customHeight="1">
      <c r="A128" s="21"/>
      <c r="B128" s="70"/>
      <c r="C128" s="186" t="s">
        <v>511</v>
      </c>
      <c r="D128" s="186" t="s">
        <v>512</v>
      </c>
      <c r="E128" s="187">
        <v>10.0</v>
      </c>
      <c r="F128" s="185"/>
      <c r="G128" s="181">
        <f t="shared" si="1"/>
        <v>15</v>
      </c>
      <c r="H128" s="29">
        <f t="shared" si="2"/>
        <v>13</v>
      </c>
      <c r="I128" s="30">
        <f t="shared" si="3"/>
        <v>13</v>
      </c>
      <c r="J128" s="31">
        <f t="shared" si="4"/>
        <v>12</v>
      </c>
      <c r="K128" s="30">
        <f t="shared" si="5"/>
        <v>11.5</v>
      </c>
      <c r="L128" s="31">
        <f t="shared" si="6"/>
        <v>11</v>
      </c>
      <c r="M128" s="32"/>
      <c r="N128" s="86"/>
    </row>
    <row r="129" ht="15.75" customHeight="1">
      <c r="A129" s="21"/>
      <c r="B129" s="70"/>
      <c r="C129" s="186" t="s">
        <v>513</v>
      </c>
      <c r="D129" s="186" t="s">
        <v>514</v>
      </c>
      <c r="E129" s="187">
        <v>1.0</v>
      </c>
      <c r="F129" s="185"/>
      <c r="G129" s="181">
        <f t="shared" si="1"/>
        <v>1.5</v>
      </c>
      <c r="H129" s="29">
        <f t="shared" si="2"/>
        <v>1.3</v>
      </c>
      <c r="I129" s="30">
        <f t="shared" si="3"/>
        <v>1.3</v>
      </c>
      <c r="J129" s="31">
        <f t="shared" si="4"/>
        <v>1.2</v>
      </c>
      <c r="K129" s="30">
        <f t="shared" si="5"/>
        <v>1.15</v>
      </c>
      <c r="L129" s="31">
        <f t="shared" si="6"/>
        <v>1.1</v>
      </c>
      <c r="M129" s="32"/>
      <c r="N129" s="86"/>
    </row>
    <row r="130" ht="15.75" customHeight="1">
      <c r="A130" s="21"/>
      <c r="B130" s="70"/>
      <c r="C130" s="186" t="s">
        <v>515</v>
      </c>
      <c r="D130" s="186" t="s">
        <v>516</v>
      </c>
      <c r="E130" s="187">
        <v>1.0</v>
      </c>
      <c r="F130" s="185"/>
      <c r="G130" s="181">
        <f t="shared" si="1"/>
        <v>1.5</v>
      </c>
      <c r="H130" s="29">
        <f t="shared" si="2"/>
        <v>1.3</v>
      </c>
      <c r="I130" s="30">
        <f t="shared" si="3"/>
        <v>1.3</v>
      </c>
      <c r="J130" s="31">
        <f t="shared" si="4"/>
        <v>1.2</v>
      </c>
      <c r="K130" s="30">
        <f t="shared" si="5"/>
        <v>1.15</v>
      </c>
      <c r="L130" s="31">
        <f t="shared" si="6"/>
        <v>1.1</v>
      </c>
      <c r="M130" s="32"/>
      <c r="N130" s="86"/>
    </row>
    <row r="131" ht="15.75" customHeight="1">
      <c r="A131" s="21"/>
      <c r="B131" s="70"/>
      <c r="C131" s="186" t="s">
        <v>517</v>
      </c>
      <c r="D131" s="186" t="s">
        <v>518</v>
      </c>
      <c r="E131" s="187">
        <v>1.0</v>
      </c>
      <c r="F131" s="185"/>
      <c r="G131" s="181">
        <f t="shared" si="1"/>
        <v>1.5</v>
      </c>
      <c r="H131" s="29">
        <f t="shared" si="2"/>
        <v>1.3</v>
      </c>
      <c r="I131" s="30">
        <f t="shared" si="3"/>
        <v>1.3</v>
      </c>
      <c r="J131" s="31">
        <f t="shared" si="4"/>
        <v>1.2</v>
      </c>
      <c r="K131" s="30">
        <f t="shared" si="5"/>
        <v>1.15</v>
      </c>
      <c r="L131" s="31">
        <f t="shared" si="6"/>
        <v>1.1</v>
      </c>
      <c r="M131" s="32"/>
      <c r="N131" s="86"/>
    </row>
    <row r="132" ht="15.75" customHeight="1">
      <c r="A132" s="21"/>
      <c r="B132" s="70"/>
      <c r="C132" s="186" t="s">
        <v>519</v>
      </c>
      <c r="D132" s="186" t="s">
        <v>520</v>
      </c>
      <c r="E132" s="187">
        <v>1.0</v>
      </c>
      <c r="F132" s="185"/>
      <c r="G132" s="181">
        <f t="shared" si="1"/>
        <v>1.5</v>
      </c>
      <c r="H132" s="29">
        <f t="shared" si="2"/>
        <v>1.3</v>
      </c>
      <c r="I132" s="30">
        <f t="shared" si="3"/>
        <v>1.3</v>
      </c>
      <c r="J132" s="31">
        <f t="shared" si="4"/>
        <v>1.2</v>
      </c>
      <c r="K132" s="30">
        <f t="shared" si="5"/>
        <v>1.15</v>
      </c>
      <c r="L132" s="31">
        <f t="shared" si="6"/>
        <v>1.1</v>
      </c>
      <c r="M132" s="32"/>
      <c r="N132" s="86"/>
    </row>
    <row r="133" ht="15.75" customHeight="1">
      <c r="A133" s="21"/>
      <c r="B133" s="70"/>
      <c r="C133" s="186" t="s">
        <v>521</v>
      </c>
      <c r="D133" s="186" t="s">
        <v>522</v>
      </c>
      <c r="E133" s="187">
        <v>1.0</v>
      </c>
      <c r="F133" s="185"/>
      <c r="G133" s="181">
        <f t="shared" si="1"/>
        <v>1.5</v>
      </c>
      <c r="H133" s="29">
        <f t="shared" si="2"/>
        <v>1.3</v>
      </c>
      <c r="I133" s="30">
        <f t="shared" si="3"/>
        <v>1.3</v>
      </c>
      <c r="J133" s="31">
        <f t="shared" si="4"/>
        <v>1.2</v>
      </c>
      <c r="K133" s="30">
        <f t="shared" si="5"/>
        <v>1.15</v>
      </c>
      <c r="L133" s="31">
        <f t="shared" si="6"/>
        <v>1.1</v>
      </c>
      <c r="M133" s="32"/>
      <c r="N133" s="86"/>
    </row>
    <row r="134" ht="15.75" customHeight="1">
      <c r="A134" s="21"/>
      <c r="B134" s="70"/>
      <c r="C134" s="186" t="s">
        <v>523</v>
      </c>
      <c r="D134" s="186" t="s">
        <v>524</v>
      </c>
      <c r="E134" s="187">
        <v>1.0</v>
      </c>
      <c r="F134" s="185"/>
      <c r="G134" s="181">
        <f t="shared" si="1"/>
        <v>1.5</v>
      </c>
      <c r="H134" s="29">
        <f t="shared" si="2"/>
        <v>1.3</v>
      </c>
      <c r="I134" s="30">
        <f t="shared" si="3"/>
        <v>1.3</v>
      </c>
      <c r="J134" s="31">
        <f t="shared" si="4"/>
        <v>1.2</v>
      </c>
      <c r="K134" s="30">
        <f t="shared" si="5"/>
        <v>1.15</v>
      </c>
      <c r="L134" s="31">
        <f t="shared" si="6"/>
        <v>1.1</v>
      </c>
      <c r="M134" s="32"/>
      <c r="N134" s="86"/>
    </row>
    <row r="135" ht="15.75" customHeight="1">
      <c r="A135" s="21"/>
      <c r="B135" s="70"/>
      <c r="C135" s="186" t="s">
        <v>525</v>
      </c>
      <c r="D135" s="186" t="s">
        <v>526</v>
      </c>
      <c r="E135" s="187">
        <v>1.0</v>
      </c>
      <c r="F135" s="185"/>
      <c r="G135" s="181">
        <f t="shared" si="1"/>
        <v>1.5</v>
      </c>
      <c r="H135" s="29">
        <f t="shared" si="2"/>
        <v>1.3</v>
      </c>
      <c r="I135" s="30">
        <f t="shared" si="3"/>
        <v>1.3</v>
      </c>
      <c r="J135" s="31">
        <f t="shared" si="4"/>
        <v>1.2</v>
      </c>
      <c r="K135" s="30">
        <f t="shared" si="5"/>
        <v>1.15</v>
      </c>
      <c r="L135" s="31">
        <f t="shared" si="6"/>
        <v>1.1</v>
      </c>
      <c r="M135" s="32"/>
      <c r="N135" s="33"/>
      <c r="O135" s="109"/>
      <c r="P135" s="109"/>
    </row>
    <row r="136" ht="15.75" customHeight="1">
      <c r="A136" s="21"/>
      <c r="B136" s="70"/>
      <c r="C136" s="186" t="s">
        <v>527</v>
      </c>
      <c r="D136" s="186" t="s">
        <v>528</v>
      </c>
      <c r="E136" s="187">
        <v>1.0</v>
      </c>
      <c r="F136" s="185"/>
      <c r="G136" s="181">
        <f t="shared" si="1"/>
        <v>1.5</v>
      </c>
      <c r="H136" s="29">
        <f t="shared" si="2"/>
        <v>1.3</v>
      </c>
      <c r="I136" s="30">
        <f t="shared" si="3"/>
        <v>1.3</v>
      </c>
      <c r="J136" s="31">
        <f t="shared" si="4"/>
        <v>1.2</v>
      </c>
      <c r="K136" s="30">
        <f t="shared" si="5"/>
        <v>1.15</v>
      </c>
      <c r="L136" s="31">
        <f t="shared" si="6"/>
        <v>1.1</v>
      </c>
      <c r="M136" s="32"/>
      <c r="N136" s="33"/>
      <c r="O136" s="109"/>
      <c r="P136" s="109"/>
    </row>
    <row r="137" ht="15.75" customHeight="1">
      <c r="A137" s="21"/>
      <c r="B137" s="70"/>
      <c r="C137" s="186" t="s">
        <v>529</v>
      </c>
      <c r="D137" s="186" t="s">
        <v>530</v>
      </c>
      <c r="E137" s="187">
        <v>1.0</v>
      </c>
      <c r="F137" s="185"/>
      <c r="G137" s="181">
        <f t="shared" si="1"/>
        <v>1.5</v>
      </c>
      <c r="H137" s="29">
        <f t="shared" si="2"/>
        <v>1.3</v>
      </c>
      <c r="I137" s="30">
        <f t="shared" si="3"/>
        <v>1.3</v>
      </c>
      <c r="J137" s="31">
        <f t="shared" si="4"/>
        <v>1.2</v>
      </c>
      <c r="K137" s="30">
        <f t="shared" si="5"/>
        <v>1.15</v>
      </c>
      <c r="L137" s="31">
        <f t="shared" si="6"/>
        <v>1.1</v>
      </c>
      <c r="M137" s="32"/>
      <c r="N137" s="33"/>
      <c r="O137" s="109"/>
      <c r="P137" s="109"/>
    </row>
    <row r="138" ht="15.75" customHeight="1">
      <c r="A138" s="21"/>
      <c r="B138" s="70"/>
      <c r="C138" s="186" t="s">
        <v>531</v>
      </c>
      <c r="D138" s="186" t="s">
        <v>532</v>
      </c>
      <c r="E138" s="187">
        <v>1.0</v>
      </c>
      <c r="F138" s="185"/>
      <c r="G138" s="181">
        <f t="shared" si="1"/>
        <v>1.5</v>
      </c>
      <c r="H138" s="29">
        <f t="shared" si="2"/>
        <v>1.3</v>
      </c>
      <c r="I138" s="30">
        <f t="shared" si="3"/>
        <v>1.3</v>
      </c>
      <c r="J138" s="31">
        <f t="shared" si="4"/>
        <v>1.2</v>
      </c>
      <c r="K138" s="30">
        <f t="shared" si="5"/>
        <v>1.15</v>
      </c>
      <c r="L138" s="31">
        <f t="shared" si="6"/>
        <v>1.1</v>
      </c>
      <c r="M138" s="32"/>
      <c r="N138" s="33"/>
      <c r="O138" s="109"/>
      <c r="P138" s="109"/>
    </row>
    <row r="139" ht="15.75" customHeight="1">
      <c r="A139" s="21"/>
      <c r="B139" s="70"/>
      <c r="C139" s="186" t="s">
        <v>533</v>
      </c>
      <c r="D139" s="186" t="s">
        <v>534</v>
      </c>
      <c r="E139" s="187">
        <v>1.0</v>
      </c>
      <c r="F139" s="185"/>
      <c r="G139" s="181">
        <f t="shared" si="1"/>
        <v>1.5</v>
      </c>
      <c r="H139" s="29">
        <f t="shared" si="2"/>
        <v>1.3</v>
      </c>
      <c r="I139" s="30">
        <f t="shared" si="3"/>
        <v>1.3</v>
      </c>
      <c r="J139" s="31">
        <f t="shared" si="4"/>
        <v>1.2</v>
      </c>
      <c r="K139" s="30">
        <f t="shared" si="5"/>
        <v>1.15</v>
      </c>
      <c r="L139" s="31">
        <f t="shared" si="6"/>
        <v>1.1</v>
      </c>
      <c r="M139" s="32"/>
      <c r="N139" s="33"/>
      <c r="O139" s="109"/>
      <c r="P139" s="109"/>
    </row>
    <row r="140" ht="15.75" customHeight="1">
      <c r="A140" s="21"/>
      <c r="B140" s="70"/>
      <c r="C140" s="186" t="s">
        <v>535</v>
      </c>
      <c r="D140" s="186" t="s">
        <v>536</v>
      </c>
      <c r="E140" s="187">
        <v>1.0</v>
      </c>
      <c r="F140" s="185"/>
      <c r="G140" s="181">
        <f t="shared" si="1"/>
        <v>1.5</v>
      </c>
      <c r="H140" s="29">
        <f t="shared" si="2"/>
        <v>1.3</v>
      </c>
      <c r="I140" s="30">
        <f t="shared" si="3"/>
        <v>1.3</v>
      </c>
      <c r="J140" s="31">
        <f t="shared" si="4"/>
        <v>1.2</v>
      </c>
      <c r="K140" s="30">
        <f t="shared" si="5"/>
        <v>1.15</v>
      </c>
      <c r="L140" s="31">
        <f t="shared" si="6"/>
        <v>1.1</v>
      </c>
      <c r="M140" s="32"/>
      <c r="N140" s="33"/>
      <c r="O140" s="109"/>
      <c r="P140" s="109"/>
    </row>
    <row r="141" ht="15.75" customHeight="1">
      <c r="A141" s="21"/>
      <c r="B141" s="70"/>
      <c r="C141" s="186" t="s">
        <v>537</v>
      </c>
      <c r="D141" s="186" t="s">
        <v>538</v>
      </c>
      <c r="E141" s="187">
        <v>1.0</v>
      </c>
      <c r="F141" s="185"/>
      <c r="G141" s="181">
        <f t="shared" si="1"/>
        <v>1.5</v>
      </c>
      <c r="H141" s="29">
        <f t="shared" si="2"/>
        <v>1.3</v>
      </c>
      <c r="I141" s="30">
        <f t="shared" si="3"/>
        <v>1.3</v>
      </c>
      <c r="J141" s="31">
        <f t="shared" si="4"/>
        <v>1.2</v>
      </c>
      <c r="K141" s="30">
        <f t="shared" si="5"/>
        <v>1.15</v>
      </c>
      <c r="L141" s="31">
        <f t="shared" si="6"/>
        <v>1.1</v>
      </c>
      <c r="M141" s="32"/>
      <c r="N141" s="33"/>
      <c r="O141" s="109"/>
      <c r="P141" s="109"/>
    </row>
    <row r="142" ht="15.75" customHeight="1">
      <c r="A142" s="21"/>
      <c r="B142" s="70"/>
      <c r="C142" s="186" t="s">
        <v>539</v>
      </c>
      <c r="D142" s="186" t="s">
        <v>540</v>
      </c>
      <c r="E142" s="187">
        <v>1.0</v>
      </c>
      <c r="F142" s="185"/>
      <c r="G142" s="181">
        <f t="shared" si="1"/>
        <v>1.5</v>
      </c>
      <c r="H142" s="29">
        <f t="shared" si="2"/>
        <v>1.3</v>
      </c>
      <c r="I142" s="30">
        <f t="shared" si="3"/>
        <v>1.3</v>
      </c>
      <c r="J142" s="31">
        <f t="shared" si="4"/>
        <v>1.2</v>
      </c>
      <c r="K142" s="30">
        <f t="shared" si="5"/>
        <v>1.15</v>
      </c>
      <c r="L142" s="31">
        <f t="shared" si="6"/>
        <v>1.1</v>
      </c>
      <c r="M142" s="32"/>
      <c r="N142" s="33"/>
      <c r="O142" s="109"/>
      <c r="P142" s="109"/>
    </row>
    <row r="143" ht="15.75" customHeight="1">
      <c r="A143" s="21"/>
      <c r="B143" s="70"/>
      <c r="C143" s="186" t="s">
        <v>541</v>
      </c>
      <c r="D143" s="188" t="s">
        <v>542</v>
      </c>
      <c r="E143" s="187">
        <v>1.0</v>
      </c>
      <c r="F143" s="185"/>
      <c r="G143" s="181">
        <f t="shared" si="1"/>
        <v>1.5</v>
      </c>
      <c r="H143" s="29">
        <f t="shared" si="2"/>
        <v>1.3</v>
      </c>
      <c r="I143" s="30">
        <f t="shared" si="3"/>
        <v>1.3</v>
      </c>
      <c r="J143" s="31">
        <f t="shared" si="4"/>
        <v>1.2</v>
      </c>
      <c r="K143" s="30">
        <f t="shared" si="5"/>
        <v>1.15</v>
      </c>
      <c r="L143" s="31">
        <f t="shared" si="6"/>
        <v>1.1</v>
      </c>
      <c r="M143" s="32"/>
      <c r="N143" s="33"/>
      <c r="O143" s="109"/>
      <c r="P143" s="109"/>
    </row>
    <row r="144" ht="15.75" customHeight="1">
      <c r="A144" s="21"/>
      <c r="B144" s="70"/>
      <c r="C144" s="186" t="s">
        <v>543</v>
      </c>
      <c r="D144" s="186" t="s">
        <v>544</v>
      </c>
      <c r="E144" s="187">
        <v>1.0</v>
      </c>
      <c r="F144" s="185"/>
      <c r="G144" s="181">
        <f t="shared" si="1"/>
        <v>1.5</v>
      </c>
      <c r="H144" s="29">
        <f t="shared" si="2"/>
        <v>1.3</v>
      </c>
      <c r="I144" s="30">
        <f t="shared" si="3"/>
        <v>1.3</v>
      </c>
      <c r="J144" s="31">
        <f t="shared" si="4"/>
        <v>1.2</v>
      </c>
      <c r="K144" s="30">
        <f t="shared" si="5"/>
        <v>1.15</v>
      </c>
      <c r="L144" s="31">
        <f t="shared" si="6"/>
        <v>1.1</v>
      </c>
      <c r="M144" s="32"/>
      <c r="N144" s="33"/>
      <c r="O144" s="109"/>
      <c r="P144" s="109"/>
    </row>
    <row r="145" ht="15.75" customHeight="1">
      <c r="A145" s="21"/>
      <c r="B145" s="70"/>
      <c r="C145" s="186" t="s">
        <v>545</v>
      </c>
      <c r="D145" s="186" t="s">
        <v>546</v>
      </c>
      <c r="E145" s="187">
        <v>1.0</v>
      </c>
      <c r="F145" s="185"/>
      <c r="G145" s="181">
        <f t="shared" si="1"/>
        <v>1.5</v>
      </c>
      <c r="H145" s="29">
        <f t="shared" si="2"/>
        <v>1.3</v>
      </c>
      <c r="I145" s="30">
        <f t="shared" si="3"/>
        <v>1.3</v>
      </c>
      <c r="J145" s="31">
        <f t="shared" si="4"/>
        <v>1.2</v>
      </c>
      <c r="K145" s="30">
        <f t="shared" si="5"/>
        <v>1.15</v>
      </c>
      <c r="L145" s="31">
        <f t="shared" si="6"/>
        <v>1.1</v>
      </c>
      <c r="M145" s="32"/>
      <c r="N145" s="33"/>
      <c r="O145" s="109"/>
      <c r="P145" s="109"/>
    </row>
    <row r="146" ht="15.75" customHeight="1">
      <c r="A146" s="21"/>
      <c r="B146" s="70"/>
      <c r="C146" s="186" t="s">
        <v>547</v>
      </c>
      <c r="D146" s="186" t="s">
        <v>548</v>
      </c>
      <c r="E146" s="187">
        <v>1.0</v>
      </c>
      <c r="F146" s="185"/>
      <c r="G146" s="181">
        <f t="shared" si="1"/>
        <v>1.5</v>
      </c>
      <c r="H146" s="29">
        <f t="shared" si="2"/>
        <v>1.3</v>
      </c>
      <c r="I146" s="30">
        <f t="shared" si="3"/>
        <v>1.3</v>
      </c>
      <c r="J146" s="31">
        <f t="shared" si="4"/>
        <v>1.2</v>
      </c>
      <c r="K146" s="30">
        <f t="shared" si="5"/>
        <v>1.15</v>
      </c>
      <c r="L146" s="31">
        <f t="shared" si="6"/>
        <v>1.1</v>
      </c>
      <c r="M146" s="32"/>
      <c r="N146" s="33"/>
      <c r="O146" s="109"/>
      <c r="P146" s="109"/>
    </row>
    <row r="147" ht="15.75" customHeight="1">
      <c r="A147" s="21"/>
      <c r="B147" s="70"/>
      <c r="C147" s="186" t="s">
        <v>549</v>
      </c>
      <c r="D147" s="186" t="s">
        <v>550</v>
      </c>
      <c r="E147" s="187">
        <v>1.0</v>
      </c>
      <c r="F147" s="185"/>
      <c r="G147" s="181">
        <f t="shared" si="1"/>
        <v>1.5</v>
      </c>
      <c r="H147" s="29">
        <f t="shared" si="2"/>
        <v>1.3</v>
      </c>
      <c r="I147" s="30">
        <f t="shared" si="3"/>
        <v>1.3</v>
      </c>
      <c r="J147" s="31">
        <f t="shared" si="4"/>
        <v>1.2</v>
      </c>
      <c r="K147" s="30">
        <f t="shared" si="5"/>
        <v>1.15</v>
      </c>
      <c r="L147" s="31">
        <f t="shared" si="6"/>
        <v>1.1</v>
      </c>
      <c r="M147" s="32"/>
      <c r="N147" s="33"/>
      <c r="O147" s="109"/>
      <c r="P147" s="109"/>
    </row>
    <row r="148" ht="15.75" customHeight="1">
      <c r="A148" s="21"/>
      <c r="B148" s="70"/>
      <c r="C148" s="188" t="s">
        <v>551</v>
      </c>
      <c r="D148" s="186" t="s">
        <v>552</v>
      </c>
      <c r="E148" s="187">
        <v>1.0</v>
      </c>
      <c r="F148" s="185"/>
      <c r="G148" s="181">
        <f t="shared" si="1"/>
        <v>1.5</v>
      </c>
      <c r="H148" s="29">
        <f t="shared" si="2"/>
        <v>1.3</v>
      </c>
      <c r="I148" s="30">
        <f t="shared" si="3"/>
        <v>1.3</v>
      </c>
      <c r="J148" s="31">
        <f t="shared" si="4"/>
        <v>1.2</v>
      </c>
      <c r="K148" s="30">
        <f t="shared" si="5"/>
        <v>1.15</v>
      </c>
      <c r="L148" s="31">
        <f t="shared" si="6"/>
        <v>1.1</v>
      </c>
      <c r="M148" s="32"/>
      <c r="N148" s="33"/>
      <c r="O148" s="109"/>
      <c r="P148" s="109"/>
    </row>
    <row r="149" ht="15.75" customHeight="1">
      <c r="A149" s="21"/>
      <c r="B149" s="70"/>
      <c r="C149" s="188" t="s">
        <v>553</v>
      </c>
      <c r="D149" s="186" t="s">
        <v>554</v>
      </c>
      <c r="E149" s="187">
        <v>1.0</v>
      </c>
      <c r="F149" s="185"/>
      <c r="G149" s="181">
        <f t="shared" si="1"/>
        <v>1.5</v>
      </c>
      <c r="H149" s="29">
        <f t="shared" si="2"/>
        <v>1.3</v>
      </c>
      <c r="I149" s="30">
        <f t="shared" si="3"/>
        <v>1.3</v>
      </c>
      <c r="J149" s="31">
        <f t="shared" si="4"/>
        <v>1.2</v>
      </c>
      <c r="K149" s="30">
        <f t="shared" si="5"/>
        <v>1.15</v>
      </c>
      <c r="L149" s="31">
        <f t="shared" si="6"/>
        <v>1.1</v>
      </c>
      <c r="M149" s="32"/>
      <c r="N149" s="33"/>
      <c r="O149" s="109"/>
      <c r="P149" s="109"/>
    </row>
    <row r="150" ht="15.75" customHeight="1">
      <c r="A150" s="21"/>
      <c r="B150" s="70"/>
      <c r="C150" s="188" t="s">
        <v>555</v>
      </c>
      <c r="D150" s="186" t="s">
        <v>556</v>
      </c>
      <c r="E150" s="187">
        <v>1.0</v>
      </c>
      <c r="F150" s="185"/>
      <c r="G150" s="181">
        <f t="shared" si="1"/>
        <v>1.5</v>
      </c>
      <c r="H150" s="29">
        <f t="shared" si="2"/>
        <v>1.3</v>
      </c>
      <c r="I150" s="30">
        <f t="shared" si="3"/>
        <v>1.3</v>
      </c>
      <c r="J150" s="31">
        <f t="shared" si="4"/>
        <v>1.2</v>
      </c>
      <c r="K150" s="30">
        <f t="shared" si="5"/>
        <v>1.15</v>
      </c>
      <c r="L150" s="31">
        <f t="shared" si="6"/>
        <v>1.1</v>
      </c>
      <c r="M150" s="32"/>
      <c r="N150" s="33"/>
      <c r="O150" s="109"/>
      <c r="P150" s="109"/>
    </row>
    <row r="151" ht="15.75" customHeight="1">
      <c r="A151" s="21"/>
      <c r="B151" s="70"/>
      <c r="C151" s="188" t="s">
        <v>557</v>
      </c>
      <c r="D151" s="186" t="s">
        <v>558</v>
      </c>
      <c r="E151" s="187">
        <v>1.0</v>
      </c>
      <c r="F151" s="185"/>
      <c r="G151" s="181">
        <f t="shared" si="1"/>
        <v>1.5</v>
      </c>
      <c r="H151" s="29">
        <f t="shared" si="2"/>
        <v>1.3</v>
      </c>
      <c r="I151" s="30">
        <f t="shared" si="3"/>
        <v>1.3</v>
      </c>
      <c r="J151" s="31">
        <f t="shared" si="4"/>
        <v>1.2</v>
      </c>
      <c r="K151" s="30">
        <f t="shared" si="5"/>
        <v>1.15</v>
      </c>
      <c r="L151" s="31">
        <f t="shared" si="6"/>
        <v>1.1</v>
      </c>
      <c r="M151" s="32"/>
      <c r="N151" s="33"/>
      <c r="O151" s="109"/>
      <c r="P151" s="109"/>
    </row>
    <row r="152" ht="15.75" customHeight="1">
      <c r="A152" s="21"/>
      <c r="B152" s="70"/>
      <c r="C152" s="188" t="s">
        <v>559</v>
      </c>
      <c r="D152" s="186" t="s">
        <v>560</v>
      </c>
      <c r="E152" s="187">
        <v>1.0</v>
      </c>
      <c r="F152" s="185"/>
      <c r="G152" s="181">
        <f t="shared" si="1"/>
        <v>1.5</v>
      </c>
      <c r="H152" s="29">
        <f t="shared" si="2"/>
        <v>1.3</v>
      </c>
      <c r="I152" s="30">
        <f t="shared" si="3"/>
        <v>1.3</v>
      </c>
      <c r="J152" s="31">
        <f t="shared" si="4"/>
        <v>1.2</v>
      </c>
      <c r="K152" s="30">
        <f t="shared" si="5"/>
        <v>1.15</v>
      </c>
      <c r="L152" s="31">
        <f t="shared" si="6"/>
        <v>1.1</v>
      </c>
      <c r="M152" s="32"/>
      <c r="N152" s="33"/>
      <c r="O152" s="109"/>
      <c r="P152" s="109"/>
    </row>
    <row r="153" ht="15.75" customHeight="1">
      <c r="A153" s="21"/>
      <c r="B153" s="70"/>
      <c r="C153" s="188" t="s">
        <v>561</v>
      </c>
      <c r="D153" s="186" t="s">
        <v>562</v>
      </c>
      <c r="E153" s="187">
        <v>1.0</v>
      </c>
      <c r="F153" s="185"/>
      <c r="G153" s="181">
        <f t="shared" si="1"/>
        <v>1.5</v>
      </c>
      <c r="H153" s="29">
        <f t="shared" si="2"/>
        <v>1.3</v>
      </c>
      <c r="I153" s="30">
        <f t="shared" si="3"/>
        <v>1.3</v>
      </c>
      <c r="J153" s="31">
        <f t="shared" si="4"/>
        <v>1.2</v>
      </c>
      <c r="K153" s="30">
        <f t="shared" si="5"/>
        <v>1.15</v>
      </c>
      <c r="L153" s="31">
        <f t="shared" si="6"/>
        <v>1.1</v>
      </c>
      <c r="M153" s="32"/>
      <c r="N153" s="33"/>
      <c r="O153" s="109"/>
      <c r="P153" s="109"/>
    </row>
    <row r="154" ht="15.75" customHeight="1">
      <c r="A154" s="21"/>
      <c r="B154" s="70"/>
      <c r="C154" s="188" t="s">
        <v>563</v>
      </c>
      <c r="D154" s="186" t="s">
        <v>564</v>
      </c>
      <c r="E154" s="187">
        <v>1.0</v>
      </c>
      <c r="F154" s="185"/>
      <c r="G154" s="181">
        <f t="shared" si="1"/>
        <v>1.5</v>
      </c>
      <c r="H154" s="29">
        <f t="shared" si="2"/>
        <v>1.3</v>
      </c>
      <c r="I154" s="30">
        <f t="shared" si="3"/>
        <v>1.3</v>
      </c>
      <c r="J154" s="31">
        <f t="shared" si="4"/>
        <v>1.2</v>
      </c>
      <c r="K154" s="30">
        <f t="shared" si="5"/>
        <v>1.15</v>
      </c>
      <c r="L154" s="31">
        <f t="shared" si="6"/>
        <v>1.1</v>
      </c>
      <c r="M154" s="32"/>
      <c r="N154" s="33"/>
      <c r="O154" s="109"/>
      <c r="P154" s="109"/>
    </row>
    <row r="155" ht="15.75" customHeight="1">
      <c r="A155" s="21"/>
      <c r="B155" s="70"/>
      <c r="C155" s="188" t="s">
        <v>565</v>
      </c>
      <c r="D155" s="186" t="s">
        <v>566</v>
      </c>
      <c r="E155" s="187">
        <v>1.0</v>
      </c>
      <c r="F155" s="185"/>
      <c r="G155" s="181">
        <f t="shared" si="1"/>
        <v>1.5</v>
      </c>
      <c r="H155" s="29">
        <f t="shared" si="2"/>
        <v>1.3</v>
      </c>
      <c r="I155" s="30">
        <f t="shared" si="3"/>
        <v>1.3</v>
      </c>
      <c r="J155" s="31">
        <f t="shared" si="4"/>
        <v>1.2</v>
      </c>
      <c r="K155" s="30">
        <f t="shared" si="5"/>
        <v>1.15</v>
      </c>
      <c r="L155" s="31">
        <f t="shared" si="6"/>
        <v>1.1</v>
      </c>
      <c r="M155" s="32"/>
      <c r="N155" s="33"/>
      <c r="O155" s="109"/>
      <c r="P155" s="109"/>
    </row>
    <row r="156" ht="15.75" customHeight="1">
      <c r="A156" s="21"/>
      <c r="B156" s="70"/>
      <c r="C156" s="188" t="s">
        <v>567</v>
      </c>
      <c r="D156" s="186" t="s">
        <v>568</v>
      </c>
      <c r="E156" s="187">
        <v>1.0</v>
      </c>
      <c r="F156" s="185"/>
      <c r="G156" s="181">
        <f t="shared" si="1"/>
        <v>1.5</v>
      </c>
      <c r="H156" s="29">
        <f t="shared" si="2"/>
        <v>1.3</v>
      </c>
      <c r="I156" s="30">
        <f t="shared" si="3"/>
        <v>1.3</v>
      </c>
      <c r="J156" s="31">
        <f t="shared" si="4"/>
        <v>1.2</v>
      </c>
      <c r="K156" s="30">
        <f t="shared" si="5"/>
        <v>1.15</v>
      </c>
      <c r="L156" s="31">
        <f t="shared" si="6"/>
        <v>1.1</v>
      </c>
      <c r="M156" s="32"/>
      <c r="N156" s="33"/>
      <c r="O156" s="109"/>
      <c r="P156" s="109"/>
    </row>
    <row r="157" ht="15.75" customHeight="1">
      <c r="A157" s="21"/>
      <c r="B157" s="70"/>
      <c r="C157" s="188" t="s">
        <v>569</v>
      </c>
      <c r="D157" s="186" t="s">
        <v>570</v>
      </c>
      <c r="E157" s="187">
        <v>1.0</v>
      </c>
      <c r="F157" s="185"/>
      <c r="G157" s="181">
        <f t="shared" si="1"/>
        <v>1.5</v>
      </c>
      <c r="H157" s="29">
        <f t="shared" si="2"/>
        <v>1.3</v>
      </c>
      <c r="I157" s="30">
        <f t="shared" si="3"/>
        <v>1.3</v>
      </c>
      <c r="J157" s="31">
        <f t="shared" si="4"/>
        <v>1.2</v>
      </c>
      <c r="K157" s="30">
        <f t="shared" si="5"/>
        <v>1.15</v>
      </c>
      <c r="L157" s="31">
        <f t="shared" si="6"/>
        <v>1.1</v>
      </c>
      <c r="M157" s="32"/>
      <c r="N157" s="33"/>
      <c r="O157" s="109"/>
      <c r="P157" s="109"/>
    </row>
    <row r="158" ht="15.75" customHeight="1">
      <c r="A158" s="21"/>
      <c r="B158" s="70"/>
      <c r="C158" s="188" t="s">
        <v>571</v>
      </c>
      <c r="D158" s="186" t="s">
        <v>572</v>
      </c>
      <c r="E158" s="187">
        <v>1.0</v>
      </c>
      <c r="F158" s="185"/>
      <c r="G158" s="181">
        <f t="shared" si="1"/>
        <v>1.5</v>
      </c>
      <c r="H158" s="29">
        <f t="shared" si="2"/>
        <v>1.3</v>
      </c>
      <c r="I158" s="30">
        <f t="shared" si="3"/>
        <v>1.3</v>
      </c>
      <c r="J158" s="31">
        <f t="shared" si="4"/>
        <v>1.2</v>
      </c>
      <c r="K158" s="30">
        <f t="shared" si="5"/>
        <v>1.15</v>
      </c>
      <c r="L158" s="31">
        <f t="shared" si="6"/>
        <v>1.1</v>
      </c>
      <c r="M158" s="32"/>
      <c r="N158" s="33"/>
      <c r="O158" s="109"/>
      <c r="P158" s="109"/>
    </row>
    <row r="159" ht="15.75" customHeight="1">
      <c r="A159" s="21"/>
      <c r="B159" s="70"/>
      <c r="C159" s="186" t="s">
        <v>573</v>
      </c>
      <c r="D159" s="188" t="s">
        <v>574</v>
      </c>
      <c r="E159" s="187">
        <v>1.0</v>
      </c>
      <c r="F159" s="185"/>
      <c r="G159" s="181">
        <f t="shared" si="1"/>
        <v>1.5</v>
      </c>
      <c r="H159" s="29">
        <f t="shared" si="2"/>
        <v>1.3</v>
      </c>
      <c r="I159" s="30">
        <f t="shared" si="3"/>
        <v>1.3</v>
      </c>
      <c r="J159" s="31">
        <f t="shared" si="4"/>
        <v>1.2</v>
      </c>
      <c r="K159" s="30">
        <f t="shared" si="5"/>
        <v>1.15</v>
      </c>
      <c r="L159" s="31">
        <f t="shared" si="6"/>
        <v>1.1</v>
      </c>
      <c r="M159" s="32"/>
      <c r="N159" s="33"/>
      <c r="O159" s="109"/>
      <c r="P159" s="109"/>
    </row>
    <row r="160" ht="15.75" customHeight="1">
      <c r="A160" s="21"/>
      <c r="B160" s="70"/>
      <c r="C160" s="186" t="s">
        <v>575</v>
      </c>
      <c r="D160" s="188" t="s">
        <v>576</v>
      </c>
      <c r="E160" s="187">
        <v>1.0</v>
      </c>
      <c r="F160" s="185"/>
      <c r="G160" s="181">
        <f t="shared" si="1"/>
        <v>1.5</v>
      </c>
      <c r="H160" s="29">
        <f t="shared" si="2"/>
        <v>1.3</v>
      </c>
      <c r="I160" s="30">
        <f t="shared" si="3"/>
        <v>1.3</v>
      </c>
      <c r="J160" s="31">
        <f t="shared" si="4"/>
        <v>1.2</v>
      </c>
      <c r="K160" s="30">
        <f t="shared" si="5"/>
        <v>1.15</v>
      </c>
      <c r="L160" s="31">
        <f t="shared" si="6"/>
        <v>1.1</v>
      </c>
      <c r="M160" s="32"/>
      <c r="N160" s="33"/>
      <c r="O160" s="109"/>
      <c r="P160" s="109"/>
    </row>
    <row r="161" ht="15.75" customHeight="1">
      <c r="A161" s="21"/>
      <c r="B161" s="70"/>
      <c r="C161" s="188" t="s">
        <v>577</v>
      </c>
      <c r="D161" s="186" t="s">
        <v>578</v>
      </c>
      <c r="E161" s="187">
        <v>270.0</v>
      </c>
      <c r="F161" s="185"/>
      <c r="G161" s="181">
        <f t="shared" si="1"/>
        <v>405</v>
      </c>
      <c r="H161" s="29">
        <f t="shared" si="2"/>
        <v>351</v>
      </c>
      <c r="I161" s="30">
        <f t="shared" si="3"/>
        <v>351</v>
      </c>
      <c r="J161" s="31">
        <f t="shared" si="4"/>
        <v>324</v>
      </c>
      <c r="K161" s="30">
        <f t="shared" si="5"/>
        <v>310.5</v>
      </c>
      <c r="L161" s="31">
        <f t="shared" si="6"/>
        <v>297</v>
      </c>
      <c r="M161" s="32"/>
      <c r="N161" s="33"/>
      <c r="O161" s="109"/>
      <c r="P161" s="109"/>
    </row>
    <row r="162" ht="15.75" customHeight="1">
      <c r="A162" s="21"/>
      <c r="B162" s="70"/>
      <c r="C162" s="188" t="s">
        <v>579</v>
      </c>
      <c r="D162" s="186" t="s">
        <v>580</v>
      </c>
      <c r="E162" s="187">
        <v>1.0</v>
      </c>
      <c r="F162" s="185"/>
      <c r="G162" s="181">
        <f t="shared" si="1"/>
        <v>1.5</v>
      </c>
      <c r="H162" s="29">
        <f t="shared" si="2"/>
        <v>1.3</v>
      </c>
      <c r="I162" s="30">
        <f t="shared" si="3"/>
        <v>1.3</v>
      </c>
      <c r="J162" s="31">
        <f t="shared" si="4"/>
        <v>1.2</v>
      </c>
      <c r="K162" s="30">
        <f t="shared" si="5"/>
        <v>1.15</v>
      </c>
      <c r="L162" s="31">
        <f t="shared" si="6"/>
        <v>1.1</v>
      </c>
      <c r="M162" s="32"/>
      <c r="N162" s="33"/>
      <c r="O162" s="109"/>
      <c r="P162" s="109"/>
    </row>
    <row r="163" ht="15.75" customHeight="1">
      <c r="A163" s="21"/>
      <c r="B163" s="70"/>
      <c r="C163" s="188" t="s">
        <v>581</v>
      </c>
      <c r="D163" s="186" t="s">
        <v>582</v>
      </c>
      <c r="E163" s="187">
        <v>1.0</v>
      </c>
      <c r="F163" s="185"/>
      <c r="G163" s="181">
        <f t="shared" si="1"/>
        <v>1.5</v>
      </c>
      <c r="H163" s="29">
        <f t="shared" si="2"/>
        <v>1.3</v>
      </c>
      <c r="I163" s="30">
        <f t="shared" si="3"/>
        <v>1.3</v>
      </c>
      <c r="J163" s="31">
        <f t="shared" si="4"/>
        <v>1.2</v>
      </c>
      <c r="K163" s="30">
        <f t="shared" si="5"/>
        <v>1.15</v>
      </c>
      <c r="L163" s="31">
        <f t="shared" si="6"/>
        <v>1.1</v>
      </c>
      <c r="M163" s="32"/>
      <c r="N163" s="33"/>
      <c r="O163" s="109"/>
      <c r="P163" s="109"/>
    </row>
    <row r="164" ht="15.75" customHeight="1">
      <c r="A164" s="21"/>
      <c r="B164" s="70"/>
      <c r="C164" s="188" t="s">
        <v>583</v>
      </c>
      <c r="D164" s="186" t="s">
        <v>584</v>
      </c>
      <c r="E164" s="187">
        <v>1.0</v>
      </c>
      <c r="F164" s="185"/>
      <c r="G164" s="181">
        <f t="shared" si="1"/>
        <v>1.5</v>
      </c>
      <c r="H164" s="29">
        <f t="shared" si="2"/>
        <v>1.3</v>
      </c>
      <c r="I164" s="30">
        <f t="shared" si="3"/>
        <v>1.3</v>
      </c>
      <c r="J164" s="31">
        <f t="shared" si="4"/>
        <v>1.2</v>
      </c>
      <c r="K164" s="30">
        <f t="shared" si="5"/>
        <v>1.15</v>
      </c>
      <c r="L164" s="31">
        <f t="shared" si="6"/>
        <v>1.1</v>
      </c>
      <c r="M164" s="32"/>
      <c r="N164" s="33"/>
      <c r="O164" s="109"/>
      <c r="P164" s="109"/>
    </row>
    <row r="165" ht="15.75" customHeight="1">
      <c r="A165" s="21"/>
      <c r="B165" s="70"/>
      <c r="C165" s="188" t="s">
        <v>585</v>
      </c>
      <c r="D165" s="186" t="s">
        <v>586</v>
      </c>
      <c r="E165" s="187">
        <v>1.0</v>
      </c>
      <c r="F165" s="185"/>
      <c r="G165" s="181">
        <f t="shared" si="1"/>
        <v>1.5</v>
      </c>
      <c r="H165" s="29">
        <f t="shared" si="2"/>
        <v>1.3</v>
      </c>
      <c r="I165" s="30">
        <f t="shared" si="3"/>
        <v>1.3</v>
      </c>
      <c r="J165" s="31">
        <f t="shared" si="4"/>
        <v>1.2</v>
      </c>
      <c r="K165" s="30">
        <f t="shared" si="5"/>
        <v>1.15</v>
      </c>
      <c r="L165" s="31">
        <f t="shared" si="6"/>
        <v>1.1</v>
      </c>
      <c r="M165" s="32"/>
      <c r="N165" s="33"/>
      <c r="O165" s="109"/>
      <c r="P165" s="109"/>
    </row>
    <row r="166" ht="15.75" customHeight="1">
      <c r="A166" s="21"/>
      <c r="B166" s="70"/>
      <c r="C166" s="186" t="s">
        <v>587</v>
      </c>
      <c r="D166" s="186" t="s">
        <v>588</v>
      </c>
      <c r="E166" s="187">
        <v>1.0</v>
      </c>
      <c r="F166" s="185"/>
      <c r="G166" s="181">
        <f t="shared" si="1"/>
        <v>1.5</v>
      </c>
      <c r="H166" s="29">
        <f t="shared" si="2"/>
        <v>1.3</v>
      </c>
      <c r="I166" s="30">
        <f t="shared" si="3"/>
        <v>1.3</v>
      </c>
      <c r="J166" s="31">
        <f t="shared" si="4"/>
        <v>1.2</v>
      </c>
      <c r="K166" s="30">
        <f t="shared" si="5"/>
        <v>1.15</v>
      </c>
      <c r="L166" s="31">
        <f t="shared" si="6"/>
        <v>1.1</v>
      </c>
      <c r="M166" s="32"/>
      <c r="N166" s="33"/>
      <c r="O166" s="109"/>
      <c r="P166" s="109"/>
    </row>
    <row r="167" ht="15.75" customHeight="1">
      <c r="A167" s="21"/>
      <c r="B167" s="70"/>
      <c r="C167" s="188" t="s">
        <v>589</v>
      </c>
      <c r="D167" s="186" t="s">
        <v>590</v>
      </c>
      <c r="E167" s="187">
        <v>1.0</v>
      </c>
      <c r="F167" s="185"/>
      <c r="G167" s="181">
        <f t="shared" si="1"/>
        <v>1.5</v>
      </c>
      <c r="H167" s="29">
        <f t="shared" si="2"/>
        <v>1.3</v>
      </c>
      <c r="I167" s="30">
        <f t="shared" si="3"/>
        <v>1.3</v>
      </c>
      <c r="J167" s="31">
        <f t="shared" si="4"/>
        <v>1.2</v>
      </c>
      <c r="K167" s="30">
        <f t="shared" si="5"/>
        <v>1.15</v>
      </c>
      <c r="L167" s="31">
        <f t="shared" si="6"/>
        <v>1.1</v>
      </c>
      <c r="M167" s="32"/>
      <c r="N167" s="33"/>
      <c r="O167" s="109"/>
      <c r="P167" s="109"/>
    </row>
    <row r="168" ht="15.75" customHeight="1">
      <c r="A168" s="21"/>
      <c r="B168" s="70"/>
      <c r="C168" s="188" t="s">
        <v>591</v>
      </c>
      <c r="D168" s="186" t="s">
        <v>592</v>
      </c>
      <c r="E168" s="187">
        <v>1.0</v>
      </c>
      <c r="F168" s="185"/>
      <c r="G168" s="181">
        <f t="shared" si="1"/>
        <v>1.5</v>
      </c>
      <c r="H168" s="29">
        <f t="shared" si="2"/>
        <v>1.3</v>
      </c>
      <c r="I168" s="30">
        <f t="shared" si="3"/>
        <v>1.3</v>
      </c>
      <c r="J168" s="31">
        <f t="shared" si="4"/>
        <v>1.2</v>
      </c>
      <c r="K168" s="30">
        <f t="shared" si="5"/>
        <v>1.15</v>
      </c>
      <c r="L168" s="31">
        <f t="shared" si="6"/>
        <v>1.1</v>
      </c>
      <c r="M168" s="32"/>
      <c r="N168" s="33"/>
      <c r="O168" s="109"/>
      <c r="P168" s="109"/>
    </row>
    <row r="169" ht="15.75" customHeight="1">
      <c r="A169" s="21"/>
      <c r="B169" s="70"/>
      <c r="C169" s="188" t="s">
        <v>593</v>
      </c>
      <c r="D169" s="188" t="s">
        <v>594</v>
      </c>
      <c r="E169" s="187">
        <v>1.0</v>
      </c>
      <c r="F169" s="185"/>
      <c r="G169" s="181">
        <f t="shared" si="1"/>
        <v>1.5</v>
      </c>
      <c r="H169" s="29">
        <f t="shared" si="2"/>
        <v>1.3</v>
      </c>
      <c r="I169" s="30">
        <f t="shared" si="3"/>
        <v>1.3</v>
      </c>
      <c r="J169" s="31">
        <f t="shared" si="4"/>
        <v>1.2</v>
      </c>
      <c r="K169" s="30">
        <f t="shared" si="5"/>
        <v>1.15</v>
      </c>
      <c r="L169" s="31">
        <f t="shared" si="6"/>
        <v>1.1</v>
      </c>
      <c r="M169" s="32"/>
      <c r="N169" s="33"/>
      <c r="O169" s="109"/>
      <c r="P169" s="109"/>
    </row>
    <row r="170" ht="15.75" customHeight="1">
      <c r="A170" s="21"/>
      <c r="B170" s="70"/>
      <c r="C170" s="186" t="s">
        <v>595</v>
      </c>
      <c r="D170" s="188" t="s">
        <v>596</v>
      </c>
      <c r="E170" s="187">
        <v>1.0</v>
      </c>
      <c r="F170" s="185"/>
      <c r="G170" s="181">
        <f t="shared" si="1"/>
        <v>1.5</v>
      </c>
      <c r="H170" s="29">
        <f t="shared" si="2"/>
        <v>1.3</v>
      </c>
      <c r="I170" s="30">
        <f t="shared" si="3"/>
        <v>1.3</v>
      </c>
      <c r="J170" s="31">
        <f t="shared" si="4"/>
        <v>1.2</v>
      </c>
      <c r="K170" s="30">
        <f t="shared" si="5"/>
        <v>1.15</v>
      </c>
      <c r="L170" s="31">
        <f t="shared" si="6"/>
        <v>1.1</v>
      </c>
      <c r="M170" s="32"/>
      <c r="N170" s="33"/>
      <c r="O170" s="109"/>
      <c r="P170" s="109"/>
    </row>
    <row r="171" ht="15.75" customHeight="1">
      <c r="A171" s="21"/>
      <c r="B171" s="70"/>
      <c r="C171" s="186" t="s">
        <v>597</v>
      </c>
      <c r="D171" s="188" t="s">
        <v>598</v>
      </c>
      <c r="E171" s="187">
        <v>1.0</v>
      </c>
      <c r="F171" s="185"/>
      <c r="G171" s="181">
        <f t="shared" si="1"/>
        <v>1.5</v>
      </c>
      <c r="H171" s="29">
        <f t="shared" si="2"/>
        <v>1.3</v>
      </c>
      <c r="I171" s="30">
        <f t="shared" si="3"/>
        <v>1.3</v>
      </c>
      <c r="J171" s="31">
        <f t="shared" si="4"/>
        <v>1.2</v>
      </c>
      <c r="K171" s="30">
        <f t="shared" si="5"/>
        <v>1.15</v>
      </c>
      <c r="L171" s="31">
        <f t="shared" si="6"/>
        <v>1.1</v>
      </c>
      <c r="M171" s="32"/>
      <c r="N171" s="33"/>
      <c r="O171" s="109"/>
      <c r="P171" s="109"/>
    </row>
    <row r="172" ht="15.75" customHeight="1">
      <c r="A172" s="21"/>
      <c r="B172" s="70"/>
      <c r="C172" s="188" t="s">
        <v>599</v>
      </c>
      <c r="D172" s="188" t="s">
        <v>600</v>
      </c>
      <c r="E172" s="187">
        <v>1.0</v>
      </c>
      <c r="F172" s="185"/>
      <c r="G172" s="181">
        <f t="shared" si="1"/>
        <v>1.5</v>
      </c>
      <c r="H172" s="29">
        <f t="shared" si="2"/>
        <v>1.3</v>
      </c>
      <c r="I172" s="30">
        <f t="shared" si="3"/>
        <v>1.3</v>
      </c>
      <c r="J172" s="31">
        <f t="shared" si="4"/>
        <v>1.2</v>
      </c>
      <c r="K172" s="30">
        <f t="shared" si="5"/>
        <v>1.15</v>
      </c>
      <c r="L172" s="31">
        <f t="shared" si="6"/>
        <v>1.1</v>
      </c>
      <c r="M172" s="32"/>
      <c r="N172" s="33"/>
    </row>
    <row r="173" ht="15.75" customHeight="1">
      <c r="A173" s="21"/>
      <c r="B173" s="70"/>
      <c r="C173" s="188" t="s">
        <v>601</v>
      </c>
      <c r="D173" s="188" t="s">
        <v>602</v>
      </c>
      <c r="E173" s="187">
        <v>1.0</v>
      </c>
      <c r="F173" s="185"/>
      <c r="G173" s="181">
        <f t="shared" si="1"/>
        <v>1.5</v>
      </c>
      <c r="H173" s="29">
        <f t="shared" si="2"/>
        <v>1.3</v>
      </c>
      <c r="I173" s="30">
        <f t="shared" si="3"/>
        <v>1.3</v>
      </c>
      <c r="J173" s="31">
        <f t="shared" si="4"/>
        <v>1.2</v>
      </c>
      <c r="K173" s="30">
        <f t="shared" si="5"/>
        <v>1.15</v>
      </c>
      <c r="L173" s="31">
        <f t="shared" si="6"/>
        <v>1.1</v>
      </c>
      <c r="M173" s="32"/>
      <c r="N173" s="33"/>
    </row>
    <row r="174" ht="15.75" customHeight="1">
      <c r="A174" s="21"/>
      <c r="B174" s="70"/>
      <c r="C174" s="188" t="s">
        <v>603</v>
      </c>
      <c r="D174" s="188" t="s">
        <v>604</v>
      </c>
      <c r="E174" s="187">
        <v>1.0</v>
      </c>
      <c r="F174" s="185"/>
      <c r="G174" s="181">
        <f t="shared" si="1"/>
        <v>1.5</v>
      </c>
      <c r="H174" s="29">
        <f t="shared" si="2"/>
        <v>1.3</v>
      </c>
      <c r="I174" s="30">
        <f t="shared" si="3"/>
        <v>1.3</v>
      </c>
      <c r="J174" s="31">
        <f t="shared" si="4"/>
        <v>1.2</v>
      </c>
      <c r="K174" s="30">
        <f t="shared" si="5"/>
        <v>1.15</v>
      </c>
      <c r="L174" s="31">
        <f t="shared" si="6"/>
        <v>1.1</v>
      </c>
      <c r="M174" s="32"/>
      <c r="N174" s="33"/>
    </row>
    <row r="175" ht="15.75" customHeight="1">
      <c r="A175" s="21"/>
      <c r="B175" s="70"/>
      <c r="C175" s="188" t="s">
        <v>605</v>
      </c>
      <c r="D175" s="188" t="s">
        <v>606</v>
      </c>
      <c r="E175" s="187">
        <v>1.0</v>
      </c>
      <c r="F175" s="185"/>
      <c r="G175" s="181">
        <f t="shared" si="1"/>
        <v>1.5</v>
      </c>
      <c r="H175" s="29">
        <f t="shared" si="2"/>
        <v>1.3</v>
      </c>
      <c r="I175" s="30">
        <f t="shared" si="3"/>
        <v>1.3</v>
      </c>
      <c r="J175" s="31">
        <f t="shared" si="4"/>
        <v>1.2</v>
      </c>
      <c r="K175" s="30">
        <f t="shared" si="5"/>
        <v>1.15</v>
      </c>
      <c r="L175" s="31">
        <f t="shared" si="6"/>
        <v>1.1</v>
      </c>
      <c r="M175" s="32"/>
      <c r="N175" s="33"/>
    </row>
    <row r="176" ht="15.75" customHeight="1">
      <c r="A176" s="21"/>
      <c r="B176" s="70"/>
      <c r="C176" s="188" t="s">
        <v>607</v>
      </c>
      <c r="D176" s="188" t="s">
        <v>608</v>
      </c>
      <c r="E176" s="187">
        <v>1.0</v>
      </c>
      <c r="F176" s="185"/>
      <c r="G176" s="181">
        <f t="shared" si="1"/>
        <v>1.5</v>
      </c>
      <c r="H176" s="29">
        <f t="shared" si="2"/>
        <v>1.3</v>
      </c>
      <c r="I176" s="30">
        <f t="shared" si="3"/>
        <v>1.3</v>
      </c>
      <c r="J176" s="31">
        <f t="shared" si="4"/>
        <v>1.2</v>
      </c>
      <c r="K176" s="30">
        <f t="shared" si="5"/>
        <v>1.15</v>
      </c>
      <c r="L176" s="31">
        <f t="shared" si="6"/>
        <v>1.1</v>
      </c>
      <c r="M176" s="32"/>
      <c r="N176" s="33"/>
    </row>
    <row r="177" ht="15.75" customHeight="1">
      <c r="A177" s="21"/>
      <c r="B177" s="70"/>
      <c r="C177" s="188" t="s">
        <v>609</v>
      </c>
      <c r="D177" s="188" t="s">
        <v>610</v>
      </c>
      <c r="E177" s="187">
        <v>1.0</v>
      </c>
      <c r="F177" s="185"/>
      <c r="G177" s="181">
        <f t="shared" si="1"/>
        <v>1.5</v>
      </c>
      <c r="H177" s="29">
        <f t="shared" si="2"/>
        <v>1.3</v>
      </c>
      <c r="I177" s="30">
        <f t="shared" si="3"/>
        <v>1.3</v>
      </c>
      <c r="J177" s="31">
        <f t="shared" si="4"/>
        <v>1.2</v>
      </c>
      <c r="K177" s="30">
        <f t="shared" si="5"/>
        <v>1.15</v>
      </c>
      <c r="L177" s="31">
        <f t="shared" si="6"/>
        <v>1.1</v>
      </c>
      <c r="M177" s="32"/>
      <c r="N177" s="33"/>
    </row>
    <row r="178" ht="15.75" customHeight="1">
      <c r="A178" s="21"/>
      <c r="B178" s="70"/>
      <c r="C178" s="188" t="s">
        <v>611</v>
      </c>
      <c r="D178" s="188" t="s">
        <v>612</v>
      </c>
      <c r="E178" s="187">
        <v>1.0</v>
      </c>
      <c r="F178" s="185"/>
      <c r="G178" s="181">
        <f t="shared" si="1"/>
        <v>1.5</v>
      </c>
      <c r="H178" s="29">
        <f t="shared" si="2"/>
        <v>1.3</v>
      </c>
      <c r="I178" s="30">
        <f t="shared" si="3"/>
        <v>1.3</v>
      </c>
      <c r="J178" s="31">
        <f t="shared" si="4"/>
        <v>1.2</v>
      </c>
      <c r="K178" s="30">
        <f t="shared" si="5"/>
        <v>1.15</v>
      </c>
      <c r="L178" s="31">
        <f t="shared" si="6"/>
        <v>1.1</v>
      </c>
      <c r="M178" s="32"/>
      <c r="N178" s="33"/>
    </row>
    <row r="179" ht="15.75" customHeight="1">
      <c r="A179" s="21"/>
      <c r="B179" s="70"/>
      <c r="C179" s="188" t="s">
        <v>613</v>
      </c>
      <c r="D179" s="188" t="s">
        <v>614</v>
      </c>
      <c r="E179" s="187">
        <v>1.0</v>
      </c>
      <c r="F179" s="185"/>
      <c r="G179" s="181">
        <f t="shared" si="1"/>
        <v>1.5</v>
      </c>
      <c r="H179" s="29">
        <f t="shared" si="2"/>
        <v>1.3</v>
      </c>
      <c r="I179" s="30">
        <f t="shared" si="3"/>
        <v>1.3</v>
      </c>
      <c r="J179" s="31">
        <f t="shared" si="4"/>
        <v>1.2</v>
      </c>
      <c r="K179" s="30">
        <f t="shared" si="5"/>
        <v>1.15</v>
      </c>
      <c r="L179" s="31">
        <f t="shared" si="6"/>
        <v>1.1</v>
      </c>
      <c r="M179" s="32"/>
      <c r="N179" s="33"/>
    </row>
    <row r="180" ht="15.75" customHeight="1">
      <c r="A180" s="21"/>
      <c r="B180" s="70"/>
      <c r="C180" s="188" t="s">
        <v>615</v>
      </c>
      <c r="D180" s="188" t="s">
        <v>616</v>
      </c>
      <c r="E180" s="187">
        <v>1.0</v>
      </c>
      <c r="F180" s="185"/>
      <c r="G180" s="181">
        <f t="shared" si="1"/>
        <v>1.5</v>
      </c>
      <c r="H180" s="29">
        <f t="shared" si="2"/>
        <v>1.3</v>
      </c>
      <c r="I180" s="30">
        <f t="shared" si="3"/>
        <v>1.3</v>
      </c>
      <c r="J180" s="31">
        <f t="shared" si="4"/>
        <v>1.2</v>
      </c>
      <c r="K180" s="30">
        <f t="shared" si="5"/>
        <v>1.15</v>
      </c>
      <c r="L180" s="31">
        <f t="shared" si="6"/>
        <v>1.1</v>
      </c>
      <c r="M180" s="32"/>
      <c r="N180" s="33"/>
    </row>
    <row r="181" ht="15.75" customHeight="1">
      <c r="A181" s="21"/>
      <c r="B181" s="70"/>
      <c r="C181" s="188" t="s">
        <v>617</v>
      </c>
      <c r="D181" s="188" t="s">
        <v>618</v>
      </c>
      <c r="E181" s="187">
        <v>1.0</v>
      </c>
      <c r="F181" s="185"/>
      <c r="G181" s="181">
        <f t="shared" si="1"/>
        <v>1.5</v>
      </c>
      <c r="H181" s="29">
        <f t="shared" si="2"/>
        <v>1.3</v>
      </c>
      <c r="I181" s="30">
        <f t="shared" si="3"/>
        <v>1.3</v>
      </c>
      <c r="J181" s="31">
        <f t="shared" si="4"/>
        <v>1.2</v>
      </c>
      <c r="K181" s="30">
        <f t="shared" si="5"/>
        <v>1.15</v>
      </c>
      <c r="L181" s="31">
        <f t="shared" si="6"/>
        <v>1.1</v>
      </c>
      <c r="M181" s="32"/>
      <c r="N181" s="33"/>
    </row>
    <row r="182" ht="15.75" customHeight="1">
      <c r="A182" s="21"/>
      <c r="B182" s="70"/>
      <c r="C182" s="188" t="s">
        <v>619</v>
      </c>
      <c r="D182" s="188" t="s">
        <v>620</v>
      </c>
      <c r="E182" s="187">
        <v>1.0</v>
      </c>
      <c r="F182" s="185"/>
      <c r="G182" s="181">
        <f t="shared" si="1"/>
        <v>1.5</v>
      </c>
      <c r="H182" s="29">
        <f t="shared" si="2"/>
        <v>1.3</v>
      </c>
      <c r="I182" s="30">
        <f t="shared" si="3"/>
        <v>1.3</v>
      </c>
      <c r="J182" s="31">
        <f t="shared" si="4"/>
        <v>1.2</v>
      </c>
      <c r="K182" s="30">
        <f t="shared" si="5"/>
        <v>1.15</v>
      </c>
      <c r="L182" s="31">
        <f t="shared" si="6"/>
        <v>1.1</v>
      </c>
      <c r="M182" s="32"/>
      <c r="N182" s="33"/>
    </row>
    <row r="183" ht="15.75" customHeight="1">
      <c r="A183" s="21"/>
      <c r="B183" s="70"/>
      <c r="C183" s="188" t="s">
        <v>621</v>
      </c>
      <c r="D183" s="188" t="s">
        <v>622</v>
      </c>
      <c r="E183" s="187">
        <v>1.0</v>
      </c>
      <c r="F183" s="185"/>
      <c r="G183" s="181">
        <f t="shared" si="1"/>
        <v>1.5</v>
      </c>
      <c r="H183" s="29">
        <f t="shared" si="2"/>
        <v>1.3</v>
      </c>
      <c r="I183" s="30">
        <f t="shared" si="3"/>
        <v>1.3</v>
      </c>
      <c r="J183" s="31">
        <f t="shared" si="4"/>
        <v>1.2</v>
      </c>
      <c r="K183" s="30">
        <f t="shared" si="5"/>
        <v>1.15</v>
      </c>
      <c r="L183" s="31">
        <f t="shared" si="6"/>
        <v>1.1</v>
      </c>
      <c r="M183" s="32"/>
      <c r="N183" s="33"/>
    </row>
    <row r="184" ht="15.75" customHeight="1">
      <c r="A184" s="21"/>
      <c r="B184" s="70"/>
      <c r="C184" s="186" t="s">
        <v>623</v>
      </c>
      <c r="D184" s="188" t="s">
        <v>624</v>
      </c>
      <c r="E184" s="187">
        <v>1.0</v>
      </c>
      <c r="F184" s="185"/>
      <c r="G184" s="181">
        <f t="shared" si="1"/>
        <v>1.5</v>
      </c>
      <c r="H184" s="29">
        <f t="shared" si="2"/>
        <v>1.3</v>
      </c>
      <c r="I184" s="30">
        <f t="shared" si="3"/>
        <v>1.3</v>
      </c>
      <c r="J184" s="31">
        <f t="shared" si="4"/>
        <v>1.2</v>
      </c>
      <c r="K184" s="30">
        <f t="shared" si="5"/>
        <v>1.15</v>
      </c>
      <c r="L184" s="31">
        <f t="shared" si="6"/>
        <v>1.1</v>
      </c>
      <c r="M184" s="32"/>
      <c r="N184" s="33"/>
    </row>
    <row r="185" ht="15.75" customHeight="1">
      <c r="A185" s="21"/>
      <c r="B185" s="70"/>
      <c r="C185" s="186" t="s">
        <v>625</v>
      </c>
      <c r="D185" s="188" t="s">
        <v>626</v>
      </c>
      <c r="E185" s="187">
        <v>1.0</v>
      </c>
      <c r="F185" s="185"/>
      <c r="G185" s="181">
        <f t="shared" si="1"/>
        <v>1.5</v>
      </c>
      <c r="H185" s="29">
        <f t="shared" si="2"/>
        <v>1.3</v>
      </c>
      <c r="I185" s="30">
        <f t="shared" si="3"/>
        <v>1.3</v>
      </c>
      <c r="J185" s="31">
        <f t="shared" si="4"/>
        <v>1.2</v>
      </c>
      <c r="K185" s="30">
        <f t="shared" si="5"/>
        <v>1.15</v>
      </c>
      <c r="L185" s="31">
        <f t="shared" si="6"/>
        <v>1.1</v>
      </c>
      <c r="M185" s="32"/>
      <c r="N185" s="33"/>
    </row>
    <row r="186" ht="15.75" customHeight="1">
      <c r="A186" s="21"/>
      <c r="B186" s="70"/>
      <c r="C186" s="186" t="s">
        <v>627</v>
      </c>
      <c r="D186" s="188" t="s">
        <v>628</v>
      </c>
      <c r="E186" s="187">
        <v>1.0</v>
      </c>
      <c r="F186" s="185"/>
      <c r="G186" s="181">
        <f t="shared" si="1"/>
        <v>1.5</v>
      </c>
      <c r="H186" s="29">
        <f t="shared" si="2"/>
        <v>1.3</v>
      </c>
      <c r="I186" s="30">
        <f t="shared" si="3"/>
        <v>1.3</v>
      </c>
      <c r="J186" s="31">
        <f t="shared" si="4"/>
        <v>1.2</v>
      </c>
      <c r="K186" s="30">
        <f t="shared" si="5"/>
        <v>1.15</v>
      </c>
      <c r="L186" s="31">
        <f t="shared" si="6"/>
        <v>1.1</v>
      </c>
      <c r="M186" s="32"/>
      <c r="N186" s="33"/>
    </row>
    <row r="187" ht="15.75" customHeight="1">
      <c r="A187" s="21"/>
      <c r="B187" s="70"/>
      <c r="C187" s="186" t="s">
        <v>629</v>
      </c>
      <c r="D187" s="188" t="s">
        <v>630</v>
      </c>
      <c r="E187" s="187">
        <v>1.0</v>
      </c>
      <c r="F187" s="185"/>
      <c r="G187" s="181">
        <f t="shared" si="1"/>
        <v>1.5</v>
      </c>
      <c r="H187" s="29">
        <f t="shared" si="2"/>
        <v>1.3</v>
      </c>
      <c r="I187" s="30">
        <f t="shared" si="3"/>
        <v>1.3</v>
      </c>
      <c r="J187" s="31">
        <f t="shared" si="4"/>
        <v>1.2</v>
      </c>
      <c r="K187" s="30">
        <f t="shared" si="5"/>
        <v>1.15</v>
      </c>
      <c r="L187" s="31">
        <f t="shared" si="6"/>
        <v>1.1</v>
      </c>
      <c r="M187" s="32"/>
      <c r="N187" s="33"/>
    </row>
    <row r="188" ht="15.75" customHeight="1">
      <c r="A188" s="21"/>
      <c r="B188" s="70"/>
      <c r="C188" s="186" t="s">
        <v>631</v>
      </c>
      <c r="D188" s="188" t="s">
        <v>632</v>
      </c>
      <c r="E188" s="187">
        <v>1.0</v>
      </c>
      <c r="F188" s="185"/>
      <c r="G188" s="181">
        <f t="shared" si="1"/>
        <v>1.5</v>
      </c>
      <c r="H188" s="29">
        <f t="shared" si="2"/>
        <v>1.3</v>
      </c>
      <c r="I188" s="30">
        <f t="shared" si="3"/>
        <v>1.3</v>
      </c>
      <c r="J188" s="31">
        <f t="shared" si="4"/>
        <v>1.2</v>
      </c>
      <c r="K188" s="30">
        <f t="shared" si="5"/>
        <v>1.15</v>
      </c>
      <c r="L188" s="31">
        <f t="shared" si="6"/>
        <v>1.1</v>
      </c>
      <c r="M188" s="32"/>
      <c r="N188" s="33"/>
    </row>
    <row r="189" ht="15.75" customHeight="1">
      <c r="A189" s="21"/>
      <c r="B189" s="70"/>
      <c r="C189" s="188" t="s">
        <v>633</v>
      </c>
      <c r="D189" s="188" t="s">
        <v>634</v>
      </c>
      <c r="E189" s="187">
        <v>1.0</v>
      </c>
      <c r="F189" s="185"/>
      <c r="G189" s="181">
        <f t="shared" si="1"/>
        <v>1.5</v>
      </c>
      <c r="H189" s="29">
        <f t="shared" si="2"/>
        <v>1.3</v>
      </c>
      <c r="I189" s="30">
        <f t="shared" si="3"/>
        <v>1.3</v>
      </c>
      <c r="J189" s="31">
        <f t="shared" si="4"/>
        <v>1.2</v>
      </c>
      <c r="K189" s="30">
        <f t="shared" si="5"/>
        <v>1.15</v>
      </c>
      <c r="L189" s="31">
        <f t="shared" si="6"/>
        <v>1.1</v>
      </c>
      <c r="M189" s="32"/>
      <c r="N189" s="33"/>
    </row>
    <row r="190" ht="15.75" customHeight="1">
      <c r="A190" s="21"/>
      <c r="B190" s="70"/>
      <c r="C190" s="188" t="s">
        <v>635</v>
      </c>
      <c r="D190" s="188" t="s">
        <v>636</v>
      </c>
      <c r="E190" s="187">
        <v>1.0</v>
      </c>
      <c r="F190" s="185"/>
      <c r="G190" s="181">
        <f t="shared" si="1"/>
        <v>1.5</v>
      </c>
      <c r="H190" s="29">
        <f t="shared" si="2"/>
        <v>1.3</v>
      </c>
      <c r="I190" s="30">
        <f t="shared" si="3"/>
        <v>1.3</v>
      </c>
      <c r="J190" s="31">
        <f t="shared" si="4"/>
        <v>1.2</v>
      </c>
      <c r="K190" s="30">
        <f t="shared" si="5"/>
        <v>1.15</v>
      </c>
      <c r="L190" s="31">
        <f t="shared" si="6"/>
        <v>1.1</v>
      </c>
      <c r="M190" s="32"/>
      <c r="N190" s="33"/>
    </row>
    <row r="191" ht="15.75" customHeight="1">
      <c r="A191" s="21"/>
      <c r="B191" s="70"/>
      <c r="C191" s="188" t="s">
        <v>637</v>
      </c>
      <c r="D191" s="188" t="s">
        <v>638</v>
      </c>
      <c r="E191" s="187">
        <v>1.0</v>
      </c>
      <c r="F191" s="185"/>
      <c r="G191" s="181">
        <f t="shared" si="1"/>
        <v>1.5</v>
      </c>
      <c r="H191" s="29">
        <f t="shared" si="2"/>
        <v>1.3</v>
      </c>
      <c r="I191" s="30">
        <f t="shared" si="3"/>
        <v>1.3</v>
      </c>
      <c r="J191" s="31">
        <f t="shared" si="4"/>
        <v>1.2</v>
      </c>
      <c r="K191" s="30">
        <f t="shared" si="5"/>
        <v>1.15</v>
      </c>
      <c r="L191" s="31">
        <f t="shared" si="6"/>
        <v>1.1</v>
      </c>
      <c r="M191" s="32"/>
      <c r="N191" s="33"/>
    </row>
    <row r="192" ht="15.75" customHeight="1">
      <c r="A192" s="21"/>
      <c r="B192" s="70"/>
      <c r="C192" s="188" t="s">
        <v>639</v>
      </c>
      <c r="D192" s="188" t="s">
        <v>640</v>
      </c>
      <c r="E192" s="187">
        <v>1.0</v>
      </c>
      <c r="F192" s="185"/>
      <c r="G192" s="181">
        <f t="shared" si="1"/>
        <v>1.5</v>
      </c>
      <c r="H192" s="29">
        <f t="shared" si="2"/>
        <v>1.3</v>
      </c>
      <c r="I192" s="30">
        <f t="shared" si="3"/>
        <v>1.3</v>
      </c>
      <c r="J192" s="31">
        <f t="shared" si="4"/>
        <v>1.2</v>
      </c>
      <c r="K192" s="30">
        <f t="shared" si="5"/>
        <v>1.15</v>
      </c>
      <c r="L192" s="31">
        <f t="shared" si="6"/>
        <v>1.1</v>
      </c>
      <c r="M192" s="32"/>
      <c r="N192" s="33"/>
    </row>
    <row r="193" ht="15.75" customHeight="1">
      <c r="A193" s="21"/>
      <c r="B193" s="70"/>
      <c r="C193" s="188" t="s">
        <v>641</v>
      </c>
      <c r="D193" s="188" t="s">
        <v>642</v>
      </c>
      <c r="E193" s="187">
        <v>1.0</v>
      </c>
      <c r="F193" s="185"/>
      <c r="G193" s="181">
        <f t="shared" si="1"/>
        <v>1.5</v>
      </c>
      <c r="H193" s="29">
        <f t="shared" si="2"/>
        <v>1.3</v>
      </c>
      <c r="I193" s="30">
        <f t="shared" si="3"/>
        <v>1.3</v>
      </c>
      <c r="J193" s="31">
        <f t="shared" si="4"/>
        <v>1.2</v>
      </c>
      <c r="K193" s="30">
        <f t="shared" si="5"/>
        <v>1.15</v>
      </c>
      <c r="L193" s="31">
        <f t="shared" si="6"/>
        <v>1.1</v>
      </c>
      <c r="M193" s="32"/>
      <c r="N193" s="33"/>
    </row>
    <row r="194" ht="15.75" customHeight="1">
      <c r="A194" s="21"/>
      <c r="B194" s="70"/>
      <c r="C194" s="188" t="s">
        <v>643</v>
      </c>
      <c r="D194" s="188" t="s">
        <v>164</v>
      </c>
      <c r="E194" s="187">
        <v>9.0</v>
      </c>
      <c r="F194" s="185"/>
      <c r="G194" s="181">
        <f t="shared" si="1"/>
        <v>13.5</v>
      </c>
      <c r="H194" s="29">
        <f t="shared" si="2"/>
        <v>11.7</v>
      </c>
      <c r="I194" s="30">
        <f t="shared" si="3"/>
        <v>11.7</v>
      </c>
      <c r="J194" s="31">
        <f t="shared" si="4"/>
        <v>10.8</v>
      </c>
      <c r="K194" s="30">
        <f t="shared" si="5"/>
        <v>10.35</v>
      </c>
      <c r="L194" s="31">
        <f t="shared" si="6"/>
        <v>9.9</v>
      </c>
      <c r="M194" s="32"/>
      <c r="N194" s="33"/>
    </row>
    <row r="195" ht="15.75" customHeight="1">
      <c r="A195" s="21"/>
      <c r="B195" s="70"/>
      <c r="C195" s="188" t="s">
        <v>644</v>
      </c>
      <c r="D195" s="188" t="s">
        <v>645</v>
      </c>
      <c r="E195" s="187">
        <v>1.0</v>
      </c>
      <c r="F195" s="185"/>
      <c r="G195" s="181">
        <f t="shared" si="1"/>
        <v>1.5</v>
      </c>
      <c r="H195" s="29">
        <f t="shared" si="2"/>
        <v>1.3</v>
      </c>
      <c r="I195" s="30">
        <f t="shared" si="3"/>
        <v>1.3</v>
      </c>
      <c r="J195" s="31">
        <f t="shared" si="4"/>
        <v>1.2</v>
      </c>
      <c r="K195" s="30">
        <f t="shared" si="5"/>
        <v>1.15</v>
      </c>
      <c r="L195" s="31">
        <f t="shared" si="6"/>
        <v>1.1</v>
      </c>
      <c r="M195" s="32"/>
      <c r="N195" s="33"/>
    </row>
    <row r="196" ht="15.75" customHeight="1">
      <c r="A196" s="21"/>
      <c r="B196" s="70"/>
      <c r="C196" s="186" t="s">
        <v>646</v>
      </c>
      <c r="D196" s="188" t="s">
        <v>647</v>
      </c>
      <c r="E196" s="187">
        <v>1.0</v>
      </c>
      <c r="F196" s="185"/>
      <c r="G196" s="181">
        <f t="shared" si="1"/>
        <v>1.5</v>
      </c>
      <c r="H196" s="29">
        <f t="shared" si="2"/>
        <v>1.3</v>
      </c>
      <c r="I196" s="30">
        <f t="shared" si="3"/>
        <v>1.3</v>
      </c>
      <c r="J196" s="31">
        <f t="shared" si="4"/>
        <v>1.2</v>
      </c>
      <c r="K196" s="30">
        <f t="shared" si="5"/>
        <v>1.15</v>
      </c>
      <c r="L196" s="31">
        <f t="shared" si="6"/>
        <v>1.1</v>
      </c>
      <c r="M196" s="32"/>
      <c r="N196" s="33"/>
    </row>
    <row r="197" ht="15.75" customHeight="1">
      <c r="A197" s="21"/>
      <c r="B197" s="70"/>
      <c r="C197" s="186" t="s">
        <v>648</v>
      </c>
      <c r="D197" s="188" t="s">
        <v>649</v>
      </c>
      <c r="E197" s="187">
        <v>1.0</v>
      </c>
      <c r="F197" s="185"/>
      <c r="G197" s="181">
        <f t="shared" si="1"/>
        <v>1.5</v>
      </c>
      <c r="H197" s="29">
        <f t="shared" si="2"/>
        <v>1.3</v>
      </c>
      <c r="I197" s="30">
        <f t="shared" si="3"/>
        <v>1.3</v>
      </c>
      <c r="J197" s="31">
        <f t="shared" si="4"/>
        <v>1.2</v>
      </c>
      <c r="K197" s="30">
        <f t="shared" si="5"/>
        <v>1.15</v>
      </c>
      <c r="L197" s="31">
        <f t="shared" si="6"/>
        <v>1.1</v>
      </c>
      <c r="M197" s="32"/>
      <c r="N197" s="33"/>
    </row>
    <row r="198" ht="15.75" customHeight="1">
      <c r="A198" s="21"/>
      <c r="B198" s="70"/>
      <c r="C198" s="188" t="s">
        <v>650</v>
      </c>
      <c r="D198" s="188" t="s">
        <v>651</v>
      </c>
      <c r="E198" s="187">
        <v>9.0</v>
      </c>
      <c r="F198" s="185"/>
      <c r="G198" s="181">
        <f t="shared" si="1"/>
        <v>13.5</v>
      </c>
      <c r="H198" s="29">
        <f t="shared" si="2"/>
        <v>11.7</v>
      </c>
      <c r="I198" s="30">
        <f t="shared" si="3"/>
        <v>11.7</v>
      </c>
      <c r="J198" s="31">
        <f t="shared" si="4"/>
        <v>10.8</v>
      </c>
      <c r="K198" s="30">
        <f t="shared" si="5"/>
        <v>10.35</v>
      </c>
      <c r="L198" s="31">
        <f t="shared" si="6"/>
        <v>9.9</v>
      </c>
      <c r="M198" s="32"/>
      <c r="N198" s="33"/>
    </row>
    <row r="199" ht="15.75" customHeight="1">
      <c r="A199" s="21"/>
      <c r="B199" s="70"/>
      <c r="C199" s="186" t="s">
        <v>652</v>
      </c>
      <c r="D199" s="188" t="s">
        <v>653</v>
      </c>
      <c r="E199" s="187">
        <v>1.0</v>
      </c>
      <c r="F199" s="185"/>
      <c r="G199" s="181">
        <f t="shared" si="1"/>
        <v>1.5</v>
      </c>
      <c r="H199" s="29">
        <f t="shared" si="2"/>
        <v>1.3</v>
      </c>
      <c r="I199" s="30">
        <f t="shared" si="3"/>
        <v>1.3</v>
      </c>
      <c r="J199" s="31">
        <f t="shared" si="4"/>
        <v>1.2</v>
      </c>
      <c r="K199" s="30">
        <f t="shared" si="5"/>
        <v>1.15</v>
      </c>
      <c r="L199" s="31">
        <f t="shared" si="6"/>
        <v>1.1</v>
      </c>
      <c r="M199" s="32"/>
      <c r="N199" s="33"/>
    </row>
    <row r="200" ht="15.75" customHeight="1">
      <c r="A200" s="21"/>
      <c r="B200" s="70"/>
      <c r="C200" s="186" t="s">
        <v>654</v>
      </c>
      <c r="D200" s="188" t="s">
        <v>655</v>
      </c>
      <c r="E200" s="187">
        <v>1.0</v>
      </c>
      <c r="F200" s="185"/>
      <c r="G200" s="181">
        <f t="shared" si="1"/>
        <v>1.5</v>
      </c>
      <c r="H200" s="29">
        <f t="shared" si="2"/>
        <v>1.3</v>
      </c>
      <c r="I200" s="30">
        <f t="shared" si="3"/>
        <v>1.3</v>
      </c>
      <c r="J200" s="31">
        <f t="shared" si="4"/>
        <v>1.2</v>
      </c>
      <c r="K200" s="30">
        <f t="shared" si="5"/>
        <v>1.15</v>
      </c>
      <c r="L200" s="31">
        <f t="shared" si="6"/>
        <v>1.1</v>
      </c>
      <c r="M200" s="32"/>
      <c r="N200" s="33"/>
    </row>
    <row r="201" ht="15.75" customHeight="1">
      <c r="A201" s="21"/>
      <c r="B201" s="70"/>
      <c r="C201" s="186" t="s">
        <v>656</v>
      </c>
      <c r="D201" s="188" t="s">
        <v>657</v>
      </c>
      <c r="E201" s="187">
        <v>1.0</v>
      </c>
      <c r="F201" s="185"/>
      <c r="G201" s="181">
        <f t="shared" si="1"/>
        <v>1.5</v>
      </c>
      <c r="H201" s="29">
        <f t="shared" si="2"/>
        <v>1.3</v>
      </c>
      <c r="I201" s="30">
        <f t="shared" si="3"/>
        <v>1.3</v>
      </c>
      <c r="J201" s="31">
        <f t="shared" si="4"/>
        <v>1.2</v>
      </c>
      <c r="K201" s="30">
        <f t="shared" si="5"/>
        <v>1.15</v>
      </c>
      <c r="L201" s="31">
        <f t="shared" si="6"/>
        <v>1.1</v>
      </c>
      <c r="M201" s="32"/>
      <c r="N201" s="33"/>
    </row>
    <row r="202" ht="15.75" customHeight="1">
      <c r="A202" s="21"/>
      <c r="B202" s="70"/>
      <c r="C202" s="188" t="s">
        <v>658</v>
      </c>
      <c r="D202" s="188" t="s">
        <v>659</v>
      </c>
      <c r="E202" s="187">
        <v>1.0</v>
      </c>
      <c r="F202" s="185"/>
      <c r="G202" s="181">
        <f t="shared" si="1"/>
        <v>1.5</v>
      </c>
      <c r="H202" s="29">
        <f t="shared" si="2"/>
        <v>1.3</v>
      </c>
      <c r="I202" s="30">
        <f t="shared" si="3"/>
        <v>1.3</v>
      </c>
      <c r="J202" s="31">
        <f t="shared" si="4"/>
        <v>1.2</v>
      </c>
      <c r="K202" s="30">
        <f t="shared" si="5"/>
        <v>1.15</v>
      </c>
      <c r="L202" s="31">
        <f t="shared" si="6"/>
        <v>1.1</v>
      </c>
      <c r="M202" s="32"/>
      <c r="N202" s="33"/>
    </row>
    <row r="203" ht="15.75" customHeight="1">
      <c r="A203" s="21"/>
      <c r="B203" s="70"/>
      <c r="C203" s="188" t="s">
        <v>660</v>
      </c>
      <c r="D203" s="188" t="s">
        <v>661</v>
      </c>
      <c r="E203" s="187">
        <v>1.0</v>
      </c>
      <c r="F203" s="185"/>
      <c r="G203" s="181">
        <f t="shared" si="1"/>
        <v>1.5</v>
      </c>
      <c r="H203" s="29">
        <f t="shared" si="2"/>
        <v>1.3</v>
      </c>
      <c r="I203" s="30">
        <f t="shared" si="3"/>
        <v>1.3</v>
      </c>
      <c r="J203" s="31">
        <f t="shared" si="4"/>
        <v>1.2</v>
      </c>
      <c r="K203" s="30">
        <f t="shared" si="5"/>
        <v>1.15</v>
      </c>
      <c r="L203" s="31">
        <f t="shared" si="6"/>
        <v>1.1</v>
      </c>
      <c r="M203" s="32"/>
      <c r="N203" s="33"/>
    </row>
    <row r="204" ht="15.75" customHeight="1">
      <c r="A204" s="21"/>
      <c r="B204" s="70"/>
      <c r="C204" s="188" t="s">
        <v>662</v>
      </c>
      <c r="D204" s="188" t="s">
        <v>663</v>
      </c>
      <c r="E204" s="187">
        <v>1.0</v>
      </c>
      <c r="F204" s="185"/>
      <c r="G204" s="181">
        <f t="shared" si="1"/>
        <v>1.5</v>
      </c>
      <c r="H204" s="29">
        <f t="shared" si="2"/>
        <v>1.3</v>
      </c>
      <c r="I204" s="30">
        <f t="shared" si="3"/>
        <v>1.3</v>
      </c>
      <c r="J204" s="31">
        <f t="shared" si="4"/>
        <v>1.2</v>
      </c>
      <c r="K204" s="30">
        <f t="shared" si="5"/>
        <v>1.15</v>
      </c>
      <c r="L204" s="31">
        <f t="shared" si="6"/>
        <v>1.1</v>
      </c>
      <c r="M204" s="32"/>
      <c r="N204" s="33"/>
    </row>
    <row r="205" ht="15.75" customHeight="1">
      <c r="A205" s="21"/>
      <c r="B205" s="70"/>
      <c r="C205" s="188" t="s">
        <v>664</v>
      </c>
      <c r="D205" s="188" t="s">
        <v>665</v>
      </c>
      <c r="E205" s="187">
        <v>1.0</v>
      </c>
      <c r="F205" s="185"/>
      <c r="G205" s="181">
        <f t="shared" si="1"/>
        <v>1.5</v>
      </c>
      <c r="H205" s="29">
        <f t="shared" si="2"/>
        <v>1.3</v>
      </c>
      <c r="I205" s="30">
        <f t="shared" si="3"/>
        <v>1.3</v>
      </c>
      <c r="J205" s="31">
        <f t="shared" si="4"/>
        <v>1.2</v>
      </c>
      <c r="K205" s="30">
        <f t="shared" si="5"/>
        <v>1.15</v>
      </c>
      <c r="L205" s="31">
        <f t="shared" si="6"/>
        <v>1.1</v>
      </c>
      <c r="M205" s="32"/>
      <c r="N205" s="33"/>
    </row>
    <row r="206" ht="15.75" customHeight="1">
      <c r="A206" s="21"/>
      <c r="B206" s="70"/>
      <c r="C206" s="188" t="s">
        <v>666</v>
      </c>
      <c r="D206" s="188" t="s">
        <v>667</v>
      </c>
      <c r="E206" s="187">
        <v>1.0</v>
      </c>
      <c r="F206" s="185"/>
      <c r="G206" s="181">
        <f t="shared" si="1"/>
        <v>1.5</v>
      </c>
      <c r="H206" s="29">
        <f t="shared" si="2"/>
        <v>1.3</v>
      </c>
      <c r="I206" s="30">
        <f t="shared" si="3"/>
        <v>1.3</v>
      </c>
      <c r="J206" s="31">
        <f t="shared" si="4"/>
        <v>1.2</v>
      </c>
      <c r="K206" s="30">
        <f t="shared" si="5"/>
        <v>1.15</v>
      </c>
      <c r="L206" s="31">
        <f t="shared" si="6"/>
        <v>1.1</v>
      </c>
      <c r="M206" s="32"/>
      <c r="N206" s="33"/>
    </row>
    <row r="207" ht="15.75" customHeight="1">
      <c r="A207" s="21"/>
      <c r="B207" s="70"/>
      <c r="C207" s="188" t="s">
        <v>668</v>
      </c>
      <c r="D207" s="188" t="s">
        <v>669</v>
      </c>
      <c r="E207" s="187">
        <v>1.0</v>
      </c>
      <c r="F207" s="185"/>
      <c r="G207" s="181">
        <f t="shared" si="1"/>
        <v>1.5</v>
      </c>
      <c r="H207" s="29">
        <f t="shared" si="2"/>
        <v>1.3</v>
      </c>
      <c r="I207" s="30">
        <f t="shared" si="3"/>
        <v>1.3</v>
      </c>
      <c r="J207" s="31">
        <f t="shared" si="4"/>
        <v>1.2</v>
      </c>
      <c r="K207" s="30">
        <f t="shared" si="5"/>
        <v>1.15</v>
      </c>
      <c r="L207" s="31">
        <f t="shared" si="6"/>
        <v>1.1</v>
      </c>
      <c r="M207" s="32"/>
      <c r="N207" s="33"/>
    </row>
    <row r="208" ht="15.75" customHeight="1">
      <c r="A208" s="21"/>
      <c r="B208" s="70"/>
      <c r="C208" s="188" t="s">
        <v>670</v>
      </c>
      <c r="D208" s="188" t="s">
        <v>671</v>
      </c>
      <c r="E208" s="187">
        <v>1.0</v>
      </c>
      <c r="F208" s="185"/>
      <c r="G208" s="181">
        <f t="shared" si="1"/>
        <v>1.5</v>
      </c>
      <c r="H208" s="29">
        <f t="shared" si="2"/>
        <v>1.3</v>
      </c>
      <c r="I208" s="30">
        <f t="shared" si="3"/>
        <v>1.3</v>
      </c>
      <c r="J208" s="31">
        <f t="shared" si="4"/>
        <v>1.2</v>
      </c>
      <c r="K208" s="30">
        <f t="shared" si="5"/>
        <v>1.15</v>
      </c>
      <c r="L208" s="31">
        <f t="shared" si="6"/>
        <v>1.1</v>
      </c>
      <c r="M208" s="32"/>
      <c r="N208" s="33"/>
    </row>
    <row r="209" ht="15.75" customHeight="1">
      <c r="A209" s="21"/>
      <c r="B209" s="70"/>
      <c r="C209" s="188" t="s">
        <v>672</v>
      </c>
      <c r="D209" s="188" t="s">
        <v>673</v>
      </c>
      <c r="E209" s="187">
        <v>1.0</v>
      </c>
      <c r="F209" s="185"/>
      <c r="G209" s="181">
        <f t="shared" si="1"/>
        <v>1.5</v>
      </c>
      <c r="H209" s="29">
        <f t="shared" si="2"/>
        <v>1.3</v>
      </c>
      <c r="I209" s="30">
        <f t="shared" si="3"/>
        <v>1.3</v>
      </c>
      <c r="J209" s="31">
        <f t="shared" si="4"/>
        <v>1.2</v>
      </c>
      <c r="K209" s="30">
        <f t="shared" si="5"/>
        <v>1.15</v>
      </c>
      <c r="L209" s="31">
        <f t="shared" si="6"/>
        <v>1.1</v>
      </c>
      <c r="M209" s="32"/>
      <c r="N209" s="33"/>
    </row>
    <row r="210" ht="15.75" customHeight="1">
      <c r="A210" s="21"/>
      <c r="B210" s="70"/>
      <c r="C210" s="186" t="s">
        <v>674</v>
      </c>
      <c r="D210" s="188" t="s">
        <v>675</v>
      </c>
      <c r="E210" s="187">
        <v>1.0</v>
      </c>
      <c r="F210" s="185"/>
      <c r="G210" s="181">
        <f t="shared" si="1"/>
        <v>1.5</v>
      </c>
      <c r="H210" s="29">
        <f t="shared" si="2"/>
        <v>1.3</v>
      </c>
      <c r="I210" s="30">
        <f t="shared" si="3"/>
        <v>1.3</v>
      </c>
      <c r="J210" s="31">
        <f t="shared" si="4"/>
        <v>1.2</v>
      </c>
      <c r="K210" s="30">
        <f t="shared" si="5"/>
        <v>1.15</v>
      </c>
      <c r="L210" s="31">
        <f t="shared" si="6"/>
        <v>1.1</v>
      </c>
      <c r="M210" s="32"/>
      <c r="N210" s="33"/>
    </row>
    <row r="211" ht="15.75" customHeight="1">
      <c r="A211" s="21"/>
      <c r="B211" s="70"/>
      <c r="C211" s="186" t="s">
        <v>676</v>
      </c>
      <c r="D211" s="188" t="s">
        <v>677</v>
      </c>
      <c r="E211" s="187">
        <v>1.0</v>
      </c>
      <c r="F211" s="185"/>
      <c r="G211" s="181">
        <f t="shared" si="1"/>
        <v>1.5</v>
      </c>
      <c r="H211" s="29">
        <f t="shared" si="2"/>
        <v>1.3</v>
      </c>
      <c r="I211" s="30">
        <f t="shared" si="3"/>
        <v>1.3</v>
      </c>
      <c r="J211" s="31">
        <f t="shared" si="4"/>
        <v>1.2</v>
      </c>
      <c r="K211" s="30">
        <f t="shared" si="5"/>
        <v>1.15</v>
      </c>
      <c r="L211" s="31">
        <f t="shared" si="6"/>
        <v>1.1</v>
      </c>
      <c r="M211" s="32"/>
      <c r="N211" s="33"/>
    </row>
    <row r="212" ht="15.75" customHeight="1">
      <c r="A212" s="21"/>
      <c r="B212" s="70"/>
      <c r="C212" s="186" t="s">
        <v>678</v>
      </c>
      <c r="D212" s="188" t="s">
        <v>679</v>
      </c>
      <c r="E212" s="187">
        <v>1.0</v>
      </c>
      <c r="F212" s="185"/>
      <c r="G212" s="181">
        <f t="shared" si="1"/>
        <v>1.5</v>
      </c>
      <c r="H212" s="29">
        <f t="shared" si="2"/>
        <v>1.3</v>
      </c>
      <c r="I212" s="30">
        <f t="shared" si="3"/>
        <v>1.3</v>
      </c>
      <c r="J212" s="31">
        <f t="shared" si="4"/>
        <v>1.2</v>
      </c>
      <c r="K212" s="30">
        <f t="shared" si="5"/>
        <v>1.15</v>
      </c>
      <c r="L212" s="31">
        <f t="shared" si="6"/>
        <v>1.1</v>
      </c>
      <c r="M212" s="32"/>
      <c r="N212" s="33"/>
    </row>
    <row r="213" ht="15.75" customHeight="1">
      <c r="A213" s="21"/>
      <c r="B213" s="70"/>
      <c r="C213" s="186" t="s">
        <v>680</v>
      </c>
      <c r="D213" s="186" t="s">
        <v>681</v>
      </c>
      <c r="E213" s="187">
        <v>1.0</v>
      </c>
      <c r="F213" s="185"/>
      <c r="G213" s="181">
        <f t="shared" si="1"/>
        <v>1.5</v>
      </c>
      <c r="H213" s="29">
        <f t="shared" si="2"/>
        <v>1.3</v>
      </c>
      <c r="I213" s="30">
        <f t="shared" si="3"/>
        <v>1.3</v>
      </c>
      <c r="J213" s="31">
        <f t="shared" si="4"/>
        <v>1.2</v>
      </c>
      <c r="K213" s="30">
        <f t="shared" si="5"/>
        <v>1.15</v>
      </c>
      <c r="L213" s="31">
        <f t="shared" si="6"/>
        <v>1.1</v>
      </c>
      <c r="M213" s="32"/>
      <c r="N213" s="33"/>
    </row>
    <row r="214" ht="15.75" customHeight="1">
      <c r="A214" s="21"/>
      <c r="B214" s="70"/>
      <c r="C214" s="186" t="s">
        <v>682</v>
      </c>
      <c r="D214" s="188" t="s">
        <v>683</v>
      </c>
      <c r="E214" s="187">
        <v>2.0</v>
      </c>
      <c r="F214" s="185"/>
      <c r="G214" s="181">
        <f t="shared" si="1"/>
        <v>3</v>
      </c>
      <c r="H214" s="29">
        <f t="shared" si="2"/>
        <v>2.6</v>
      </c>
      <c r="I214" s="30">
        <f t="shared" si="3"/>
        <v>2.6</v>
      </c>
      <c r="J214" s="31">
        <f t="shared" si="4"/>
        <v>2.4</v>
      </c>
      <c r="K214" s="30">
        <f t="shared" si="5"/>
        <v>2.3</v>
      </c>
      <c r="L214" s="31">
        <f t="shared" si="6"/>
        <v>2.2</v>
      </c>
      <c r="M214" s="32"/>
      <c r="N214" s="33"/>
    </row>
    <row r="215" ht="15.75" customHeight="1">
      <c r="A215" s="21"/>
      <c r="B215" s="70"/>
      <c r="C215" s="186" t="s">
        <v>684</v>
      </c>
      <c r="D215" s="188" t="s">
        <v>685</v>
      </c>
      <c r="E215" s="187">
        <v>1.0</v>
      </c>
      <c r="F215" s="185"/>
      <c r="G215" s="181">
        <f t="shared" si="1"/>
        <v>1.5</v>
      </c>
      <c r="H215" s="29">
        <f t="shared" si="2"/>
        <v>1.3</v>
      </c>
      <c r="I215" s="30">
        <f t="shared" si="3"/>
        <v>1.3</v>
      </c>
      <c r="J215" s="31">
        <f t="shared" si="4"/>
        <v>1.2</v>
      </c>
      <c r="K215" s="30">
        <f t="shared" si="5"/>
        <v>1.15</v>
      </c>
      <c r="L215" s="31">
        <f t="shared" si="6"/>
        <v>1.1</v>
      </c>
      <c r="M215" s="32"/>
      <c r="N215" s="33"/>
    </row>
    <row r="216" ht="15.75" customHeight="1">
      <c r="A216" s="21"/>
      <c r="B216" s="70"/>
      <c r="C216" s="186" t="s">
        <v>686</v>
      </c>
      <c r="D216" s="188" t="s">
        <v>687</v>
      </c>
      <c r="E216" s="187">
        <v>1.0</v>
      </c>
      <c r="F216" s="185"/>
      <c r="G216" s="181">
        <f t="shared" si="1"/>
        <v>1.5</v>
      </c>
      <c r="H216" s="29">
        <f t="shared" si="2"/>
        <v>1.3</v>
      </c>
      <c r="I216" s="30">
        <f t="shared" si="3"/>
        <v>1.3</v>
      </c>
      <c r="J216" s="31">
        <f t="shared" si="4"/>
        <v>1.2</v>
      </c>
      <c r="K216" s="30">
        <f t="shared" si="5"/>
        <v>1.15</v>
      </c>
      <c r="L216" s="31">
        <f t="shared" si="6"/>
        <v>1.1</v>
      </c>
      <c r="M216" s="32"/>
      <c r="N216" s="33"/>
    </row>
    <row r="217" ht="15.75" customHeight="1">
      <c r="A217" s="21"/>
      <c r="B217" s="70"/>
      <c r="C217" s="186" t="s">
        <v>688</v>
      </c>
      <c r="D217" s="188" t="s">
        <v>689</v>
      </c>
      <c r="E217" s="187">
        <v>1.0</v>
      </c>
      <c r="F217" s="185"/>
      <c r="G217" s="181">
        <f t="shared" si="1"/>
        <v>1.5</v>
      </c>
      <c r="H217" s="29">
        <f t="shared" si="2"/>
        <v>1.3</v>
      </c>
      <c r="I217" s="30">
        <f t="shared" si="3"/>
        <v>1.3</v>
      </c>
      <c r="J217" s="31">
        <f t="shared" si="4"/>
        <v>1.2</v>
      </c>
      <c r="K217" s="30">
        <f t="shared" si="5"/>
        <v>1.15</v>
      </c>
      <c r="L217" s="31">
        <f t="shared" si="6"/>
        <v>1.1</v>
      </c>
      <c r="M217" s="32"/>
      <c r="N217" s="33"/>
    </row>
    <row r="218" ht="15.75" customHeight="1">
      <c r="A218" s="21"/>
      <c r="B218" s="70"/>
      <c r="C218" s="186" t="s">
        <v>690</v>
      </c>
      <c r="D218" s="188" t="s">
        <v>691</v>
      </c>
      <c r="E218" s="187">
        <v>1.0</v>
      </c>
      <c r="F218" s="185"/>
      <c r="G218" s="181">
        <f t="shared" si="1"/>
        <v>1.5</v>
      </c>
      <c r="H218" s="29">
        <f t="shared" si="2"/>
        <v>1.3</v>
      </c>
      <c r="I218" s="30">
        <f t="shared" si="3"/>
        <v>1.3</v>
      </c>
      <c r="J218" s="31">
        <f t="shared" si="4"/>
        <v>1.2</v>
      </c>
      <c r="K218" s="30">
        <f t="shared" si="5"/>
        <v>1.15</v>
      </c>
      <c r="L218" s="31">
        <f t="shared" si="6"/>
        <v>1.1</v>
      </c>
      <c r="M218" s="32"/>
      <c r="N218" s="33"/>
    </row>
    <row r="219" ht="15.75" customHeight="1">
      <c r="A219" s="21"/>
      <c r="B219" s="70"/>
      <c r="C219" s="186" t="s">
        <v>692</v>
      </c>
      <c r="D219" s="188" t="s">
        <v>693</v>
      </c>
      <c r="E219" s="187">
        <v>1.0</v>
      </c>
      <c r="F219" s="185"/>
      <c r="G219" s="181">
        <f t="shared" si="1"/>
        <v>1.5</v>
      </c>
      <c r="H219" s="29">
        <f t="shared" si="2"/>
        <v>1.3</v>
      </c>
      <c r="I219" s="30">
        <f t="shared" si="3"/>
        <v>1.3</v>
      </c>
      <c r="J219" s="31">
        <f t="shared" si="4"/>
        <v>1.2</v>
      </c>
      <c r="K219" s="30">
        <f t="shared" si="5"/>
        <v>1.15</v>
      </c>
      <c r="L219" s="31">
        <f t="shared" si="6"/>
        <v>1.1</v>
      </c>
      <c r="M219" s="32"/>
      <c r="N219" s="33"/>
    </row>
    <row r="220" ht="15.75" customHeight="1">
      <c r="A220" s="21"/>
      <c r="B220" s="70"/>
      <c r="C220" s="186" t="s">
        <v>694</v>
      </c>
      <c r="D220" s="188" t="s">
        <v>695</v>
      </c>
      <c r="E220" s="187">
        <v>1.0</v>
      </c>
      <c r="F220" s="185"/>
      <c r="G220" s="181">
        <f t="shared" si="1"/>
        <v>1.5</v>
      </c>
      <c r="H220" s="29">
        <f t="shared" si="2"/>
        <v>1.3</v>
      </c>
      <c r="I220" s="30">
        <f t="shared" si="3"/>
        <v>1.3</v>
      </c>
      <c r="J220" s="31">
        <f t="shared" si="4"/>
        <v>1.2</v>
      </c>
      <c r="K220" s="30">
        <f t="shared" si="5"/>
        <v>1.15</v>
      </c>
      <c r="L220" s="31">
        <f t="shared" si="6"/>
        <v>1.1</v>
      </c>
      <c r="M220" s="32"/>
      <c r="N220" s="33"/>
    </row>
    <row r="221" ht="15.75" customHeight="1">
      <c r="A221" s="21"/>
      <c r="B221" s="70"/>
      <c r="C221" s="186" t="s">
        <v>696</v>
      </c>
      <c r="D221" s="186" t="s">
        <v>697</v>
      </c>
      <c r="E221" s="187">
        <v>1.0</v>
      </c>
      <c r="F221" s="185"/>
      <c r="G221" s="181">
        <f t="shared" si="1"/>
        <v>1.5</v>
      </c>
      <c r="H221" s="29">
        <f t="shared" si="2"/>
        <v>1.3</v>
      </c>
      <c r="I221" s="30">
        <f t="shared" si="3"/>
        <v>1.3</v>
      </c>
      <c r="J221" s="31">
        <f t="shared" si="4"/>
        <v>1.2</v>
      </c>
      <c r="K221" s="30">
        <f t="shared" si="5"/>
        <v>1.15</v>
      </c>
      <c r="L221" s="31">
        <f t="shared" si="6"/>
        <v>1.1</v>
      </c>
      <c r="M221" s="32"/>
      <c r="N221" s="33"/>
    </row>
    <row r="222" ht="15.75" customHeight="1">
      <c r="A222" s="21"/>
      <c r="B222" s="70"/>
      <c r="C222" s="186" t="s">
        <v>698</v>
      </c>
      <c r="D222" s="186" t="s">
        <v>699</v>
      </c>
      <c r="E222" s="187">
        <v>1.0</v>
      </c>
      <c r="F222" s="185"/>
      <c r="G222" s="181">
        <f t="shared" si="1"/>
        <v>1.5</v>
      </c>
      <c r="H222" s="29">
        <f t="shared" si="2"/>
        <v>1.3</v>
      </c>
      <c r="I222" s="30">
        <f t="shared" si="3"/>
        <v>1.3</v>
      </c>
      <c r="J222" s="31">
        <f t="shared" si="4"/>
        <v>1.2</v>
      </c>
      <c r="K222" s="30">
        <f t="shared" si="5"/>
        <v>1.15</v>
      </c>
      <c r="L222" s="31">
        <f t="shared" si="6"/>
        <v>1.1</v>
      </c>
      <c r="M222" s="32"/>
      <c r="N222" s="33"/>
    </row>
    <row r="223" ht="15.75" customHeight="1">
      <c r="A223" s="21"/>
      <c r="B223" s="70"/>
      <c r="C223" s="186" t="s">
        <v>700</v>
      </c>
      <c r="D223" s="186" t="s">
        <v>701</v>
      </c>
      <c r="E223" s="187">
        <v>1.5</v>
      </c>
      <c r="F223" s="185"/>
      <c r="G223" s="181">
        <f t="shared" si="1"/>
        <v>2.25</v>
      </c>
      <c r="H223" s="29">
        <f t="shared" si="2"/>
        <v>1.95</v>
      </c>
      <c r="I223" s="30">
        <f t="shared" si="3"/>
        <v>1.95</v>
      </c>
      <c r="J223" s="31">
        <f t="shared" si="4"/>
        <v>1.8</v>
      </c>
      <c r="K223" s="30">
        <f t="shared" si="5"/>
        <v>1.725</v>
      </c>
      <c r="L223" s="31">
        <f t="shared" si="6"/>
        <v>1.65</v>
      </c>
      <c r="M223" s="32"/>
      <c r="N223" s="33"/>
    </row>
    <row r="224" ht="15.75" customHeight="1">
      <c r="A224" s="21"/>
      <c r="B224" s="70"/>
      <c r="C224" s="186" t="s">
        <v>702</v>
      </c>
      <c r="D224" s="186" t="s">
        <v>703</v>
      </c>
      <c r="E224" s="187">
        <v>70.0</v>
      </c>
      <c r="F224" s="185"/>
      <c r="G224" s="181">
        <f t="shared" si="1"/>
        <v>105</v>
      </c>
      <c r="H224" s="29">
        <f t="shared" si="2"/>
        <v>91</v>
      </c>
      <c r="I224" s="30">
        <f t="shared" si="3"/>
        <v>91</v>
      </c>
      <c r="J224" s="31">
        <f t="shared" si="4"/>
        <v>84</v>
      </c>
      <c r="K224" s="30">
        <f t="shared" si="5"/>
        <v>80.5</v>
      </c>
      <c r="L224" s="31">
        <f t="shared" si="6"/>
        <v>77</v>
      </c>
      <c r="M224" s="32"/>
      <c r="N224" s="33"/>
    </row>
    <row r="225" ht="15.75" customHeight="1">
      <c r="A225" s="21"/>
      <c r="B225" s="70"/>
      <c r="C225" s="186" t="s">
        <v>704</v>
      </c>
      <c r="D225" s="186" t="s">
        <v>705</v>
      </c>
      <c r="E225" s="187">
        <v>90.0</v>
      </c>
      <c r="F225" s="185"/>
      <c r="G225" s="181">
        <f t="shared" si="1"/>
        <v>135</v>
      </c>
      <c r="H225" s="29">
        <f t="shared" si="2"/>
        <v>117</v>
      </c>
      <c r="I225" s="30">
        <f t="shared" si="3"/>
        <v>117</v>
      </c>
      <c r="J225" s="31">
        <f t="shared" si="4"/>
        <v>108</v>
      </c>
      <c r="K225" s="30">
        <f t="shared" si="5"/>
        <v>103.5</v>
      </c>
      <c r="L225" s="31">
        <f t="shared" si="6"/>
        <v>99</v>
      </c>
      <c r="M225" s="32"/>
      <c r="N225" s="33"/>
    </row>
    <row r="226" ht="15.75" customHeight="1">
      <c r="A226" s="21"/>
      <c r="B226" s="70"/>
      <c r="C226" s="186" t="s">
        <v>706</v>
      </c>
      <c r="D226" s="186" t="s">
        <v>707</v>
      </c>
      <c r="E226" s="187">
        <v>1.0</v>
      </c>
      <c r="F226" s="185"/>
      <c r="G226" s="181">
        <f t="shared" si="1"/>
        <v>1.5</v>
      </c>
      <c r="H226" s="29">
        <f t="shared" si="2"/>
        <v>1.3</v>
      </c>
      <c r="I226" s="30">
        <f t="shared" si="3"/>
        <v>1.3</v>
      </c>
      <c r="J226" s="31">
        <f t="shared" si="4"/>
        <v>1.2</v>
      </c>
      <c r="K226" s="30">
        <f t="shared" si="5"/>
        <v>1.15</v>
      </c>
      <c r="L226" s="31">
        <f t="shared" si="6"/>
        <v>1.1</v>
      </c>
      <c r="M226" s="32"/>
      <c r="N226" s="33"/>
    </row>
    <row r="227" ht="15.75" customHeight="1">
      <c r="A227" s="21"/>
      <c r="B227" s="70"/>
      <c r="C227" s="186" t="s">
        <v>708</v>
      </c>
      <c r="D227" s="186" t="s">
        <v>709</v>
      </c>
      <c r="E227" s="187">
        <v>1.0</v>
      </c>
      <c r="F227" s="185"/>
      <c r="G227" s="181">
        <f t="shared" si="1"/>
        <v>1.5</v>
      </c>
      <c r="H227" s="29">
        <f t="shared" si="2"/>
        <v>1.3</v>
      </c>
      <c r="I227" s="30">
        <f t="shared" si="3"/>
        <v>1.3</v>
      </c>
      <c r="J227" s="31">
        <f t="shared" si="4"/>
        <v>1.2</v>
      </c>
      <c r="K227" s="30">
        <f t="shared" si="5"/>
        <v>1.15</v>
      </c>
      <c r="L227" s="31">
        <f t="shared" si="6"/>
        <v>1.1</v>
      </c>
      <c r="M227" s="32"/>
      <c r="N227" s="33"/>
    </row>
    <row r="228" ht="15.75" customHeight="1">
      <c r="A228" s="21"/>
      <c r="B228" s="70"/>
      <c r="C228" s="186" t="s">
        <v>710</v>
      </c>
      <c r="D228" s="186" t="s">
        <v>815</v>
      </c>
      <c r="E228" s="187">
        <v>3830.0</v>
      </c>
      <c r="F228" s="185"/>
      <c r="G228" s="181">
        <f t="shared" si="1"/>
        <v>5745</v>
      </c>
      <c r="H228" s="29">
        <f t="shared" si="2"/>
        <v>4979</v>
      </c>
      <c r="I228" s="30">
        <f t="shared" si="3"/>
        <v>4979</v>
      </c>
      <c r="J228" s="31">
        <f t="shared" si="4"/>
        <v>4596</v>
      </c>
      <c r="K228" s="30">
        <f t="shared" si="5"/>
        <v>4404.5</v>
      </c>
      <c r="L228" s="31">
        <f t="shared" si="6"/>
        <v>4213</v>
      </c>
      <c r="M228" s="32"/>
      <c r="N228" s="33"/>
    </row>
    <row r="229" ht="15.75" customHeight="1">
      <c r="A229" s="21"/>
      <c r="B229" s="70"/>
      <c r="C229" s="188" t="s">
        <v>712</v>
      </c>
      <c r="D229" s="188" t="s">
        <v>713</v>
      </c>
      <c r="E229" s="187">
        <v>1.0</v>
      </c>
      <c r="F229" s="185"/>
      <c r="G229" s="181">
        <f t="shared" si="1"/>
        <v>1.5</v>
      </c>
      <c r="H229" s="29">
        <f t="shared" si="2"/>
        <v>1.3</v>
      </c>
      <c r="I229" s="30">
        <f t="shared" si="3"/>
        <v>1.3</v>
      </c>
      <c r="J229" s="31">
        <f t="shared" si="4"/>
        <v>1.2</v>
      </c>
      <c r="K229" s="30">
        <f t="shared" si="5"/>
        <v>1.15</v>
      </c>
      <c r="L229" s="31">
        <f t="shared" si="6"/>
        <v>1.1</v>
      </c>
      <c r="M229" s="32"/>
      <c r="N229" s="33"/>
    </row>
    <row r="230" ht="15.75" customHeight="1">
      <c r="A230" s="21"/>
      <c r="B230" s="70"/>
      <c r="C230" s="188" t="s">
        <v>714</v>
      </c>
      <c r="D230" s="188" t="s">
        <v>715</v>
      </c>
      <c r="E230" s="187">
        <v>1.0</v>
      </c>
      <c r="F230" s="185"/>
      <c r="G230" s="181">
        <f t="shared" si="1"/>
        <v>1.5</v>
      </c>
      <c r="H230" s="29">
        <f t="shared" si="2"/>
        <v>1.3</v>
      </c>
      <c r="I230" s="30">
        <f t="shared" si="3"/>
        <v>1.3</v>
      </c>
      <c r="J230" s="31">
        <f t="shared" si="4"/>
        <v>1.2</v>
      </c>
      <c r="K230" s="30">
        <f t="shared" si="5"/>
        <v>1.15</v>
      </c>
      <c r="L230" s="31">
        <f t="shared" si="6"/>
        <v>1.1</v>
      </c>
      <c r="M230" s="32"/>
      <c r="N230" s="33"/>
    </row>
    <row r="231" ht="15.75" customHeight="1">
      <c r="A231" s="21"/>
      <c r="B231" s="70"/>
      <c r="C231" s="188" t="s">
        <v>716</v>
      </c>
      <c r="D231" s="188" t="s">
        <v>717</v>
      </c>
      <c r="E231" s="187">
        <v>1.0</v>
      </c>
      <c r="F231" s="185"/>
      <c r="G231" s="181">
        <f t="shared" si="1"/>
        <v>1.5</v>
      </c>
      <c r="H231" s="29">
        <f t="shared" si="2"/>
        <v>1.3</v>
      </c>
      <c r="I231" s="30">
        <f t="shared" si="3"/>
        <v>1.3</v>
      </c>
      <c r="J231" s="31">
        <f t="shared" si="4"/>
        <v>1.2</v>
      </c>
      <c r="K231" s="30">
        <f t="shared" si="5"/>
        <v>1.15</v>
      </c>
      <c r="L231" s="31">
        <f t="shared" si="6"/>
        <v>1.1</v>
      </c>
      <c r="M231" s="32"/>
      <c r="N231" s="33"/>
    </row>
    <row r="232" ht="15.75" customHeight="1">
      <c r="A232" s="21"/>
      <c r="B232" s="70"/>
      <c r="C232" s="188" t="s">
        <v>718</v>
      </c>
      <c r="D232" s="188" t="s">
        <v>719</v>
      </c>
      <c r="E232" s="187">
        <v>1.0</v>
      </c>
      <c r="F232" s="185"/>
      <c r="G232" s="181">
        <f t="shared" si="1"/>
        <v>1.5</v>
      </c>
      <c r="H232" s="29">
        <f t="shared" si="2"/>
        <v>1.3</v>
      </c>
      <c r="I232" s="30">
        <f t="shared" si="3"/>
        <v>1.3</v>
      </c>
      <c r="J232" s="31">
        <f t="shared" si="4"/>
        <v>1.2</v>
      </c>
      <c r="K232" s="30">
        <f t="shared" si="5"/>
        <v>1.15</v>
      </c>
      <c r="L232" s="31">
        <f t="shared" si="6"/>
        <v>1.1</v>
      </c>
      <c r="M232" s="32"/>
      <c r="N232" s="33"/>
    </row>
    <row r="233" ht="15.75" customHeight="1">
      <c r="A233" s="21"/>
      <c r="B233" s="70"/>
      <c r="C233" s="186" t="s">
        <v>720</v>
      </c>
      <c r="D233" s="188" t="s">
        <v>721</v>
      </c>
      <c r="E233" s="187">
        <v>1.0</v>
      </c>
      <c r="F233" s="185"/>
      <c r="G233" s="181">
        <f t="shared" si="1"/>
        <v>1.5</v>
      </c>
      <c r="H233" s="29">
        <f t="shared" si="2"/>
        <v>1.3</v>
      </c>
      <c r="I233" s="30">
        <f t="shared" si="3"/>
        <v>1.3</v>
      </c>
      <c r="J233" s="31">
        <f t="shared" si="4"/>
        <v>1.2</v>
      </c>
      <c r="K233" s="30">
        <f t="shared" si="5"/>
        <v>1.15</v>
      </c>
      <c r="L233" s="31">
        <f t="shared" si="6"/>
        <v>1.1</v>
      </c>
      <c r="M233" s="32"/>
      <c r="N233" s="33"/>
    </row>
    <row r="234" ht="15.75" customHeight="1">
      <c r="A234" s="21"/>
      <c r="B234" s="70"/>
      <c r="C234" s="188" t="s">
        <v>722</v>
      </c>
      <c r="D234" s="188" t="s">
        <v>723</v>
      </c>
      <c r="E234" s="187">
        <v>1.0</v>
      </c>
      <c r="F234" s="185"/>
      <c r="G234" s="181">
        <f t="shared" si="1"/>
        <v>1.5</v>
      </c>
      <c r="H234" s="29">
        <f t="shared" si="2"/>
        <v>1.3</v>
      </c>
      <c r="I234" s="30">
        <f t="shared" si="3"/>
        <v>1.3</v>
      </c>
      <c r="J234" s="31">
        <f t="shared" si="4"/>
        <v>1.2</v>
      </c>
      <c r="K234" s="30">
        <f t="shared" si="5"/>
        <v>1.15</v>
      </c>
      <c r="L234" s="31">
        <f t="shared" si="6"/>
        <v>1.1</v>
      </c>
      <c r="M234" s="32"/>
      <c r="N234" s="33"/>
    </row>
    <row r="235" ht="15.75" customHeight="1">
      <c r="A235" s="21"/>
      <c r="B235" s="70"/>
      <c r="C235" s="188" t="s">
        <v>724</v>
      </c>
      <c r="D235" s="188" t="s">
        <v>725</v>
      </c>
      <c r="E235" s="187">
        <v>1.0</v>
      </c>
      <c r="F235" s="185"/>
      <c r="G235" s="181">
        <f t="shared" si="1"/>
        <v>1.5</v>
      </c>
      <c r="H235" s="29">
        <f t="shared" si="2"/>
        <v>1.3</v>
      </c>
      <c r="I235" s="30">
        <f t="shared" si="3"/>
        <v>1.3</v>
      </c>
      <c r="J235" s="31">
        <f t="shared" si="4"/>
        <v>1.2</v>
      </c>
      <c r="K235" s="30">
        <f t="shared" si="5"/>
        <v>1.15</v>
      </c>
      <c r="L235" s="31">
        <f t="shared" si="6"/>
        <v>1.1</v>
      </c>
      <c r="M235" s="32"/>
      <c r="N235" s="33"/>
    </row>
    <row r="236" ht="15.75" customHeight="1">
      <c r="A236" s="21"/>
      <c r="B236" s="70"/>
      <c r="C236" s="188" t="s">
        <v>726</v>
      </c>
      <c r="D236" s="188" t="s">
        <v>727</v>
      </c>
      <c r="E236" s="187">
        <v>1.0</v>
      </c>
      <c r="F236" s="185"/>
      <c r="G236" s="181">
        <f t="shared" si="1"/>
        <v>1.5</v>
      </c>
      <c r="H236" s="29">
        <f t="shared" si="2"/>
        <v>1.3</v>
      </c>
      <c r="I236" s="30">
        <f t="shared" si="3"/>
        <v>1.3</v>
      </c>
      <c r="J236" s="31">
        <f t="shared" si="4"/>
        <v>1.2</v>
      </c>
      <c r="K236" s="30">
        <f t="shared" si="5"/>
        <v>1.15</v>
      </c>
      <c r="L236" s="31">
        <f t="shared" si="6"/>
        <v>1.1</v>
      </c>
      <c r="M236" s="32"/>
      <c r="N236" s="33"/>
    </row>
    <row r="237" ht="15.75" customHeight="1">
      <c r="A237" s="21"/>
      <c r="B237" s="70"/>
      <c r="C237" s="188" t="s">
        <v>728</v>
      </c>
      <c r="D237" s="188" t="s">
        <v>729</v>
      </c>
      <c r="E237" s="187">
        <v>1.0</v>
      </c>
      <c r="F237" s="185"/>
      <c r="G237" s="181">
        <f t="shared" si="1"/>
        <v>1.5</v>
      </c>
      <c r="H237" s="29">
        <f t="shared" si="2"/>
        <v>1.3</v>
      </c>
      <c r="I237" s="30">
        <f t="shared" si="3"/>
        <v>1.3</v>
      </c>
      <c r="J237" s="31">
        <f t="shared" si="4"/>
        <v>1.2</v>
      </c>
      <c r="K237" s="30">
        <f t="shared" si="5"/>
        <v>1.15</v>
      </c>
      <c r="L237" s="31">
        <f t="shared" si="6"/>
        <v>1.1</v>
      </c>
      <c r="M237" s="32"/>
      <c r="N237" s="33"/>
    </row>
    <row r="238" ht="15.75" customHeight="1">
      <c r="A238" s="21"/>
      <c r="B238" s="70"/>
      <c r="C238" s="188" t="s">
        <v>730</v>
      </c>
      <c r="D238" s="188" t="s">
        <v>731</v>
      </c>
      <c r="E238" s="187">
        <v>1.0</v>
      </c>
      <c r="F238" s="185"/>
      <c r="G238" s="181">
        <f t="shared" si="1"/>
        <v>1.5</v>
      </c>
      <c r="H238" s="29">
        <f t="shared" si="2"/>
        <v>1.3</v>
      </c>
      <c r="I238" s="30">
        <f t="shared" si="3"/>
        <v>1.3</v>
      </c>
      <c r="J238" s="31">
        <f t="shared" si="4"/>
        <v>1.2</v>
      </c>
      <c r="K238" s="30">
        <f t="shared" si="5"/>
        <v>1.15</v>
      </c>
      <c r="L238" s="31">
        <f t="shared" si="6"/>
        <v>1.1</v>
      </c>
      <c r="M238" s="32"/>
      <c r="N238" s="33"/>
    </row>
    <row r="239" ht="15.75" customHeight="1">
      <c r="A239" s="21"/>
      <c r="B239" s="70"/>
      <c r="C239" s="188" t="s">
        <v>732</v>
      </c>
      <c r="D239" s="188" t="s">
        <v>733</v>
      </c>
      <c r="E239" s="187">
        <v>1.0</v>
      </c>
      <c r="F239" s="185"/>
      <c r="G239" s="181">
        <f t="shared" si="1"/>
        <v>1.5</v>
      </c>
      <c r="H239" s="29">
        <f t="shared" si="2"/>
        <v>1.3</v>
      </c>
      <c r="I239" s="30">
        <f t="shared" si="3"/>
        <v>1.3</v>
      </c>
      <c r="J239" s="31">
        <f t="shared" si="4"/>
        <v>1.2</v>
      </c>
      <c r="K239" s="30">
        <f t="shared" si="5"/>
        <v>1.15</v>
      </c>
      <c r="L239" s="31">
        <f t="shared" si="6"/>
        <v>1.1</v>
      </c>
      <c r="M239" s="32"/>
      <c r="N239" s="33"/>
    </row>
    <row r="240" ht="15.75" customHeight="1">
      <c r="A240" s="21"/>
      <c r="B240" s="70"/>
      <c r="C240" s="188" t="s">
        <v>734</v>
      </c>
      <c r="D240" s="188" t="s">
        <v>735</v>
      </c>
      <c r="E240" s="187">
        <v>1.0</v>
      </c>
      <c r="F240" s="185"/>
      <c r="G240" s="181">
        <f t="shared" si="1"/>
        <v>1.5</v>
      </c>
      <c r="H240" s="29">
        <f t="shared" si="2"/>
        <v>1.3</v>
      </c>
      <c r="I240" s="30">
        <f t="shared" si="3"/>
        <v>1.3</v>
      </c>
      <c r="J240" s="31">
        <f t="shared" si="4"/>
        <v>1.2</v>
      </c>
      <c r="K240" s="30">
        <f t="shared" si="5"/>
        <v>1.15</v>
      </c>
      <c r="L240" s="31">
        <f t="shared" si="6"/>
        <v>1.1</v>
      </c>
      <c r="M240" s="32"/>
      <c r="N240" s="33"/>
    </row>
    <row r="241" ht="15.75" customHeight="1">
      <c r="A241" s="21"/>
      <c r="B241" s="70"/>
      <c r="C241" s="188" t="s">
        <v>736</v>
      </c>
      <c r="D241" s="188" t="s">
        <v>737</v>
      </c>
      <c r="E241" s="187">
        <v>1.0</v>
      </c>
      <c r="F241" s="185"/>
      <c r="G241" s="181">
        <f t="shared" si="1"/>
        <v>1.5</v>
      </c>
      <c r="H241" s="29">
        <f t="shared" si="2"/>
        <v>1.3</v>
      </c>
      <c r="I241" s="30">
        <f t="shared" si="3"/>
        <v>1.3</v>
      </c>
      <c r="J241" s="31">
        <f t="shared" si="4"/>
        <v>1.2</v>
      </c>
      <c r="K241" s="30">
        <f t="shared" si="5"/>
        <v>1.15</v>
      </c>
      <c r="L241" s="31">
        <f t="shared" si="6"/>
        <v>1.1</v>
      </c>
      <c r="M241" s="32"/>
      <c r="N241" s="33"/>
    </row>
    <row r="242" ht="15.75" customHeight="1">
      <c r="A242" s="21"/>
      <c r="B242" s="70"/>
      <c r="C242" s="188" t="s">
        <v>738</v>
      </c>
      <c r="D242" s="188" t="s">
        <v>739</v>
      </c>
      <c r="E242" s="187">
        <v>1.0</v>
      </c>
      <c r="F242" s="185"/>
      <c r="G242" s="181">
        <f t="shared" si="1"/>
        <v>1.5</v>
      </c>
      <c r="H242" s="29">
        <f t="shared" si="2"/>
        <v>1.3</v>
      </c>
      <c r="I242" s="30">
        <f t="shared" si="3"/>
        <v>1.3</v>
      </c>
      <c r="J242" s="31">
        <f t="shared" si="4"/>
        <v>1.2</v>
      </c>
      <c r="K242" s="30">
        <f t="shared" si="5"/>
        <v>1.15</v>
      </c>
      <c r="L242" s="31">
        <f t="shared" si="6"/>
        <v>1.1</v>
      </c>
      <c r="M242" s="32"/>
      <c r="N242" s="33"/>
    </row>
    <row r="243" ht="15.75" customHeight="1">
      <c r="A243" s="21"/>
      <c r="B243" s="70"/>
      <c r="C243" s="188" t="s">
        <v>740</v>
      </c>
      <c r="D243" s="188" t="s">
        <v>741</v>
      </c>
      <c r="E243" s="187">
        <v>1.0</v>
      </c>
      <c r="F243" s="185"/>
      <c r="G243" s="181">
        <f t="shared" si="1"/>
        <v>1.5</v>
      </c>
      <c r="H243" s="29">
        <f t="shared" si="2"/>
        <v>1.3</v>
      </c>
      <c r="I243" s="30">
        <f t="shared" si="3"/>
        <v>1.3</v>
      </c>
      <c r="J243" s="31">
        <f t="shared" si="4"/>
        <v>1.2</v>
      </c>
      <c r="K243" s="30">
        <f t="shared" si="5"/>
        <v>1.15</v>
      </c>
      <c r="L243" s="31">
        <f t="shared" si="6"/>
        <v>1.1</v>
      </c>
      <c r="M243" s="32"/>
      <c r="N243" s="33"/>
    </row>
    <row r="244" ht="15.75" customHeight="1">
      <c r="A244" s="21"/>
      <c r="B244" s="70"/>
      <c r="C244" s="188" t="s">
        <v>742</v>
      </c>
      <c r="D244" s="188" t="s">
        <v>743</v>
      </c>
      <c r="E244" s="187">
        <v>28.0</v>
      </c>
      <c r="F244" s="185"/>
      <c r="G244" s="181">
        <f t="shared" si="1"/>
        <v>42</v>
      </c>
      <c r="H244" s="29">
        <f t="shared" si="2"/>
        <v>36.4</v>
      </c>
      <c r="I244" s="30">
        <f t="shared" si="3"/>
        <v>36.4</v>
      </c>
      <c r="J244" s="31">
        <f t="shared" si="4"/>
        <v>33.6</v>
      </c>
      <c r="K244" s="30">
        <f t="shared" si="5"/>
        <v>32.2</v>
      </c>
      <c r="L244" s="31">
        <f t="shared" si="6"/>
        <v>30.8</v>
      </c>
      <c r="M244" s="32"/>
      <c r="N244" s="33"/>
    </row>
    <row r="245" ht="15.75" customHeight="1">
      <c r="A245" s="21"/>
      <c r="B245" s="70"/>
      <c r="C245" s="188" t="s">
        <v>744</v>
      </c>
      <c r="D245" s="188" t="s">
        <v>745</v>
      </c>
      <c r="E245" s="187">
        <v>28.0</v>
      </c>
      <c r="F245" s="185"/>
      <c r="G245" s="181">
        <f t="shared" si="1"/>
        <v>42</v>
      </c>
      <c r="H245" s="29">
        <f t="shared" si="2"/>
        <v>36.4</v>
      </c>
      <c r="I245" s="30">
        <f t="shared" si="3"/>
        <v>36.4</v>
      </c>
      <c r="J245" s="31">
        <f t="shared" si="4"/>
        <v>33.6</v>
      </c>
      <c r="K245" s="30">
        <f t="shared" si="5"/>
        <v>32.2</v>
      </c>
      <c r="L245" s="31">
        <f t="shared" si="6"/>
        <v>30.8</v>
      </c>
      <c r="M245" s="32"/>
      <c r="N245" s="33"/>
    </row>
    <row r="246" ht="15.75" customHeight="1">
      <c r="A246" s="21"/>
      <c r="B246" s="70"/>
      <c r="C246" s="188" t="s">
        <v>746</v>
      </c>
      <c r="D246" s="188" t="s">
        <v>747</v>
      </c>
      <c r="E246" s="187">
        <v>28.0</v>
      </c>
      <c r="F246" s="185"/>
      <c r="G246" s="181">
        <f t="shared" si="1"/>
        <v>42</v>
      </c>
      <c r="H246" s="29">
        <f t="shared" si="2"/>
        <v>36.4</v>
      </c>
      <c r="I246" s="30">
        <f t="shared" si="3"/>
        <v>36.4</v>
      </c>
      <c r="J246" s="31">
        <f t="shared" si="4"/>
        <v>33.6</v>
      </c>
      <c r="K246" s="30">
        <f t="shared" si="5"/>
        <v>32.2</v>
      </c>
      <c r="L246" s="31">
        <f t="shared" si="6"/>
        <v>30.8</v>
      </c>
      <c r="M246" s="32"/>
      <c r="N246" s="33"/>
    </row>
    <row r="247" ht="15.75" customHeight="1">
      <c r="A247" s="21"/>
      <c r="B247" s="70"/>
      <c r="C247" s="188" t="s">
        <v>751</v>
      </c>
      <c r="D247" s="188" t="s">
        <v>752</v>
      </c>
      <c r="E247" s="187">
        <v>90.0</v>
      </c>
      <c r="F247" s="185"/>
      <c r="G247" s="181">
        <f t="shared" si="1"/>
        <v>135</v>
      </c>
      <c r="H247" s="29">
        <f t="shared" si="2"/>
        <v>117</v>
      </c>
      <c r="I247" s="30">
        <f t="shared" si="3"/>
        <v>117</v>
      </c>
      <c r="J247" s="31">
        <f t="shared" si="4"/>
        <v>108</v>
      </c>
      <c r="K247" s="30">
        <f t="shared" si="5"/>
        <v>103.5</v>
      </c>
      <c r="L247" s="31">
        <f t="shared" si="6"/>
        <v>99</v>
      </c>
      <c r="M247" s="32"/>
      <c r="N247" s="33"/>
    </row>
    <row r="248" ht="15.75" customHeight="1">
      <c r="A248" s="21"/>
      <c r="B248" s="70"/>
      <c r="C248" s="186" t="s">
        <v>755</v>
      </c>
      <c r="D248" s="188" t="s">
        <v>756</v>
      </c>
      <c r="E248" s="187">
        <v>115.0</v>
      </c>
      <c r="F248" s="185"/>
      <c r="G248" s="181">
        <f t="shared" si="1"/>
        <v>172.5</v>
      </c>
      <c r="H248" s="29">
        <f t="shared" si="2"/>
        <v>149.5</v>
      </c>
      <c r="I248" s="30">
        <f t="shared" si="3"/>
        <v>149.5</v>
      </c>
      <c r="J248" s="31">
        <f t="shared" si="4"/>
        <v>138</v>
      </c>
      <c r="K248" s="30">
        <f t="shared" si="5"/>
        <v>132.25</v>
      </c>
      <c r="L248" s="31">
        <f t="shared" si="6"/>
        <v>126.5</v>
      </c>
      <c r="M248" s="32"/>
      <c r="N248" s="33"/>
    </row>
    <row r="249" ht="15.75" customHeight="1">
      <c r="A249" s="21"/>
      <c r="B249" s="70"/>
      <c r="C249" s="186" t="s">
        <v>757</v>
      </c>
      <c r="D249" s="186" t="s">
        <v>816</v>
      </c>
      <c r="E249" s="187">
        <v>85.0</v>
      </c>
      <c r="F249" s="185"/>
      <c r="G249" s="181">
        <f t="shared" si="1"/>
        <v>127.5</v>
      </c>
      <c r="H249" s="29">
        <f t="shared" si="2"/>
        <v>110.5</v>
      </c>
      <c r="I249" s="30">
        <f t="shared" si="3"/>
        <v>110.5</v>
      </c>
      <c r="J249" s="31">
        <f t="shared" si="4"/>
        <v>102</v>
      </c>
      <c r="K249" s="30">
        <f t="shared" si="5"/>
        <v>97.75</v>
      </c>
      <c r="L249" s="31">
        <f t="shared" si="6"/>
        <v>93.5</v>
      </c>
      <c r="M249" s="32"/>
      <c r="N249" s="33"/>
    </row>
    <row r="250" ht="15.75" customHeight="1">
      <c r="A250" s="21"/>
      <c r="B250" s="70"/>
      <c r="C250" s="186" t="s">
        <v>759</v>
      </c>
      <c r="D250" s="186" t="s">
        <v>764</v>
      </c>
      <c r="E250" s="187">
        <v>115.0</v>
      </c>
      <c r="F250" s="185"/>
      <c r="G250" s="181">
        <f t="shared" si="1"/>
        <v>172.5</v>
      </c>
      <c r="H250" s="29">
        <f t="shared" si="2"/>
        <v>149.5</v>
      </c>
      <c r="I250" s="30">
        <f t="shared" si="3"/>
        <v>149.5</v>
      </c>
      <c r="J250" s="31">
        <f t="shared" si="4"/>
        <v>138</v>
      </c>
      <c r="K250" s="30">
        <f t="shared" si="5"/>
        <v>132.25</v>
      </c>
      <c r="L250" s="31">
        <f t="shared" si="6"/>
        <v>126.5</v>
      </c>
      <c r="M250" s="32"/>
      <c r="N250" s="33"/>
    </row>
    <row r="251" ht="15.75" customHeight="1">
      <c r="A251" s="21"/>
      <c r="B251" s="70"/>
      <c r="C251" s="186" t="s">
        <v>761</v>
      </c>
      <c r="D251" s="188" t="s">
        <v>766</v>
      </c>
      <c r="E251" s="187">
        <v>245.0</v>
      </c>
      <c r="F251" s="185"/>
      <c r="G251" s="181">
        <f t="shared" si="1"/>
        <v>367.5</v>
      </c>
      <c r="H251" s="29">
        <f t="shared" si="2"/>
        <v>318.5</v>
      </c>
      <c r="I251" s="30">
        <f t="shared" si="3"/>
        <v>318.5</v>
      </c>
      <c r="J251" s="31">
        <f t="shared" si="4"/>
        <v>294</v>
      </c>
      <c r="K251" s="30">
        <f t="shared" si="5"/>
        <v>281.75</v>
      </c>
      <c r="L251" s="31">
        <f t="shared" si="6"/>
        <v>269.5</v>
      </c>
      <c r="M251" s="32"/>
      <c r="N251" s="33"/>
    </row>
    <row r="252" ht="15.75" customHeight="1">
      <c r="A252" s="21"/>
      <c r="B252" s="70"/>
      <c r="C252" s="188" t="s">
        <v>763</v>
      </c>
      <c r="D252" s="188" t="s">
        <v>770</v>
      </c>
      <c r="E252" s="187">
        <v>1.0</v>
      </c>
      <c r="F252" s="185"/>
      <c r="G252" s="181">
        <f t="shared" si="1"/>
        <v>1.5</v>
      </c>
      <c r="H252" s="29">
        <f t="shared" si="2"/>
        <v>1.3</v>
      </c>
      <c r="I252" s="30">
        <f t="shared" si="3"/>
        <v>1.3</v>
      </c>
      <c r="J252" s="31">
        <f t="shared" si="4"/>
        <v>1.2</v>
      </c>
      <c r="K252" s="30">
        <f t="shared" si="5"/>
        <v>1.15</v>
      </c>
      <c r="L252" s="31">
        <f t="shared" si="6"/>
        <v>1.1</v>
      </c>
      <c r="M252" s="32"/>
      <c r="N252" s="33"/>
    </row>
    <row r="253" ht="15.75" customHeight="1">
      <c r="A253" s="21"/>
      <c r="B253" s="70"/>
      <c r="C253" s="126"/>
      <c r="D253" s="125"/>
      <c r="E253" s="213"/>
      <c r="F253" s="185"/>
      <c r="G253" s="181">
        <f t="shared" si="1"/>
        <v>0</v>
      </c>
      <c r="H253" s="29">
        <f t="shared" si="2"/>
        <v>0</v>
      </c>
      <c r="I253" s="30">
        <f t="shared" si="3"/>
        <v>0</v>
      </c>
      <c r="J253" s="31">
        <f t="shared" si="4"/>
        <v>0</v>
      </c>
      <c r="K253" s="30">
        <f t="shared" si="5"/>
        <v>0</v>
      </c>
      <c r="L253" s="31">
        <f t="shared" si="6"/>
        <v>0</v>
      </c>
      <c r="M253" s="32"/>
      <c r="N253" s="33"/>
    </row>
    <row r="254" ht="15.75" customHeight="1">
      <c r="A254" s="21"/>
      <c r="B254" s="70"/>
      <c r="C254" s="126"/>
      <c r="D254" s="125"/>
      <c r="E254" s="213"/>
      <c r="F254" s="185"/>
      <c r="G254" s="181">
        <f t="shared" si="1"/>
        <v>0</v>
      </c>
      <c r="H254" s="29">
        <f t="shared" si="2"/>
        <v>0</v>
      </c>
      <c r="I254" s="30">
        <f t="shared" si="3"/>
        <v>0</v>
      </c>
      <c r="J254" s="31">
        <f t="shared" si="4"/>
        <v>0</v>
      </c>
      <c r="K254" s="30">
        <f t="shared" si="5"/>
        <v>0</v>
      </c>
      <c r="L254" s="31">
        <f t="shared" si="6"/>
        <v>0</v>
      </c>
      <c r="M254" s="32"/>
      <c r="N254" s="33"/>
    </row>
    <row r="255" ht="15.75" customHeight="1">
      <c r="A255" s="21"/>
      <c r="B255" s="70"/>
      <c r="C255" s="126"/>
      <c r="D255" s="125"/>
      <c r="E255" s="213"/>
      <c r="F255" s="185"/>
      <c r="G255" s="181">
        <f t="shared" si="1"/>
        <v>0</v>
      </c>
      <c r="H255" s="29">
        <f t="shared" si="2"/>
        <v>0</v>
      </c>
      <c r="I255" s="30">
        <f t="shared" si="3"/>
        <v>0</v>
      </c>
      <c r="J255" s="31">
        <f t="shared" si="4"/>
        <v>0</v>
      </c>
      <c r="K255" s="30">
        <f t="shared" si="5"/>
        <v>0</v>
      </c>
      <c r="L255" s="31">
        <f t="shared" si="6"/>
        <v>0</v>
      </c>
      <c r="M255" s="32"/>
      <c r="N255" s="33"/>
    </row>
    <row r="256" ht="15.75" customHeight="1">
      <c r="A256" s="21"/>
      <c r="B256" s="70"/>
      <c r="C256" s="126"/>
      <c r="D256" s="125"/>
      <c r="E256" s="213"/>
      <c r="F256" s="185"/>
      <c r="G256" s="181">
        <f t="shared" si="1"/>
        <v>0</v>
      </c>
      <c r="H256" s="29">
        <f t="shared" si="2"/>
        <v>0</v>
      </c>
      <c r="I256" s="30">
        <f t="shared" si="3"/>
        <v>0</v>
      </c>
      <c r="J256" s="31">
        <f t="shared" si="4"/>
        <v>0</v>
      </c>
      <c r="K256" s="30">
        <f t="shared" si="5"/>
        <v>0</v>
      </c>
      <c r="L256" s="31">
        <f t="shared" si="6"/>
        <v>0</v>
      </c>
      <c r="M256" s="32"/>
      <c r="N256" s="33"/>
    </row>
    <row r="257" ht="15.75" customHeight="1">
      <c r="A257" s="21"/>
      <c r="B257" s="70"/>
      <c r="C257" s="126"/>
      <c r="D257" s="125"/>
      <c r="E257" s="213"/>
      <c r="F257" s="185"/>
      <c r="G257" s="181">
        <f t="shared" si="1"/>
        <v>0</v>
      </c>
      <c r="H257" s="29">
        <f t="shared" si="2"/>
        <v>0</v>
      </c>
      <c r="I257" s="30">
        <f t="shared" si="3"/>
        <v>0</v>
      </c>
      <c r="J257" s="31">
        <f t="shared" si="4"/>
        <v>0</v>
      </c>
      <c r="K257" s="30">
        <f t="shared" si="5"/>
        <v>0</v>
      </c>
      <c r="L257" s="31">
        <f t="shared" si="6"/>
        <v>0</v>
      </c>
      <c r="M257" s="32"/>
      <c r="N257" s="33"/>
    </row>
    <row r="258" ht="15.75" customHeight="1">
      <c r="A258" s="21"/>
      <c r="B258" s="70"/>
      <c r="C258" s="126"/>
      <c r="D258" s="125"/>
      <c r="E258" s="213"/>
      <c r="F258" s="185"/>
      <c r="G258" s="181">
        <f t="shared" si="1"/>
        <v>0</v>
      </c>
      <c r="H258" s="29">
        <f t="shared" si="2"/>
        <v>0</v>
      </c>
      <c r="I258" s="30">
        <f t="shared" si="3"/>
        <v>0</v>
      </c>
      <c r="J258" s="31">
        <f t="shared" si="4"/>
        <v>0</v>
      </c>
      <c r="K258" s="30">
        <f t="shared" si="5"/>
        <v>0</v>
      </c>
      <c r="L258" s="31">
        <f t="shared" si="6"/>
        <v>0</v>
      </c>
      <c r="M258" s="32"/>
      <c r="N258" s="33"/>
    </row>
    <row r="259" ht="15.75" customHeight="1">
      <c r="A259" s="21"/>
      <c r="B259" s="70"/>
      <c r="C259" s="126"/>
      <c r="D259" s="125"/>
      <c r="E259" s="213"/>
      <c r="F259" s="185"/>
      <c r="G259" s="181">
        <f t="shared" si="1"/>
        <v>0</v>
      </c>
      <c r="H259" s="29">
        <f t="shared" si="2"/>
        <v>0</v>
      </c>
      <c r="I259" s="30">
        <f t="shared" si="3"/>
        <v>0</v>
      </c>
      <c r="J259" s="31">
        <f t="shared" si="4"/>
        <v>0</v>
      </c>
      <c r="K259" s="30">
        <f t="shared" si="5"/>
        <v>0</v>
      </c>
      <c r="L259" s="31">
        <f t="shared" si="6"/>
        <v>0</v>
      </c>
      <c r="M259" s="32"/>
      <c r="N259" s="33"/>
    </row>
    <row r="260" ht="15.75" customHeight="1">
      <c r="A260" s="21"/>
      <c r="B260" s="70"/>
      <c r="C260" s="61"/>
      <c r="D260" s="103"/>
      <c r="E260" s="213"/>
      <c r="F260" s="185"/>
      <c r="G260" s="181">
        <f t="shared" si="1"/>
        <v>0</v>
      </c>
      <c r="H260" s="29">
        <f t="shared" si="2"/>
        <v>0</v>
      </c>
      <c r="I260" s="30">
        <f t="shared" si="3"/>
        <v>0</v>
      </c>
      <c r="J260" s="31">
        <f t="shared" si="4"/>
        <v>0</v>
      </c>
      <c r="K260" s="30">
        <f t="shared" si="5"/>
        <v>0</v>
      </c>
      <c r="L260" s="31">
        <f t="shared" si="6"/>
        <v>0</v>
      </c>
      <c r="M260" s="32"/>
      <c r="N260" s="33"/>
    </row>
    <row r="261" ht="15.75" customHeight="1">
      <c r="A261" s="21"/>
      <c r="B261" s="70"/>
      <c r="C261" s="61"/>
      <c r="D261" s="103"/>
      <c r="E261" s="213"/>
      <c r="F261" s="185"/>
      <c r="G261" s="181">
        <f t="shared" si="1"/>
        <v>0</v>
      </c>
      <c r="H261" s="29">
        <f t="shared" si="2"/>
        <v>0</v>
      </c>
      <c r="I261" s="30">
        <f t="shared" si="3"/>
        <v>0</v>
      </c>
      <c r="J261" s="31">
        <f t="shared" si="4"/>
        <v>0</v>
      </c>
      <c r="K261" s="30">
        <f t="shared" si="5"/>
        <v>0</v>
      </c>
      <c r="L261" s="31">
        <f t="shared" si="6"/>
        <v>0</v>
      </c>
      <c r="M261" s="32"/>
      <c r="N261" s="33"/>
    </row>
    <row r="262" ht="15.75" customHeight="1">
      <c r="A262" s="21"/>
      <c r="B262" s="70"/>
      <c r="C262" s="114"/>
      <c r="D262" s="125"/>
      <c r="E262" s="213"/>
      <c r="F262" s="185"/>
      <c r="G262" s="181">
        <f t="shared" si="1"/>
        <v>0</v>
      </c>
      <c r="H262" s="29">
        <f t="shared" si="2"/>
        <v>0</v>
      </c>
      <c r="I262" s="30">
        <f t="shared" si="3"/>
        <v>0</v>
      </c>
      <c r="J262" s="31">
        <f t="shared" si="4"/>
        <v>0</v>
      </c>
      <c r="K262" s="30">
        <f t="shared" si="5"/>
        <v>0</v>
      </c>
      <c r="L262" s="31">
        <f t="shared" si="6"/>
        <v>0</v>
      </c>
      <c r="M262" s="32"/>
      <c r="N262" s="33"/>
    </row>
    <row r="263" ht="15.75" customHeight="1">
      <c r="A263" s="21"/>
      <c r="B263" s="70"/>
      <c r="C263" s="126"/>
      <c r="D263" s="125"/>
      <c r="E263" s="213"/>
      <c r="F263" s="185"/>
      <c r="G263" s="181">
        <f t="shared" si="1"/>
        <v>0</v>
      </c>
      <c r="H263" s="29">
        <f t="shared" si="2"/>
        <v>0</v>
      </c>
      <c r="I263" s="30">
        <f t="shared" si="3"/>
        <v>0</v>
      </c>
      <c r="J263" s="31">
        <f t="shared" si="4"/>
        <v>0</v>
      </c>
      <c r="K263" s="30">
        <f t="shared" si="5"/>
        <v>0</v>
      </c>
      <c r="L263" s="31">
        <f t="shared" si="6"/>
        <v>0</v>
      </c>
      <c r="M263" s="32"/>
      <c r="N263" s="33"/>
    </row>
    <row r="264" ht="15.75" customHeight="1">
      <c r="A264" s="21"/>
      <c r="B264" s="70"/>
      <c r="C264" s="126"/>
      <c r="D264" s="125"/>
      <c r="E264" s="213"/>
      <c r="F264" s="185"/>
      <c r="G264" s="181">
        <f t="shared" si="1"/>
        <v>0</v>
      </c>
      <c r="H264" s="29">
        <f t="shared" si="2"/>
        <v>0</v>
      </c>
      <c r="I264" s="30">
        <f t="shared" si="3"/>
        <v>0</v>
      </c>
      <c r="J264" s="31">
        <f t="shared" si="4"/>
        <v>0</v>
      </c>
      <c r="K264" s="30">
        <f t="shared" si="5"/>
        <v>0</v>
      </c>
      <c r="L264" s="31">
        <f t="shared" si="6"/>
        <v>0</v>
      </c>
      <c r="M264" s="32"/>
      <c r="N264" s="33"/>
    </row>
    <row r="265" ht="15.75" customHeight="1">
      <c r="A265" s="21"/>
      <c r="B265" s="70"/>
      <c r="C265" s="114"/>
      <c r="D265" s="125"/>
      <c r="E265" s="213"/>
      <c r="F265" s="185"/>
      <c r="G265" s="181">
        <f t="shared" si="1"/>
        <v>0</v>
      </c>
      <c r="H265" s="29">
        <f t="shared" si="2"/>
        <v>0</v>
      </c>
      <c r="I265" s="30">
        <f t="shared" si="3"/>
        <v>0</v>
      </c>
      <c r="J265" s="31">
        <f t="shared" si="4"/>
        <v>0</v>
      </c>
      <c r="K265" s="30">
        <f t="shared" si="5"/>
        <v>0</v>
      </c>
      <c r="L265" s="31">
        <f t="shared" si="6"/>
        <v>0</v>
      </c>
      <c r="M265" s="32"/>
      <c r="N265" s="33"/>
    </row>
    <row r="266" ht="15.75" customHeight="1">
      <c r="A266" s="21"/>
      <c r="B266" s="70"/>
      <c r="C266" s="114"/>
      <c r="D266" s="125"/>
      <c r="E266" s="213"/>
      <c r="F266" s="185"/>
      <c r="G266" s="181">
        <f t="shared" si="1"/>
        <v>0</v>
      </c>
      <c r="H266" s="29">
        <f t="shared" si="2"/>
        <v>0</v>
      </c>
      <c r="I266" s="30">
        <f t="shared" si="3"/>
        <v>0</v>
      </c>
      <c r="J266" s="31">
        <f t="shared" si="4"/>
        <v>0</v>
      </c>
      <c r="K266" s="30">
        <f t="shared" si="5"/>
        <v>0</v>
      </c>
      <c r="L266" s="31">
        <f t="shared" si="6"/>
        <v>0</v>
      </c>
      <c r="M266" s="32"/>
      <c r="N266" s="33"/>
    </row>
    <row r="267" ht="15.75" customHeight="1">
      <c r="A267" s="21"/>
      <c r="B267" s="70"/>
      <c r="C267" s="114"/>
      <c r="D267" s="103"/>
      <c r="E267" s="213"/>
      <c r="F267" s="185"/>
      <c r="G267" s="181">
        <f t="shared" si="1"/>
        <v>0</v>
      </c>
      <c r="H267" s="29">
        <f t="shared" si="2"/>
        <v>0</v>
      </c>
      <c r="I267" s="30">
        <f t="shared" si="3"/>
        <v>0</v>
      </c>
      <c r="J267" s="31">
        <f t="shared" si="4"/>
        <v>0</v>
      </c>
      <c r="K267" s="30">
        <f t="shared" si="5"/>
        <v>0</v>
      </c>
      <c r="L267" s="31">
        <f t="shared" si="6"/>
        <v>0</v>
      </c>
      <c r="M267" s="32"/>
      <c r="N267" s="33"/>
    </row>
    <row r="268" ht="15.75" customHeight="1">
      <c r="A268" s="21"/>
      <c r="B268" s="70"/>
      <c r="C268" s="131"/>
      <c r="D268" s="132"/>
      <c r="E268" s="213"/>
      <c r="F268" s="185"/>
      <c r="G268" s="181">
        <f t="shared" si="1"/>
        <v>0</v>
      </c>
      <c r="H268" s="29">
        <f t="shared" si="2"/>
        <v>0</v>
      </c>
      <c r="I268" s="30">
        <f t="shared" si="3"/>
        <v>0</v>
      </c>
      <c r="J268" s="31">
        <f t="shared" si="4"/>
        <v>0</v>
      </c>
      <c r="K268" s="30">
        <f t="shared" si="5"/>
        <v>0</v>
      </c>
      <c r="L268" s="31">
        <f t="shared" si="6"/>
        <v>0</v>
      </c>
      <c r="M268" s="32"/>
      <c r="N268" s="33"/>
    </row>
    <row r="269" ht="15.75" customHeight="1">
      <c r="A269" s="21"/>
      <c r="B269" s="70"/>
      <c r="C269" s="129"/>
      <c r="D269" s="133"/>
      <c r="E269" s="213"/>
      <c r="F269" s="185"/>
      <c r="G269" s="181">
        <f t="shared" si="1"/>
        <v>0</v>
      </c>
      <c r="H269" s="29">
        <f t="shared" si="2"/>
        <v>0</v>
      </c>
      <c r="I269" s="30">
        <f t="shared" si="3"/>
        <v>0</v>
      </c>
      <c r="J269" s="31">
        <f t="shared" si="4"/>
        <v>0</v>
      </c>
      <c r="K269" s="30">
        <f t="shared" si="5"/>
        <v>0</v>
      </c>
      <c r="L269" s="31">
        <f t="shared" si="6"/>
        <v>0</v>
      </c>
      <c r="M269" s="32"/>
      <c r="N269" s="33"/>
    </row>
    <row r="270" ht="15.75" customHeight="1">
      <c r="A270" s="21"/>
      <c r="B270" s="70"/>
      <c r="C270" s="126"/>
      <c r="D270" s="103"/>
      <c r="E270" s="213"/>
      <c r="F270" s="185"/>
      <c r="G270" s="181">
        <f t="shared" si="1"/>
        <v>0</v>
      </c>
      <c r="H270" s="29">
        <f t="shared" si="2"/>
        <v>0</v>
      </c>
      <c r="I270" s="30">
        <f t="shared" si="3"/>
        <v>0</v>
      </c>
      <c r="J270" s="31">
        <f t="shared" si="4"/>
        <v>0</v>
      </c>
      <c r="K270" s="30">
        <f t="shared" si="5"/>
        <v>0</v>
      </c>
      <c r="L270" s="31">
        <f t="shared" si="6"/>
        <v>0</v>
      </c>
      <c r="M270" s="32"/>
      <c r="N270" s="33"/>
    </row>
    <row r="271" ht="15.75" customHeight="1">
      <c r="A271" s="21"/>
      <c r="B271" s="70"/>
      <c r="C271" s="126"/>
      <c r="D271" s="103"/>
      <c r="E271" s="213"/>
      <c r="F271" s="185"/>
      <c r="G271" s="181">
        <f t="shared" si="1"/>
        <v>0</v>
      </c>
      <c r="H271" s="29">
        <f t="shared" si="2"/>
        <v>0</v>
      </c>
      <c r="I271" s="30">
        <f t="shared" si="3"/>
        <v>0</v>
      </c>
      <c r="J271" s="31">
        <f t="shared" si="4"/>
        <v>0</v>
      </c>
      <c r="K271" s="30">
        <f t="shared" si="5"/>
        <v>0</v>
      </c>
      <c r="L271" s="31">
        <f t="shared" si="6"/>
        <v>0</v>
      </c>
      <c r="M271" s="32"/>
      <c r="N271" s="33"/>
    </row>
    <row r="272" ht="15.75" customHeight="1">
      <c r="A272" s="21"/>
      <c r="B272" s="70"/>
      <c r="C272" s="126"/>
      <c r="D272" s="103"/>
      <c r="E272" s="213"/>
      <c r="F272" s="185"/>
      <c r="G272" s="181">
        <f t="shared" si="1"/>
        <v>0</v>
      </c>
      <c r="H272" s="29">
        <f t="shared" si="2"/>
        <v>0</v>
      </c>
      <c r="I272" s="30">
        <f t="shared" si="3"/>
        <v>0</v>
      </c>
      <c r="J272" s="31">
        <f t="shared" si="4"/>
        <v>0</v>
      </c>
      <c r="K272" s="30">
        <f t="shared" si="5"/>
        <v>0</v>
      </c>
      <c r="L272" s="31">
        <f t="shared" si="6"/>
        <v>0</v>
      </c>
      <c r="M272" s="32"/>
      <c r="N272" s="33"/>
    </row>
    <row r="273" ht="15.75" customHeight="1">
      <c r="A273" s="21"/>
      <c r="B273" s="70"/>
      <c r="C273" s="126"/>
      <c r="D273" s="103"/>
      <c r="E273" s="213"/>
      <c r="F273" s="185"/>
      <c r="G273" s="181">
        <f t="shared" si="1"/>
        <v>0</v>
      </c>
      <c r="H273" s="29">
        <f t="shared" si="2"/>
        <v>0</v>
      </c>
      <c r="I273" s="30">
        <f t="shared" si="3"/>
        <v>0</v>
      </c>
      <c r="J273" s="31">
        <f t="shared" si="4"/>
        <v>0</v>
      </c>
      <c r="K273" s="30">
        <f t="shared" si="5"/>
        <v>0</v>
      </c>
      <c r="L273" s="31">
        <f t="shared" si="6"/>
        <v>0</v>
      </c>
      <c r="M273" s="32"/>
      <c r="N273" s="33"/>
    </row>
    <row r="274" ht="15.75" customHeight="1">
      <c r="A274" s="21"/>
      <c r="B274" s="70"/>
      <c r="C274" s="129"/>
      <c r="D274" s="134"/>
      <c r="E274" s="213"/>
      <c r="F274" s="185"/>
      <c r="G274" s="181">
        <f t="shared" si="1"/>
        <v>0</v>
      </c>
      <c r="H274" s="29">
        <f t="shared" si="2"/>
        <v>0</v>
      </c>
      <c r="I274" s="30">
        <f t="shared" si="3"/>
        <v>0</v>
      </c>
      <c r="J274" s="31">
        <f t="shared" si="4"/>
        <v>0</v>
      </c>
      <c r="K274" s="30">
        <f t="shared" si="5"/>
        <v>0</v>
      </c>
      <c r="L274" s="31">
        <f t="shared" si="6"/>
        <v>0</v>
      </c>
      <c r="M274" s="32"/>
      <c r="N274" s="33"/>
    </row>
    <row r="275" ht="15.75" customHeight="1">
      <c r="A275" s="21"/>
      <c r="B275" s="70"/>
      <c r="C275" s="129"/>
      <c r="D275" s="134"/>
      <c r="E275" s="213"/>
      <c r="F275" s="185"/>
      <c r="G275" s="181">
        <f t="shared" si="1"/>
        <v>0</v>
      </c>
      <c r="H275" s="29">
        <f t="shared" si="2"/>
        <v>0</v>
      </c>
      <c r="I275" s="30">
        <f t="shared" si="3"/>
        <v>0</v>
      </c>
      <c r="J275" s="31">
        <f t="shared" si="4"/>
        <v>0</v>
      </c>
      <c r="K275" s="30">
        <f t="shared" si="5"/>
        <v>0</v>
      </c>
      <c r="L275" s="31">
        <f t="shared" si="6"/>
        <v>0</v>
      </c>
      <c r="M275" s="32"/>
      <c r="N275" s="33"/>
    </row>
    <row r="276" ht="15.75" customHeight="1">
      <c r="A276" s="21"/>
      <c r="B276" s="70"/>
      <c r="C276" s="129"/>
      <c r="D276" s="133"/>
      <c r="E276" s="213"/>
      <c r="F276" s="185"/>
      <c r="G276" s="181">
        <f t="shared" si="1"/>
        <v>0</v>
      </c>
      <c r="H276" s="29">
        <f t="shared" si="2"/>
        <v>0</v>
      </c>
      <c r="I276" s="30">
        <f t="shared" si="3"/>
        <v>0</v>
      </c>
      <c r="J276" s="31">
        <f t="shared" si="4"/>
        <v>0</v>
      </c>
      <c r="K276" s="30">
        <f t="shared" si="5"/>
        <v>0</v>
      </c>
      <c r="L276" s="31">
        <f t="shared" si="6"/>
        <v>0</v>
      </c>
      <c r="M276" s="32"/>
      <c r="N276" s="33"/>
    </row>
    <row r="277" ht="15.75" customHeight="1">
      <c r="A277" s="21"/>
      <c r="B277" s="70"/>
      <c r="C277" s="61"/>
      <c r="D277" s="103"/>
      <c r="E277" s="213"/>
      <c r="F277" s="185"/>
      <c r="G277" s="181">
        <f t="shared" si="1"/>
        <v>0</v>
      </c>
      <c r="H277" s="29">
        <f t="shared" si="2"/>
        <v>0</v>
      </c>
      <c r="I277" s="30">
        <f t="shared" si="3"/>
        <v>0</v>
      </c>
      <c r="J277" s="31">
        <f t="shared" si="4"/>
        <v>0</v>
      </c>
      <c r="K277" s="30">
        <f t="shared" si="5"/>
        <v>0</v>
      </c>
      <c r="L277" s="31">
        <f t="shared" si="6"/>
        <v>0</v>
      </c>
      <c r="M277" s="32"/>
      <c r="N277" s="33"/>
    </row>
    <row r="278" ht="15.75" customHeight="1">
      <c r="A278" s="21"/>
      <c r="B278" s="70"/>
      <c r="C278" s="61"/>
      <c r="D278" s="103"/>
      <c r="E278" s="213"/>
      <c r="F278" s="185"/>
      <c r="G278" s="181">
        <f t="shared" si="1"/>
        <v>0</v>
      </c>
      <c r="H278" s="29">
        <f t="shared" si="2"/>
        <v>0</v>
      </c>
      <c r="I278" s="30">
        <f t="shared" si="3"/>
        <v>0</v>
      </c>
      <c r="J278" s="31">
        <f t="shared" si="4"/>
        <v>0</v>
      </c>
      <c r="K278" s="30">
        <f t="shared" si="5"/>
        <v>0</v>
      </c>
      <c r="L278" s="31">
        <f t="shared" si="6"/>
        <v>0</v>
      </c>
      <c r="M278" s="32"/>
      <c r="N278" s="33"/>
    </row>
    <row r="279" ht="15.75" customHeight="1">
      <c r="A279" s="21"/>
      <c r="B279" s="70"/>
      <c r="C279" s="61"/>
      <c r="D279" s="103"/>
      <c r="E279" s="213"/>
      <c r="F279" s="185"/>
      <c r="G279" s="181">
        <f t="shared" si="1"/>
        <v>0</v>
      </c>
      <c r="H279" s="29">
        <f t="shared" si="2"/>
        <v>0</v>
      </c>
      <c r="I279" s="30">
        <f t="shared" si="3"/>
        <v>0</v>
      </c>
      <c r="J279" s="31">
        <f t="shared" si="4"/>
        <v>0</v>
      </c>
      <c r="K279" s="30">
        <f t="shared" si="5"/>
        <v>0</v>
      </c>
      <c r="L279" s="31">
        <f t="shared" si="6"/>
        <v>0</v>
      </c>
      <c r="M279" s="32"/>
      <c r="N279" s="33"/>
    </row>
    <row r="280" ht="15.75" customHeight="1">
      <c r="A280" s="21"/>
      <c r="B280" s="70"/>
      <c r="C280" s="61"/>
      <c r="D280" s="103"/>
      <c r="E280" s="213"/>
      <c r="F280" s="185"/>
      <c r="G280" s="181">
        <f t="shared" si="1"/>
        <v>0</v>
      </c>
      <c r="H280" s="29">
        <f t="shared" si="2"/>
        <v>0</v>
      </c>
      <c r="I280" s="30">
        <f t="shared" si="3"/>
        <v>0</v>
      </c>
      <c r="J280" s="31">
        <f t="shared" si="4"/>
        <v>0</v>
      </c>
      <c r="K280" s="30">
        <f t="shared" si="5"/>
        <v>0</v>
      </c>
      <c r="L280" s="31">
        <f t="shared" si="6"/>
        <v>0</v>
      </c>
      <c r="M280" s="32"/>
      <c r="N280" s="33"/>
    </row>
    <row r="281" ht="15.75" customHeight="1">
      <c r="A281" s="21"/>
      <c r="B281" s="70"/>
      <c r="C281" s="61"/>
      <c r="D281" s="103"/>
      <c r="E281" s="213"/>
      <c r="F281" s="185"/>
      <c r="G281" s="181">
        <f t="shared" si="1"/>
        <v>0</v>
      </c>
      <c r="H281" s="29">
        <f t="shared" si="2"/>
        <v>0</v>
      </c>
      <c r="I281" s="30">
        <f t="shared" si="3"/>
        <v>0</v>
      </c>
      <c r="J281" s="31">
        <f t="shared" si="4"/>
        <v>0</v>
      </c>
      <c r="K281" s="30">
        <f t="shared" si="5"/>
        <v>0</v>
      </c>
      <c r="L281" s="31">
        <f t="shared" si="6"/>
        <v>0</v>
      </c>
      <c r="M281" s="32"/>
      <c r="N281" s="33"/>
    </row>
    <row r="282" ht="15.75" customHeight="1">
      <c r="A282" s="21"/>
      <c r="B282" s="70"/>
      <c r="C282" s="61"/>
      <c r="D282" s="103"/>
      <c r="E282" s="213"/>
      <c r="F282" s="185"/>
      <c r="G282" s="181">
        <f t="shared" si="1"/>
        <v>0</v>
      </c>
      <c r="H282" s="29">
        <f t="shared" si="2"/>
        <v>0</v>
      </c>
      <c r="I282" s="30">
        <f t="shared" si="3"/>
        <v>0</v>
      </c>
      <c r="J282" s="31">
        <f t="shared" si="4"/>
        <v>0</v>
      </c>
      <c r="K282" s="30">
        <f t="shared" si="5"/>
        <v>0</v>
      </c>
      <c r="L282" s="31">
        <f t="shared" si="6"/>
        <v>0</v>
      </c>
      <c r="M282" s="32"/>
      <c r="N282" s="33"/>
    </row>
    <row r="283" ht="15.75" customHeight="1">
      <c r="A283" s="21"/>
      <c r="B283" s="70"/>
      <c r="C283" s="61"/>
      <c r="D283" s="103"/>
      <c r="E283" s="213"/>
      <c r="F283" s="185"/>
      <c r="G283" s="181">
        <f t="shared" si="1"/>
        <v>0</v>
      </c>
      <c r="H283" s="29">
        <f t="shared" si="2"/>
        <v>0</v>
      </c>
      <c r="I283" s="30">
        <f t="shared" si="3"/>
        <v>0</v>
      </c>
      <c r="J283" s="31">
        <f t="shared" si="4"/>
        <v>0</v>
      </c>
      <c r="K283" s="30">
        <f t="shared" si="5"/>
        <v>0</v>
      </c>
      <c r="L283" s="31">
        <f t="shared" si="6"/>
        <v>0</v>
      </c>
      <c r="M283" s="32"/>
      <c r="N283" s="33"/>
    </row>
    <row r="284" ht="15.75" customHeight="1">
      <c r="A284" s="21"/>
      <c r="B284" s="70"/>
      <c r="C284" s="131"/>
      <c r="D284" s="103"/>
      <c r="E284" s="213"/>
      <c r="F284" s="185"/>
      <c r="G284" s="181">
        <f t="shared" si="1"/>
        <v>0</v>
      </c>
      <c r="H284" s="29">
        <f t="shared" si="2"/>
        <v>0</v>
      </c>
      <c r="I284" s="30">
        <f t="shared" si="3"/>
        <v>0</v>
      </c>
      <c r="J284" s="31">
        <f t="shared" si="4"/>
        <v>0</v>
      </c>
      <c r="K284" s="30">
        <f t="shared" si="5"/>
        <v>0</v>
      </c>
      <c r="L284" s="31">
        <f t="shared" si="6"/>
        <v>0</v>
      </c>
      <c r="M284" s="32"/>
      <c r="N284" s="33"/>
    </row>
    <row r="285" ht="15.75" customHeight="1">
      <c r="A285" s="21"/>
      <c r="B285" s="70"/>
      <c r="C285" s="61"/>
      <c r="D285" s="133"/>
      <c r="E285" s="213"/>
      <c r="F285" s="185"/>
      <c r="G285" s="181">
        <f t="shared" si="1"/>
        <v>0</v>
      </c>
      <c r="H285" s="29">
        <f t="shared" si="2"/>
        <v>0</v>
      </c>
      <c r="I285" s="30">
        <f t="shared" si="3"/>
        <v>0</v>
      </c>
      <c r="J285" s="31">
        <f t="shared" si="4"/>
        <v>0</v>
      </c>
      <c r="K285" s="30">
        <f t="shared" si="5"/>
        <v>0</v>
      </c>
      <c r="L285" s="31">
        <f t="shared" si="6"/>
        <v>0</v>
      </c>
      <c r="M285" s="32"/>
      <c r="N285" s="33"/>
    </row>
    <row r="286" ht="15.75" customHeight="1">
      <c r="A286" s="21"/>
      <c r="B286" s="70"/>
      <c r="C286" s="61"/>
      <c r="D286" s="135"/>
      <c r="E286" s="213"/>
      <c r="F286" s="185"/>
      <c r="G286" s="181">
        <f t="shared" si="1"/>
        <v>0</v>
      </c>
      <c r="H286" s="29">
        <f t="shared" si="2"/>
        <v>0</v>
      </c>
      <c r="I286" s="30">
        <f t="shared" si="3"/>
        <v>0</v>
      </c>
      <c r="J286" s="31">
        <f t="shared" si="4"/>
        <v>0</v>
      </c>
      <c r="K286" s="30">
        <f t="shared" si="5"/>
        <v>0</v>
      </c>
      <c r="L286" s="31">
        <f t="shared" si="6"/>
        <v>0</v>
      </c>
      <c r="M286" s="32"/>
      <c r="N286" s="33"/>
    </row>
    <row r="287" ht="15.75" customHeight="1">
      <c r="A287" s="21"/>
      <c r="B287" s="70"/>
      <c r="C287" s="136"/>
      <c r="D287" s="107"/>
      <c r="E287" s="214"/>
      <c r="F287" s="185"/>
      <c r="G287" s="181">
        <f t="shared" si="1"/>
        <v>0</v>
      </c>
      <c r="H287" s="29">
        <f t="shared" si="2"/>
        <v>0</v>
      </c>
      <c r="I287" s="30">
        <f t="shared" si="3"/>
        <v>0</v>
      </c>
      <c r="J287" s="31">
        <f t="shared" si="4"/>
        <v>0</v>
      </c>
      <c r="K287" s="30">
        <f t="shared" si="5"/>
        <v>0</v>
      </c>
      <c r="L287" s="31">
        <f t="shared" si="6"/>
        <v>0</v>
      </c>
      <c r="M287" s="32"/>
      <c r="N287" s="33"/>
    </row>
    <row r="288" ht="15.75" customHeight="1">
      <c r="A288" s="21"/>
      <c r="B288" s="70"/>
      <c r="C288" s="114"/>
      <c r="D288" s="125"/>
      <c r="E288" s="215"/>
      <c r="F288" s="185"/>
      <c r="G288" s="181">
        <f t="shared" si="1"/>
        <v>0</v>
      </c>
      <c r="H288" s="29">
        <f t="shared" si="2"/>
        <v>0</v>
      </c>
      <c r="I288" s="30">
        <f t="shared" si="3"/>
        <v>0</v>
      </c>
      <c r="J288" s="31">
        <f t="shared" si="4"/>
        <v>0</v>
      </c>
      <c r="K288" s="30">
        <f t="shared" si="5"/>
        <v>0</v>
      </c>
      <c r="L288" s="31">
        <f t="shared" si="6"/>
        <v>0</v>
      </c>
      <c r="M288" s="32"/>
      <c r="N288" s="33"/>
    </row>
    <row r="289" ht="15.75" customHeight="1">
      <c r="A289" s="21"/>
      <c r="B289" s="70"/>
      <c r="C289" s="114"/>
      <c r="D289" s="125"/>
      <c r="E289" s="215"/>
      <c r="F289" s="173"/>
      <c r="G289" s="28">
        <f t="shared" si="1"/>
        <v>0</v>
      </c>
      <c r="H289" s="29">
        <f t="shared" si="2"/>
        <v>0</v>
      </c>
      <c r="I289" s="30">
        <f t="shared" si="3"/>
        <v>0</v>
      </c>
      <c r="J289" s="31">
        <f t="shared" si="4"/>
        <v>0</v>
      </c>
      <c r="K289" s="30">
        <f t="shared" si="5"/>
        <v>0</v>
      </c>
      <c r="L289" s="31">
        <f t="shared" si="6"/>
        <v>0</v>
      </c>
      <c r="M289" s="32"/>
      <c r="N289" s="33"/>
    </row>
    <row r="290" ht="15.75" customHeight="1">
      <c r="A290" s="21"/>
      <c r="B290" s="70"/>
      <c r="C290" s="114"/>
      <c r="D290" s="125"/>
      <c r="E290" s="215"/>
      <c r="F290" s="173"/>
      <c r="G290" s="28">
        <f t="shared" si="1"/>
        <v>0</v>
      </c>
      <c r="H290" s="29">
        <f t="shared" si="2"/>
        <v>0</v>
      </c>
      <c r="I290" s="30">
        <f t="shared" si="3"/>
        <v>0</v>
      </c>
      <c r="J290" s="31">
        <f t="shared" si="4"/>
        <v>0</v>
      </c>
      <c r="K290" s="30">
        <f t="shared" si="5"/>
        <v>0</v>
      </c>
      <c r="L290" s="31">
        <f t="shared" si="6"/>
        <v>0</v>
      </c>
      <c r="M290" s="32"/>
      <c r="N290" s="33"/>
    </row>
    <row r="291" ht="15.75" customHeight="1">
      <c r="A291" s="21"/>
      <c r="B291" s="70"/>
      <c r="C291" s="114"/>
      <c r="D291" s="125"/>
      <c r="E291" s="215"/>
      <c r="F291" s="173"/>
      <c r="G291" s="28">
        <f t="shared" si="1"/>
        <v>0</v>
      </c>
      <c r="H291" s="29">
        <f t="shared" si="2"/>
        <v>0</v>
      </c>
      <c r="I291" s="30">
        <f t="shared" si="3"/>
        <v>0</v>
      </c>
      <c r="J291" s="31">
        <f t="shared" si="4"/>
        <v>0</v>
      </c>
      <c r="K291" s="30">
        <f t="shared" si="5"/>
        <v>0</v>
      </c>
      <c r="L291" s="31">
        <f t="shared" si="6"/>
        <v>0</v>
      </c>
      <c r="M291" s="32"/>
      <c r="N291" s="33"/>
    </row>
    <row r="292" ht="15.75" customHeight="1">
      <c r="A292" s="21"/>
      <c r="B292" s="70"/>
      <c r="C292" s="114"/>
      <c r="D292" s="125"/>
      <c r="E292" s="215"/>
      <c r="F292" s="173"/>
      <c r="G292" s="28">
        <f t="shared" si="1"/>
        <v>0</v>
      </c>
      <c r="H292" s="29">
        <f t="shared" si="2"/>
        <v>0</v>
      </c>
      <c r="I292" s="30">
        <f t="shared" si="3"/>
        <v>0</v>
      </c>
      <c r="J292" s="31">
        <f t="shared" si="4"/>
        <v>0</v>
      </c>
      <c r="K292" s="30">
        <f t="shared" si="5"/>
        <v>0</v>
      </c>
      <c r="L292" s="31">
        <f t="shared" si="6"/>
        <v>0</v>
      </c>
      <c r="M292" s="32"/>
      <c r="N292" s="33"/>
    </row>
    <row r="293" ht="15.75" customHeight="1">
      <c r="A293" s="21"/>
      <c r="B293" s="70"/>
      <c r="C293" s="114"/>
      <c r="D293" s="125"/>
      <c r="E293" s="215"/>
      <c r="F293" s="173"/>
      <c r="G293" s="28">
        <f t="shared" si="1"/>
        <v>0</v>
      </c>
      <c r="H293" s="29">
        <f t="shared" si="2"/>
        <v>0</v>
      </c>
      <c r="I293" s="30">
        <f t="shared" si="3"/>
        <v>0</v>
      </c>
      <c r="J293" s="31">
        <f t="shared" si="4"/>
        <v>0</v>
      </c>
      <c r="K293" s="30">
        <f t="shared" si="5"/>
        <v>0</v>
      </c>
      <c r="L293" s="31">
        <f t="shared" si="6"/>
        <v>0</v>
      </c>
      <c r="M293" s="32"/>
      <c r="N293" s="33"/>
    </row>
    <row r="294" ht="15.75" customHeight="1">
      <c r="A294" s="21"/>
      <c r="B294" s="70"/>
      <c r="C294" s="114"/>
      <c r="D294" s="125"/>
      <c r="E294" s="216"/>
      <c r="F294" s="173"/>
      <c r="G294" s="28">
        <f t="shared" si="1"/>
        <v>0</v>
      </c>
      <c r="H294" s="29">
        <f t="shared" si="2"/>
        <v>0</v>
      </c>
      <c r="I294" s="30">
        <f t="shared" si="3"/>
        <v>0</v>
      </c>
      <c r="J294" s="31">
        <f t="shared" si="4"/>
        <v>0</v>
      </c>
      <c r="K294" s="30">
        <f t="shared" si="5"/>
        <v>0</v>
      </c>
      <c r="L294" s="31">
        <f t="shared" si="6"/>
        <v>0</v>
      </c>
      <c r="M294" s="32"/>
      <c r="N294" s="33"/>
    </row>
    <row r="295" ht="15.75" customHeight="1">
      <c r="A295" s="21"/>
      <c r="B295" s="70"/>
      <c r="C295" s="61"/>
      <c r="D295" s="103"/>
      <c r="E295" s="217"/>
      <c r="F295" s="173"/>
      <c r="G295" s="28">
        <f t="shared" si="1"/>
        <v>0</v>
      </c>
      <c r="H295" s="29">
        <f t="shared" si="2"/>
        <v>0</v>
      </c>
      <c r="I295" s="30">
        <f t="shared" si="3"/>
        <v>0</v>
      </c>
      <c r="J295" s="31">
        <f t="shared" si="4"/>
        <v>0</v>
      </c>
      <c r="K295" s="30">
        <f t="shared" si="5"/>
        <v>0</v>
      </c>
      <c r="L295" s="31">
        <f t="shared" si="6"/>
        <v>0</v>
      </c>
      <c r="M295" s="32"/>
      <c r="N295" s="33"/>
    </row>
    <row r="296" ht="15.75" customHeight="1">
      <c r="A296" s="139"/>
      <c r="B296" s="140"/>
      <c r="C296" s="61"/>
      <c r="D296" s="133"/>
      <c r="E296" s="210"/>
      <c r="F296" s="173"/>
      <c r="G296" s="28">
        <f t="shared" si="1"/>
        <v>0</v>
      </c>
      <c r="H296" s="29">
        <f t="shared" si="2"/>
        <v>0</v>
      </c>
      <c r="I296" s="30">
        <f t="shared" si="3"/>
        <v>0</v>
      </c>
      <c r="J296" s="31">
        <f t="shared" si="4"/>
        <v>0</v>
      </c>
      <c r="K296" s="30">
        <f t="shared" si="5"/>
        <v>0</v>
      </c>
      <c r="L296" s="31">
        <f t="shared" si="6"/>
        <v>0</v>
      </c>
      <c r="M296" s="32"/>
      <c r="N296" s="33"/>
    </row>
    <row r="297" ht="15.75" customHeight="1">
      <c r="A297" s="139"/>
      <c r="B297" s="140"/>
      <c r="C297" s="61"/>
      <c r="D297" s="133"/>
      <c r="E297" s="210"/>
      <c r="F297" s="173"/>
      <c r="G297" s="28">
        <f t="shared" si="1"/>
        <v>0</v>
      </c>
      <c r="H297" s="29">
        <f t="shared" si="2"/>
        <v>0</v>
      </c>
      <c r="I297" s="30">
        <f t="shared" si="3"/>
        <v>0</v>
      </c>
      <c r="J297" s="31">
        <f t="shared" si="4"/>
        <v>0</v>
      </c>
      <c r="K297" s="30">
        <f t="shared" si="5"/>
        <v>0</v>
      </c>
      <c r="L297" s="31">
        <f t="shared" si="6"/>
        <v>0</v>
      </c>
      <c r="M297" s="32"/>
      <c r="N297" s="33"/>
    </row>
    <row r="298" ht="15.75" customHeight="1">
      <c r="A298" s="139"/>
      <c r="B298" s="140"/>
      <c r="C298" s="61"/>
      <c r="D298" s="133"/>
      <c r="E298" s="210"/>
      <c r="F298" s="173"/>
      <c r="G298" s="28">
        <f t="shared" si="1"/>
        <v>0</v>
      </c>
      <c r="H298" s="29">
        <f t="shared" si="2"/>
        <v>0</v>
      </c>
      <c r="I298" s="30">
        <f t="shared" si="3"/>
        <v>0</v>
      </c>
      <c r="J298" s="31">
        <f t="shared" si="4"/>
        <v>0</v>
      </c>
      <c r="K298" s="30">
        <f t="shared" si="5"/>
        <v>0</v>
      </c>
      <c r="L298" s="31">
        <f t="shared" si="6"/>
        <v>0</v>
      </c>
      <c r="M298" s="32"/>
      <c r="N298" s="33"/>
    </row>
    <row r="299" ht="15.75" customHeight="1">
      <c r="A299" s="139"/>
      <c r="B299" s="140"/>
      <c r="C299" s="61"/>
      <c r="D299" s="133"/>
      <c r="E299" s="210"/>
      <c r="F299" s="173"/>
      <c r="G299" s="28">
        <f t="shared" si="1"/>
        <v>0</v>
      </c>
      <c r="H299" s="29">
        <f t="shared" si="2"/>
        <v>0</v>
      </c>
      <c r="I299" s="30">
        <f t="shared" si="3"/>
        <v>0</v>
      </c>
      <c r="J299" s="31">
        <f t="shared" si="4"/>
        <v>0</v>
      </c>
      <c r="K299" s="30">
        <f t="shared" si="5"/>
        <v>0</v>
      </c>
      <c r="L299" s="31">
        <f t="shared" si="6"/>
        <v>0</v>
      </c>
      <c r="M299" s="32"/>
      <c r="N299" s="33"/>
    </row>
    <row r="300" ht="15.75" customHeight="1">
      <c r="A300" s="139"/>
      <c r="B300" s="140"/>
      <c r="C300" s="61"/>
      <c r="D300" s="133"/>
      <c r="E300" s="210"/>
      <c r="F300" s="173"/>
      <c r="G300" s="28">
        <f t="shared" si="1"/>
        <v>0</v>
      </c>
      <c r="H300" s="29">
        <f t="shared" si="2"/>
        <v>0</v>
      </c>
      <c r="I300" s="30">
        <f t="shared" si="3"/>
        <v>0</v>
      </c>
      <c r="J300" s="31">
        <f t="shared" si="4"/>
        <v>0</v>
      </c>
      <c r="K300" s="30">
        <f t="shared" si="5"/>
        <v>0</v>
      </c>
      <c r="L300" s="31">
        <f t="shared" si="6"/>
        <v>0</v>
      </c>
      <c r="M300" s="32"/>
      <c r="N300" s="33"/>
    </row>
    <row r="301" ht="15.75" customHeight="1">
      <c r="A301" s="139"/>
      <c r="B301" s="140"/>
      <c r="C301" s="61"/>
      <c r="D301" s="133"/>
      <c r="E301" s="210"/>
      <c r="F301" s="173"/>
      <c r="G301" s="28">
        <f t="shared" si="1"/>
        <v>0</v>
      </c>
      <c r="H301" s="29">
        <f t="shared" si="2"/>
        <v>0</v>
      </c>
      <c r="I301" s="30">
        <f t="shared" si="3"/>
        <v>0</v>
      </c>
      <c r="J301" s="31">
        <f t="shared" si="4"/>
        <v>0</v>
      </c>
      <c r="K301" s="30">
        <f t="shared" si="5"/>
        <v>0</v>
      </c>
      <c r="L301" s="31">
        <f t="shared" si="6"/>
        <v>0</v>
      </c>
      <c r="M301" s="32"/>
      <c r="N301" s="33"/>
    </row>
    <row r="302" ht="15.75" customHeight="1">
      <c r="A302" s="139"/>
      <c r="B302" s="140"/>
      <c r="C302" s="61"/>
      <c r="D302" s="133"/>
      <c r="E302" s="210"/>
      <c r="F302" s="173"/>
      <c r="G302" s="28">
        <f t="shared" si="1"/>
        <v>0</v>
      </c>
      <c r="H302" s="29">
        <f t="shared" si="2"/>
        <v>0</v>
      </c>
      <c r="I302" s="30">
        <f t="shared" si="3"/>
        <v>0</v>
      </c>
      <c r="J302" s="31">
        <f t="shared" si="4"/>
        <v>0</v>
      </c>
      <c r="K302" s="30">
        <f t="shared" si="5"/>
        <v>0</v>
      </c>
      <c r="L302" s="31">
        <f t="shared" si="6"/>
        <v>0</v>
      </c>
      <c r="M302" s="32"/>
      <c r="N302" s="33"/>
    </row>
    <row r="303" ht="15.75" customHeight="1">
      <c r="A303" s="139"/>
      <c r="B303" s="140"/>
      <c r="C303" s="61"/>
      <c r="D303" s="133"/>
      <c r="E303" s="210"/>
      <c r="F303" s="173"/>
      <c r="G303" s="28">
        <f t="shared" si="1"/>
        <v>0</v>
      </c>
      <c r="H303" s="29">
        <f t="shared" si="2"/>
        <v>0</v>
      </c>
      <c r="I303" s="30">
        <f t="shared" si="3"/>
        <v>0</v>
      </c>
      <c r="J303" s="31">
        <f t="shared" si="4"/>
        <v>0</v>
      </c>
      <c r="K303" s="30">
        <f t="shared" si="5"/>
        <v>0</v>
      </c>
      <c r="L303" s="31">
        <f t="shared" si="6"/>
        <v>0</v>
      </c>
      <c r="M303" s="32"/>
      <c r="N303" s="33"/>
    </row>
    <row r="304" ht="15.75" customHeight="1">
      <c r="A304" s="139"/>
      <c r="B304" s="140"/>
      <c r="C304" s="61"/>
      <c r="D304" s="133"/>
      <c r="E304" s="210"/>
      <c r="F304" s="173"/>
      <c r="G304" s="28">
        <f t="shared" si="1"/>
        <v>0</v>
      </c>
      <c r="H304" s="29">
        <f t="shared" si="2"/>
        <v>0</v>
      </c>
      <c r="I304" s="30">
        <f t="shared" si="3"/>
        <v>0</v>
      </c>
      <c r="J304" s="31">
        <f t="shared" si="4"/>
        <v>0</v>
      </c>
      <c r="K304" s="30">
        <f t="shared" si="5"/>
        <v>0</v>
      </c>
      <c r="L304" s="31">
        <f t="shared" si="6"/>
        <v>0</v>
      </c>
      <c r="M304" s="32"/>
      <c r="N304" s="33"/>
    </row>
    <row r="305" ht="15.75" customHeight="1">
      <c r="A305" s="139"/>
      <c r="B305" s="140"/>
      <c r="C305" s="61"/>
      <c r="D305" s="133"/>
      <c r="E305" s="210"/>
      <c r="F305" s="173"/>
      <c r="G305" s="28">
        <f t="shared" si="1"/>
        <v>0</v>
      </c>
      <c r="H305" s="29">
        <f t="shared" si="2"/>
        <v>0</v>
      </c>
      <c r="I305" s="30">
        <f t="shared" si="3"/>
        <v>0</v>
      </c>
      <c r="J305" s="31">
        <f t="shared" si="4"/>
        <v>0</v>
      </c>
      <c r="K305" s="30">
        <f t="shared" si="5"/>
        <v>0</v>
      </c>
      <c r="L305" s="31">
        <f t="shared" si="6"/>
        <v>0</v>
      </c>
      <c r="M305" s="32"/>
      <c r="N305" s="33"/>
    </row>
    <row r="306" ht="15.75" customHeight="1">
      <c r="A306" s="139"/>
      <c r="B306" s="140"/>
      <c r="C306" s="61"/>
      <c r="D306" s="133"/>
      <c r="E306" s="210"/>
      <c r="F306" s="173"/>
      <c r="G306" s="28">
        <f t="shared" si="1"/>
        <v>0</v>
      </c>
      <c r="H306" s="29">
        <f t="shared" si="2"/>
        <v>0</v>
      </c>
      <c r="I306" s="30">
        <f t="shared" si="3"/>
        <v>0</v>
      </c>
      <c r="J306" s="31">
        <f t="shared" si="4"/>
        <v>0</v>
      </c>
      <c r="K306" s="30">
        <f t="shared" si="5"/>
        <v>0</v>
      </c>
      <c r="L306" s="31">
        <f t="shared" si="6"/>
        <v>0</v>
      </c>
      <c r="M306" s="32"/>
      <c r="N306" s="33"/>
    </row>
    <row r="307" ht="15.75" customHeight="1">
      <c r="A307" s="139"/>
      <c r="B307" s="140"/>
      <c r="C307" s="61"/>
      <c r="D307" s="133"/>
      <c r="E307" s="210"/>
      <c r="F307" s="173"/>
      <c r="G307" s="28">
        <f t="shared" si="1"/>
        <v>0</v>
      </c>
      <c r="H307" s="29">
        <f t="shared" si="2"/>
        <v>0</v>
      </c>
      <c r="I307" s="30">
        <f t="shared" si="3"/>
        <v>0</v>
      </c>
      <c r="J307" s="31">
        <f t="shared" si="4"/>
        <v>0</v>
      </c>
      <c r="K307" s="30">
        <f t="shared" si="5"/>
        <v>0</v>
      </c>
      <c r="L307" s="31">
        <f t="shared" si="6"/>
        <v>0</v>
      </c>
      <c r="M307" s="32"/>
      <c r="N307" s="33"/>
    </row>
    <row r="308" ht="15.75" customHeight="1">
      <c r="A308" s="139"/>
      <c r="B308" s="140"/>
      <c r="C308" s="61"/>
      <c r="D308" s="133"/>
      <c r="E308" s="210"/>
      <c r="F308" s="173"/>
      <c r="G308" s="28">
        <f t="shared" si="1"/>
        <v>0</v>
      </c>
      <c r="H308" s="29">
        <f t="shared" si="2"/>
        <v>0</v>
      </c>
      <c r="I308" s="30">
        <f t="shared" si="3"/>
        <v>0</v>
      </c>
      <c r="J308" s="31">
        <f t="shared" si="4"/>
        <v>0</v>
      </c>
      <c r="K308" s="30">
        <f t="shared" si="5"/>
        <v>0</v>
      </c>
      <c r="L308" s="31">
        <f t="shared" si="6"/>
        <v>0</v>
      </c>
      <c r="M308" s="32"/>
      <c r="N308" s="33"/>
    </row>
    <row r="309" ht="15.75" customHeight="1">
      <c r="A309" s="139"/>
      <c r="B309" s="140"/>
      <c r="C309" s="61"/>
      <c r="D309" s="133"/>
      <c r="E309" s="210"/>
      <c r="F309" s="173"/>
      <c r="G309" s="28">
        <f t="shared" si="1"/>
        <v>0</v>
      </c>
      <c r="H309" s="29">
        <f t="shared" si="2"/>
        <v>0</v>
      </c>
      <c r="I309" s="30">
        <f t="shared" si="3"/>
        <v>0</v>
      </c>
      <c r="J309" s="31">
        <f t="shared" si="4"/>
        <v>0</v>
      </c>
      <c r="K309" s="30">
        <f t="shared" si="5"/>
        <v>0</v>
      </c>
      <c r="L309" s="31">
        <f t="shared" si="6"/>
        <v>0</v>
      </c>
      <c r="M309" s="32"/>
      <c r="N309" s="33"/>
    </row>
    <row r="310" ht="15.75" customHeight="1">
      <c r="A310" s="139"/>
      <c r="B310" s="140"/>
      <c r="C310" s="61"/>
      <c r="D310" s="133"/>
      <c r="E310" s="210"/>
      <c r="F310" s="173"/>
      <c r="G310" s="28">
        <f t="shared" si="1"/>
        <v>0</v>
      </c>
      <c r="H310" s="29">
        <f t="shared" si="2"/>
        <v>0</v>
      </c>
      <c r="I310" s="30">
        <f t="shared" si="3"/>
        <v>0</v>
      </c>
      <c r="J310" s="31">
        <f t="shared" si="4"/>
        <v>0</v>
      </c>
      <c r="K310" s="30">
        <f t="shared" si="5"/>
        <v>0</v>
      </c>
      <c r="L310" s="31">
        <f t="shared" si="6"/>
        <v>0</v>
      </c>
      <c r="M310" s="32"/>
      <c r="N310" s="33"/>
    </row>
    <row r="311" ht="15.75" customHeight="1">
      <c r="A311" s="139"/>
      <c r="B311" s="140"/>
      <c r="C311" s="61"/>
      <c r="D311" s="133"/>
      <c r="E311" s="210"/>
      <c r="F311" s="173"/>
      <c r="G311" s="28">
        <f t="shared" si="1"/>
        <v>0</v>
      </c>
      <c r="H311" s="29">
        <f t="shared" si="2"/>
        <v>0</v>
      </c>
      <c r="I311" s="30">
        <f t="shared" si="3"/>
        <v>0</v>
      </c>
      <c r="J311" s="31">
        <f t="shared" si="4"/>
        <v>0</v>
      </c>
      <c r="K311" s="30">
        <f t="shared" si="5"/>
        <v>0</v>
      </c>
      <c r="L311" s="31">
        <f t="shared" si="6"/>
        <v>0</v>
      </c>
      <c r="M311" s="32"/>
      <c r="N311" s="33"/>
    </row>
    <row r="312" ht="15.75" customHeight="1">
      <c r="A312" s="139"/>
      <c r="B312" s="140"/>
      <c r="C312" s="61"/>
      <c r="D312" s="133"/>
      <c r="E312" s="210"/>
      <c r="F312" s="173"/>
      <c r="G312" s="28">
        <f t="shared" si="1"/>
        <v>0</v>
      </c>
      <c r="H312" s="29">
        <f t="shared" si="2"/>
        <v>0</v>
      </c>
      <c r="I312" s="30">
        <f t="shared" si="3"/>
        <v>0</v>
      </c>
      <c r="J312" s="31">
        <f t="shared" si="4"/>
        <v>0</v>
      </c>
      <c r="K312" s="30">
        <f t="shared" si="5"/>
        <v>0</v>
      </c>
      <c r="L312" s="31">
        <f t="shared" si="6"/>
        <v>0</v>
      </c>
      <c r="M312" s="32"/>
      <c r="N312" s="33"/>
    </row>
    <row r="313" ht="15.75" customHeight="1">
      <c r="A313" s="139"/>
      <c r="B313" s="140"/>
      <c r="C313" s="61"/>
      <c r="D313" s="133"/>
      <c r="E313" s="210"/>
      <c r="F313" s="173"/>
      <c r="G313" s="28">
        <f t="shared" si="1"/>
        <v>0</v>
      </c>
      <c r="H313" s="29">
        <f t="shared" si="2"/>
        <v>0</v>
      </c>
      <c r="I313" s="30">
        <f t="shared" si="3"/>
        <v>0</v>
      </c>
      <c r="J313" s="31">
        <f t="shared" si="4"/>
        <v>0</v>
      </c>
      <c r="K313" s="30">
        <f t="shared" si="5"/>
        <v>0</v>
      </c>
      <c r="L313" s="31">
        <f t="shared" si="6"/>
        <v>0</v>
      </c>
      <c r="M313" s="32"/>
      <c r="N313" s="33"/>
    </row>
    <row r="314" ht="15.75" customHeight="1">
      <c r="A314" s="139"/>
      <c r="B314" s="140"/>
      <c r="C314" s="61"/>
      <c r="D314" s="133"/>
      <c r="E314" s="210"/>
      <c r="F314" s="173"/>
      <c r="G314" s="28">
        <f t="shared" si="1"/>
        <v>0</v>
      </c>
      <c r="H314" s="29">
        <f t="shared" si="2"/>
        <v>0</v>
      </c>
      <c r="I314" s="30">
        <f t="shared" si="3"/>
        <v>0</v>
      </c>
      <c r="J314" s="31">
        <f t="shared" si="4"/>
        <v>0</v>
      </c>
      <c r="K314" s="30">
        <f t="shared" si="5"/>
        <v>0</v>
      </c>
      <c r="L314" s="31">
        <f t="shared" si="6"/>
        <v>0</v>
      </c>
      <c r="M314" s="32"/>
      <c r="N314" s="33"/>
    </row>
    <row r="315" ht="15.75" customHeight="1">
      <c r="A315" s="139"/>
      <c r="B315" s="140"/>
      <c r="C315" s="61"/>
      <c r="D315" s="133"/>
      <c r="E315" s="210"/>
      <c r="F315" s="173"/>
      <c r="G315" s="28">
        <f t="shared" si="1"/>
        <v>0</v>
      </c>
      <c r="H315" s="29">
        <f t="shared" si="2"/>
        <v>0</v>
      </c>
      <c r="I315" s="30">
        <f t="shared" si="3"/>
        <v>0</v>
      </c>
      <c r="J315" s="31">
        <f t="shared" si="4"/>
        <v>0</v>
      </c>
      <c r="K315" s="30">
        <f t="shared" si="5"/>
        <v>0</v>
      </c>
      <c r="L315" s="31">
        <f t="shared" si="6"/>
        <v>0</v>
      </c>
      <c r="M315" s="32"/>
      <c r="N315" s="33"/>
    </row>
    <row r="316" ht="15.75" customHeight="1">
      <c r="A316" s="139"/>
      <c r="B316" s="140"/>
      <c r="C316" s="61"/>
      <c r="D316" s="133"/>
      <c r="E316" s="210"/>
      <c r="F316" s="173"/>
      <c r="G316" s="28">
        <f t="shared" si="1"/>
        <v>0</v>
      </c>
      <c r="H316" s="29">
        <f t="shared" si="2"/>
        <v>0</v>
      </c>
      <c r="I316" s="30">
        <f t="shared" si="3"/>
        <v>0</v>
      </c>
      <c r="J316" s="31">
        <f t="shared" si="4"/>
        <v>0</v>
      </c>
      <c r="K316" s="30">
        <f t="shared" si="5"/>
        <v>0</v>
      </c>
      <c r="L316" s="31">
        <f t="shared" si="6"/>
        <v>0</v>
      </c>
      <c r="M316" s="32"/>
      <c r="N316" s="33"/>
    </row>
    <row r="317" ht="15.75" customHeight="1">
      <c r="A317" s="139"/>
      <c r="B317" s="140"/>
      <c r="C317" s="61"/>
      <c r="D317" s="133"/>
      <c r="E317" s="210"/>
      <c r="F317" s="173"/>
      <c r="G317" s="28">
        <f t="shared" si="1"/>
        <v>0</v>
      </c>
      <c r="H317" s="29">
        <f t="shared" si="2"/>
        <v>0</v>
      </c>
      <c r="I317" s="30">
        <f t="shared" si="3"/>
        <v>0</v>
      </c>
      <c r="J317" s="31">
        <f t="shared" si="4"/>
        <v>0</v>
      </c>
      <c r="K317" s="30">
        <f t="shared" si="5"/>
        <v>0</v>
      </c>
      <c r="L317" s="31">
        <f t="shared" si="6"/>
        <v>0</v>
      </c>
      <c r="M317" s="32"/>
      <c r="N317" s="33"/>
    </row>
    <row r="318" ht="15.75" customHeight="1">
      <c r="A318" s="139"/>
      <c r="B318" s="140"/>
      <c r="C318" s="61"/>
      <c r="D318" s="133"/>
      <c r="E318" s="210"/>
      <c r="F318" s="173"/>
      <c r="G318" s="28">
        <f t="shared" si="1"/>
        <v>0</v>
      </c>
      <c r="H318" s="29">
        <f t="shared" si="2"/>
        <v>0</v>
      </c>
      <c r="I318" s="30">
        <f t="shared" si="3"/>
        <v>0</v>
      </c>
      <c r="J318" s="31">
        <f t="shared" si="4"/>
        <v>0</v>
      </c>
      <c r="K318" s="30">
        <f t="shared" si="5"/>
        <v>0</v>
      </c>
      <c r="L318" s="31">
        <f t="shared" si="6"/>
        <v>0</v>
      </c>
      <c r="M318" s="32"/>
      <c r="N318" s="33"/>
    </row>
    <row r="319" ht="15.75" customHeight="1">
      <c r="A319" s="139"/>
      <c r="B319" s="140"/>
      <c r="C319" s="61"/>
      <c r="D319" s="133"/>
      <c r="E319" s="210"/>
      <c r="F319" s="173"/>
      <c r="G319" s="28">
        <f t="shared" si="1"/>
        <v>0</v>
      </c>
      <c r="H319" s="29">
        <f t="shared" si="2"/>
        <v>0</v>
      </c>
      <c r="I319" s="30">
        <f t="shared" si="3"/>
        <v>0</v>
      </c>
      <c r="J319" s="31">
        <f t="shared" si="4"/>
        <v>0</v>
      </c>
      <c r="K319" s="30">
        <f t="shared" si="5"/>
        <v>0</v>
      </c>
      <c r="L319" s="31">
        <f t="shared" si="6"/>
        <v>0</v>
      </c>
      <c r="M319" s="32"/>
      <c r="N319" s="33"/>
    </row>
    <row r="320" ht="15.75" customHeight="1">
      <c r="A320" s="139"/>
      <c r="B320" s="140"/>
      <c r="C320" s="61"/>
      <c r="D320" s="133"/>
      <c r="E320" s="210"/>
      <c r="F320" s="173"/>
      <c r="G320" s="28">
        <f t="shared" si="1"/>
        <v>0</v>
      </c>
      <c r="H320" s="29">
        <f t="shared" si="2"/>
        <v>0</v>
      </c>
      <c r="I320" s="30">
        <f t="shared" si="3"/>
        <v>0</v>
      </c>
      <c r="J320" s="31">
        <f t="shared" si="4"/>
        <v>0</v>
      </c>
      <c r="K320" s="30">
        <f t="shared" si="5"/>
        <v>0</v>
      </c>
      <c r="L320" s="31">
        <f t="shared" si="6"/>
        <v>0</v>
      </c>
      <c r="M320" s="32"/>
      <c r="N320" s="33"/>
    </row>
    <row r="321" ht="15.75" customHeight="1">
      <c r="A321" s="139"/>
      <c r="B321" s="140"/>
      <c r="C321" s="61"/>
      <c r="D321" s="133"/>
      <c r="E321" s="210"/>
      <c r="F321" s="173"/>
      <c r="G321" s="28">
        <f t="shared" si="1"/>
        <v>0</v>
      </c>
      <c r="H321" s="29">
        <f t="shared" si="2"/>
        <v>0</v>
      </c>
      <c r="I321" s="30">
        <f t="shared" si="3"/>
        <v>0</v>
      </c>
      <c r="J321" s="31">
        <f t="shared" si="4"/>
        <v>0</v>
      </c>
      <c r="K321" s="30">
        <f t="shared" si="5"/>
        <v>0</v>
      </c>
      <c r="L321" s="31">
        <f t="shared" si="6"/>
        <v>0</v>
      </c>
      <c r="M321" s="32"/>
      <c r="N321" s="33"/>
    </row>
    <row r="322" ht="15.75" customHeight="1">
      <c r="A322" s="139"/>
      <c r="B322" s="140"/>
      <c r="C322" s="61"/>
      <c r="D322" s="133"/>
      <c r="E322" s="210"/>
      <c r="F322" s="173"/>
      <c r="G322" s="28">
        <f t="shared" si="1"/>
        <v>0</v>
      </c>
      <c r="H322" s="29">
        <f t="shared" si="2"/>
        <v>0</v>
      </c>
      <c r="I322" s="30">
        <f t="shared" si="3"/>
        <v>0</v>
      </c>
      <c r="J322" s="31">
        <f t="shared" si="4"/>
        <v>0</v>
      </c>
      <c r="K322" s="30">
        <f t="shared" si="5"/>
        <v>0</v>
      </c>
      <c r="L322" s="31">
        <f t="shared" si="6"/>
        <v>0</v>
      </c>
      <c r="M322" s="32"/>
      <c r="N322" s="33"/>
    </row>
    <row r="323" ht="15.75" customHeight="1">
      <c r="A323" s="139"/>
      <c r="B323" s="140"/>
      <c r="C323" s="61"/>
      <c r="D323" s="133"/>
      <c r="E323" s="210"/>
      <c r="F323" s="173"/>
      <c r="G323" s="28">
        <f t="shared" si="1"/>
        <v>0</v>
      </c>
      <c r="H323" s="29">
        <f t="shared" si="2"/>
        <v>0</v>
      </c>
      <c r="I323" s="30">
        <f t="shared" si="3"/>
        <v>0</v>
      </c>
      <c r="J323" s="31">
        <f t="shared" si="4"/>
        <v>0</v>
      </c>
      <c r="K323" s="30">
        <f t="shared" si="5"/>
        <v>0</v>
      </c>
      <c r="L323" s="31">
        <f t="shared" si="6"/>
        <v>0</v>
      </c>
      <c r="M323" s="32"/>
      <c r="N323" s="33"/>
    </row>
    <row r="324" ht="15.75" customHeight="1">
      <c r="A324" s="139"/>
      <c r="B324" s="140"/>
      <c r="C324" s="61"/>
      <c r="D324" s="133"/>
      <c r="E324" s="210"/>
      <c r="F324" s="173"/>
      <c r="G324" s="28">
        <f t="shared" si="1"/>
        <v>0</v>
      </c>
      <c r="H324" s="29">
        <f t="shared" si="2"/>
        <v>0</v>
      </c>
      <c r="I324" s="30">
        <f t="shared" si="3"/>
        <v>0</v>
      </c>
      <c r="J324" s="31">
        <f t="shared" si="4"/>
        <v>0</v>
      </c>
      <c r="K324" s="30">
        <f t="shared" si="5"/>
        <v>0</v>
      </c>
      <c r="L324" s="31">
        <f t="shared" si="6"/>
        <v>0</v>
      </c>
      <c r="M324" s="32"/>
      <c r="N324" s="33"/>
    </row>
    <row r="325" ht="15.75" customHeight="1">
      <c r="A325" s="139"/>
      <c r="B325" s="140"/>
      <c r="C325" s="61"/>
      <c r="D325" s="133"/>
      <c r="E325" s="210"/>
      <c r="F325" s="173"/>
      <c r="G325" s="28">
        <f t="shared" si="1"/>
        <v>0</v>
      </c>
      <c r="H325" s="29">
        <f t="shared" si="2"/>
        <v>0</v>
      </c>
      <c r="I325" s="30">
        <f t="shared" si="3"/>
        <v>0</v>
      </c>
      <c r="J325" s="31">
        <f t="shared" si="4"/>
        <v>0</v>
      </c>
      <c r="K325" s="30">
        <f t="shared" si="5"/>
        <v>0</v>
      </c>
      <c r="L325" s="31">
        <f t="shared" si="6"/>
        <v>0</v>
      </c>
      <c r="M325" s="32"/>
      <c r="N325" s="33"/>
    </row>
    <row r="326" ht="15.75" customHeight="1">
      <c r="A326" s="139"/>
      <c r="B326" s="140"/>
      <c r="C326" s="61"/>
      <c r="D326" s="133"/>
      <c r="E326" s="210"/>
      <c r="F326" s="173"/>
      <c r="G326" s="28">
        <f t="shared" si="1"/>
        <v>0</v>
      </c>
      <c r="H326" s="29">
        <f t="shared" si="2"/>
        <v>0</v>
      </c>
      <c r="I326" s="30">
        <f t="shared" si="3"/>
        <v>0</v>
      </c>
      <c r="J326" s="31">
        <f t="shared" si="4"/>
        <v>0</v>
      </c>
      <c r="K326" s="30">
        <f t="shared" si="5"/>
        <v>0</v>
      </c>
      <c r="L326" s="31">
        <f t="shared" si="6"/>
        <v>0</v>
      </c>
      <c r="M326" s="32"/>
      <c r="N326" s="33"/>
    </row>
    <row r="327" ht="15.75" customHeight="1">
      <c r="A327" s="139"/>
      <c r="B327" s="140"/>
      <c r="C327" s="61"/>
      <c r="D327" s="133"/>
      <c r="E327" s="210"/>
      <c r="F327" s="173"/>
      <c r="G327" s="28">
        <f t="shared" si="1"/>
        <v>0</v>
      </c>
      <c r="H327" s="29">
        <f t="shared" si="2"/>
        <v>0</v>
      </c>
      <c r="I327" s="30">
        <f t="shared" si="3"/>
        <v>0</v>
      </c>
      <c r="J327" s="31">
        <f t="shared" si="4"/>
        <v>0</v>
      </c>
      <c r="K327" s="30">
        <f t="shared" si="5"/>
        <v>0</v>
      </c>
      <c r="L327" s="31">
        <f t="shared" si="6"/>
        <v>0</v>
      </c>
      <c r="M327" s="32"/>
      <c r="N327" s="33"/>
    </row>
    <row r="328" ht="15.75" customHeight="1">
      <c r="A328" s="139"/>
      <c r="B328" s="140"/>
      <c r="C328" s="61"/>
      <c r="D328" s="133"/>
      <c r="E328" s="210"/>
      <c r="F328" s="173"/>
      <c r="G328" s="28">
        <f t="shared" si="1"/>
        <v>0</v>
      </c>
      <c r="H328" s="29">
        <f t="shared" si="2"/>
        <v>0</v>
      </c>
      <c r="I328" s="30">
        <f t="shared" si="3"/>
        <v>0</v>
      </c>
      <c r="J328" s="31">
        <f t="shared" si="4"/>
        <v>0</v>
      </c>
      <c r="K328" s="30">
        <f t="shared" si="5"/>
        <v>0</v>
      </c>
      <c r="L328" s="31">
        <f t="shared" si="6"/>
        <v>0</v>
      </c>
      <c r="M328" s="32"/>
      <c r="N328" s="33"/>
    </row>
    <row r="329" ht="15.75" customHeight="1">
      <c r="A329" s="139"/>
      <c r="B329" s="140"/>
      <c r="C329" s="61"/>
      <c r="D329" s="133"/>
      <c r="E329" s="210"/>
      <c r="F329" s="173"/>
      <c r="G329" s="28">
        <f t="shared" si="1"/>
        <v>0</v>
      </c>
      <c r="H329" s="29">
        <f t="shared" si="2"/>
        <v>0</v>
      </c>
      <c r="I329" s="30">
        <f t="shared" si="3"/>
        <v>0</v>
      </c>
      <c r="J329" s="31">
        <f t="shared" si="4"/>
        <v>0</v>
      </c>
      <c r="K329" s="30">
        <f t="shared" si="5"/>
        <v>0</v>
      </c>
      <c r="L329" s="31">
        <f t="shared" si="6"/>
        <v>0</v>
      </c>
      <c r="M329" s="32"/>
      <c r="N329" s="33"/>
    </row>
    <row r="330" ht="15.75" customHeight="1">
      <c r="A330" s="139"/>
      <c r="B330" s="140"/>
      <c r="C330" s="61"/>
      <c r="D330" s="133"/>
      <c r="E330" s="210"/>
      <c r="F330" s="173"/>
      <c r="G330" s="28">
        <f t="shared" si="1"/>
        <v>0</v>
      </c>
      <c r="H330" s="29">
        <f t="shared" si="2"/>
        <v>0</v>
      </c>
      <c r="I330" s="30">
        <f t="shared" si="3"/>
        <v>0</v>
      </c>
      <c r="J330" s="31">
        <f t="shared" si="4"/>
        <v>0</v>
      </c>
      <c r="K330" s="30">
        <f t="shared" si="5"/>
        <v>0</v>
      </c>
      <c r="L330" s="31">
        <f t="shared" si="6"/>
        <v>0</v>
      </c>
      <c r="M330" s="32"/>
      <c r="N330" s="33"/>
    </row>
    <row r="331" ht="15.75" customHeight="1">
      <c r="A331" s="139"/>
      <c r="B331" s="140"/>
      <c r="C331" s="61"/>
      <c r="D331" s="133"/>
      <c r="E331" s="210"/>
      <c r="F331" s="173"/>
      <c r="G331" s="28">
        <f t="shared" si="1"/>
        <v>0</v>
      </c>
      <c r="H331" s="29">
        <f t="shared" si="2"/>
        <v>0</v>
      </c>
      <c r="I331" s="30">
        <f t="shared" si="3"/>
        <v>0</v>
      </c>
      <c r="J331" s="31">
        <f t="shared" si="4"/>
        <v>0</v>
      </c>
      <c r="K331" s="30">
        <f t="shared" si="5"/>
        <v>0</v>
      </c>
      <c r="L331" s="31">
        <f t="shared" si="6"/>
        <v>0</v>
      </c>
      <c r="M331" s="32"/>
      <c r="N331" s="33"/>
    </row>
    <row r="332" ht="15.75" customHeight="1">
      <c r="A332" s="139"/>
      <c r="B332" s="140"/>
      <c r="C332" s="61"/>
      <c r="D332" s="133"/>
      <c r="E332" s="210"/>
      <c r="F332" s="173"/>
      <c r="G332" s="28">
        <f t="shared" si="1"/>
        <v>0</v>
      </c>
      <c r="H332" s="29">
        <f t="shared" si="2"/>
        <v>0</v>
      </c>
      <c r="I332" s="30">
        <f t="shared" si="3"/>
        <v>0</v>
      </c>
      <c r="J332" s="31">
        <f t="shared" si="4"/>
        <v>0</v>
      </c>
      <c r="K332" s="30">
        <f t="shared" si="5"/>
        <v>0</v>
      </c>
      <c r="L332" s="31">
        <f t="shared" si="6"/>
        <v>0</v>
      </c>
      <c r="M332" s="32"/>
      <c r="N332" s="33"/>
    </row>
    <row r="333" ht="15.75" customHeight="1">
      <c r="A333" s="139"/>
      <c r="B333" s="140"/>
      <c r="C333" s="61"/>
      <c r="D333" s="133"/>
      <c r="E333" s="210"/>
      <c r="F333" s="173"/>
      <c r="G333" s="28">
        <f t="shared" si="1"/>
        <v>0</v>
      </c>
      <c r="H333" s="29">
        <f t="shared" si="2"/>
        <v>0</v>
      </c>
      <c r="I333" s="30">
        <f t="shared" si="3"/>
        <v>0</v>
      </c>
      <c r="J333" s="31">
        <f t="shared" si="4"/>
        <v>0</v>
      </c>
      <c r="K333" s="30">
        <f t="shared" si="5"/>
        <v>0</v>
      </c>
      <c r="L333" s="31">
        <f t="shared" si="6"/>
        <v>0</v>
      </c>
      <c r="M333" s="32"/>
      <c r="N333" s="33"/>
    </row>
    <row r="334" ht="15.75" customHeight="1">
      <c r="A334" s="139"/>
      <c r="B334" s="140"/>
      <c r="C334" s="61"/>
      <c r="D334" s="133"/>
      <c r="E334" s="210"/>
      <c r="F334" s="173"/>
      <c r="G334" s="28">
        <f t="shared" si="1"/>
        <v>0</v>
      </c>
      <c r="H334" s="29">
        <f t="shared" si="2"/>
        <v>0</v>
      </c>
      <c r="I334" s="30">
        <f t="shared" si="3"/>
        <v>0</v>
      </c>
      <c r="J334" s="31">
        <f t="shared" si="4"/>
        <v>0</v>
      </c>
      <c r="K334" s="30">
        <f t="shared" si="5"/>
        <v>0</v>
      </c>
      <c r="L334" s="31">
        <f t="shared" si="6"/>
        <v>0</v>
      </c>
      <c r="M334" s="32"/>
      <c r="N334" s="33"/>
    </row>
    <row r="335" ht="15.75" customHeight="1">
      <c r="A335" s="139"/>
      <c r="B335" s="140"/>
      <c r="C335" s="61"/>
      <c r="D335" s="133"/>
      <c r="E335" s="210"/>
      <c r="F335" s="173"/>
      <c r="G335" s="28">
        <f t="shared" si="1"/>
        <v>0</v>
      </c>
      <c r="H335" s="29">
        <f t="shared" si="2"/>
        <v>0</v>
      </c>
      <c r="I335" s="30">
        <f t="shared" si="3"/>
        <v>0</v>
      </c>
      <c r="J335" s="31">
        <f t="shared" si="4"/>
        <v>0</v>
      </c>
      <c r="K335" s="30">
        <f t="shared" si="5"/>
        <v>0</v>
      </c>
      <c r="L335" s="31">
        <f t="shared" si="6"/>
        <v>0</v>
      </c>
      <c r="M335" s="32"/>
      <c r="N335" s="33"/>
    </row>
    <row r="336" ht="15.75" customHeight="1">
      <c r="A336" s="139"/>
      <c r="B336" s="140"/>
      <c r="C336" s="61"/>
      <c r="D336" s="133"/>
      <c r="E336" s="210"/>
      <c r="F336" s="173"/>
      <c r="G336" s="28">
        <f t="shared" si="1"/>
        <v>0</v>
      </c>
      <c r="H336" s="29">
        <f t="shared" si="2"/>
        <v>0</v>
      </c>
      <c r="I336" s="30">
        <f t="shared" si="3"/>
        <v>0</v>
      </c>
      <c r="J336" s="31">
        <f t="shared" si="4"/>
        <v>0</v>
      </c>
      <c r="K336" s="30">
        <f t="shared" si="5"/>
        <v>0</v>
      </c>
      <c r="L336" s="31">
        <f t="shared" si="6"/>
        <v>0</v>
      </c>
      <c r="M336" s="32"/>
      <c r="N336" s="33"/>
    </row>
    <row r="337" ht="15.75" customHeight="1">
      <c r="A337" s="139"/>
      <c r="B337" s="140"/>
      <c r="C337" s="61"/>
      <c r="D337" s="133"/>
      <c r="E337" s="210"/>
      <c r="F337" s="173"/>
      <c r="G337" s="28">
        <f t="shared" si="1"/>
        <v>0</v>
      </c>
      <c r="H337" s="29">
        <f t="shared" si="2"/>
        <v>0</v>
      </c>
      <c r="I337" s="30">
        <f t="shared" si="3"/>
        <v>0</v>
      </c>
      <c r="J337" s="31">
        <f t="shared" si="4"/>
        <v>0</v>
      </c>
      <c r="K337" s="30">
        <f t="shared" si="5"/>
        <v>0</v>
      </c>
      <c r="L337" s="31">
        <f t="shared" si="6"/>
        <v>0</v>
      </c>
      <c r="M337" s="32"/>
      <c r="N337" s="33"/>
    </row>
    <row r="338" ht="15.75" customHeight="1">
      <c r="A338" s="139"/>
      <c r="B338" s="140"/>
      <c r="C338" s="61"/>
      <c r="D338" s="133"/>
      <c r="E338" s="210"/>
      <c r="F338" s="173"/>
      <c r="G338" s="28">
        <f t="shared" si="1"/>
        <v>0</v>
      </c>
      <c r="H338" s="29">
        <f t="shared" si="2"/>
        <v>0</v>
      </c>
      <c r="I338" s="30">
        <f t="shared" si="3"/>
        <v>0</v>
      </c>
      <c r="J338" s="31">
        <f t="shared" si="4"/>
        <v>0</v>
      </c>
      <c r="K338" s="30">
        <f t="shared" si="5"/>
        <v>0</v>
      </c>
      <c r="L338" s="31">
        <f t="shared" si="6"/>
        <v>0</v>
      </c>
      <c r="M338" s="32"/>
      <c r="N338" s="33"/>
    </row>
    <row r="339" ht="15.75" customHeight="1">
      <c r="A339" s="139"/>
      <c r="B339" s="140"/>
      <c r="C339" s="61"/>
      <c r="D339" s="133"/>
      <c r="E339" s="210"/>
      <c r="F339" s="173"/>
      <c r="G339" s="28">
        <f t="shared" si="1"/>
        <v>0</v>
      </c>
      <c r="H339" s="29">
        <f t="shared" si="2"/>
        <v>0</v>
      </c>
      <c r="I339" s="30">
        <f t="shared" si="3"/>
        <v>0</v>
      </c>
      <c r="J339" s="31">
        <f t="shared" si="4"/>
        <v>0</v>
      </c>
      <c r="K339" s="30">
        <f t="shared" si="5"/>
        <v>0</v>
      </c>
      <c r="L339" s="31">
        <f t="shared" si="6"/>
        <v>0</v>
      </c>
      <c r="M339" s="32"/>
      <c r="N339" s="33"/>
    </row>
    <row r="340" ht="15.75" customHeight="1">
      <c r="A340" s="139"/>
      <c r="B340" s="140"/>
      <c r="C340" s="61"/>
      <c r="D340" s="133"/>
      <c r="E340" s="210"/>
      <c r="F340" s="173"/>
      <c r="G340" s="28">
        <f t="shared" si="1"/>
        <v>0</v>
      </c>
      <c r="H340" s="29">
        <f t="shared" si="2"/>
        <v>0</v>
      </c>
      <c r="I340" s="30">
        <f t="shared" si="3"/>
        <v>0</v>
      </c>
      <c r="J340" s="31">
        <f t="shared" si="4"/>
        <v>0</v>
      </c>
      <c r="K340" s="30">
        <f t="shared" si="5"/>
        <v>0</v>
      </c>
      <c r="L340" s="31">
        <f t="shared" si="6"/>
        <v>0</v>
      </c>
      <c r="M340" s="32"/>
      <c r="N340" s="33"/>
    </row>
    <row r="341" ht="15.75" customHeight="1">
      <c r="A341" s="139"/>
      <c r="B341" s="140"/>
      <c r="C341" s="61"/>
      <c r="D341" s="133"/>
      <c r="E341" s="210"/>
      <c r="F341" s="173"/>
      <c r="G341" s="28">
        <f t="shared" si="1"/>
        <v>0</v>
      </c>
      <c r="H341" s="29">
        <f t="shared" si="2"/>
        <v>0</v>
      </c>
      <c r="I341" s="30">
        <f t="shared" si="3"/>
        <v>0</v>
      </c>
      <c r="J341" s="31">
        <f t="shared" si="4"/>
        <v>0</v>
      </c>
      <c r="K341" s="30">
        <f t="shared" si="5"/>
        <v>0</v>
      </c>
      <c r="L341" s="31">
        <f t="shared" si="6"/>
        <v>0</v>
      </c>
      <c r="M341" s="32"/>
      <c r="N341" s="33"/>
    </row>
    <row r="342" ht="15.75" customHeight="1">
      <c r="A342" s="139"/>
      <c r="B342" s="140"/>
      <c r="C342" s="61"/>
      <c r="D342" s="133"/>
      <c r="E342" s="210"/>
      <c r="F342" s="173"/>
      <c r="G342" s="28">
        <f t="shared" si="1"/>
        <v>0</v>
      </c>
      <c r="H342" s="29">
        <f t="shared" si="2"/>
        <v>0</v>
      </c>
      <c r="I342" s="30">
        <f t="shared" si="3"/>
        <v>0</v>
      </c>
      <c r="J342" s="31">
        <f t="shared" si="4"/>
        <v>0</v>
      </c>
      <c r="K342" s="30">
        <f t="shared" si="5"/>
        <v>0</v>
      </c>
      <c r="L342" s="31">
        <f t="shared" si="6"/>
        <v>0</v>
      </c>
      <c r="M342" s="32"/>
      <c r="N342" s="33"/>
    </row>
    <row r="343" ht="15.75" customHeight="1">
      <c r="A343" s="139"/>
      <c r="B343" s="140"/>
      <c r="C343" s="61"/>
      <c r="D343" s="133"/>
      <c r="E343" s="210"/>
      <c r="F343" s="173"/>
      <c r="G343" s="28">
        <f t="shared" si="1"/>
        <v>0</v>
      </c>
      <c r="H343" s="29">
        <f t="shared" si="2"/>
        <v>0</v>
      </c>
      <c r="I343" s="30">
        <f t="shared" si="3"/>
        <v>0</v>
      </c>
      <c r="J343" s="31">
        <f t="shared" si="4"/>
        <v>0</v>
      </c>
      <c r="K343" s="30">
        <f t="shared" si="5"/>
        <v>0</v>
      </c>
      <c r="L343" s="31">
        <f t="shared" si="6"/>
        <v>0</v>
      </c>
      <c r="M343" s="32"/>
      <c r="N343" s="33"/>
    </row>
    <row r="344" ht="15.75" customHeight="1">
      <c r="A344" s="139"/>
      <c r="B344" s="140"/>
      <c r="C344" s="61"/>
      <c r="D344" s="133"/>
      <c r="E344" s="210"/>
      <c r="F344" s="173"/>
      <c r="G344" s="28">
        <f t="shared" si="1"/>
        <v>0</v>
      </c>
      <c r="H344" s="29">
        <f t="shared" si="2"/>
        <v>0</v>
      </c>
      <c r="I344" s="30">
        <f t="shared" si="3"/>
        <v>0</v>
      </c>
      <c r="J344" s="31">
        <f t="shared" si="4"/>
        <v>0</v>
      </c>
      <c r="K344" s="30">
        <f t="shared" si="5"/>
        <v>0</v>
      </c>
      <c r="L344" s="31">
        <f t="shared" si="6"/>
        <v>0</v>
      </c>
      <c r="M344" s="32"/>
      <c r="N344" s="33"/>
    </row>
    <row r="345" ht="15.75" customHeight="1">
      <c r="A345" s="139"/>
      <c r="B345" s="140"/>
      <c r="C345" s="61"/>
      <c r="D345" s="133"/>
      <c r="E345" s="210"/>
      <c r="F345" s="173"/>
      <c r="G345" s="28">
        <f t="shared" si="1"/>
        <v>0</v>
      </c>
      <c r="H345" s="29">
        <f t="shared" si="2"/>
        <v>0</v>
      </c>
      <c r="I345" s="30">
        <f t="shared" si="3"/>
        <v>0</v>
      </c>
      <c r="J345" s="31">
        <f t="shared" si="4"/>
        <v>0</v>
      </c>
      <c r="K345" s="30">
        <f t="shared" si="5"/>
        <v>0</v>
      </c>
      <c r="L345" s="31">
        <f t="shared" si="6"/>
        <v>0</v>
      </c>
      <c r="M345" s="32"/>
      <c r="N345" s="33"/>
    </row>
    <row r="346" ht="15.75" customHeight="1">
      <c r="A346" s="139"/>
      <c r="B346" s="140"/>
      <c r="C346" s="61"/>
      <c r="D346" s="133"/>
      <c r="E346" s="210"/>
      <c r="F346" s="173"/>
      <c r="G346" s="28">
        <f t="shared" si="1"/>
        <v>0</v>
      </c>
      <c r="H346" s="29">
        <f t="shared" si="2"/>
        <v>0</v>
      </c>
      <c r="I346" s="30">
        <f t="shared" si="3"/>
        <v>0</v>
      </c>
      <c r="J346" s="31">
        <f t="shared" si="4"/>
        <v>0</v>
      </c>
      <c r="K346" s="30">
        <f t="shared" si="5"/>
        <v>0</v>
      </c>
      <c r="L346" s="31">
        <f t="shared" si="6"/>
        <v>0</v>
      </c>
      <c r="M346" s="32"/>
      <c r="N346" s="33"/>
    </row>
    <row r="347" ht="15.75" customHeight="1">
      <c r="A347" s="139"/>
      <c r="B347" s="140"/>
      <c r="C347" s="61"/>
      <c r="D347" s="133"/>
      <c r="E347" s="210"/>
      <c r="F347" s="173"/>
      <c r="G347" s="28">
        <f t="shared" si="1"/>
        <v>0</v>
      </c>
      <c r="H347" s="29">
        <f t="shared" si="2"/>
        <v>0</v>
      </c>
      <c r="I347" s="30">
        <f t="shared" si="3"/>
        <v>0</v>
      </c>
      <c r="J347" s="31">
        <f t="shared" si="4"/>
        <v>0</v>
      </c>
      <c r="K347" s="30">
        <f t="shared" si="5"/>
        <v>0</v>
      </c>
      <c r="L347" s="31">
        <f t="shared" si="6"/>
        <v>0</v>
      </c>
      <c r="M347" s="32"/>
      <c r="N347" s="33"/>
    </row>
    <row r="348" ht="15.75" customHeight="1">
      <c r="A348" s="139"/>
      <c r="B348" s="140"/>
      <c r="C348" s="61"/>
      <c r="D348" s="133"/>
      <c r="E348" s="210"/>
      <c r="F348" s="173"/>
      <c r="G348" s="28">
        <f t="shared" si="1"/>
        <v>0</v>
      </c>
      <c r="H348" s="29">
        <f t="shared" si="2"/>
        <v>0</v>
      </c>
      <c r="I348" s="30">
        <f t="shared" si="3"/>
        <v>0</v>
      </c>
      <c r="J348" s="31">
        <f t="shared" si="4"/>
        <v>0</v>
      </c>
      <c r="K348" s="30">
        <f t="shared" si="5"/>
        <v>0</v>
      </c>
      <c r="L348" s="31">
        <f t="shared" si="6"/>
        <v>0</v>
      </c>
      <c r="M348" s="32"/>
      <c r="N348" s="33"/>
    </row>
    <row r="349" ht="15.75" customHeight="1">
      <c r="A349" s="139"/>
      <c r="B349" s="140"/>
      <c r="C349" s="61"/>
      <c r="D349" s="133"/>
      <c r="E349" s="210"/>
      <c r="F349" s="173"/>
      <c r="G349" s="28">
        <f t="shared" si="1"/>
        <v>0</v>
      </c>
      <c r="H349" s="29">
        <f t="shared" si="2"/>
        <v>0</v>
      </c>
      <c r="I349" s="30">
        <f t="shared" si="3"/>
        <v>0</v>
      </c>
      <c r="J349" s="31">
        <f t="shared" si="4"/>
        <v>0</v>
      </c>
      <c r="K349" s="30">
        <f t="shared" si="5"/>
        <v>0</v>
      </c>
      <c r="L349" s="31">
        <f t="shared" si="6"/>
        <v>0</v>
      </c>
      <c r="M349" s="32"/>
      <c r="N349" s="33"/>
    </row>
    <row r="350" ht="15.75" customHeight="1">
      <c r="A350" s="139"/>
      <c r="B350" s="140"/>
      <c r="C350" s="61"/>
      <c r="D350" s="133"/>
      <c r="E350" s="210"/>
      <c r="F350" s="173"/>
      <c r="G350" s="28">
        <f t="shared" si="1"/>
        <v>0</v>
      </c>
      <c r="H350" s="29">
        <f t="shared" si="2"/>
        <v>0</v>
      </c>
      <c r="I350" s="30">
        <f t="shared" si="3"/>
        <v>0</v>
      </c>
      <c r="J350" s="31">
        <f t="shared" si="4"/>
        <v>0</v>
      </c>
      <c r="K350" s="30">
        <f t="shared" si="5"/>
        <v>0</v>
      </c>
      <c r="L350" s="31">
        <f t="shared" si="6"/>
        <v>0</v>
      </c>
      <c r="M350" s="32"/>
      <c r="N350" s="33"/>
    </row>
    <row r="351" ht="15.75" customHeight="1">
      <c r="A351" s="139"/>
      <c r="B351" s="140"/>
      <c r="C351" s="61"/>
      <c r="D351" s="133"/>
      <c r="E351" s="210"/>
      <c r="F351" s="173"/>
      <c r="G351" s="28">
        <f t="shared" si="1"/>
        <v>0</v>
      </c>
      <c r="H351" s="29">
        <f t="shared" si="2"/>
        <v>0</v>
      </c>
      <c r="I351" s="30">
        <f t="shared" si="3"/>
        <v>0</v>
      </c>
      <c r="J351" s="31">
        <f t="shared" si="4"/>
        <v>0</v>
      </c>
      <c r="K351" s="30">
        <f t="shared" si="5"/>
        <v>0</v>
      </c>
      <c r="L351" s="31">
        <f t="shared" si="6"/>
        <v>0</v>
      </c>
      <c r="M351" s="32"/>
      <c r="N351" s="33"/>
    </row>
    <row r="352" ht="15.75" customHeight="1">
      <c r="A352" s="139"/>
      <c r="B352" s="140"/>
      <c r="C352" s="61"/>
      <c r="D352" s="133"/>
      <c r="E352" s="210"/>
      <c r="F352" s="173"/>
      <c r="G352" s="28">
        <f t="shared" si="1"/>
        <v>0</v>
      </c>
      <c r="H352" s="29">
        <f t="shared" si="2"/>
        <v>0</v>
      </c>
      <c r="I352" s="30">
        <f t="shared" si="3"/>
        <v>0</v>
      </c>
      <c r="J352" s="31">
        <f t="shared" si="4"/>
        <v>0</v>
      </c>
      <c r="K352" s="30">
        <f t="shared" si="5"/>
        <v>0</v>
      </c>
      <c r="L352" s="31">
        <f t="shared" si="6"/>
        <v>0</v>
      </c>
      <c r="M352" s="32"/>
      <c r="N352" s="33"/>
    </row>
    <row r="353" ht="15.75" customHeight="1">
      <c r="A353" s="139"/>
      <c r="B353" s="140"/>
      <c r="C353" s="61"/>
      <c r="D353" s="133"/>
      <c r="E353" s="210"/>
      <c r="F353" s="173"/>
      <c r="G353" s="28">
        <f t="shared" si="1"/>
        <v>0</v>
      </c>
      <c r="H353" s="29">
        <f t="shared" si="2"/>
        <v>0</v>
      </c>
      <c r="I353" s="30">
        <f t="shared" si="3"/>
        <v>0</v>
      </c>
      <c r="J353" s="31">
        <f t="shared" si="4"/>
        <v>0</v>
      </c>
      <c r="K353" s="30">
        <f t="shared" si="5"/>
        <v>0</v>
      </c>
      <c r="L353" s="31">
        <f t="shared" si="6"/>
        <v>0</v>
      </c>
      <c r="M353" s="32"/>
      <c r="N353" s="33"/>
    </row>
    <row r="354" ht="15.75" customHeight="1">
      <c r="A354" s="139"/>
      <c r="B354" s="140"/>
      <c r="C354" s="61"/>
      <c r="D354" s="133"/>
      <c r="E354" s="210"/>
      <c r="F354" s="173"/>
      <c r="G354" s="28">
        <f t="shared" si="1"/>
        <v>0</v>
      </c>
      <c r="H354" s="29">
        <f t="shared" si="2"/>
        <v>0</v>
      </c>
      <c r="I354" s="30">
        <f t="shared" si="3"/>
        <v>0</v>
      </c>
      <c r="J354" s="31">
        <f t="shared" si="4"/>
        <v>0</v>
      </c>
      <c r="K354" s="30">
        <f t="shared" si="5"/>
        <v>0</v>
      </c>
      <c r="L354" s="31">
        <f t="shared" si="6"/>
        <v>0</v>
      </c>
      <c r="M354" s="32"/>
      <c r="N354" s="33"/>
    </row>
    <row r="355" ht="15.75" customHeight="1">
      <c r="A355" s="139"/>
      <c r="B355" s="140"/>
      <c r="C355" s="61"/>
      <c r="D355" s="133"/>
      <c r="E355" s="210"/>
      <c r="F355" s="173"/>
      <c r="G355" s="28">
        <f t="shared" si="1"/>
        <v>0</v>
      </c>
      <c r="H355" s="29">
        <f t="shared" si="2"/>
        <v>0</v>
      </c>
      <c r="I355" s="30">
        <f t="shared" si="3"/>
        <v>0</v>
      </c>
      <c r="J355" s="31">
        <f t="shared" si="4"/>
        <v>0</v>
      </c>
      <c r="K355" s="30">
        <f t="shared" si="5"/>
        <v>0</v>
      </c>
      <c r="L355" s="31">
        <f t="shared" si="6"/>
        <v>0</v>
      </c>
      <c r="M355" s="32"/>
      <c r="N355" s="33"/>
    </row>
    <row r="356" ht="15.75" customHeight="1">
      <c r="A356" s="139"/>
      <c r="B356" s="140"/>
      <c r="C356" s="61"/>
      <c r="D356" s="133"/>
      <c r="E356" s="210"/>
      <c r="F356" s="173"/>
      <c r="G356" s="28">
        <f t="shared" si="1"/>
        <v>0</v>
      </c>
      <c r="H356" s="29">
        <f t="shared" si="2"/>
        <v>0</v>
      </c>
      <c r="I356" s="30">
        <f t="shared" si="3"/>
        <v>0</v>
      </c>
      <c r="J356" s="31">
        <f t="shared" si="4"/>
        <v>0</v>
      </c>
      <c r="K356" s="30">
        <f t="shared" si="5"/>
        <v>0</v>
      </c>
      <c r="L356" s="31">
        <f t="shared" si="6"/>
        <v>0</v>
      </c>
      <c r="M356" s="32"/>
      <c r="N356" s="33"/>
    </row>
    <row r="357" ht="15.75" customHeight="1">
      <c r="A357" s="139"/>
      <c r="B357" s="140"/>
      <c r="C357" s="61"/>
      <c r="D357" s="133"/>
      <c r="E357" s="210"/>
      <c r="F357" s="173"/>
      <c r="G357" s="28">
        <f t="shared" si="1"/>
        <v>0</v>
      </c>
      <c r="H357" s="29">
        <f t="shared" si="2"/>
        <v>0</v>
      </c>
      <c r="I357" s="30">
        <f t="shared" si="3"/>
        <v>0</v>
      </c>
      <c r="J357" s="31">
        <f t="shared" si="4"/>
        <v>0</v>
      </c>
      <c r="K357" s="30">
        <f t="shared" si="5"/>
        <v>0</v>
      </c>
      <c r="L357" s="31">
        <f t="shared" si="6"/>
        <v>0</v>
      </c>
      <c r="M357" s="32"/>
      <c r="N357" s="33"/>
    </row>
    <row r="358" ht="15.75" customHeight="1">
      <c r="A358" s="139"/>
      <c r="B358" s="140"/>
      <c r="C358" s="61"/>
      <c r="D358" s="133"/>
      <c r="E358" s="210"/>
      <c r="F358" s="173"/>
      <c r="G358" s="28">
        <f t="shared" si="1"/>
        <v>0</v>
      </c>
      <c r="H358" s="29">
        <f t="shared" si="2"/>
        <v>0</v>
      </c>
      <c r="I358" s="30">
        <f t="shared" si="3"/>
        <v>0</v>
      </c>
      <c r="J358" s="31">
        <f t="shared" si="4"/>
        <v>0</v>
      </c>
      <c r="K358" s="30">
        <f t="shared" si="5"/>
        <v>0</v>
      </c>
      <c r="L358" s="31">
        <f t="shared" si="6"/>
        <v>0</v>
      </c>
      <c r="M358" s="32"/>
      <c r="N358" s="33"/>
    </row>
    <row r="359" ht="15.75" customHeight="1">
      <c r="A359" s="139"/>
      <c r="B359" s="140"/>
      <c r="C359" s="61"/>
      <c r="D359" s="133"/>
      <c r="E359" s="210"/>
      <c r="F359" s="173"/>
      <c r="G359" s="28">
        <f t="shared" si="1"/>
        <v>0</v>
      </c>
      <c r="H359" s="29">
        <f t="shared" si="2"/>
        <v>0</v>
      </c>
      <c r="I359" s="30">
        <f t="shared" si="3"/>
        <v>0</v>
      </c>
      <c r="J359" s="31">
        <f t="shared" si="4"/>
        <v>0</v>
      </c>
      <c r="K359" s="30">
        <f t="shared" si="5"/>
        <v>0</v>
      </c>
      <c r="L359" s="31">
        <f t="shared" si="6"/>
        <v>0</v>
      </c>
      <c r="M359" s="32"/>
      <c r="N359" s="33"/>
    </row>
    <row r="360" ht="15.75" customHeight="1">
      <c r="A360" s="139"/>
      <c r="B360" s="140"/>
      <c r="C360" s="61"/>
      <c r="D360" s="133"/>
      <c r="E360" s="210"/>
      <c r="F360" s="173"/>
      <c r="G360" s="28">
        <f t="shared" si="1"/>
        <v>0</v>
      </c>
      <c r="H360" s="29">
        <f t="shared" si="2"/>
        <v>0</v>
      </c>
      <c r="I360" s="30">
        <f t="shared" si="3"/>
        <v>0</v>
      </c>
      <c r="J360" s="31">
        <f t="shared" si="4"/>
        <v>0</v>
      </c>
      <c r="K360" s="30">
        <f t="shared" si="5"/>
        <v>0</v>
      </c>
      <c r="L360" s="31">
        <f t="shared" si="6"/>
        <v>0</v>
      </c>
      <c r="M360" s="32"/>
      <c r="N360" s="33"/>
    </row>
    <row r="361" ht="15.75" customHeight="1">
      <c r="A361" s="139"/>
      <c r="B361" s="140"/>
      <c r="C361" s="61"/>
      <c r="D361" s="133"/>
      <c r="E361" s="210"/>
      <c r="F361" s="173"/>
      <c r="G361" s="28">
        <f t="shared" si="1"/>
        <v>0</v>
      </c>
      <c r="H361" s="29">
        <f t="shared" si="2"/>
        <v>0</v>
      </c>
      <c r="I361" s="30">
        <f t="shared" si="3"/>
        <v>0</v>
      </c>
      <c r="J361" s="31">
        <f t="shared" si="4"/>
        <v>0</v>
      </c>
      <c r="K361" s="30">
        <f t="shared" si="5"/>
        <v>0</v>
      </c>
      <c r="L361" s="31">
        <f t="shared" si="6"/>
        <v>0</v>
      </c>
      <c r="M361" s="32"/>
      <c r="N361" s="33"/>
    </row>
    <row r="362" ht="15.75" customHeight="1">
      <c r="A362" s="139"/>
      <c r="B362" s="140"/>
      <c r="C362" s="61"/>
      <c r="D362" s="133"/>
      <c r="E362" s="210"/>
      <c r="F362" s="173"/>
      <c r="G362" s="28">
        <f t="shared" si="1"/>
        <v>0</v>
      </c>
      <c r="H362" s="29">
        <f t="shared" si="2"/>
        <v>0</v>
      </c>
      <c r="I362" s="30">
        <f t="shared" si="3"/>
        <v>0</v>
      </c>
      <c r="J362" s="31">
        <f t="shared" si="4"/>
        <v>0</v>
      </c>
      <c r="K362" s="30">
        <f t="shared" si="5"/>
        <v>0</v>
      </c>
      <c r="L362" s="31">
        <f t="shared" si="6"/>
        <v>0</v>
      </c>
      <c r="M362" s="32"/>
      <c r="N362" s="33"/>
    </row>
    <row r="363" ht="15.75" customHeight="1">
      <c r="A363" s="139"/>
      <c r="B363" s="140"/>
      <c r="C363" s="61"/>
      <c r="D363" s="133"/>
      <c r="E363" s="210"/>
      <c r="F363" s="173"/>
      <c r="G363" s="28">
        <f t="shared" si="1"/>
        <v>0</v>
      </c>
      <c r="H363" s="29">
        <f t="shared" si="2"/>
        <v>0</v>
      </c>
      <c r="I363" s="30">
        <f t="shared" si="3"/>
        <v>0</v>
      </c>
      <c r="J363" s="31">
        <f t="shared" si="4"/>
        <v>0</v>
      </c>
      <c r="K363" s="30">
        <f t="shared" si="5"/>
        <v>0</v>
      </c>
      <c r="L363" s="31">
        <f t="shared" si="6"/>
        <v>0</v>
      </c>
      <c r="M363" s="32"/>
      <c r="N363" s="33"/>
    </row>
    <row r="364" ht="15.75" customHeight="1">
      <c r="A364" s="139"/>
      <c r="B364" s="140"/>
      <c r="C364" s="61"/>
      <c r="D364" s="133"/>
      <c r="E364" s="210"/>
      <c r="F364" s="173"/>
      <c r="G364" s="28">
        <f t="shared" si="1"/>
        <v>0</v>
      </c>
      <c r="H364" s="29">
        <f t="shared" si="2"/>
        <v>0</v>
      </c>
      <c r="I364" s="30">
        <f t="shared" si="3"/>
        <v>0</v>
      </c>
      <c r="J364" s="31">
        <f t="shared" si="4"/>
        <v>0</v>
      </c>
      <c r="K364" s="30">
        <f t="shared" si="5"/>
        <v>0</v>
      </c>
      <c r="L364" s="31">
        <f t="shared" si="6"/>
        <v>0</v>
      </c>
      <c r="M364" s="32"/>
      <c r="N364" s="33"/>
    </row>
    <row r="365" ht="15.75" customHeight="1">
      <c r="A365" s="139"/>
      <c r="B365" s="140"/>
      <c r="C365" s="61"/>
      <c r="D365" s="133"/>
      <c r="E365" s="210"/>
      <c r="F365" s="173"/>
      <c r="G365" s="28">
        <f t="shared" si="1"/>
        <v>0</v>
      </c>
      <c r="H365" s="29">
        <f t="shared" si="2"/>
        <v>0</v>
      </c>
      <c r="I365" s="30">
        <f t="shared" si="3"/>
        <v>0</v>
      </c>
      <c r="J365" s="31">
        <f t="shared" si="4"/>
        <v>0</v>
      </c>
      <c r="K365" s="30">
        <f t="shared" si="5"/>
        <v>0</v>
      </c>
      <c r="L365" s="31">
        <f t="shared" si="6"/>
        <v>0</v>
      </c>
      <c r="M365" s="32"/>
      <c r="N365" s="33"/>
    </row>
    <row r="366" ht="15.75" customHeight="1">
      <c r="A366" s="139"/>
      <c r="B366" s="140"/>
      <c r="C366" s="61"/>
      <c r="D366" s="133"/>
      <c r="E366" s="210"/>
      <c r="F366" s="173"/>
      <c r="G366" s="28">
        <f t="shared" si="1"/>
        <v>0</v>
      </c>
      <c r="H366" s="29">
        <f t="shared" si="2"/>
        <v>0</v>
      </c>
      <c r="I366" s="30">
        <f t="shared" si="3"/>
        <v>0</v>
      </c>
      <c r="J366" s="31">
        <f t="shared" si="4"/>
        <v>0</v>
      </c>
      <c r="K366" s="30">
        <f t="shared" si="5"/>
        <v>0</v>
      </c>
      <c r="L366" s="31">
        <f t="shared" si="6"/>
        <v>0</v>
      </c>
      <c r="M366" s="32"/>
      <c r="N366" s="33"/>
    </row>
    <row r="367" ht="15.75" customHeight="1">
      <c r="A367" s="139"/>
      <c r="B367" s="140"/>
      <c r="C367" s="61"/>
      <c r="D367" s="133"/>
      <c r="E367" s="210"/>
      <c r="F367" s="173"/>
      <c r="G367" s="28">
        <f t="shared" si="1"/>
        <v>0</v>
      </c>
      <c r="H367" s="29">
        <f t="shared" si="2"/>
        <v>0</v>
      </c>
      <c r="I367" s="30">
        <f t="shared" si="3"/>
        <v>0</v>
      </c>
      <c r="J367" s="31">
        <f t="shared" si="4"/>
        <v>0</v>
      </c>
      <c r="K367" s="30">
        <f t="shared" si="5"/>
        <v>0</v>
      </c>
      <c r="L367" s="31">
        <f t="shared" si="6"/>
        <v>0</v>
      </c>
      <c r="M367" s="32"/>
      <c r="N367" s="33"/>
    </row>
    <row r="368" ht="15.75" customHeight="1">
      <c r="A368" s="139"/>
      <c r="B368" s="140"/>
      <c r="C368" s="61"/>
      <c r="D368" s="133"/>
      <c r="E368" s="210"/>
      <c r="F368" s="173"/>
      <c r="G368" s="28">
        <f t="shared" si="1"/>
        <v>0</v>
      </c>
      <c r="H368" s="29">
        <f t="shared" si="2"/>
        <v>0</v>
      </c>
      <c r="I368" s="30">
        <f t="shared" si="3"/>
        <v>0</v>
      </c>
      <c r="J368" s="31">
        <f t="shared" si="4"/>
        <v>0</v>
      </c>
      <c r="K368" s="30">
        <f t="shared" si="5"/>
        <v>0</v>
      </c>
      <c r="L368" s="31">
        <f t="shared" si="6"/>
        <v>0</v>
      </c>
      <c r="M368" s="32"/>
      <c r="N368" s="33"/>
    </row>
    <row r="369" ht="15.75" customHeight="1">
      <c r="A369" s="139"/>
      <c r="B369" s="140"/>
      <c r="C369" s="61"/>
      <c r="D369" s="133"/>
      <c r="E369" s="210"/>
      <c r="F369" s="173"/>
      <c r="G369" s="28">
        <f t="shared" si="1"/>
        <v>0</v>
      </c>
      <c r="H369" s="29">
        <f t="shared" si="2"/>
        <v>0</v>
      </c>
      <c r="I369" s="30">
        <f t="shared" si="3"/>
        <v>0</v>
      </c>
      <c r="J369" s="31">
        <f t="shared" si="4"/>
        <v>0</v>
      </c>
      <c r="K369" s="30">
        <f t="shared" si="5"/>
        <v>0</v>
      </c>
      <c r="L369" s="31">
        <f t="shared" si="6"/>
        <v>0</v>
      </c>
      <c r="M369" s="32"/>
      <c r="N369" s="33"/>
    </row>
    <row r="370" ht="15.75" customHeight="1">
      <c r="A370" s="139"/>
      <c r="B370" s="140"/>
      <c r="C370" s="61"/>
      <c r="D370" s="133"/>
      <c r="E370" s="210"/>
      <c r="F370" s="173"/>
      <c r="G370" s="28">
        <f t="shared" si="1"/>
        <v>0</v>
      </c>
      <c r="H370" s="29">
        <f t="shared" si="2"/>
        <v>0</v>
      </c>
      <c r="I370" s="30">
        <f t="shared" si="3"/>
        <v>0</v>
      </c>
      <c r="J370" s="31">
        <f t="shared" si="4"/>
        <v>0</v>
      </c>
      <c r="K370" s="30">
        <f t="shared" si="5"/>
        <v>0</v>
      </c>
      <c r="L370" s="31">
        <f t="shared" si="6"/>
        <v>0</v>
      </c>
      <c r="M370" s="32"/>
      <c r="N370" s="33"/>
    </row>
    <row r="371" ht="15.75" customHeight="1">
      <c r="A371" s="139"/>
      <c r="B371" s="140"/>
      <c r="C371" s="61"/>
      <c r="D371" s="133"/>
      <c r="E371" s="210"/>
      <c r="F371" s="173"/>
      <c r="G371" s="28">
        <f t="shared" si="1"/>
        <v>0</v>
      </c>
      <c r="H371" s="29">
        <f t="shared" si="2"/>
        <v>0</v>
      </c>
      <c r="I371" s="30">
        <f t="shared" si="3"/>
        <v>0</v>
      </c>
      <c r="J371" s="31">
        <f t="shared" si="4"/>
        <v>0</v>
      </c>
      <c r="K371" s="30">
        <f t="shared" si="5"/>
        <v>0</v>
      </c>
      <c r="L371" s="31">
        <f t="shared" si="6"/>
        <v>0</v>
      </c>
      <c r="M371" s="32"/>
      <c r="N371" s="33"/>
    </row>
    <row r="372" ht="15.75" customHeight="1">
      <c r="A372" s="139"/>
      <c r="B372" s="140"/>
      <c r="C372" s="61"/>
      <c r="D372" s="133"/>
      <c r="E372" s="210"/>
      <c r="F372" s="173"/>
      <c r="G372" s="28">
        <f t="shared" si="1"/>
        <v>0</v>
      </c>
      <c r="H372" s="29">
        <f t="shared" si="2"/>
        <v>0</v>
      </c>
      <c r="I372" s="30">
        <f t="shared" si="3"/>
        <v>0</v>
      </c>
      <c r="J372" s="31">
        <f t="shared" si="4"/>
        <v>0</v>
      </c>
      <c r="K372" s="30">
        <f t="shared" si="5"/>
        <v>0</v>
      </c>
      <c r="L372" s="31">
        <f t="shared" si="6"/>
        <v>0</v>
      </c>
      <c r="M372" s="32"/>
      <c r="N372" s="33"/>
    </row>
    <row r="373" ht="15.75" customHeight="1">
      <c r="A373" s="139"/>
      <c r="B373" s="140"/>
      <c r="C373" s="61"/>
      <c r="D373" s="133"/>
      <c r="E373" s="210"/>
      <c r="F373" s="173"/>
      <c r="G373" s="28">
        <f t="shared" si="1"/>
        <v>0</v>
      </c>
      <c r="H373" s="29">
        <f t="shared" si="2"/>
        <v>0</v>
      </c>
      <c r="I373" s="30">
        <f t="shared" si="3"/>
        <v>0</v>
      </c>
      <c r="J373" s="31">
        <f t="shared" si="4"/>
        <v>0</v>
      </c>
      <c r="K373" s="30">
        <f t="shared" si="5"/>
        <v>0</v>
      </c>
      <c r="L373" s="31">
        <f t="shared" si="6"/>
        <v>0</v>
      </c>
      <c r="M373" s="32"/>
      <c r="N373" s="33"/>
    </row>
    <row r="374" ht="15.75" customHeight="1">
      <c r="A374" s="139"/>
      <c r="B374" s="140"/>
      <c r="C374" s="61"/>
      <c r="D374" s="133"/>
      <c r="E374" s="210"/>
      <c r="F374" s="173"/>
      <c r="G374" s="28">
        <f t="shared" si="1"/>
        <v>0</v>
      </c>
      <c r="H374" s="29">
        <f t="shared" si="2"/>
        <v>0</v>
      </c>
      <c r="I374" s="30">
        <f t="shared" si="3"/>
        <v>0</v>
      </c>
      <c r="J374" s="31">
        <f t="shared" si="4"/>
        <v>0</v>
      </c>
      <c r="K374" s="30">
        <f t="shared" si="5"/>
        <v>0</v>
      </c>
      <c r="L374" s="31">
        <f t="shared" si="6"/>
        <v>0</v>
      </c>
      <c r="M374" s="32"/>
      <c r="N374" s="33"/>
    </row>
    <row r="375" ht="15.75" customHeight="1">
      <c r="A375" s="139"/>
      <c r="B375" s="140"/>
      <c r="C375" s="61"/>
      <c r="D375" s="133"/>
      <c r="E375" s="210"/>
      <c r="F375" s="173"/>
      <c r="G375" s="28">
        <f t="shared" si="1"/>
        <v>0</v>
      </c>
      <c r="H375" s="29">
        <f t="shared" si="2"/>
        <v>0</v>
      </c>
      <c r="I375" s="30">
        <f t="shared" si="3"/>
        <v>0</v>
      </c>
      <c r="J375" s="31">
        <f t="shared" si="4"/>
        <v>0</v>
      </c>
      <c r="K375" s="30">
        <f t="shared" si="5"/>
        <v>0</v>
      </c>
      <c r="L375" s="31">
        <f t="shared" si="6"/>
        <v>0</v>
      </c>
      <c r="M375" s="32"/>
      <c r="N375" s="33"/>
    </row>
    <row r="376" ht="15.75" customHeight="1">
      <c r="A376" s="139"/>
      <c r="B376" s="140"/>
      <c r="C376" s="61"/>
      <c r="D376" s="133"/>
      <c r="E376" s="210"/>
      <c r="F376" s="173"/>
      <c r="G376" s="28">
        <f t="shared" si="1"/>
        <v>0</v>
      </c>
      <c r="H376" s="29">
        <f t="shared" si="2"/>
        <v>0</v>
      </c>
      <c r="I376" s="30">
        <f t="shared" si="3"/>
        <v>0</v>
      </c>
      <c r="J376" s="31">
        <f t="shared" si="4"/>
        <v>0</v>
      </c>
      <c r="K376" s="30">
        <f t="shared" si="5"/>
        <v>0</v>
      </c>
      <c r="L376" s="31">
        <f t="shared" si="6"/>
        <v>0</v>
      </c>
      <c r="M376" s="32"/>
      <c r="N376" s="33"/>
    </row>
    <row r="377" ht="15.75" customHeight="1">
      <c r="A377" s="139"/>
      <c r="B377" s="140"/>
      <c r="C377" s="61"/>
      <c r="D377" s="133"/>
      <c r="E377" s="210"/>
      <c r="F377" s="173"/>
      <c r="G377" s="28">
        <f t="shared" si="1"/>
        <v>0</v>
      </c>
      <c r="H377" s="29">
        <f t="shared" si="2"/>
        <v>0</v>
      </c>
      <c r="I377" s="30">
        <f t="shared" si="3"/>
        <v>0</v>
      </c>
      <c r="J377" s="31">
        <f t="shared" si="4"/>
        <v>0</v>
      </c>
      <c r="K377" s="30">
        <f t="shared" si="5"/>
        <v>0</v>
      </c>
      <c r="L377" s="31">
        <f t="shared" si="6"/>
        <v>0</v>
      </c>
      <c r="M377" s="32"/>
      <c r="N377" s="33"/>
    </row>
    <row r="378" ht="15.75" customHeight="1">
      <c r="A378" s="139"/>
      <c r="B378" s="140"/>
      <c r="C378" s="61"/>
      <c r="D378" s="133"/>
      <c r="E378" s="210"/>
      <c r="F378" s="173"/>
      <c r="G378" s="28">
        <f t="shared" si="1"/>
        <v>0</v>
      </c>
      <c r="H378" s="29">
        <f t="shared" si="2"/>
        <v>0</v>
      </c>
      <c r="I378" s="30">
        <f t="shared" si="3"/>
        <v>0</v>
      </c>
      <c r="J378" s="31">
        <f t="shared" si="4"/>
        <v>0</v>
      </c>
      <c r="K378" s="30">
        <f t="shared" si="5"/>
        <v>0</v>
      </c>
      <c r="L378" s="31">
        <f t="shared" si="6"/>
        <v>0</v>
      </c>
      <c r="M378" s="32"/>
      <c r="N378" s="33"/>
    </row>
    <row r="379" ht="15.75" customHeight="1">
      <c r="A379" s="139"/>
      <c r="B379" s="140"/>
      <c r="C379" s="61"/>
      <c r="D379" s="133"/>
      <c r="E379" s="210"/>
      <c r="F379" s="173"/>
      <c r="G379" s="28">
        <f t="shared" si="1"/>
        <v>0</v>
      </c>
      <c r="H379" s="29">
        <f t="shared" si="2"/>
        <v>0</v>
      </c>
      <c r="I379" s="30">
        <f t="shared" si="3"/>
        <v>0</v>
      </c>
      <c r="J379" s="31">
        <f t="shared" si="4"/>
        <v>0</v>
      </c>
      <c r="K379" s="30">
        <f t="shared" si="5"/>
        <v>0</v>
      </c>
      <c r="L379" s="31">
        <f t="shared" si="6"/>
        <v>0</v>
      </c>
      <c r="M379" s="32"/>
      <c r="N379" s="33"/>
    </row>
    <row r="380" ht="15.75" customHeight="1">
      <c r="A380" s="139"/>
      <c r="B380" s="140"/>
      <c r="C380" s="61"/>
      <c r="D380" s="133"/>
      <c r="E380" s="210"/>
      <c r="F380" s="173"/>
      <c r="G380" s="28">
        <f t="shared" si="1"/>
        <v>0</v>
      </c>
      <c r="H380" s="29">
        <f t="shared" si="2"/>
        <v>0</v>
      </c>
      <c r="I380" s="30">
        <f t="shared" si="3"/>
        <v>0</v>
      </c>
      <c r="J380" s="31">
        <f t="shared" si="4"/>
        <v>0</v>
      </c>
      <c r="K380" s="30">
        <f t="shared" si="5"/>
        <v>0</v>
      </c>
      <c r="L380" s="31">
        <f t="shared" si="6"/>
        <v>0</v>
      </c>
      <c r="M380" s="32"/>
      <c r="N380" s="33"/>
    </row>
    <row r="381" ht="15.75" customHeight="1">
      <c r="A381" s="139"/>
      <c r="B381" s="140"/>
      <c r="C381" s="61"/>
      <c r="D381" s="133"/>
      <c r="E381" s="210"/>
      <c r="F381" s="173"/>
      <c r="G381" s="28">
        <f t="shared" si="1"/>
        <v>0</v>
      </c>
      <c r="H381" s="29">
        <f t="shared" si="2"/>
        <v>0</v>
      </c>
      <c r="I381" s="30">
        <f t="shared" si="3"/>
        <v>0</v>
      </c>
      <c r="J381" s="31">
        <f t="shared" si="4"/>
        <v>0</v>
      </c>
      <c r="K381" s="30">
        <f t="shared" si="5"/>
        <v>0</v>
      </c>
      <c r="L381" s="31">
        <f t="shared" si="6"/>
        <v>0</v>
      </c>
      <c r="M381" s="32"/>
      <c r="N381" s="33"/>
    </row>
    <row r="382" ht="15.75" customHeight="1">
      <c r="A382" s="139"/>
      <c r="B382" s="140"/>
      <c r="C382" s="61"/>
      <c r="D382" s="133"/>
      <c r="E382" s="210"/>
      <c r="F382" s="173"/>
      <c r="G382" s="28">
        <f t="shared" si="1"/>
        <v>0</v>
      </c>
      <c r="H382" s="29">
        <f t="shared" si="2"/>
        <v>0</v>
      </c>
      <c r="I382" s="30">
        <f t="shared" si="3"/>
        <v>0</v>
      </c>
      <c r="J382" s="31">
        <f t="shared" si="4"/>
        <v>0</v>
      </c>
      <c r="K382" s="30">
        <f t="shared" si="5"/>
        <v>0</v>
      </c>
      <c r="L382" s="31">
        <f t="shared" si="6"/>
        <v>0</v>
      </c>
      <c r="M382" s="32"/>
      <c r="N382" s="33"/>
    </row>
    <row r="383" ht="15.75" customHeight="1">
      <c r="A383" s="139"/>
      <c r="B383" s="140"/>
      <c r="C383" s="61"/>
      <c r="D383" s="133"/>
      <c r="E383" s="210"/>
      <c r="F383" s="173"/>
      <c r="G383" s="28">
        <f t="shared" si="1"/>
        <v>0</v>
      </c>
      <c r="H383" s="29">
        <f t="shared" si="2"/>
        <v>0</v>
      </c>
      <c r="I383" s="30">
        <f t="shared" si="3"/>
        <v>0</v>
      </c>
      <c r="J383" s="31">
        <f t="shared" si="4"/>
        <v>0</v>
      </c>
      <c r="K383" s="30">
        <f t="shared" si="5"/>
        <v>0</v>
      </c>
      <c r="L383" s="31">
        <f t="shared" si="6"/>
        <v>0</v>
      </c>
      <c r="M383" s="32"/>
      <c r="N383" s="33"/>
    </row>
    <row r="384" ht="15.75" customHeight="1">
      <c r="A384" s="139"/>
      <c r="B384" s="140"/>
      <c r="C384" s="61"/>
      <c r="D384" s="133"/>
      <c r="E384" s="210"/>
      <c r="F384" s="173"/>
      <c r="G384" s="28">
        <f t="shared" si="1"/>
        <v>0</v>
      </c>
      <c r="H384" s="29">
        <f t="shared" si="2"/>
        <v>0</v>
      </c>
      <c r="I384" s="30">
        <f t="shared" si="3"/>
        <v>0</v>
      </c>
      <c r="J384" s="31">
        <f t="shared" si="4"/>
        <v>0</v>
      </c>
      <c r="K384" s="30">
        <f t="shared" si="5"/>
        <v>0</v>
      </c>
      <c r="L384" s="31">
        <f t="shared" si="6"/>
        <v>0</v>
      </c>
      <c r="M384" s="32"/>
      <c r="N384" s="33"/>
    </row>
    <row r="385" ht="15.75" customHeight="1">
      <c r="A385" s="139"/>
      <c r="B385" s="140"/>
      <c r="C385" s="61"/>
      <c r="D385" s="133"/>
      <c r="E385" s="210"/>
      <c r="F385" s="173"/>
      <c r="G385" s="28">
        <f t="shared" si="1"/>
        <v>0</v>
      </c>
      <c r="H385" s="29">
        <f t="shared" si="2"/>
        <v>0</v>
      </c>
      <c r="I385" s="30">
        <f t="shared" si="3"/>
        <v>0</v>
      </c>
      <c r="J385" s="31">
        <f t="shared" si="4"/>
        <v>0</v>
      </c>
      <c r="K385" s="30">
        <f t="shared" si="5"/>
        <v>0</v>
      </c>
      <c r="L385" s="31">
        <f t="shared" si="6"/>
        <v>0</v>
      </c>
      <c r="M385" s="32"/>
      <c r="N385" s="33"/>
    </row>
    <row r="386" ht="15.75" customHeight="1">
      <c r="A386" s="139"/>
      <c r="B386" s="140"/>
      <c r="C386" s="61"/>
      <c r="D386" s="133"/>
      <c r="E386" s="210"/>
      <c r="F386" s="173"/>
      <c r="G386" s="28">
        <f t="shared" si="1"/>
        <v>0</v>
      </c>
      <c r="H386" s="29">
        <f t="shared" si="2"/>
        <v>0</v>
      </c>
      <c r="I386" s="30">
        <f t="shared" si="3"/>
        <v>0</v>
      </c>
      <c r="J386" s="31">
        <f t="shared" si="4"/>
        <v>0</v>
      </c>
      <c r="K386" s="30">
        <f t="shared" si="5"/>
        <v>0</v>
      </c>
      <c r="L386" s="31">
        <f t="shared" si="6"/>
        <v>0</v>
      </c>
      <c r="M386" s="32"/>
      <c r="N386" s="33"/>
    </row>
    <row r="387" ht="15.75" customHeight="1">
      <c r="A387" s="139"/>
      <c r="B387" s="140"/>
      <c r="C387" s="61"/>
      <c r="D387" s="133"/>
      <c r="E387" s="210"/>
      <c r="F387" s="173"/>
      <c r="G387" s="28">
        <f t="shared" si="1"/>
        <v>0</v>
      </c>
      <c r="H387" s="29">
        <f t="shared" si="2"/>
        <v>0</v>
      </c>
      <c r="I387" s="30">
        <f t="shared" si="3"/>
        <v>0</v>
      </c>
      <c r="J387" s="31">
        <f t="shared" si="4"/>
        <v>0</v>
      </c>
      <c r="K387" s="30">
        <f t="shared" si="5"/>
        <v>0</v>
      </c>
      <c r="L387" s="31">
        <f t="shared" si="6"/>
        <v>0</v>
      </c>
      <c r="M387" s="32"/>
      <c r="N387" s="33"/>
    </row>
    <row r="388" ht="15.75" customHeight="1">
      <c r="A388" s="139"/>
      <c r="B388" s="140"/>
      <c r="C388" s="61"/>
      <c r="D388" s="133"/>
      <c r="E388" s="210"/>
      <c r="F388" s="173"/>
      <c r="G388" s="28">
        <f t="shared" si="1"/>
        <v>0</v>
      </c>
      <c r="H388" s="29">
        <f t="shared" si="2"/>
        <v>0</v>
      </c>
      <c r="I388" s="30">
        <f t="shared" si="3"/>
        <v>0</v>
      </c>
      <c r="J388" s="31">
        <f t="shared" si="4"/>
        <v>0</v>
      </c>
      <c r="K388" s="30">
        <f t="shared" si="5"/>
        <v>0</v>
      </c>
      <c r="L388" s="31">
        <f t="shared" si="6"/>
        <v>0</v>
      </c>
      <c r="M388" s="32"/>
      <c r="N388" s="33"/>
    </row>
    <row r="389" ht="15.75" customHeight="1">
      <c r="A389" s="139"/>
      <c r="B389" s="140"/>
      <c r="C389" s="61"/>
      <c r="D389" s="133"/>
      <c r="E389" s="210"/>
      <c r="F389" s="173"/>
      <c r="G389" s="28">
        <f t="shared" si="1"/>
        <v>0</v>
      </c>
      <c r="H389" s="29">
        <f t="shared" si="2"/>
        <v>0</v>
      </c>
      <c r="I389" s="30">
        <f t="shared" si="3"/>
        <v>0</v>
      </c>
      <c r="J389" s="31">
        <f t="shared" si="4"/>
        <v>0</v>
      </c>
      <c r="K389" s="30">
        <f t="shared" si="5"/>
        <v>0</v>
      </c>
      <c r="L389" s="31">
        <f t="shared" si="6"/>
        <v>0</v>
      </c>
      <c r="M389" s="32"/>
      <c r="N389" s="33"/>
    </row>
    <row r="390" ht="15.75" customHeight="1">
      <c r="A390" s="139"/>
      <c r="B390" s="140"/>
      <c r="C390" s="61"/>
      <c r="D390" s="133"/>
      <c r="E390" s="210"/>
      <c r="F390" s="173"/>
      <c r="G390" s="28">
        <f t="shared" si="1"/>
        <v>0</v>
      </c>
      <c r="H390" s="29">
        <f t="shared" si="2"/>
        <v>0</v>
      </c>
      <c r="I390" s="30">
        <f t="shared" si="3"/>
        <v>0</v>
      </c>
      <c r="J390" s="31">
        <f t="shared" si="4"/>
        <v>0</v>
      </c>
      <c r="K390" s="30">
        <f t="shared" si="5"/>
        <v>0</v>
      </c>
      <c r="L390" s="31">
        <f t="shared" si="6"/>
        <v>0</v>
      </c>
      <c r="M390" s="32"/>
      <c r="N390" s="33"/>
    </row>
    <row r="391" ht="15.75" customHeight="1">
      <c r="A391" s="139"/>
      <c r="B391" s="140"/>
      <c r="C391" s="61"/>
      <c r="D391" s="133"/>
      <c r="E391" s="210"/>
      <c r="F391" s="173"/>
      <c r="G391" s="28">
        <f t="shared" si="1"/>
        <v>0</v>
      </c>
      <c r="H391" s="29">
        <f t="shared" si="2"/>
        <v>0</v>
      </c>
      <c r="I391" s="30">
        <f t="shared" si="3"/>
        <v>0</v>
      </c>
      <c r="J391" s="31">
        <f t="shared" si="4"/>
        <v>0</v>
      </c>
      <c r="K391" s="30">
        <f t="shared" si="5"/>
        <v>0</v>
      </c>
      <c r="L391" s="31">
        <f t="shared" si="6"/>
        <v>0</v>
      </c>
      <c r="M391" s="32"/>
      <c r="N391" s="33"/>
    </row>
    <row r="392" ht="15.75" customHeight="1">
      <c r="A392" s="139"/>
      <c r="B392" s="140"/>
      <c r="C392" s="61"/>
      <c r="D392" s="133"/>
      <c r="E392" s="210"/>
      <c r="F392" s="173"/>
      <c r="G392" s="28">
        <f t="shared" si="1"/>
        <v>0</v>
      </c>
      <c r="H392" s="29">
        <f t="shared" si="2"/>
        <v>0</v>
      </c>
      <c r="I392" s="30">
        <f t="shared" si="3"/>
        <v>0</v>
      </c>
      <c r="J392" s="31">
        <f t="shared" si="4"/>
        <v>0</v>
      </c>
      <c r="K392" s="30">
        <f t="shared" si="5"/>
        <v>0</v>
      </c>
      <c r="L392" s="31">
        <f t="shared" si="6"/>
        <v>0</v>
      </c>
      <c r="M392" s="32"/>
      <c r="N392" s="33"/>
    </row>
    <row r="393" ht="15.75" customHeight="1">
      <c r="A393" s="139"/>
      <c r="B393" s="140"/>
      <c r="C393" s="61"/>
      <c r="D393" s="133"/>
      <c r="E393" s="210"/>
      <c r="F393" s="173"/>
      <c r="G393" s="28">
        <f t="shared" si="1"/>
        <v>0</v>
      </c>
      <c r="H393" s="29">
        <f t="shared" si="2"/>
        <v>0</v>
      </c>
      <c r="I393" s="30">
        <f t="shared" si="3"/>
        <v>0</v>
      </c>
      <c r="J393" s="31">
        <f t="shared" si="4"/>
        <v>0</v>
      </c>
      <c r="K393" s="30">
        <f t="shared" si="5"/>
        <v>0</v>
      </c>
      <c r="L393" s="31">
        <f t="shared" si="6"/>
        <v>0</v>
      </c>
      <c r="M393" s="32"/>
      <c r="N393" s="33"/>
    </row>
    <row r="394" ht="15.75" customHeight="1">
      <c r="A394" s="139"/>
      <c r="B394" s="140"/>
      <c r="C394" s="61"/>
      <c r="D394" s="133"/>
      <c r="E394" s="210"/>
      <c r="F394" s="173"/>
      <c r="G394" s="28">
        <f t="shared" si="1"/>
        <v>0</v>
      </c>
      <c r="H394" s="29">
        <f t="shared" si="2"/>
        <v>0</v>
      </c>
      <c r="I394" s="30">
        <f t="shared" si="3"/>
        <v>0</v>
      </c>
      <c r="J394" s="31">
        <f t="shared" si="4"/>
        <v>0</v>
      </c>
      <c r="K394" s="30">
        <f t="shared" si="5"/>
        <v>0</v>
      </c>
      <c r="L394" s="31">
        <f t="shared" si="6"/>
        <v>0</v>
      </c>
      <c r="M394" s="32"/>
      <c r="N394" s="33"/>
    </row>
    <row r="395" ht="15.75" customHeight="1">
      <c r="A395" s="139"/>
      <c r="B395" s="140"/>
      <c r="C395" s="61"/>
      <c r="D395" s="133"/>
      <c r="E395" s="210"/>
      <c r="F395" s="173"/>
      <c r="G395" s="28">
        <f t="shared" si="1"/>
        <v>0</v>
      </c>
      <c r="H395" s="29">
        <f t="shared" si="2"/>
        <v>0</v>
      </c>
      <c r="I395" s="30">
        <f t="shared" si="3"/>
        <v>0</v>
      </c>
      <c r="J395" s="31">
        <f t="shared" si="4"/>
        <v>0</v>
      </c>
      <c r="K395" s="30">
        <f t="shared" si="5"/>
        <v>0</v>
      </c>
      <c r="L395" s="31">
        <f t="shared" si="6"/>
        <v>0</v>
      </c>
      <c r="M395" s="32"/>
      <c r="N395" s="33"/>
    </row>
    <row r="396" ht="15.75" customHeight="1">
      <c r="A396" s="139"/>
      <c r="B396" s="140"/>
      <c r="C396" s="61"/>
      <c r="D396" s="133"/>
      <c r="E396" s="210"/>
      <c r="F396" s="173"/>
      <c r="G396" s="28">
        <f t="shared" si="1"/>
        <v>0</v>
      </c>
      <c r="H396" s="29">
        <f t="shared" si="2"/>
        <v>0</v>
      </c>
      <c r="I396" s="30">
        <f t="shared" si="3"/>
        <v>0</v>
      </c>
      <c r="J396" s="31">
        <f t="shared" si="4"/>
        <v>0</v>
      </c>
      <c r="K396" s="30">
        <f t="shared" si="5"/>
        <v>0</v>
      </c>
      <c r="L396" s="31">
        <f t="shared" si="6"/>
        <v>0</v>
      </c>
      <c r="M396" s="32"/>
      <c r="N396" s="33"/>
    </row>
    <row r="397" ht="15.75" customHeight="1">
      <c r="A397" s="139"/>
      <c r="B397" s="140"/>
      <c r="C397" s="61"/>
      <c r="D397" s="133"/>
      <c r="E397" s="210"/>
      <c r="F397" s="173"/>
      <c r="G397" s="28">
        <f t="shared" si="1"/>
        <v>0</v>
      </c>
      <c r="H397" s="29">
        <f t="shared" si="2"/>
        <v>0</v>
      </c>
      <c r="I397" s="30">
        <f t="shared" si="3"/>
        <v>0</v>
      </c>
      <c r="J397" s="31">
        <f t="shared" si="4"/>
        <v>0</v>
      </c>
      <c r="K397" s="30">
        <f t="shared" si="5"/>
        <v>0</v>
      </c>
      <c r="L397" s="31">
        <f t="shared" si="6"/>
        <v>0</v>
      </c>
      <c r="M397" s="32"/>
      <c r="N397" s="33"/>
    </row>
    <row r="398" ht="15.75" customHeight="1">
      <c r="A398" s="139"/>
      <c r="B398" s="140"/>
      <c r="C398" s="61"/>
      <c r="D398" s="133"/>
      <c r="E398" s="210"/>
      <c r="F398" s="173"/>
      <c r="G398" s="28">
        <f t="shared" si="1"/>
        <v>0</v>
      </c>
      <c r="H398" s="29">
        <f t="shared" si="2"/>
        <v>0</v>
      </c>
      <c r="I398" s="30">
        <f t="shared" si="3"/>
        <v>0</v>
      </c>
      <c r="J398" s="31">
        <f t="shared" si="4"/>
        <v>0</v>
      </c>
      <c r="K398" s="30">
        <f t="shared" si="5"/>
        <v>0</v>
      </c>
      <c r="L398" s="31">
        <f t="shared" si="6"/>
        <v>0</v>
      </c>
      <c r="M398" s="32"/>
      <c r="N398" s="33"/>
    </row>
    <row r="399" ht="15.75" customHeight="1">
      <c r="A399" s="139"/>
      <c r="B399" s="140"/>
      <c r="C399" s="61"/>
      <c r="D399" s="133"/>
      <c r="E399" s="210"/>
      <c r="F399" s="173"/>
      <c r="G399" s="28">
        <f t="shared" si="1"/>
        <v>0</v>
      </c>
      <c r="H399" s="29">
        <f t="shared" si="2"/>
        <v>0</v>
      </c>
      <c r="I399" s="30">
        <f t="shared" si="3"/>
        <v>0</v>
      </c>
      <c r="J399" s="31">
        <f t="shared" si="4"/>
        <v>0</v>
      </c>
      <c r="K399" s="30">
        <f t="shared" si="5"/>
        <v>0</v>
      </c>
      <c r="L399" s="31">
        <f t="shared" si="6"/>
        <v>0</v>
      </c>
      <c r="M399" s="32"/>
      <c r="N399" s="33"/>
    </row>
    <row r="400" ht="15.75" customHeight="1">
      <c r="A400" s="139"/>
      <c r="B400" s="140"/>
      <c r="C400" s="61"/>
      <c r="D400" s="133"/>
      <c r="E400" s="210"/>
      <c r="F400" s="173"/>
      <c r="G400" s="28">
        <f t="shared" si="1"/>
        <v>0</v>
      </c>
      <c r="H400" s="29">
        <f t="shared" si="2"/>
        <v>0</v>
      </c>
      <c r="I400" s="30">
        <f t="shared" si="3"/>
        <v>0</v>
      </c>
      <c r="J400" s="31">
        <f t="shared" si="4"/>
        <v>0</v>
      </c>
      <c r="K400" s="30">
        <f t="shared" si="5"/>
        <v>0</v>
      </c>
      <c r="L400" s="31">
        <f t="shared" si="6"/>
        <v>0</v>
      </c>
      <c r="M400" s="32"/>
      <c r="N400" s="33"/>
    </row>
    <row r="401" ht="15.75" customHeight="1">
      <c r="A401" s="139"/>
      <c r="B401" s="140"/>
      <c r="C401" s="61"/>
      <c r="D401" s="133"/>
      <c r="E401" s="210"/>
      <c r="F401" s="173"/>
      <c r="G401" s="28">
        <f t="shared" si="1"/>
        <v>0</v>
      </c>
      <c r="H401" s="29">
        <f t="shared" si="2"/>
        <v>0</v>
      </c>
      <c r="I401" s="30">
        <f t="shared" si="3"/>
        <v>0</v>
      </c>
      <c r="J401" s="31">
        <f t="shared" si="4"/>
        <v>0</v>
      </c>
      <c r="K401" s="30">
        <f t="shared" si="5"/>
        <v>0</v>
      </c>
      <c r="L401" s="31">
        <f t="shared" si="6"/>
        <v>0</v>
      </c>
      <c r="M401" s="32"/>
      <c r="N401" s="33"/>
    </row>
    <row r="402" ht="15.75" customHeight="1">
      <c r="A402" s="139"/>
      <c r="B402" s="140"/>
      <c r="C402" s="61"/>
      <c r="D402" s="133"/>
      <c r="E402" s="210"/>
      <c r="F402" s="173"/>
      <c r="G402" s="28">
        <f t="shared" si="1"/>
        <v>0</v>
      </c>
      <c r="H402" s="29">
        <f t="shared" si="2"/>
        <v>0</v>
      </c>
      <c r="I402" s="30">
        <f t="shared" si="3"/>
        <v>0</v>
      </c>
      <c r="J402" s="31">
        <f t="shared" si="4"/>
        <v>0</v>
      </c>
      <c r="K402" s="30">
        <f t="shared" si="5"/>
        <v>0</v>
      </c>
      <c r="L402" s="31">
        <f t="shared" si="6"/>
        <v>0</v>
      </c>
      <c r="M402" s="32"/>
      <c r="N402" s="33"/>
    </row>
    <row r="403" ht="15.75" customHeight="1">
      <c r="A403" s="139"/>
      <c r="B403" s="140"/>
      <c r="C403" s="61"/>
      <c r="D403" s="133"/>
      <c r="E403" s="210"/>
      <c r="F403" s="173"/>
      <c r="G403" s="28">
        <f t="shared" si="1"/>
        <v>0</v>
      </c>
      <c r="H403" s="29">
        <f t="shared" si="2"/>
        <v>0</v>
      </c>
      <c r="I403" s="30">
        <f t="shared" si="3"/>
        <v>0</v>
      </c>
      <c r="J403" s="31">
        <f t="shared" si="4"/>
        <v>0</v>
      </c>
      <c r="K403" s="30">
        <f t="shared" si="5"/>
        <v>0</v>
      </c>
      <c r="L403" s="31">
        <f t="shared" si="6"/>
        <v>0</v>
      </c>
      <c r="M403" s="32"/>
      <c r="N403" s="33"/>
    </row>
    <row r="404" ht="15.75" customHeight="1">
      <c r="A404" s="139"/>
      <c r="B404" s="140"/>
      <c r="C404" s="61"/>
      <c r="D404" s="133"/>
      <c r="E404" s="210"/>
      <c r="F404" s="173"/>
      <c r="G404" s="28">
        <f t="shared" si="1"/>
        <v>0</v>
      </c>
      <c r="H404" s="29">
        <f t="shared" si="2"/>
        <v>0</v>
      </c>
      <c r="I404" s="30">
        <f t="shared" si="3"/>
        <v>0</v>
      </c>
      <c r="J404" s="31">
        <f t="shared" si="4"/>
        <v>0</v>
      </c>
      <c r="K404" s="30">
        <f t="shared" si="5"/>
        <v>0</v>
      </c>
      <c r="L404" s="31">
        <f t="shared" si="6"/>
        <v>0</v>
      </c>
      <c r="M404" s="32"/>
      <c r="N404" s="33"/>
    </row>
    <row r="405" ht="15.75" customHeight="1">
      <c r="A405" s="139"/>
      <c r="B405" s="140"/>
      <c r="C405" s="61"/>
      <c r="D405" s="133"/>
      <c r="E405" s="210"/>
      <c r="F405" s="173"/>
      <c r="G405" s="28">
        <f t="shared" si="1"/>
        <v>0</v>
      </c>
      <c r="H405" s="29">
        <f t="shared" si="2"/>
        <v>0</v>
      </c>
      <c r="I405" s="30">
        <f t="shared" si="3"/>
        <v>0</v>
      </c>
      <c r="J405" s="31">
        <f t="shared" si="4"/>
        <v>0</v>
      </c>
      <c r="K405" s="30">
        <f t="shared" si="5"/>
        <v>0</v>
      </c>
      <c r="L405" s="31">
        <f t="shared" si="6"/>
        <v>0</v>
      </c>
      <c r="M405" s="32"/>
      <c r="N405" s="33"/>
    </row>
    <row r="406" ht="15.75" customHeight="1">
      <c r="A406" s="139"/>
      <c r="B406" s="140"/>
      <c r="C406" s="61"/>
      <c r="D406" s="133"/>
      <c r="E406" s="210"/>
      <c r="F406" s="173"/>
      <c r="G406" s="28">
        <f t="shared" si="1"/>
        <v>0</v>
      </c>
      <c r="H406" s="29">
        <f t="shared" si="2"/>
        <v>0</v>
      </c>
      <c r="I406" s="30">
        <f t="shared" si="3"/>
        <v>0</v>
      </c>
      <c r="J406" s="31">
        <f t="shared" si="4"/>
        <v>0</v>
      </c>
      <c r="K406" s="30">
        <f t="shared" si="5"/>
        <v>0</v>
      </c>
      <c r="L406" s="31">
        <f t="shared" si="6"/>
        <v>0</v>
      </c>
      <c r="M406" s="32"/>
      <c r="N406" s="33"/>
    </row>
    <row r="407" ht="15.75" customHeight="1">
      <c r="A407" s="139"/>
      <c r="B407" s="140"/>
      <c r="C407" s="61"/>
      <c r="D407" s="133"/>
      <c r="E407" s="210"/>
      <c r="F407" s="173"/>
      <c r="G407" s="28">
        <f t="shared" si="1"/>
        <v>0</v>
      </c>
      <c r="H407" s="29">
        <f t="shared" si="2"/>
        <v>0</v>
      </c>
      <c r="I407" s="30">
        <f t="shared" si="3"/>
        <v>0</v>
      </c>
      <c r="J407" s="31">
        <f t="shared" si="4"/>
        <v>0</v>
      </c>
      <c r="K407" s="30">
        <f t="shared" si="5"/>
        <v>0</v>
      </c>
      <c r="L407" s="31">
        <f t="shared" si="6"/>
        <v>0</v>
      </c>
      <c r="M407" s="32"/>
      <c r="N407" s="33"/>
    </row>
    <row r="408" ht="15.75" customHeight="1">
      <c r="A408" s="139"/>
      <c r="B408" s="140"/>
      <c r="C408" s="61"/>
      <c r="D408" s="133"/>
      <c r="E408" s="210"/>
      <c r="F408" s="173"/>
      <c r="G408" s="28">
        <f t="shared" si="1"/>
        <v>0</v>
      </c>
      <c r="H408" s="29">
        <f t="shared" si="2"/>
        <v>0</v>
      </c>
      <c r="I408" s="30">
        <f t="shared" si="3"/>
        <v>0</v>
      </c>
      <c r="J408" s="31">
        <f t="shared" si="4"/>
        <v>0</v>
      </c>
      <c r="K408" s="30">
        <f t="shared" si="5"/>
        <v>0</v>
      </c>
      <c r="L408" s="31">
        <f t="shared" si="6"/>
        <v>0</v>
      </c>
      <c r="M408" s="32"/>
      <c r="N408" s="33"/>
    </row>
    <row r="409" ht="15.75" customHeight="1">
      <c r="A409" s="139"/>
      <c r="B409" s="140"/>
      <c r="C409" s="61"/>
      <c r="D409" s="133"/>
      <c r="E409" s="210"/>
      <c r="F409" s="173"/>
      <c r="G409" s="28">
        <f t="shared" si="1"/>
        <v>0</v>
      </c>
      <c r="H409" s="29">
        <f t="shared" si="2"/>
        <v>0</v>
      </c>
      <c r="I409" s="30">
        <f t="shared" si="3"/>
        <v>0</v>
      </c>
      <c r="J409" s="31">
        <f t="shared" si="4"/>
        <v>0</v>
      </c>
      <c r="K409" s="30">
        <f t="shared" si="5"/>
        <v>0</v>
      </c>
      <c r="L409" s="31">
        <f t="shared" si="6"/>
        <v>0</v>
      </c>
      <c r="M409" s="32"/>
      <c r="N409" s="33"/>
    </row>
    <row r="410" ht="15.75" customHeight="1">
      <c r="A410" s="139"/>
      <c r="B410" s="140"/>
      <c r="C410" s="61"/>
      <c r="D410" s="133"/>
      <c r="E410" s="210"/>
      <c r="F410" s="173"/>
      <c r="G410" s="28">
        <f t="shared" si="1"/>
        <v>0</v>
      </c>
      <c r="H410" s="29">
        <f t="shared" si="2"/>
        <v>0</v>
      </c>
      <c r="I410" s="30">
        <f t="shared" si="3"/>
        <v>0</v>
      </c>
      <c r="J410" s="31">
        <f t="shared" si="4"/>
        <v>0</v>
      </c>
      <c r="K410" s="30">
        <f t="shared" si="5"/>
        <v>0</v>
      </c>
      <c r="L410" s="31">
        <f t="shared" si="6"/>
        <v>0</v>
      </c>
      <c r="M410" s="32"/>
      <c r="N410" s="33"/>
    </row>
    <row r="411" ht="15.75" customHeight="1">
      <c r="A411" s="139"/>
      <c r="B411" s="140"/>
      <c r="C411" s="61"/>
      <c r="D411" s="133"/>
      <c r="E411" s="210"/>
      <c r="F411" s="173"/>
      <c r="G411" s="28">
        <f t="shared" si="1"/>
        <v>0</v>
      </c>
      <c r="H411" s="29">
        <f t="shared" si="2"/>
        <v>0</v>
      </c>
      <c r="I411" s="30">
        <f t="shared" si="3"/>
        <v>0</v>
      </c>
      <c r="J411" s="31">
        <f t="shared" si="4"/>
        <v>0</v>
      </c>
      <c r="K411" s="30">
        <f t="shared" si="5"/>
        <v>0</v>
      </c>
      <c r="L411" s="31">
        <f t="shared" si="6"/>
        <v>0</v>
      </c>
      <c r="M411" s="32"/>
      <c r="N411" s="33"/>
    </row>
    <row r="412" ht="15.75" customHeight="1">
      <c r="A412" s="139"/>
      <c r="B412" s="140"/>
      <c r="C412" s="61"/>
      <c r="D412" s="133"/>
      <c r="E412" s="210"/>
      <c r="F412" s="173"/>
      <c r="G412" s="28">
        <f t="shared" si="1"/>
        <v>0</v>
      </c>
      <c r="H412" s="29">
        <f t="shared" si="2"/>
        <v>0</v>
      </c>
      <c r="I412" s="30">
        <f t="shared" si="3"/>
        <v>0</v>
      </c>
      <c r="J412" s="31">
        <f t="shared" si="4"/>
        <v>0</v>
      </c>
      <c r="K412" s="30">
        <f t="shared" si="5"/>
        <v>0</v>
      </c>
      <c r="L412" s="31">
        <f t="shared" si="6"/>
        <v>0</v>
      </c>
      <c r="M412" s="32"/>
      <c r="N412" s="33"/>
    </row>
    <row r="413" ht="15.75" customHeight="1">
      <c r="A413" s="139"/>
      <c r="B413" s="140"/>
      <c r="C413" s="61"/>
      <c r="D413" s="133"/>
      <c r="E413" s="210"/>
      <c r="F413" s="173"/>
      <c r="G413" s="28">
        <f t="shared" si="1"/>
        <v>0</v>
      </c>
      <c r="H413" s="29">
        <f t="shared" si="2"/>
        <v>0</v>
      </c>
      <c r="I413" s="30">
        <f t="shared" si="3"/>
        <v>0</v>
      </c>
      <c r="J413" s="31">
        <f t="shared" si="4"/>
        <v>0</v>
      </c>
      <c r="K413" s="30">
        <f t="shared" si="5"/>
        <v>0</v>
      </c>
      <c r="L413" s="31">
        <f t="shared" si="6"/>
        <v>0</v>
      </c>
      <c r="M413" s="32"/>
      <c r="N413" s="33"/>
    </row>
    <row r="414" ht="15.75" customHeight="1">
      <c r="A414" s="139"/>
      <c r="B414" s="140"/>
      <c r="C414" s="61"/>
      <c r="D414" s="133"/>
      <c r="E414" s="210"/>
      <c r="F414" s="173"/>
      <c r="G414" s="28">
        <f t="shared" si="1"/>
        <v>0</v>
      </c>
      <c r="H414" s="29">
        <f t="shared" si="2"/>
        <v>0</v>
      </c>
      <c r="I414" s="30">
        <f t="shared" si="3"/>
        <v>0</v>
      </c>
      <c r="J414" s="31">
        <f t="shared" si="4"/>
        <v>0</v>
      </c>
      <c r="K414" s="30">
        <f t="shared" si="5"/>
        <v>0</v>
      </c>
      <c r="L414" s="31">
        <f t="shared" si="6"/>
        <v>0</v>
      </c>
      <c r="M414" s="32"/>
      <c r="N414" s="33"/>
    </row>
    <row r="415" ht="15.75" customHeight="1">
      <c r="A415" s="139"/>
      <c r="B415" s="140"/>
      <c r="C415" s="61"/>
      <c r="D415" s="133"/>
      <c r="E415" s="210"/>
      <c r="F415" s="173"/>
      <c r="G415" s="28">
        <f t="shared" si="1"/>
        <v>0</v>
      </c>
      <c r="H415" s="29">
        <f t="shared" si="2"/>
        <v>0</v>
      </c>
      <c r="I415" s="30">
        <f t="shared" si="3"/>
        <v>0</v>
      </c>
      <c r="J415" s="31">
        <f t="shared" si="4"/>
        <v>0</v>
      </c>
      <c r="K415" s="30">
        <f t="shared" si="5"/>
        <v>0</v>
      </c>
      <c r="L415" s="31">
        <f t="shared" si="6"/>
        <v>0</v>
      </c>
      <c r="M415" s="32"/>
      <c r="N415" s="33"/>
    </row>
    <row r="416" ht="15.75" customHeight="1">
      <c r="A416" s="139"/>
      <c r="B416" s="140"/>
      <c r="C416" s="61"/>
      <c r="D416" s="133"/>
      <c r="E416" s="210"/>
      <c r="F416" s="173"/>
      <c r="G416" s="28">
        <f t="shared" si="1"/>
        <v>0</v>
      </c>
      <c r="H416" s="29">
        <f t="shared" si="2"/>
        <v>0</v>
      </c>
      <c r="I416" s="30">
        <f t="shared" si="3"/>
        <v>0</v>
      </c>
      <c r="J416" s="31">
        <f t="shared" si="4"/>
        <v>0</v>
      </c>
      <c r="K416" s="30">
        <f t="shared" si="5"/>
        <v>0</v>
      </c>
      <c r="L416" s="31">
        <f t="shared" si="6"/>
        <v>0</v>
      </c>
      <c r="M416" s="32"/>
      <c r="N416" s="33"/>
    </row>
    <row r="417" ht="15.75" customHeight="1">
      <c r="A417" s="139"/>
      <c r="B417" s="140"/>
      <c r="C417" s="61"/>
      <c r="D417" s="133"/>
      <c r="E417" s="210"/>
      <c r="F417" s="173"/>
      <c r="G417" s="28">
        <f t="shared" si="1"/>
        <v>0</v>
      </c>
      <c r="H417" s="29">
        <f t="shared" si="2"/>
        <v>0</v>
      </c>
      <c r="I417" s="30">
        <f t="shared" si="3"/>
        <v>0</v>
      </c>
      <c r="J417" s="31">
        <f t="shared" si="4"/>
        <v>0</v>
      </c>
      <c r="K417" s="30">
        <f t="shared" si="5"/>
        <v>0</v>
      </c>
      <c r="L417" s="31">
        <f t="shared" si="6"/>
        <v>0</v>
      </c>
      <c r="M417" s="32"/>
      <c r="N417" s="33"/>
    </row>
    <row r="418" ht="15.75" customHeight="1">
      <c r="A418" s="139"/>
      <c r="B418" s="140"/>
      <c r="C418" s="61"/>
      <c r="D418" s="133"/>
      <c r="E418" s="210"/>
      <c r="F418" s="173"/>
      <c r="G418" s="28">
        <f t="shared" si="1"/>
        <v>0</v>
      </c>
      <c r="H418" s="29">
        <f t="shared" si="2"/>
        <v>0</v>
      </c>
      <c r="I418" s="30">
        <f t="shared" si="3"/>
        <v>0</v>
      </c>
      <c r="J418" s="31">
        <f t="shared" si="4"/>
        <v>0</v>
      </c>
      <c r="K418" s="30">
        <f t="shared" si="5"/>
        <v>0</v>
      </c>
      <c r="L418" s="31">
        <f t="shared" si="6"/>
        <v>0</v>
      </c>
      <c r="M418" s="32"/>
      <c r="N418" s="33"/>
    </row>
    <row r="419" ht="15.75" customHeight="1">
      <c r="A419" s="139"/>
      <c r="B419" s="140"/>
      <c r="C419" s="61"/>
      <c r="D419" s="133"/>
      <c r="E419" s="210"/>
      <c r="F419" s="173"/>
      <c r="G419" s="28">
        <f t="shared" si="1"/>
        <v>0</v>
      </c>
      <c r="H419" s="29">
        <f t="shared" si="2"/>
        <v>0</v>
      </c>
      <c r="I419" s="30">
        <f t="shared" si="3"/>
        <v>0</v>
      </c>
      <c r="J419" s="31">
        <f t="shared" si="4"/>
        <v>0</v>
      </c>
      <c r="K419" s="30">
        <f t="shared" si="5"/>
        <v>0</v>
      </c>
      <c r="L419" s="31">
        <f t="shared" si="6"/>
        <v>0</v>
      </c>
      <c r="M419" s="32"/>
      <c r="N419" s="33"/>
    </row>
    <row r="420" ht="15.75" customHeight="1">
      <c r="A420" s="139"/>
      <c r="B420" s="140"/>
      <c r="C420" s="61"/>
      <c r="D420" s="133"/>
      <c r="E420" s="210"/>
      <c r="F420" s="173"/>
      <c r="G420" s="28">
        <f t="shared" si="1"/>
        <v>0</v>
      </c>
      <c r="H420" s="29">
        <f t="shared" si="2"/>
        <v>0</v>
      </c>
      <c r="I420" s="30">
        <f t="shared" si="3"/>
        <v>0</v>
      </c>
      <c r="J420" s="31">
        <f t="shared" si="4"/>
        <v>0</v>
      </c>
      <c r="K420" s="30">
        <f t="shared" si="5"/>
        <v>0</v>
      </c>
      <c r="L420" s="31">
        <f t="shared" si="6"/>
        <v>0</v>
      </c>
      <c r="M420" s="32"/>
      <c r="N420" s="33"/>
    </row>
    <row r="421" ht="15.75" customHeight="1">
      <c r="A421" s="139"/>
      <c r="B421" s="140"/>
      <c r="C421" s="61"/>
      <c r="D421" s="133"/>
      <c r="E421" s="210"/>
      <c r="F421" s="173"/>
      <c r="G421" s="28">
        <f t="shared" si="1"/>
        <v>0</v>
      </c>
      <c r="H421" s="29">
        <f t="shared" si="2"/>
        <v>0</v>
      </c>
      <c r="I421" s="30">
        <f t="shared" si="3"/>
        <v>0</v>
      </c>
      <c r="J421" s="31">
        <f t="shared" si="4"/>
        <v>0</v>
      </c>
      <c r="K421" s="30">
        <f t="shared" si="5"/>
        <v>0</v>
      </c>
      <c r="L421" s="31">
        <f t="shared" si="6"/>
        <v>0</v>
      </c>
      <c r="M421" s="32"/>
      <c r="N421" s="33"/>
    </row>
    <row r="422" ht="15.75" customHeight="1">
      <c r="A422" s="139"/>
      <c r="B422" s="140"/>
      <c r="C422" s="61"/>
      <c r="D422" s="133"/>
      <c r="E422" s="210"/>
      <c r="F422" s="173"/>
      <c r="G422" s="28">
        <f t="shared" si="1"/>
        <v>0</v>
      </c>
      <c r="H422" s="29">
        <f t="shared" si="2"/>
        <v>0</v>
      </c>
      <c r="I422" s="30">
        <f t="shared" si="3"/>
        <v>0</v>
      </c>
      <c r="J422" s="31">
        <f t="shared" si="4"/>
        <v>0</v>
      </c>
      <c r="K422" s="30">
        <f t="shared" si="5"/>
        <v>0</v>
      </c>
      <c r="L422" s="31">
        <f t="shared" si="6"/>
        <v>0</v>
      </c>
      <c r="M422" s="32"/>
      <c r="N422" s="33"/>
    </row>
    <row r="423" ht="15.75" customHeight="1">
      <c r="A423" s="139"/>
      <c r="B423" s="140"/>
      <c r="C423" s="61"/>
      <c r="D423" s="133"/>
      <c r="E423" s="210"/>
      <c r="F423" s="173"/>
      <c r="G423" s="28">
        <f t="shared" si="1"/>
        <v>0</v>
      </c>
      <c r="H423" s="29">
        <f t="shared" si="2"/>
        <v>0</v>
      </c>
      <c r="I423" s="30">
        <f t="shared" si="3"/>
        <v>0</v>
      </c>
      <c r="J423" s="31">
        <f t="shared" si="4"/>
        <v>0</v>
      </c>
      <c r="K423" s="30">
        <f t="shared" si="5"/>
        <v>0</v>
      </c>
      <c r="L423" s="31">
        <f t="shared" si="6"/>
        <v>0</v>
      </c>
      <c r="M423" s="32"/>
      <c r="N423" s="33"/>
    </row>
    <row r="424" ht="15.75" customHeight="1">
      <c r="A424" s="139"/>
      <c r="B424" s="140"/>
      <c r="C424" s="61"/>
      <c r="D424" s="133"/>
      <c r="E424" s="210"/>
      <c r="F424" s="173"/>
      <c r="G424" s="28">
        <f t="shared" si="1"/>
        <v>0</v>
      </c>
      <c r="H424" s="29">
        <f t="shared" si="2"/>
        <v>0</v>
      </c>
      <c r="I424" s="30">
        <f t="shared" si="3"/>
        <v>0</v>
      </c>
      <c r="J424" s="31">
        <f t="shared" si="4"/>
        <v>0</v>
      </c>
      <c r="K424" s="30">
        <f t="shared" si="5"/>
        <v>0</v>
      </c>
      <c r="L424" s="31">
        <f t="shared" si="6"/>
        <v>0</v>
      </c>
      <c r="M424" s="32"/>
      <c r="N424" s="33"/>
    </row>
    <row r="425" ht="15.75" customHeight="1">
      <c r="A425" s="139"/>
      <c r="B425" s="140"/>
      <c r="C425" s="61"/>
      <c r="D425" s="133"/>
      <c r="E425" s="210"/>
      <c r="F425" s="173"/>
      <c r="G425" s="28">
        <f t="shared" si="1"/>
        <v>0</v>
      </c>
      <c r="H425" s="29">
        <f t="shared" si="2"/>
        <v>0</v>
      </c>
      <c r="I425" s="30">
        <f t="shared" si="3"/>
        <v>0</v>
      </c>
      <c r="J425" s="31">
        <f t="shared" si="4"/>
        <v>0</v>
      </c>
      <c r="K425" s="30">
        <f t="shared" si="5"/>
        <v>0</v>
      </c>
      <c r="L425" s="31">
        <f t="shared" si="6"/>
        <v>0</v>
      </c>
      <c r="M425" s="32"/>
      <c r="N425" s="33"/>
    </row>
    <row r="426" ht="15.75" customHeight="1">
      <c r="A426" s="139"/>
      <c r="B426" s="140"/>
      <c r="C426" s="61"/>
      <c r="D426" s="133"/>
      <c r="E426" s="210"/>
      <c r="F426" s="173"/>
      <c r="G426" s="28">
        <f t="shared" si="1"/>
        <v>0</v>
      </c>
      <c r="H426" s="29">
        <f t="shared" si="2"/>
        <v>0</v>
      </c>
      <c r="I426" s="30">
        <f t="shared" si="3"/>
        <v>0</v>
      </c>
      <c r="J426" s="31">
        <f t="shared" si="4"/>
        <v>0</v>
      </c>
      <c r="K426" s="30">
        <f t="shared" si="5"/>
        <v>0</v>
      </c>
      <c r="L426" s="31">
        <f t="shared" si="6"/>
        <v>0</v>
      </c>
      <c r="M426" s="32"/>
      <c r="N426" s="33"/>
    </row>
    <row r="427" ht="15.75" customHeight="1">
      <c r="A427" s="139"/>
      <c r="B427" s="140"/>
      <c r="C427" s="61"/>
      <c r="D427" s="133"/>
      <c r="E427" s="210"/>
      <c r="F427" s="173"/>
      <c r="G427" s="28">
        <f t="shared" si="1"/>
        <v>0</v>
      </c>
      <c r="H427" s="29">
        <f t="shared" si="2"/>
        <v>0</v>
      </c>
      <c r="I427" s="30">
        <f t="shared" si="3"/>
        <v>0</v>
      </c>
      <c r="J427" s="31">
        <f t="shared" si="4"/>
        <v>0</v>
      </c>
      <c r="K427" s="30">
        <f t="shared" si="5"/>
        <v>0</v>
      </c>
      <c r="L427" s="31">
        <f t="shared" si="6"/>
        <v>0</v>
      </c>
      <c r="M427" s="32"/>
      <c r="N427" s="33"/>
    </row>
    <row r="428" ht="15.75" customHeight="1">
      <c r="A428" s="139"/>
      <c r="B428" s="140"/>
      <c r="C428" s="61"/>
      <c r="D428" s="133"/>
      <c r="E428" s="210"/>
      <c r="F428" s="173"/>
      <c r="G428" s="28">
        <f t="shared" si="1"/>
        <v>0</v>
      </c>
      <c r="H428" s="29">
        <f t="shared" si="2"/>
        <v>0</v>
      </c>
      <c r="I428" s="30">
        <f t="shared" si="3"/>
        <v>0</v>
      </c>
      <c r="J428" s="31">
        <f t="shared" si="4"/>
        <v>0</v>
      </c>
      <c r="K428" s="30">
        <f t="shared" si="5"/>
        <v>0</v>
      </c>
      <c r="L428" s="31">
        <f t="shared" si="6"/>
        <v>0</v>
      </c>
      <c r="M428" s="32"/>
      <c r="N428" s="33"/>
    </row>
    <row r="429" ht="15.75" customHeight="1">
      <c r="A429" s="139"/>
      <c r="B429" s="140"/>
      <c r="C429" s="61"/>
      <c r="D429" s="133"/>
      <c r="E429" s="210"/>
      <c r="F429" s="173"/>
      <c r="G429" s="28">
        <f t="shared" si="1"/>
        <v>0</v>
      </c>
      <c r="H429" s="29">
        <f t="shared" si="2"/>
        <v>0</v>
      </c>
      <c r="I429" s="30">
        <f t="shared" si="3"/>
        <v>0</v>
      </c>
      <c r="J429" s="31">
        <f t="shared" si="4"/>
        <v>0</v>
      </c>
      <c r="K429" s="30">
        <f t="shared" si="5"/>
        <v>0</v>
      </c>
      <c r="L429" s="31">
        <f t="shared" si="6"/>
        <v>0</v>
      </c>
      <c r="M429" s="32"/>
      <c r="N429" s="33"/>
    </row>
    <row r="430" ht="15.75" customHeight="1">
      <c r="A430" s="139"/>
      <c r="B430" s="140"/>
      <c r="C430" s="61"/>
      <c r="D430" s="133"/>
      <c r="E430" s="210"/>
      <c r="F430" s="173"/>
      <c r="G430" s="28">
        <f t="shared" si="1"/>
        <v>0</v>
      </c>
      <c r="H430" s="29">
        <f t="shared" si="2"/>
        <v>0</v>
      </c>
      <c r="I430" s="30">
        <f t="shared" si="3"/>
        <v>0</v>
      </c>
      <c r="J430" s="31">
        <f t="shared" si="4"/>
        <v>0</v>
      </c>
      <c r="K430" s="30">
        <f t="shared" si="5"/>
        <v>0</v>
      </c>
      <c r="L430" s="31">
        <f t="shared" si="6"/>
        <v>0</v>
      </c>
      <c r="M430" s="32"/>
      <c r="N430" s="33"/>
    </row>
    <row r="431" ht="15.75" customHeight="1">
      <c r="A431" s="139"/>
      <c r="B431" s="140"/>
      <c r="C431" s="61"/>
      <c r="D431" s="133"/>
      <c r="E431" s="210"/>
      <c r="F431" s="173"/>
      <c r="G431" s="28">
        <f t="shared" si="1"/>
        <v>0</v>
      </c>
      <c r="H431" s="29">
        <f t="shared" si="2"/>
        <v>0</v>
      </c>
      <c r="I431" s="30">
        <f t="shared" si="3"/>
        <v>0</v>
      </c>
      <c r="J431" s="31">
        <f t="shared" si="4"/>
        <v>0</v>
      </c>
      <c r="K431" s="30">
        <f t="shared" si="5"/>
        <v>0</v>
      </c>
      <c r="L431" s="31">
        <f t="shared" si="6"/>
        <v>0</v>
      </c>
      <c r="M431" s="32"/>
      <c r="N431" s="33"/>
    </row>
    <row r="432" ht="15.75" customHeight="1">
      <c r="A432" s="139"/>
      <c r="B432" s="140"/>
      <c r="C432" s="61"/>
      <c r="D432" s="133"/>
      <c r="E432" s="210"/>
      <c r="F432" s="173"/>
      <c r="G432" s="28">
        <f t="shared" si="1"/>
        <v>0</v>
      </c>
      <c r="H432" s="29">
        <f t="shared" si="2"/>
        <v>0</v>
      </c>
      <c r="I432" s="30">
        <f t="shared" si="3"/>
        <v>0</v>
      </c>
      <c r="J432" s="31">
        <f t="shared" si="4"/>
        <v>0</v>
      </c>
      <c r="K432" s="30">
        <f t="shared" si="5"/>
        <v>0</v>
      </c>
      <c r="L432" s="31">
        <f t="shared" si="6"/>
        <v>0</v>
      </c>
      <c r="M432" s="32"/>
      <c r="N432" s="33"/>
    </row>
    <row r="433" ht="15.75" customHeight="1">
      <c r="A433" s="139"/>
      <c r="B433" s="140"/>
      <c r="C433" s="61"/>
      <c r="D433" s="133"/>
      <c r="E433" s="210"/>
      <c r="F433" s="173"/>
      <c r="G433" s="28">
        <f t="shared" si="1"/>
        <v>0</v>
      </c>
      <c r="H433" s="29">
        <f t="shared" si="2"/>
        <v>0</v>
      </c>
      <c r="I433" s="30">
        <f t="shared" si="3"/>
        <v>0</v>
      </c>
      <c r="J433" s="31">
        <f t="shared" si="4"/>
        <v>0</v>
      </c>
      <c r="K433" s="30">
        <f t="shared" si="5"/>
        <v>0</v>
      </c>
      <c r="L433" s="31">
        <f t="shared" si="6"/>
        <v>0</v>
      </c>
      <c r="M433" s="32"/>
      <c r="N433" s="33"/>
    </row>
    <row r="434" ht="15.75" customHeight="1">
      <c r="A434" s="139"/>
      <c r="B434" s="140"/>
      <c r="C434" s="61"/>
      <c r="D434" s="133"/>
      <c r="E434" s="210"/>
      <c r="F434" s="173"/>
      <c r="G434" s="28">
        <f t="shared" si="1"/>
        <v>0</v>
      </c>
      <c r="H434" s="29">
        <f t="shared" si="2"/>
        <v>0</v>
      </c>
      <c r="I434" s="30">
        <f t="shared" si="3"/>
        <v>0</v>
      </c>
      <c r="J434" s="31">
        <f t="shared" si="4"/>
        <v>0</v>
      </c>
      <c r="K434" s="30">
        <f t="shared" si="5"/>
        <v>0</v>
      </c>
      <c r="L434" s="31">
        <f t="shared" si="6"/>
        <v>0</v>
      </c>
      <c r="M434" s="32"/>
      <c r="N434" s="33"/>
    </row>
    <row r="435" ht="15.75" customHeight="1">
      <c r="A435" s="139"/>
      <c r="B435" s="140"/>
      <c r="C435" s="61"/>
      <c r="D435" s="133"/>
      <c r="E435" s="210"/>
      <c r="F435" s="173"/>
      <c r="G435" s="28">
        <f t="shared" si="1"/>
        <v>0</v>
      </c>
      <c r="H435" s="29">
        <f t="shared" si="2"/>
        <v>0</v>
      </c>
      <c r="I435" s="30">
        <f t="shared" si="3"/>
        <v>0</v>
      </c>
      <c r="J435" s="31">
        <f t="shared" si="4"/>
        <v>0</v>
      </c>
      <c r="K435" s="30">
        <f t="shared" si="5"/>
        <v>0</v>
      </c>
      <c r="L435" s="31">
        <f t="shared" si="6"/>
        <v>0</v>
      </c>
      <c r="M435" s="32"/>
      <c r="N435" s="33"/>
    </row>
    <row r="436" ht="15.75" customHeight="1">
      <c r="A436" s="139"/>
      <c r="B436" s="140"/>
      <c r="C436" s="61"/>
      <c r="D436" s="133"/>
      <c r="E436" s="210"/>
      <c r="F436" s="173"/>
      <c r="G436" s="28">
        <f t="shared" si="1"/>
        <v>0</v>
      </c>
      <c r="H436" s="29">
        <f t="shared" si="2"/>
        <v>0</v>
      </c>
      <c r="I436" s="30">
        <f t="shared" si="3"/>
        <v>0</v>
      </c>
      <c r="J436" s="31">
        <f t="shared" si="4"/>
        <v>0</v>
      </c>
      <c r="K436" s="30">
        <f t="shared" si="5"/>
        <v>0</v>
      </c>
      <c r="L436" s="31">
        <f t="shared" si="6"/>
        <v>0</v>
      </c>
      <c r="M436" s="32"/>
      <c r="N436" s="33"/>
    </row>
    <row r="437" ht="15.75" customHeight="1">
      <c r="A437" s="139"/>
      <c r="B437" s="140"/>
      <c r="C437" s="61"/>
      <c r="D437" s="133"/>
      <c r="E437" s="210"/>
      <c r="F437" s="173"/>
      <c r="G437" s="28">
        <f t="shared" si="1"/>
        <v>0</v>
      </c>
      <c r="H437" s="29">
        <f t="shared" si="2"/>
        <v>0</v>
      </c>
      <c r="I437" s="30">
        <f t="shared" si="3"/>
        <v>0</v>
      </c>
      <c r="J437" s="31">
        <f t="shared" si="4"/>
        <v>0</v>
      </c>
      <c r="K437" s="30">
        <f t="shared" si="5"/>
        <v>0</v>
      </c>
      <c r="L437" s="31">
        <f t="shared" si="6"/>
        <v>0</v>
      </c>
      <c r="M437" s="32"/>
      <c r="N437" s="33"/>
    </row>
    <row r="438" ht="15.75" customHeight="1">
      <c r="A438" s="139"/>
      <c r="B438" s="140"/>
      <c r="C438" s="61"/>
      <c r="D438" s="133"/>
      <c r="E438" s="210"/>
      <c r="F438" s="173"/>
      <c r="G438" s="28">
        <f t="shared" si="1"/>
        <v>0</v>
      </c>
      <c r="H438" s="29">
        <f t="shared" si="2"/>
        <v>0</v>
      </c>
      <c r="I438" s="30">
        <f t="shared" si="3"/>
        <v>0</v>
      </c>
      <c r="J438" s="31">
        <f t="shared" si="4"/>
        <v>0</v>
      </c>
      <c r="K438" s="30">
        <f t="shared" si="5"/>
        <v>0</v>
      </c>
      <c r="L438" s="31">
        <f t="shared" si="6"/>
        <v>0</v>
      </c>
      <c r="M438" s="32"/>
      <c r="N438" s="33"/>
    </row>
    <row r="439" ht="15.75" customHeight="1">
      <c r="A439" s="139"/>
      <c r="B439" s="140"/>
      <c r="C439" s="61"/>
      <c r="D439" s="133"/>
      <c r="E439" s="210"/>
      <c r="F439" s="173"/>
      <c r="G439" s="28">
        <f t="shared" si="1"/>
        <v>0</v>
      </c>
      <c r="H439" s="29">
        <f t="shared" si="2"/>
        <v>0</v>
      </c>
      <c r="I439" s="30">
        <f t="shared" si="3"/>
        <v>0</v>
      </c>
      <c r="J439" s="31">
        <f t="shared" si="4"/>
        <v>0</v>
      </c>
      <c r="K439" s="30">
        <f t="shared" si="5"/>
        <v>0</v>
      </c>
      <c r="L439" s="31">
        <f t="shared" si="6"/>
        <v>0</v>
      </c>
      <c r="M439" s="32"/>
      <c r="N439" s="33"/>
    </row>
    <row r="440" ht="15.75" customHeight="1">
      <c r="A440" s="139"/>
      <c r="B440" s="140"/>
      <c r="C440" s="61"/>
      <c r="D440" s="133"/>
      <c r="E440" s="210"/>
      <c r="F440" s="173"/>
      <c r="G440" s="28">
        <f t="shared" si="1"/>
        <v>0</v>
      </c>
      <c r="H440" s="29">
        <f t="shared" si="2"/>
        <v>0</v>
      </c>
      <c r="I440" s="30">
        <f t="shared" si="3"/>
        <v>0</v>
      </c>
      <c r="J440" s="31">
        <f t="shared" si="4"/>
        <v>0</v>
      </c>
      <c r="K440" s="30">
        <f t="shared" si="5"/>
        <v>0</v>
      </c>
      <c r="L440" s="31">
        <f t="shared" si="6"/>
        <v>0</v>
      </c>
      <c r="M440" s="32"/>
      <c r="N440" s="33"/>
    </row>
    <row r="441" ht="15.75" customHeight="1">
      <c r="A441" s="139"/>
      <c r="B441" s="140"/>
      <c r="C441" s="61"/>
      <c r="D441" s="133"/>
      <c r="E441" s="210"/>
      <c r="F441" s="173"/>
      <c r="G441" s="28">
        <f t="shared" si="1"/>
        <v>0</v>
      </c>
      <c r="H441" s="29">
        <f t="shared" si="2"/>
        <v>0</v>
      </c>
      <c r="I441" s="30">
        <f t="shared" si="3"/>
        <v>0</v>
      </c>
      <c r="J441" s="31">
        <f t="shared" si="4"/>
        <v>0</v>
      </c>
      <c r="K441" s="30">
        <f t="shared" si="5"/>
        <v>0</v>
      </c>
      <c r="L441" s="31">
        <f t="shared" si="6"/>
        <v>0</v>
      </c>
      <c r="M441" s="32"/>
      <c r="N441" s="33"/>
    </row>
    <row r="442" ht="15.75" customHeight="1">
      <c r="A442" s="139"/>
      <c r="B442" s="140"/>
      <c r="C442" s="61"/>
      <c r="D442" s="133"/>
      <c r="E442" s="210"/>
      <c r="F442" s="173"/>
      <c r="G442" s="28">
        <f t="shared" si="1"/>
        <v>0</v>
      </c>
      <c r="H442" s="29">
        <f t="shared" si="2"/>
        <v>0</v>
      </c>
      <c r="I442" s="30">
        <f t="shared" si="3"/>
        <v>0</v>
      </c>
      <c r="J442" s="31">
        <f t="shared" si="4"/>
        <v>0</v>
      </c>
      <c r="K442" s="30">
        <f t="shared" si="5"/>
        <v>0</v>
      </c>
      <c r="L442" s="31">
        <f t="shared" si="6"/>
        <v>0</v>
      </c>
      <c r="M442" s="32"/>
      <c r="N442" s="33"/>
    </row>
    <row r="443" ht="15.75" customHeight="1">
      <c r="A443" s="139"/>
      <c r="B443" s="140"/>
      <c r="C443" s="61"/>
      <c r="D443" s="133"/>
      <c r="E443" s="210"/>
      <c r="F443" s="173"/>
      <c r="G443" s="28">
        <f t="shared" si="1"/>
        <v>0</v>
      </c>
      <c r="H443" s="29">
        <f t="shared" si="2"/>
        <v>0</v>
      </c>
      <c r="I443" s="30">
        <f t="shared" si="3"/>
        <v>0</v>
      </c>
      <c r="J443" s="31">
        <f t="shared" si="4"/>
        <v>0</v>
      </c>
      <c r="K443" s="30">
        <f t="shared" si="5"/>
        <v>0</v>
      </c>
      <c r="L443" s="31">
        <f t="shared" si="6"/>
        <v>0</v>
      </c>
      <c r="M443" s="32"/>
      <c r="N443" s="33"/>
    </row>
    <row r="444" ht="15.75" customHeight="1">
      <c r="A444" s="139"/>
      <c r="B444" s="140"/>
      <c r="C444" s="61"/>
      <c r="D444" s="133"/>
      <c r="E444" s="210"/>
      <c r="F444" s="173"/>
      <c r="G444" s="28">
        <f t="shared" si="1"/>
        <v>0</v>
      </c>
      <c r="H444" s="29">
        <f t="shared" si="2"/>
        <v>0</v>
      </c>
      <c r="I444" s="30">
        <f t="shared" si="3"/>
        <v>0</v>
      </c>
      <c r="J444" s="31">
        <f t="shared" si="4"/>
        <v>0</v>
      </c>
      <c r="K444" s="30">
        <f t="shared" si="5"/>
        <v>0</v>
      </c>
      <c r="L444" s="31">
        <f t="shared" si="6"/>
        <v>0</v>
      </c>
      <c r="M444" s="32"/>
      <c r="N444" s="33"/>
    </row>
    <row r="445" ht="15.75" customHeight="1">
      <c r="A445" s="139"/>
      <c r="B445" s="140"/>
      <c r="C445" s="61"/>
      <c r="D445" s="133"/>
      <c r="E445" s="210"/>
      <c r="F445" s="173"/>
      <c r="G445" s="28">
        <f t="shared" si="1"/>
        <v>0</v>
      </c>
      <c r="H445" s="29">
        <f t="shared" si="2"/>
        <v>0</v>
      </c>
      <c r="I445" s="30">
        <f t="shared" si="3"/>
        <v>0</v>
      </c>
      <c r="J445" s="31">
        <f t="shared" si="4"/>
        <v>0</v>
      </c>
      <c r="K445" s="30">
        <f t="shared" si="5"/>
        <v>0</v>
      </c>
      <c r="L445" s="31">
        <f t="shared" si="6"/>
        <v>0</v>
      </c>
      <c r="M445" s="32"/>
      <c r="N445" s="33"/>
    </row>
    <row r="446" ht="15.75" customHeight="1">
      <c r="A446" s="139"/>
      <c r="B446" s="140"/>
      <c r="C446" s="61"/>
      <c r="D446" s="133"/>
      <c r="E446" s="210"/>
      <c r="F446" s="173"/>
      <c r="G446" s="28">
        <f t="shared" si="1"/>
        <v>0</v>
      </c>
      <c r="H446" s="29">
        <f t="shared" si="2"/>
        <v>0</v>
      </c>
      <c r="I446" s="30">
        <f t="shared" si="3"/>
        <v>0</v>
      </c>
      <c r="J446" s="31">
        <f t="shared" si="4"/>
        <v>0</v>
      </c>
      <c r="K446" s="30">
        <f t="shared" si="5"/>
        <v>0</v>
      </c>
      <c r="L446" s="31">
        <f t="shared" si="6"/>
        <v>0</v>
      </c>
      <c r="M446" s="32"/>
      <c r="N446" s="33"/>
    </row>
    <row r="447" ht="15.75" customHeight="1">
      <c r="A447" s="139"/>
      <c r="B447" s="140"/>
      <c r="C447" s="61"/>
      <c r="D447" s="133"/>
      <c r="E447" s="210"/>
      <c r="F447" s="173"/>
      <c r="G447" s="28">
        <f t="shared" si="1"/>
        <v>0</v>
      </c>
      <c r="H447" s="29">
        <f t="shared" si="2"/>
        <v>0</v>
      </c>
      <c r="I447" s="30">
        <f t="shared" si="3"/>
        <v>0</v>
      </c>
      <c r="J447" s="31">
        <f t="shared" si="4"/>
        <v>0</v>
      </c>
      <c r="K447" s="30">
        <f t="shared" si="5"/>
        <v>0</v>
      </c>
      <c r="L447" s="31">
        <f t="shared" si="6"/>
        <v>0</v>
      </c>
      <c r="M447" s="32"/>
      <c r="N447" s="33"/>
    </row>
    <row r="448" ht="15.75" customHeight="1">
      <c r="A448" s="139"/>
      <c r="B448" s="140"/>
      <c r="C448" s="61"/>
      <c r="D448" s="133"/>
      <c r="E448" s="210"/>
      <c r="F448" s="173"/>
      <c r="G448" s="28">
        <f t="shared" si="1"/>
        <v>0</v>
      </c>
      <c r="H448" s="29">
        <f t="shared" si="2"/>
        <v>0</v>
      </c>
      <c r="I448" s="30">
        <f t="shared" si="3"/>
        <v>0</v>
      </c>
      <c r="J448" s="31">
        <f t="shared" si="4"/>
        <v>0</v>
      </c>
      <c r="K448" s="30">
        <f t="shared" si="5"/>
        <v>0</v>
      </c>
      <c r="L448" s="31">
        <f t="shared" si="6"/>
        <v>0</v>
      </c>
      <c r="M448" s="32"/>
      <c r="N448" s="33"/>
    </row>
    <row r="449" ht="15.75" customHeight="1">
      <c r="A449" s="139"/>
      <c r="B449" s="140"/>
      <c r="C449" s="61"/>
      <c r="D449" s="133"/>
      <c r="E449" s="210"/>
      <c r="F449" s="173"/>
      <c r="G449" s="28">
        <f t="shared" si="1"/>
        <v>0</v>
      </c>
      <c r="H449" s="29">
        <f t="shared" si="2"/>
        <v>0</v>
      </c>
      <c r="I449" s="30">
        <f t="shared" si="3"/>
        <v>0</v>
      </c>
      <c r="J449" s="31">
        <f t="shared" si="4"/>
        <v>0</v>
      </c>
      <c r="K449" s="30">
        <f t="shared" si="5"/>
        <v>0</v>
      </c>
      <c r="L449" s="31">
        <f t="shared" si="6"/>
        <v>0</v>
      </c>
      <c r="M449" s="32"/>
      <c r="N449" s="33"/>
    </row>
    <row r="450" ht="15.75" customHeight="1">
      <c r="A450" s="139"/>
      <c r="B450" s="140"/>
      <c r="C450" s="61"/>
      <c r="D450" s="133"/>
      <c r="E450" s="210"/>
      <c r="F450" s="173"/>
      <c r="G450" s="28">
        <f t="shared" si="1"/>
        <v>0</v>
      </c>
      <c r="H450" s="29">
        <f t="shared" si="2"/>
        <v>0</v>
      </c>
      <c r="I450" s="30">
        <f t="shared" si="3"/>
        <v>0</v>
      </c>
      <c r="J450" s="31">
        <f t="shared" si="4"/>
        <v>0</v>
      </c>
      <c r="K450" s="30">
        <f t="shared" si="5"/>
        <v>0</v>
      </c>
      <c r="L450" s="31">
        <f t="shared" si="6"/>
        <v>0</v>
      </c>
      <c r="M450" s="32"/>
      <c r="N450" s="33"/>
    </row>
    <row r="451" ht="15.75" customHeight="1">
      <c r="A451" s="139"/>
      <c r="B451" s="140"/>
      <c r="C451" s="61"/>
      <c r="D451" s="133"/>
      <c r="E451" s="210"/>
      <c r="F451" s="173"/>
      <c r="G451" s="28">
        <f t="shared" si="1"/>
        <v>0</v>
      </c>
      <c r="H451" s="29">
        <f t="shared" si="2"/>
        <v>0</v>
      </c>
      <c r="I451" s="30">
        <f t="shared" si="3"/>
        <v>0</v>
      </c>
      <c r="J451" s="31">
        <f t="shared" si="4"/>
        <v>0</v>
      </c>
      <c r="K451" s="30">
        <f t="shared" si="5"/>
        <v>0</v>
      </c>
      <c r="L451" s="31">
        <f t="shared" si="6"/>
        <v>0</v>
      </c>
      <c r="M451" s="32"/>
      <c r="N451" s="33"/>
    </row>
    <row r="452" ht="15.75" customHeight="1">
      <c r="A452" s="139"/>
      <c r="B452" s="140"/>
      <c r="C452" s="61"/>
      <c r="D452" s="133"/>
      <c r="E452" s="210"/>
      <c r="F452" s="173"/>
      <c r="G452" s="28">
        <f t="shared" si="1"/>
        <v>0</v>
      </c>
      <c r="H452" s="29">
        <f t="shared" si="2"/>
        <v>0</v>
      </c>
      <c r="I452" s="30">
        <f t="shared" si="3"/>
        <v>0</v>
      </c>
      <c r="J452" s="31">
        <f t="shared" si="4"/>
        <v>0</v>
      </c>
      <c r="K452" s="30">
        <f t="shared" si="5"/>
        <v>0</v>
      </c>
      <c r="L452" s="31">
        <f t="shared" si="6"/>
        <v>0</v>
      </c>
      <c r="M452" s="32"/>
      <c r="N452" s="33"/>
    </row>
    <row r="453" ht="15.75" customHeight="1">
      <c r="A453" s="139"/>
      <c r="B453" s="140"/>
      <c r="C453" s="61"/>
      <c r="D453" s="133"/>
      <c r="E453" s="210"/>
      <c r="F453" s="173"/>
      <c r="G453" s="28">
        <f t="shared" si="1"/>
        <v>0</v>
      </c>
      <c r="H453" s="29">
        <f t="shared" si="2"/>
        <v>0</v>
      </c>
      <c r="I453" s="30">
        <f t="shared" si="3"/>
        <v>0</v>
      </c>
      <c r="J453" s="31">
        <f t="shared" si="4"/>
        <v>0</v>
      </c>
      <c r="K453" s="30">
        <f t="shared" si="5"/>
        <v>0</v>
      </c>
      <c r="L453" s="31">
        <f t="shared" si="6"/>
        <v>0</v>
      </c>
      <c r="M453" s="32"/>
      <c r="N453" s="33"/>
    </row>
    <row r="454" ht="15.75" customHeight="1">
      <c r="A454" s="139"/>
      <c r="B454" s="140"/>
      <c r="C454" s="61"/>
      <c r="D454" s="133"/>
      <c r="E454" s="210"/>
      <c r="F454" s="173"/>
      <c r="G454" s="28">
        <f t="shared" si="1"/>
        <v>0</v>
      </c>
      <c r="H454" s="29">
        <f t="shared" si="2"/>
        <v>0</v>
      </c>
      <c r="I454" s="30">
        <f t="shared" si="3"/>
        <v>0</v>
      </c>
      <c r="J454" s="31">
        <f t="shared" si="4"/>
        <v>0</v>
      </c>
      <c r="K454" s="30">
        <f t="shared" si="5"/>
        <v>0</v>
      </c>
      <c r="L454" s="31">
        <f t="shared" si="6"/>
        <v>0</v>
      </c>
      <c r="M454" s="32"/>
      <c r="N454" s="33"/>
    </row>
    <row r="455" ht="15.75" customHeight="1">
      <c r="A455" s="139"/>
      <c r="B455" s="140"/>
      <c r="C455" s="61"/>
      <c r="D455" s="133"/>
      <c r="E455" s="210"/>
      <c r="F455" s="173"/>
      <c r="G455" s="28">
        <f t="shared" si="1"/>
        <v>0</v>
      </c>
      <c r="H455" s="29">
        <f t="shared" si="2"/>
        <v>0</v>
      </c>
      <c r="I455" s="30">
        <f t="shared" si="3"/>
        <v>0</v>
      </c>
      <c r="J455" s="31">
        <f t="shared" si="4"/>
        <v>0</v>
      </c>
      <c r="K455" s="30">
        <f t="shared" si="5"/>
        <v>0</v>
      </c>
      <c r="L455" s="31">
        <f t="shared" si="6"/>
        <v>0</v>
      </c>
      <c r="M455" s="32"/>
      <c r="N455" s="33"/>
    </row>
    <row r="456" ht="15.75" customHeight="1">
      <c r="A456" s="139"/>
      <c r="B456" s="140"/>
      <c r="C456" s="61"/>
      <c r="D456" s="133"/>
      <c r="E456" s="210"/>
      <c r="F456" s="173"/>
      <c r="G456" s="28">
        <f t="shared" si="1"/>
        <v>0</v>
      </c>
      <c r="H456" s="29">
        <f t="shared" si="2"/>
        <v>0</v>
      </c>
      <c r="I456" s="30">
        <f t="shared" si="3"/>
        <v>0</v>
      </c>
      <c r="J456" s="31">
        <f t="shared" si="4"/>
        <v>0</v>
      </c>
      <c r="K456" s="30">
        <f t="shared" si="5"/>
        <v>0</v>
      </c>
      <c r="L456" s="31">
        <f t="shared" si="6"/>
        <v>0</v>
      </c>
      <c r="M456" s="32"/>
      <c r="N456" s="33"/>
    </row>
    <row r="457" ht="15.75" customHeight="1">
      <c r="A457" s="139"/>
      <c r="B457" s="140"/>
      <c r="C457" s="61"/>
      <c r="D457" s="133"/>
      <c r="E457" s="210"/>
      <c r="F457" s="173"/>
      <c r="G457" s="28">
        <f t="shared" si="1"/>
        <v>0</v>
      </c>
      <c r="H457" s="29">
        <f t="shared" si="2"/>
        <v>0</v>
      </c>
      <c r="I457" s="30">
        <f t="shared" si="3"/>
        <v>0</v>
      </c>
      <c r="J457" s="31">
        <f t="shared" si="4"/>
        <v>0</v>
      </c>
      <c r="K457" s="30">
        <f t="shared" si="5"/>
        <v>0</v>
      </c>
      <c r="L457" s="31">
        <f t="shared" si="6"/>
        <v>0</v>
      </c>
      <c r="M457" s="32"/>
      <c r="N457" s="33"/>
    </row>
    <row r="458" ht="15.75" customHeight="1">
      <c r="A458" s="139"/>
      <c r="B458" s="140"/>
      <c r="C458" s="61"/>
      <c r="D458" s="133"/>
      <c r="E458" s="210"/>
      <c r="F458" s="173"/>
      <c r="G458" s="28">
        <f t="shared" si="1"/>
        <v>0</v>
      </c>
      <c r="H458" s="29">
        <f t="shared" si="2"/>
        <v>0</v>
      </c>
      <c r="I458" s="30">
        <f t="shared" si="3"/>
        <v>0</v>
      </c>
      <c r="J458" s="31">
        <f t="shared" si="4"/>
        <v>0</v>
      </c>
      <c r="K458" s="30">
        <f t="shared" si="5"/>
        <v>0</v>
      </c>
      <c r="L458" s="31">
        <f t="shared" si="6"/>
        <v>0</v>
      </c>
      <c r="M458" s="32"/>
      <c r="N458" s="33"/>
    </row>
    <row r="459" ht="15.75" customHeight="1">
      <c r="A459" s="139"/>
      <c r="B459" s="140"/>
      <c r="C459" s="61"/>
      <c r="D459" s="133"/>
      <c r="E459" s="210"/>
      <c r="F459" s="173"/>
      <c r="G459" s="28">
        <f t="shared" si="1"/>
        <v>0</v>
      </c>
      <c r="H459" s="29">
        <f t="shared" si="2"/>
        <v>0</v>
      </c>
      <c r="I459" s="30">
        <f t="shared" si="3"/>
        <v>0</v>
      </c>
      <c r="J459" s="31">
        <f t="shared" si="4"/>
        <v>0</v>
      </c>
      <c r="K459" s="30">
        <f t="shared" si="5"/>
        <v>0</v>
      </c>
      <c r="L459" s="31">
        <f t="shared" si="6"/>
        <v>0</v>
      </c>
      <c r="M459" s="32"/>
      <c r="N459" s="33"/>
    </row>
    <row r="460" ht="15.75" customHeight="1">
      <c r="A460" s="139"/>
      <c r="B460" s="140"/>
      <c r="C460" s="61"/>
      <c r="D460" s="133"/>
      <c r="E460" s="210"/>
      <c r="F460" s="173"/>
      <c r="G460" s="28">
        <f t="shared" si="1"/>
        <v>0</v>
      </c>
      <c r="H460" s="29">
        <f t="shared" si="2"/>
        <v>0</v>
      </c>
      <c r="I460" s="30">
        <f t="shared" si="3"/>
        <v>0</v>
      </c>
      <c r="J460" s="31">
        <f t="shared" si="4"/>
        <v>0</v>
      </c>
      <c r="K460" s="30">
        <f t="shared" si="5"/>
        <v>0</v>
      </c>
      <c r="L460" s="31">
        <f t="shared" si="6"/>
        <v>0</v>
      </c>
      <c r="M460" s="32"/>
      <c r="N460" s="33"/>
    </row>
    <row r="461" ht="15.75" customHeight="1">
      <c r="A461" s="139"/>
      <c r="B461" s="140"/>
      <c r="C461" s="61"/>
      <c r="D461" s="133"/>
      <c r="E461" s="210"/>
      <c r="F461" s="173"/>
      <c r="G461" s="28">
        <f t="shared" si="1"/>
        <v>0</v>
      </c>
      <c r="H461" s="29">
        <f t="shared" si="2"/>
        <v>0</v>
      </c>
      <c r="I461" s="30">
        <f t="shared" si="3"/>
        <v>0</v>
      </c>
      <c r="J461" s="31">
        <f t="shared" si="4"/>
        <v>0</v>
      </c>
      <c r="K461" s="30">
        <f t="shared" si="5"/>
        <v>0</v>
      </c>
      <c r="L461" s="31">
        <f t="shared" si="6"/>
        <v>0</v>
      </c>
      <c r="M461" s="32"/>
      <c r="N461" s="33"/>
    </row>
    <row r="462" ht="15.75" customHeight="1">
      <c r="A462" s="139"/>
      <c r="B462" s="140"/>
      <c r="C462" s="61"/>
      <c r="D462" s="133"/>
      <c r="E462" s="210"/>
      <c r="F462" s="173"/>
      <c r="G462" s="28">
        <f t="shared" si="1"/>
        <v>0</v>
      </c>
      <c r="H462" s="29">
        <f t="shared" si="2"/>
        <v>0</v>
      </c>
      <c r="I462" s="30">
        <f t="shared" si="3"/>
        <v>0</v>
      </c>
      <c r="J462" s="31">
        <f t="shared" si="4"/>
        <v>0</v>
      </c>
      <c r="K462" s="30">
        <f t="shared" si="5"/>
        <v>0</v>
      </c>
      <c r="L462" s="31">
        <f t="shared" si="6"/>
        <v>0</v>
      </c>
      <c r="M462" s="32"/>
      <c r="N462" s="33"/>
    </row>
    <row r="463" ht="15.75" customHeight="1">
      <c r="A463" s="139"/>
      <c r="B463" s="140"/>
      <c r="C463" s="61"/>
      <c r="D463" s="133"/>
      <c r="E463" s="210"/>
      <c r="F463" s="173"/>
      <c r="G463" s="28">
        <f t="shared" si="1"/>
        <v>0</v>
      </c>
      <c r="H463" s="29">
        <f t="shared" si="2"/>
        <v>0</v>
      </c>
      <c r="I463" s="30">
        <f t="shared" si="3"/>
        <v>0</v>
      </c>
      <c r="J463" s="31">
        <f t="shared" si="4"/>
        <v>0</v>
      </c>
      <c r="K463" s="30">
        <f t="shared" si="5"/>
        <v>0</v>
      </c>
      <c r="L463" s="31">
        <f t="shared" si="6"/>
        <v>0</v>
      </c>
      <c r="M463" s="32"/>
      <c r="N463" s="33"/>
    </row>
    <row r="464" ht="15.75" customHeight="1">
      <c r="A464" s="139"/>
      <c r="B464" s="140"/>
      <c r="C464" s="61"/>
      <c r="D464" s="133"/>
      <c r="E464" s="210"/>
      <c r="F464" s="173"/>
      <c r="G464" s="28">
        <f t="shared" si="1"/>
        <v>0</v>
      </c>
      <c r="H464" s="29">
        <f t="shared" si="2"/>
        <v>0</v>
      </c>
      <c r="I464" s="30">
        <f t="shared" si="3"/>
        <v>0</v>
      </c>
      <c r="J464" s="31">
        <f t="shared" si="4"/>
        <v>0</v>
      </c>
      <c r="K464" s="30">
        <f t="shared" si="5"/>
        <v>0</v>
      </c>
      <c r="L464" s="31">
        <f t="shared" si="6"/>
        <v>0</v>
      </c>
      <c r="M464" s="32"/>
      <c r="N464" s="33"/>
    </row>
    <row r="465" ht="15.75" customHeight="1">
      <c r="A465" s="139"/>
      <c r="B465" s="140"/>
      <c r="C465" s="61"/>
      <c r="D465" s="133"/>
      <c r="E465" s="210"/>
      <c r="F465" s="173"/>
      <c r="G465" s="28">
        <f t="shared" si="1"/>
        <v>0</v>
      </c>
      <c r="H465" s="29">
        <f t="shared" si="2"/>
        <v>0</v>
      </c>
      <c r="I465" s="30">
        <f t="shared" si="3"/>
        <v>0</v>
      </c>
      <c r="J465" s="31">
        <f t="shared" si="4"/>
        <v>0</v>
      </c>
      <c r="K465" s="30">
        <f t="shared" si="5"/>
        <v>0</v>
      </c>
      <c r="L465" s="31">
        <f t="shared" si="6"/>
        <v>0</v>
      </c>
      <c r="M465" s="32"/>
      <c r="N465" s="33"/>
    </row>
    <row r="466" ht="15.75" customHeight="1">
      <c r="A466" s="139"/>
      <c r="B466" s="140"/>
      <c r="C466" s="61"/>
      <c r="D466" s="133"/>
      <c r="E466" s="210"/>
      <c r="F466" s="173"/>
      <c r="G466" s="28">
        <f t="shared" si="1"/>
        <v>0</v>
      </c>
      <c r="H466" s="29">
        <f t="shared" si="2"/>
        <v>0</v>
      </c>
      <c r="I466" s="30">
        <f t="shared" si="3"/>
        <v>0</v>
      </c>
      <c r="J466" s="31">
        <f t="shared" si="4"/>
        <v>0</v>
      </c>
      <c r="K466" s="30">
        <f t="shared" si="5"/>
        <v>0</v>
      </c>
      <c r="L466" s="31">
        <f t="shared" si="6"/>
        <v>0</v>
      </c>
      <c r="M466" s="32"/>
      <c r="N466" s="33"/>
    </row>
    <row r="467" ht="15.75" customHeight="1">
      <c r="A467" s="139"/>
      <c r="B467" s="140"/>
      <c r="C467" s="61"/>
      <c r="D467" s="133"/>
      <c r="E467" s="210"/>
      <c r="F467" s="173"/>
      <c r="G467" s="28">
        <f t="shared" si="1"/>
        <v>0</v>
      </c>
      <c r="H467" s="29">
        <f t="shared" si="2"/>
        <v>0</v>
      </c>
      <c r="I467" s="30">
        <f t="shared" si="3"/>
        <v>0</v>
      </c>
      <c r="J467" s="31">
        <f t="shared" si="4"/>
        <v>0</v>
      </c>
      <c r="K467" s="30">
        <f t="shared" si="5"/>
        <v>0</v>
      </c>
      <c r="L467" s="31">
        <f t="shared" si="6"/>
        <v>0</v>
      </c>
      <c r="M467" s="32"/>
      <c r="N467" s="33"/>
    </row>
    <row r="468" ht="15.75" customHeight="1">
      <c r="A468" s="139"/>
      <c r="B468" s="140"/>
      <c r="C468" s="61"/>
      <c r="D468" s="133"/>
      <c r="E468" s="210"/>
      <c r="F468" s="173"/>
      <c r="G468" s="28">
        <f t="shared" si="1"/>
        <v>0</v>
      </c>
      <c r="H468" s="29">
        <f t="shared" si="2"/>
        <v>0</v>
      </c>
      <c r="I468" s="30">
        <f t="shared" si="3"/>
        <v>0</v>
      </c>
      <c r="J468" s="31">
        <f t="shared" si="4"/>
        <v>0</v>
      </c>
      <c r="K468" s="30">
        <f t="shared" si="5"/>
        <v>0</v>
      </c>
      <c r="L468" s="31">
        <f t="shared" si="6"/>
        <v>0</v>
      </c>
      <c r="M468" s="32"/>
      <c r="N468" s="33"/>
    </row>
    <row r="469" ht="15.75" customHeight="1">
      <c r="A469" s="139"/>
      <c r="B469" s="140"/>
      <c r="C469" s="61"/>
      <c r="D469" s="133"/>
      <c r="E469" s="210"/>
      <c r="F469" s="173"/>
      <c r="G469" s="28">
        <f t="shared" si="1"/>
        <v>0</v>
      </c>
      <c r="H469" s="29">
        <f t="shared" si="2"/>
        <v>0</v>
      </c>
      <c r="I469" s="30">
        <f t="shared" si="3"/>
        <v>0</v>
      </c>
      <c r="J469" s="31">
        <f t="shared" si="4"/>
        <v>0</v>
      </c>
      <c r="K469" s="30">
        <f t="shared" si="5"/>
        <v>0</v>
      </c>
      <c r="L469" s="31">
        <f t="shared" si="6"/>
        <v>0</v>
      </c>
      <c r="M469" s="32"/>
      <c r="N469" s="33"/>
    </row>
    <row r="470" ht="15.75" customHeight="1">
      <c r="A470" s="139"/>
      <c r="B470" s="140"/>
      <c r="C470" s="61"/>
      <c r="D470" s="133"/>
      <c r="E470" s="210"/>
      <c r="F470" s="173"/>
      <c r="G470" s="28">
        <f t="shared" si="1"/>
        <v>0</v>
      </c>
      <c r="H470" s="29">
        <f t="shared" si="2"/>
        <v>0</v>
      </c>
      <c r="I470" s="30">
        <f t="shared" si="3"/>
        <v>0</v>
      </c>
      <c r="J470" s="31">
        <f t="shared" si="4"/>
        <v>0</v>
      </c>
      <c r="K470" s="30">
        <f t="shared" si="5"/>
        <v>0</v>
      </c>
      <c r="L470" s="31">
        <f t="shared" si="6"/>
        <v>0</v>
      </c>
      <c r="M470" s="32"/>
      <c r="N470" s="33"/>
    </row>
    <row r="471" ht="15.75" customHeight="1">
      <c r="A471" s="139"/>
      <c r="B471" s="140"/>
      <c r="C471" s="61"/>
      <c r="D471" s="133"/>
      <c r="E471" s="210"/>
      <c r="F471" s="173"/>
      <c r="G471" s="28">
        <f t="shared" si="1"/>
        <v>0</v>
      </c>
      <c r="H471" s="29">
        <f t="shared" si="2"/>
        <v>0</v>
      </c>
      <c r="I471" s="30">
        <f t="shared" si="3"/>
        <v>0</v>
      </c>
      <c r="J471" s="31">
        <f t="shared" si="4"/>
        <v>0</v>
      </c>
      <c r="K471" s="30">
        <f t="shared" si="5"/>
        <v>0</v>
      </c>
      <c r="L471" s="31">
        <f t="shared" si="6"/>
        <v>0</v>
      </c>
      <c r="M471" s="32"/>
      <c r="N471" s="33"/>
    </row>
    <row r="472" ht="15.75" customHeight="1">
      <c r="A472" s="139"/>
      <c r="B472" s="140"/>
      <c r="C472" s="61"/>
      <c r="D472" s="133"/>
      <c r="E472" s="210"/>
      <c r="F472" s="173"/>
      <c r="G472" s="28">
        <f t="shared" si="1"/>
        <v>0</v>
      </c>
      <c r="H472" s="29">
        <f t="shared" si="2"/>
        <v>0</v>
      </c>
      <c r="I472" s="30">
        <f t="shared" si="3"/>
        <v>0</v>
      </c>
      <c r="J472" s="31">
        <f t="shared" si="4"/>
        <v>0</v>
      </c>
      <c r="K472" s="30">
        <f t="shared" si="5"/>
        <v>0</v>
      </c>
      <c r="L472" s="31">
        <f t="shared" si="6"/>
        <v>0</v>
      </c>
      <c r="M472" s="32"/>
      <c r="N472" s="33"/>
    </row>
    <row r="473" ht="15.75" customHeight="1">
      <c r="A473" s="139"/>
      <c r="B473" s="140"/>
      <c r="C473" s="61"/>
      <c r="D473" s="133"/>
      <c r="E473" s="210"/>
      <c r="F473" s="173"/>
      <c r="G473" s="28">
        <f t="shared" si="1"/>
        <v>0</v>
      </c>
      <c r="H473" s="29">
        <f t="shared" si="2"/>
        <v>0</v>
      </c>
      <c r="I473" s="30">
        <f t="shared" si="3"/>
        <v>0</v>
      </c>
      <c r="J473" s="31">
        <f t="shared" si="4"/>
        <v>0</v>
      </c>
      <c r="K473" s="30">
        <f t="shared" si="5"/>
        <v>0</v>
      </c>
      <c r="L473" s="31">
        <f t="shared" si="6"/>
        <v>0</v>
      </c>
      <c r="M473" s="32"/>
      <c r="N473" s="33"/>
    </row>
    <row r="474" ht="15.75" customHeight="1">
      <c r="A474" s="139"/>
      <c r="B474" s="140"/>
      <c r="C474" s="61"/>
      <c r="D474" s="133"/>
      <c r="E474" s="210"/>
      <c r="F474" s="173"/>
      <c r="G474" s="28">
        <f t="shared" si="1"/>
        <v>0</v>
      </c>
      <c r="H474" s="29">
        <f t="shared" si="2"/>
        <v>0</v>
      </c>
      <c r="I474" s="30">
        <f t="shared" si="3"/>
        <v>0</v>
      </c>
      <c r="J474" s="31">
        <f t="shared" si="4"/>
        <v>0</v>
      </c>
      <c r="K474" s="30">
        <f t="shared" si="5"/>
        <v>0</v>
      </c>
      <c r="L474" s="31">
        <f t="shared" si="6"/>
        <v>0</v>
      </c>
      <c r="M474" s="32"/>
      <c r="N474" s="33"/>
    </row>
    <row r="475" ht="15.75" customHeight="1">
      <c r="A475" s="139"/>
      <c r="B475" s="140"/>
      <c r="C475" s="61"/>
      <c r="D475" s="133"/>
      <c r="E475" s="210"/>
      <c r="F475" s="173"/>
      <c r="G475" s="28">
        <f t="shared" si="1"/>
        <v>0</v>
      </c>
      <c r="H475" s="29">
        <f t="shared" si="2"/>
        <v>0</v>
      </c>
      <c r="I475" s="30">
        <f t="shared" si="3"/>
        <v>0</v>
      </c>
      <c r="J475" s="31">
        <f t="shared" si="4"/>
        <v>0</v>
      </c>
      <c r="K475" s="30">
        <f t="shared" si="5"/>
        <v>0</v>
      </c>
      <c r="L475" s="31">
        <f t="shared" si="6"/>
        <v>0</v>
      </c>
      <c r="M475" s="32"/>
      <c r="N475" s="33"/>
    </row>
    <row r="476" ht="15.75" customHeight="1">
      <c r="A476" s="139"/>
      <c r="B476" s="140"/>
      <c r="C476" s="61"/>
      <c r="D476" s="133"/>
      <c r="E476" s="210"/>
      <c r="F476" s="173"/>
      <c r="G476" s="28">
        <f t="shared" si="1"/>
        <v>0</v>
      </c>
      <c r="H476" s="29">
        <f t="shared" si="2"/>
        <v>0</v>
      </c>
      <c r="I476" s="30">
        <f t="shared" si="3"/>
        <v>0</v>
      </c>
      <c r="J476" s="31">
        <f t="shared" si="4"/>
        <v>0</v>
      </c>
      <c r="K476" s="30">
        <f t="shared" si="5"/>
        <v>0</v>
      </c>
      <c r="L476" s="31">
        <f t="shared" si="6"/>
        <v>0</v>
      </c>
      <c r="M476" s="32"/>
      <c r="N476" s="33"/>
    </row>
    <row r="477" ht="15.75" customHeight="1">
      <c r="A477" s="139"/>
      <c r="B477" s="140"/>
      <c r="C477" s="61"/>
      <c r="D477" s="133"/>
      <c r="E477" s="210"/>
      <c r="F477" s="173"/>
      <c r="G477" s="28">
        <f t="shared" si="1"/>
        <v>0</v>
      </c>
      <c r="H477" s="29">
        <f t="shared" si="2"/>
        <v>0</v>
      </c>
      <c r="I477" s="30">
        <f t="shared" si="3"/>
        <v>0</v>
      </c>
      <c r="J477" s="31">
        <f t="shared" si="4"/>
        <v>0</v>
      </c>
      <c r="K477" s="30">
        <f t="shared" si="5"/>
        <v>0</v>
      </c>
      <c r="L477" s="31">
        <f t="shared" si="6"/>
        <v>0</v>
      </c>
      <c r="M477" s="32"/>
      <c r="N477" s="33"/>
    </row>
    <row r="478" ht="15.75" customHeight="1">
      <c r="A478" s="139"/>
      <c r="B478" s="140"/>
      <c r="C478" s="61"/>
      <c r="D478" s="133"/>
      <c r="E478" s="210"/>
      <c r="F478" s="173"/>
      <c r="G478" s="28">
        <f t="shared" si="1"/>
        <v>0</v>
      </c>
      <c r="H478" s="29">
        <f t="shared" si="2"/>
        <v>0</v>
      </c>
      <c r="I478" s="30">
        <f t="shared" si="3"/>
        <v>0</v>
      </c>
      <c r="J478" s="31">
        <f t="shared" si="4"/>
        <v>0</v>
      </c>
      <c r="K478" s="30">
        <f t="shared" si="5"/>
        <v>0</v>
      </c>
      <c r="L478" s="31">
        <f t="shared" si="6"/>
        <v>0</v>
      </c>
      <c r="M478" s="32"/>
      <c r="N478" s="33"/>
    </row>
    <row r="479" ht="15.75" customHeight="1">
      <c r="A479" s="139"/>
      <c r="B479" s="140"/>
      <c r="C479" s="61"/>
      <c r="D479" s="133"/>
      <c r="E479" s="210"/>
      <c r="F479" s="173"/>
      <c r="G479" s="28">
        <f t="shared" si="1"/>
        <v>0</v>
      </c>
      <c r="H479" s="29">
        <f t="shared" si="2"/>
        <v>0</v>
      </c>
      <c r="I479" s="30">
        <f t="shared" si="3"/>
        <v>0</v>
      </c>
      <c r="J479" s="31">
        <f t="shared" si="4"/>
        <v>0</v>
      </c>
      <c r="K479" s="30">
        <f t="shared" si="5"/>
        <v>0</v>
      </c>
      <c r="L479" s="31">
        <f t="shared" si="6"/>
        <v>0</v>
      </c>
      <c r="M479" s="32"/>
      <c r="N479" s="33"/>
    </row>
    <row r="480" ht="15.75" customHeight="1">
      <c r="A480" s="139"/>
      <c r="B480" s="140"/>
      <c r="C480" s="61"/>
      <c r="D480" s="133"/>
      <c r="E480" s="210"/>
      <c r="F480" s="173"/>
      <c r="G480" s="96"/>
      <c r="H480" s="97"/>
      <c r="I480" s="98"/>
      <c r="J480" s="99"/>
      <c r="K480" s="98"/>
      <c r="L480" s="99"/>
      <c r="M480" s="32"/>
      <c r="N480" s="33"/>
    </row>
    <row r="481" ht="15.75" customHeight="1">
      <c r="A481" s="139"/>
      <c r="B481" s="140"/>
      <c r="C481" s="61"/>
      <c r="D481" s="133"/>
      <c r="E481" s="210"/>
      <c r="F481" s="173"/>
      <c r="G481" s="96"/>
      <c r="H481" s="97"/>
      <c r="I481" s="98"/>
      <c r="J481" s="99"/>
      <c r="K481" s="98"/>
      <c r="L481" s="99"/>
      <c r="M481" s="32"/>
      <c r="N481" s="33"/>
    </row>
    <row r="482" ht="15.75" customHeight="1">
      <c r="A482" s="139"/>
      <c r="B482" s="140"/>
      <c r="C482" s="61"/>
      <c r="D482" s="133"/>
      <c r="E482" s="210"/>
      <c r="F482" s="173"/>
      <c r="G482" s="96"/>
      <c r="H482" s="97"/>
      <c r="I482" s="98"/>
      <c r="J482" s="99"/>
      <c r="K482" s="98"/>
      <c r="L482" s="99"/>
      <c r="M482" s="32"/>
      <c r="N482" s="33"/>
    </row>
    <row r="483" ht="15.75" customHeight="1">
      <c r="A483" s="139"/>
      <c r="B483" s="140"/>
      <c r="C483" s="61"/>
      <c r="D483" s="133"/>
      <c r="E483" s="210"/>
      <c r="F483" s="173"/>
      <c r="G483" s="96"/>
      <c r="H483" s="97"/>
      <c r="I483" s="98"/>
      <c r="J483" s="99"/>
      <c r="K483" s="98"/>
      <c r="L483" s="99"/>
      <c r="M483" s="32"/>
      <c r="N483" s="33"/>
    </row>
    <row r="484" ht="15.75" customHeight="1">
      <c r="A484" s="139"/>
      <c r="B484" s="140"/>
      <c r="C484" s="61"/>
      <c r="D484" s="133"/>
      <c r="E484" s="210"/>
      <c r="F484" s="173"/>
      <c r="G484" s="96"/>
      <c r="H484" s="97"/>
      <c r="I484" s="98"/>
      <c r="J484" s="99"/>
      <c r="K484" s="98"/>
      <c r="L484" s="99"/>
      <c r="M484" s="32"/>
      <c r="N484" s="33"/>
    </row>
    <row r="485" ht="15.75" customHeight="1">
      <c r="A485" s="139"/>
      <c r="B485" s="140"/>
      <c r="C485" s="61"/>
      <c r="D485" s="133"/>
      <c r="E485" s="210"/>
      <c r="F485" s="173"/>
      <c r="G485" s="96"/>
      <c r="H485" s="97"/>
      <c r="I485" s="98"/>
      <c r="J485" s="99"/>
      <c r="K485" s="98"/>
      <c r="L485" s="99"/>
      <c r="M485" s="32"/>
      <c r="N485" s="33"/>
    </row>
    <row r="486" ht="15.75" customHeight="1">
      <c r="A486" s="139"/>
      <c r="B486" s="140"/>
      <c r="C486" s="61"/>
      <c r="D486" s="133"/>
      <c r="E486" s="210"/>
      <c r="F486" s="173"/>
      <c r="G486" s="96"/>
      <c r="H486" s="97"/>
      <c r="I486" s="98"/>
      <c r="J486" s="99"/>
      <c r="K486" s="98"/>
      <c r="L486" s="99"/>
      <c r="M486" s="32"/>
      <c r="N486" s="33"/>
    </row>
    <row r="487" ht="15.75" customHeight="1">
      <c r="A487" s="139"/>
      <c r="B487" s="140"/>
      <c r="C487" s="61"/>
      <c r="D487" s="133"/>
      <c r="E487" s="210"/>
      <c r="F487" s="173"/>
      <c r="G487" s="96"/>
      <c r="H487" s="97"/>
      <c r="I487" s="98"/>
      <c r="J487" s="99"/>
      <c r="K487" s="98"/>
      <c r="L487" s="99"/>
      <c r="M487" s="32"/>
      <c r="N487" s="33"/>
    </row>
    <row r="488" ht="15.75" customHeight="1">
      <c r="A488" s="139"/>
      <c r="B488" s="140"/>
      <c r="C488" s="61"/>
      <c r="D488" s="133"/>
      <c r="E488" s="210"/>
      <c r="F488" s="173"/>
      <c r="G488" s="96"/>
      <c r="H488" s="97"/>
      <c r="I488" s="98"/>
      <c r="J488" s="99"/>
      <c r="K488" s="98"/>
      <c r="L488" s="99"/>
      <c r="M488" s="32"/>
      <c r="N488" s="33"/>
    </row>
    <row r="489" ht="15.75" customHeight="1">
      <c r="A489" s="139"/>
      <c r="B489" s="140"/>
      <c r="C489" s="61"/>
      <c r="D489" s="133"/>
      <c r="E489" s="210"/>
      <c r="F489" s="173"/>
      <c r="G489" s="96"/>
      <c r="H489" s="97"/>
      <c r="I489" s="98"/>
      <c r="J489" s="99"/>
      <c r="K489" s="98"/>
      <c r="L489" s="99"/>
      <c r="M489" s="32"/>
      <c r="N489" s="33"/>
    </row>
    <row r="490" ht="15.75" customHeight="1">
      <c r="A490" s="139"/>
      <c r="B490" s="140"/>
      <c r="C490" s="61"/>
      <c r="D490" s="133"/>
      <c r="E490" s="210"/>
      <c r="F490" s="173"/>
      <c r="G490" s="96"/>
      <c r="H490" s="97"/>
      <c r="I490" s="98"/>
      <c r="J490" s="99"/>
      <c r="K490" s="98"/>
      <c r="L490" s="99"/>
      <c r="M490" s="32"/>
      <c r="N490" s="33"/>
    </row>
    <row r="491" ht="15.75" customHeight="1">
      <c r="A491" s="139"/>
      <c r="B491" s="140"/>
      <c r="C491" s="61"/>
      <c r="D491" s="133"/>
      <c r="E491" s="210"/>
      <c r="F491" s="173"/>
      <c r="G491" s="96"/>
      <c r="H491" s="97"/>
      <c r="I491" s="98"/>
      <c r="J491" s="99"/>
      <c r="K491" s="98"/>
      <c r="L491" s="99"/>
      <c r="M491" s="32"/>
      <c r="N491" s="33"/>
    </row>
    <row r="492" ht="15.75" customHeight="1">
      <c r="A492" s="139"/>
      <c r="B492" s="140"/>
      <c r="C492" s="61"/>
      <c r="D492" s="133"/>
      <c r="E492" s="210"/>
      <c r="F492" s="173"/>
      <c r="G492" s="96"/>
      <c r="H492" s="97"/>
      <c r="I492" s="98"/>
      <c r="J492" s="99"/>
      <c r="K492" s="98"/>
      <c r="L492" s="99"/>
      <c r="M492" s="32"/>
      <c r="N492" s="33"/>
    </row>
    <row r="493" ht="15.75" customHeight="1">
      <c r="A493" s="139"/>
      <c r="B493" s="140"/>
      <c r="C493" s="61"/>
      <c r="D493" s="133"/>
      <c r="E493" s="210"/>
      <c r="F493" s="173"/>
      <c r="G493" s="96"/>
      <c r="H493" s="97"/>
      <c r="I493" s="98"/>
      <c r="J493" s="99"/>
      <c r="K493" s="98"/>
      <c r="L493" s="99"/>
      <c r="M493" s="32"/>
      <c r="N493" s="33"/>
    </row>
    <row r="494" ht="15.75" customHeight="1">
      <c r="A494" s="139"/>
      <c r="B494" s="140"/>
      <c r="C494" s="61"/>
      <c r="D494" s="133"/>
      <c r="E494" s="210"/>
      <c r="F494" s="173"/>
      <c r="G494" s="96"/>
      <c r="H494" s="97"/>
      <c r="I494" s="98"/>
      <c r="J494" s="99"/>
      <c r="K494" s="98"/>
      <c r="L494" s="99"/>
      <c r="M494" s="32"/>
      <c r="N494" s="33"/>
    </row>
    <row r="495" ht="15.75" customHeight="1">
      <c r="A495" s="139"/>
      <c r="B495" s="140"/>
      <c r="C495" s="61"/>
      <c r="D495" s="133"/>
      <c r="E495" s="210"/>
      <c r="F495" s="173"/>
      <c r="G495" s="96"/>
      <c r="H495" s="97"/>
      <c r="I495" s="98"/>
      <c r="J495" s="99"/>
      <c r="K495" s="98"/>
      <c r="L495" s="99"/>
      <c r="M495" s="32"/>
      <c r="N495" s="33"/>
    </row>
    <row r="496" ht="15.75" customHeight="1">
      <c r="A496" s="142"/>
      <c r="B496" s="143"/>
      <c r="C496" s="144"/>
      <c r="D496" s="145"/>
      <c r="E496" s="212"/>
      <c r="F496" s="174"/>
      <c r="G496" s="148"/>
      <c r="H496" s="148"/>
      <c r="I496" s="149"/>
      <c r="J496" s="149"/>
      <c r="K496" s="149"/>
      <c r="L496" s="149"/>
      <c r="M496" s="142"/>
      <c r="N496" s="33"/>
    </row>
    <row r="497" ht="15.75" customHeight="1">
      <c r="A497" s="142"/>
      <c r="B497" s="143"/>
      <c r="C497" s="144"/>
      <c r="D497" s="145"/>
      <c r="E497" s="212"/>
      <c r="F497" s="174"/>
      <c r="G497" s="148"/>
      <c r="H497" s="148"/>
      <c r="I497" s="149"/>
      <c r="J497" s="149"/>
      <c r="K497" s="149"/>
      <c r="L497" s="149"/>
      <c r="M497" s="142"/>
      <c r="N497" s="33"/>
    </row>
    <row r="498" ht="15.75" customHeight="1">
      <c r="A498" s="142"/>
      <c r="B498" s="143"/>
      <c r="C498" s="144"/>
      <c r="D498" s="145"/>
      <c r="E498" s="212"/>
      <c r="F498" s="174"/>
      <c r="G498" s="148"/>
      <c r="H498" s="148"/>
      <c r="I498" s="149"/>
      <c r="J498" s="149"/>
      <c r="K498" s="149"/>
      <c r="L498" s="149"/>
      <c r="M498" s="142"/>
      <c r="N498" s="33"/>
    </row>
    <row r="499" ht="15.75" customHeight="1">
      <c r="A499" s="142"/>
      <c r="B499" s="143"/>
      <c r="C499" s="144"/>
      <c r="D499" s="145"/>
      <c r="E499" s="212"/>
      <c r="F499" s="174"/>
      <c r="G499" s="148"/>
      <c r="H499" s="148"/>
      <c r="I499" s="149"/>
      <c r="J499" s="149"/>
      <c r="K499" s="149"/>
      <c r="L499" s="149"/>
      <c r="M499" s="142"/>
      <c r="N499" s="33"/>
    </row>
    <row r="500" ht="15.75" customHeight="1">
      <c r="A500" s="142"/>
      <c r="B500" s="143"/>
      <c r="C500" s="144"/>
      <c r="D500" s="145"/>
      <c r="E500" s="212"/>
      <c r="F500" s="174"/>
      <c r="G500" s="148"/>
      <c r="H500" s="148"/>
      <c r="I500" s="149"/>
      <c r="J500" s="149"/>
      <c r="K500" s="149"/>
      <c r="L500" s="149"/>
      <c r="M500" s="142"/>
      <c r="N500" s="33"/>
    </row>
    <row r="501" ht="15.75" customHeight="1">
      <c r="A501" s="142"/>
      <c r="B501" s="143"/>
      <c r="C501" s="144"/>
      <c r="D501" s="145"/>
      <c r="E501" s="212"/>
      <c r="F501" s="174"/>
      <c r="G501" s="148"/>
      <c r="H501" s="148"/>
      <c r="I501" s="149"/>
      <c r="J501" s="149"/>
      <c r="K501" s="149"/>
      <c r="L501" s="149"/>
      <c r="M501" s="142"/>
      <c r="N501" s="33"/>
    </row>
    <row r="502" ht="15.75" customHeight="1">
      <c r="A502" s="142"/>
      <c r="B502" s="143"/>
      <c r="C502" s="144"/>
      <c r="D502" s="145"/>
      <c r="E502" s="212"/>
      <c r="F502" s="174"/>
      <c r="G502" s="148"/>
      <c r="H502" s="148"/>
      <c r="I502" s="149"/>
      <c r="J502" s="149"/>
      <c r="K502" s="149"/>
      <c r="L502" s="149"/>
      <c r="M502" s="142"/>
      <c r="N502" s="33"/>
    </row>
    <row r="503" ht="15.75" customHeight="1">
      <c r="A503" s="142"/>
      <c r="B503" s="143"/>
      <c r="C503" s="144"/>
      <c r="D503" s="145"/>
      <c r="E503" s="212"/>
      <c r="F503" s="174"/>
      <c r="G503" s="148"/>
      <c r="H503" s="148"/>
      <c r="I503" s="149"/>
      <c r="J503" s="149"/>
      <c r="K503" s="149"/>
      <c r="L503" s="149"/>
      <c r="M503" s="142"/>
      <c r="N503" s="33"/>
    </row>
    <row r="504" ht="15.75" customHeight="1">
      <c r="A504" s="142"/>
      <c r="B504" s="143"/>
      <c r="C504" s="144"/>
      <c r="D504" s="145"/>
      <c r="E504" s="212"/>
      <c r="F504" s="174"/>
      <c r="G504" s="148"/>
      <c r="H504" s="148"/>
      <c r="I504" s="149"/>
      <c r="J504" s="149"/>
      <c r="K504" s="149"/>
      <c r="L504" s="149"/>
      <c r="M504" s="142"/>
      <c r="N504" s="33"/>
    </row>
    <row r="505" ht="15.75" customHeight="1">
      <c r="A505" s="142"/>
      <c r="B505" s="143"/>
      <c r="C505" s="144"/>
      <c r="D505" s="145"/>
      <c r="E505" s="212"/>
      <c r="F505" s="174"/>
      <c r="G505" s="148"/>
      <c r="H505" s="148"/>
      <c r="I505" s="149"/>
      <c r="J505" s="149"/>
      <c r="K505" s="149"/>
      <c r="L505" s="149"/>
      <c r="M505" s="142"/>
      <c r="N505" s="33"/>
    </row>
    <row r="506" ht="15.75" customHeight="1">
      <c r="A506" s="142"/>
      <c r="B506" s="143"/>
      <c r="C506" s="144"/>
      <c r="D506" s="145"/>
      <c r="E506" s="212"/>
      <c r="F506" s="174"/>
      <c r="G506" s="148"/>
      <c r="H506" s="148"/>
      <c r="I506" s="149"/>
      <c r="J506" s="149"/>
      <c r="K506" s="149"/>
      <c r="L506" s="149"/>
      <c r="M506" s="142"/>
      <c r="N506" s="33"/>
    </row>
    <row r="507" ht="15.75" customHeight="1">
      <c r="A507" s="142"/>
      <c r="B507" s="143"/>
      <c r="C507" s="144"/>
      <c r="D507" s="145"/>
      <c r="E507" s="212"/>
      <c r="F507" s="174"/>
      <c r="G507" s="148"/>
      <c r="H507" s="148"/>
      <c r="I507" s="149"/>
      <c r="J507" s="149"/>
      <c r="K507" s="149"/>
      <c r="L507" s="149"/>
      <c r="M507" s="142"/>
      <c r="N507" s="33"/>
    </row>
    <row r="508" ht="15.75" customHeight="1">
      <c r="A508" s="142"/>
      <c r="B508" s="143"/>
      <c r="C508" s="144"/>
      <c r="D508" s="145"/>
      <c r="E508" s="212"/>
      <c r="F508" s="174"/>
      <c r="G508" s="148"/>
      <c r="H508" s="148"/>
      <c r="I508" s="149"/>
      <c r="J508" s="149"/>
      <c r="K508" s="149"/>
      <c r="L508" s="149"/>
      <c r="M508" s="142"/>
      <c r="N508" s="33"/>
    </row>
    <row r="509" ht="15.75" customHeight="1">
      <c r="A509" s="142"/>
      <c r="B509" s="143"/>
      <c r="C509" s="144"/>
      <c r="D509" s="145"/>
      <c r="E509" s="212"/>
      <c r="F509" s="174"/>
      <c r="G509" s="148"/>
      <c r="H509" s="148"/>
      <c r="I509" s="149"/>
      <c r="J509" s="149"/>
      <c r="K509" s="149"/>
      <c r="L509" s="149"/>
      <c r="M509" s="142"/>
      <c r="N509" s="33"/>
    </row>
    <row r="510" ht="15.75" customHeight="1">
      <c r="A510" s="142"/>
      <c r="B510" s="143"/>
      <c r="C510" s="144"/>
      <c r="D510" s="145"/>
      <c r="E510" s="212"/>
      <c r="F510" s="174"/>
      <c r="G510" s="148"/>
      <c r="H510" s="148"/>
      <c r="I510" s="149"/>
      <c r="J510" s="149"/>
      <c r="K510" s="149"/>
      <c r="L510" s="149"/>
      <c r="M510" s="142"/>
      <c r="N510" s="33"/>
    </row>
    <row r="511" ht="15.75" customHeight="1">
      <c r="A511" s="142"/>
      <c r="B511" s="143"/>
      <c r="C511" s="144"/>
      <c r="D511" s="145"/>
      <c r="E511" s="212"/>
      <c r="F511" s="174"/>
      <c r="G511" s="148"/>
      <c r="H511" s="148"/>
      <c r="I511" s="149"/>
      <c r="J511" s="149"/>
      <c r="K511" s="149"/>
      <c r="L511" s="149"/>
      <c r="M511" s="142"/>
      <c r="N511" s="33"/>
    </row>
    <row r="512" ht="15.75" customHeight="1">
      <c r="A512" s="142"/>
      <c r="B512" s="143"/>
      <c r="C512" s="144"/>
      <c r="D512" s="145"/>
      <c r="E512" s="212"/>
      <c r="F512" s="174"/>
      <c r="G512" s="148"/>
      <c r="H512" s="148"/>
      <c r="I512" s="149"/>
      <c r="J512" s="149"/>
      <c r="K512" s="149"/>
      <c r="L512" s="149"/>
      <c r="M512" s="142"/>
      <c r="N512" s="33"/>
    </row>
    <row r="513" ht="15.75" customHeight="1">
      <c r="A513" s="142"/>
      <c r="B513" s="143"/>
      <c r="C513" s="144"/>
      <c r="D513" s="145"/>
      <c r="E513" s="212"/>
      <c r="F513" s="174"/>
      <c r="G513" s="148"/>
      <c r="H513" s="148"/>
      <c r="I513" s="149"/>
      <c r="J513" s="149"/>
      <c r="K513" s="149"/>
      <c r="L513" s="149"/>
      <c r="M513" s="142"/>
      <c r="N513" s="33"/>
    </row>
    <row r="514" ht="15.75" customHeight="1">
      <c r="A514" s="142"/>
      <c r="B514" s="143"/>
      <c r="C514" s="144"/>
      <c r="D514" s="145"/>
      <c r="E514" s="212"/>
      <c r="F514" s="174"/>
      <c r="G514" s="148"/>
      <c r="H514" s="148"/>
      <c r="I514" s="149"/>
      <c r="J514" s="149"/>
      <c r="K514" s="149"/>
      <c r="L514" s="149"/>
      <c r="M514" s="142"/>
      <c r="N514" s="33"/>
    </row>
    <row r="515" ht="15.75" customHeight="1">
      <c r="A515" s="142"/>
      <c r="B515" s="143"/>
      <c r="C515" s="144"/>
      <c r="D515" s="145"/>
      <c r="E515" s="212"/>
      <c r="F515" s="174"/>
      <c r="G515" s="148"/>
      <c r="H515" s="148"/>
      <c r="I515" s="149"/>
      <c r="J515" s="149"/>
      <c r="K515" s="149"/>
      <c r="L515" s="149"/>
      <c r="M515" s="142"/>
      <c r="N515" s="33"/>
    </row>
    <row r="516" ht="15.75" customHeight="1">
      <c r="A516" s="142"/>
      <c r="B516" s="143"/>
      <c r="C516" s="144"/>
      <c r="D516" s="145"/>
      <c r="E516" s="212"/>
      <c r="F516" s="174"/>
      <c r="G516" s="148"/>
      <c r="H516" s="148"/>
      <c r="I516" s="149"/>
      <c r="J516" s="149"/>
      <c r="K516" s="149"/>
      <c r="L516" s="149"/>
      <c r="M516" s="142"/>
      <c r="N516" s="33"/>
    </row>
    <row r="517" ht="15.75" customHeight="1">
      <c r="A517" s="142"/>
      <c r="B517" s="143"/>
      <c r="C517" s="144"/>
      <c r="D517" s="145"/>
      <c r="E517" s="212"/>
      <c r="F517" s="174"/>
      <c r="G517" s="148"/>
      <c r="H517" s="148"/>
      <c r="I517" s="149"/>
      <c r="J517" s="149"/>
      <c r="K517" s="149"/>
      <c r="L517" s="149"/>
      <c r="M517" s="142"/>
      <c r="N517" s="33"/>
    </row>
    <row r="518" ht="15.75" customHeight="1">
      <c r="A518" s="142"/>
      <c r="B518" s="143"/>
      <c r="C518" s="144"/>
      <c r="D518" s="145"/>
      <c r="E518" s="212"/>
      <c r="F518" s="174"/>
      <c r="G518" s="148"/>
      <c r="H518" s="148"/>
      <c r="I518" s="149"/>
      <c r="J518" s="149"/>
      <c r="K518" s="149"/>
      <c r="L518" s="149"/>
      <c r="M518" s="142"/>
      <c r="N518" s="33"/>
    </row>
    <row r="519" ht="15.75" customHeight="1">
      <c r="A519" s="142"/>
      <c r="B519" s="143"/>
      <c r="C519" s="144"/>
      <c r="D519" s="145"/>
      <c r="E519" s="212"/>
      <c r="F519" s="174"/>
      <c r="G519" s="148"/>
      <c r="H519" s="148"/>
      <c r="I519" s="149"/>
      <c r="J519" s="149"/>
      <c r="K519" s="149"/>
      <c r="L519" s="149"/>
      <c r="M519" s="142"/>
      <c r="N519" s="33"/>
    </row>
    <row r="520" ht="15.75" customHeight="1">
      <c r="A520" s="142"/>
      <c r="B520" s="143"/>
      <c r="C520" s="144"/>
      <c r="D520" s="145"/>
      <c r="E520" s="212"/>
      <c r="F520" s="174"/>
      <c r="G520" s="148"/>
      <c r="H520" s="148"/>
      <c r="I520" s="149"/>
      <c r="J520" s="149"/>
      <c r="K520" s="149"/>
      <c r="L520" s="149"/>
      <c r="M520" s="142"/>
      <c r="N520" s="33"/>
    </row>
    <row r="521" ht="15.75" customHeight="1">
      <c r="A521" s="142"/>
      <c r="B521" s="143"/>
      <c r="C521" s="144"/>
      <c r="D521" s="145"/>
      <c r="E521" s="212"/>
      <c r="F521" s="174"/>
      <c r="G521" s="148"/>
      <c r="H521" s="148"/>
      <c r="I521" s="149"/>
      <c r="J521" s="149"/>
      <c r="K521" s="149"/>
      <c r="L521" s="149"/>
      <c r="M521" s="142"/>
      <c r="N521" s="33"/>
    </row>
    <row r="522" ht="15.75" customHeight="1">
      <c r="A522" s="142"/>
      <c r="B522" s="143"/>
      <c r="C522" s="144"/>
      <c r="D522" s="145"/>
      <c r="E522" s="212"/>
      <c r="F522" s="174"/>
      <c r="G522" s="148"/>
      <c r="H522" s="148"/>
      <c r="I522" s="149"/>
      <c r="J522" s="149"/>
      <c r="K522" s="149"/>
      <c r="L522" s="149"/>
      <c r="M522" s="142"/>
      <c r="N522" s="33"/>
    </row>
    <row r="523" ht="15.75" customHeight="1">
      <c r="A523" s="142"/>
      <c r="B523" s="143"/>
      <c r="C523" s="144"/>
      <c r="D523" s="145"/>
      <c r="E523" s="212"/>
      <c r="F523" s="174"/>
      <c r="G523" s="148"/>
      <c r="H523" s="148"/>
      <c r="I523" s="149"/>
      <c r="J523" s="149"/>
      <c r="K523" s="149"/>
      <c r="L523" s="149"/>
      <c r="M523" s="142"/>
      <c r="N523" s="33"/>
    </row>
    <row r="524" ht="15.75" customHeight="1">
      <c r="A524" s="142"/>
      <c r="B524" s="143"/>
      <c r="C524" s="144"/>
      <c r="D524" s="145"/>
      <c r="E524" s="212"/>
      <c r="F524" s="174"/>
      <c r="G524" s="148"/>
      <c r="H524" s="148"/>
      <c r="I524" s="149"/>
      <c r="J524" s="149"/>
      <c r="K524" s="149"/>
      <c r="L524" s="149"/>
      <c r="M524" s="142"/>
      <c r="N524" s="33"/>
    </row>
    <row r="525" ht="15.75" customHeight="1">
      <c r="A525" s="142"/>
      <c r="B525" s="143"/>
      <c r="C525" s="144"/>
      <c r="D525" s="145"/>
      <c r="E525" s="212"/>
      <c r="F525" s="174"/>
      <c r="G525" s="148"/>
      <c r="H525" s="148"/>
      <c r="I525" s="149"/>
      <c r="J525" s="149"/>
      <c r="K525" s="149"/>
      <c r="L525" s="149"/>
      <c r="M525" s="142"/>
      <c r="N525" s="33"/>
    </row>
    <row r="526" ht="15.75" customHeight="1">
      <c r="A526" s="142"/>
      <c r="B526" s="143"/>
      <c r="C526" s="144"/>
      <c r="D526" s="145"/>
      <c r="E526" s="212"/>
      <c r="F526" s="174"/>
      <c r="G526" s="148"/>
      <c r="H526" s="148"/>
      <c r="I526" s="149"/>
      <c r="J526" s="149"/>
      <c r="K526" s="149"/>
      <c r="L526" s="149"/>
      <c r="M526" s="142"/>
      <c r="N526" s="33"/>
    </row>
    <row r="527" ht="15.75" customHeight="1">
      <c r="A527" s="142"/>
      <c r="B527" s="143"/>
      <c r="C527" s="144"/>
      <c r="D527" s="145"/>
      <c r="E527" s="212"/>
      <c r="F527" s="174"/>
      <c r="G527" s="148"/>
      <c r="H527" s="148"/>
      <c r="I527" s="149"/>
      <c r="J527" s="149"/>
      <c r="K527" s="149"/>
      <c r="L527" s="149"/>
      <c r="M527" s="142"/>
      <c r="N527" s="33"/>
    </row>
    <row r="528" ht="15.75" customHeight="1">
      <c r="A528" s="142"/>
      <c r="B528" s="143"/>
      <c r="C528" s="144"/>
      <c r="D528" s="145"/>
      <c r="E528" s="212"/>
      <c r="F528" s="174"/>
      <c r="G528" s="148"/>
      <c r="H528" s="148"/>
      <c r="I528" s="149"/>
      <c r="J528" s="149"/>
      <c r="K528" s="149"/>
      <c r="L528" s="149"/>
      <c r="M528" s="142"/>
      <c r="N528" s="33"/>
    </row>
    <row r="529" ht="15.75" customHeight="1">
      <c r="A529" s="142"/>
      <c r="B529" s="143"/>
      <c r="C529" s="144"/>
      <c r="D529" s="145"/>
      <c r="E529" s="212"/>
      <c r="F529" s="174"/>
      <c r="G529" s="148"/>
      <c r="H529" s="148"/>
      <c r="I529" s="149"/>
      <c r="J529" s="149"/>
      <c r="K529" s="149"/>
      <c r="L529" s="149"/>
      <c r="M529" s="142"/>
      <c r="N529" s="33"/>
    </row>
    <row r="530" ht="15.75" customHeight="1">
      <c r="A530" s="142"/>
      <c r="B530" s="143"/>
      <c r="C530" s="144"/>
      <c r="D530" s="145"/>
      <c r="E530" s="212"/>
      <c r="F530" s="174"/>
      <c r="G530" s="148"/>
      <c r="H530" s="148"/>
      <c r="I530" s="149"/>
      <c r="J530" s="149"/>
      <c r="K530" s="149"/>
      <c r="L530" s="149"/>
      <c r="M530" s="142"/>
      <c r="N530" s="33"/>
    </row>
    <row r="531" ht="15.75" customHeight="1">
      <c r="A531" s="142"/>
      <c r="B531" s="143"/>
      <c r="C531" s="144"/>
      <c r="D531" s="145"/>
      <c r="E531" s="212"/>
      <c r="F531" s="174"/>
      <c r="G531" s="148"/>
      <c r="H531" s="148"/>
      <c r="I531" s="149"/>
      <c r="J531" s="149"/>
      <c r="K531" s="149"/>
      <c r="L531" s="149"/>
      <c r="M531" s="142"/>
      <c r="N531" s="33"/>
    </row>
    <row r="532" ht="15.75" customHeight="1">
      <c r="A532" s="142"/>
      <c r="B532" s="143"/>
      <c r="C532" s="144"/>
      <c r="D532" s="145"/>
      <c r="E532" s="212"/>
      <c r="F532" s="174"/>
      <c r="G532" s="148"/>
      <c r="H532" s="148"/>
      <c r="I532" s="149"/>
      <c r="J532" s="149"/>
      <c r="K532" s="149"/>
      <c r="L532" s="149"/>
      <c r="M532" s="142"/>
      <c r="N532" s="33"/>
    </row>
    <row r="533" ht="15.75" customHeight="1">
      <c r="A533" s="142"/>
      <c r="B533" s="143"/>
      <c r="C533" s="144"/>
      <c r="D533" s="145"/>
      <c r="E533" s="212"/>
      <c r="F533" s="174"/>
      <c r="G533" s="148"/>
      <c r="H533" s="148"/>
      <c r="I533" s="149"/>
      <c r="J533" s="149"/>
      <c r="K533" s="149"/>
      <c r="L533" s="149"/>
      <c r="M533" s="142"/>
      <c r="N533" s="33"/>
    </row>
    <row r="534" ht="15.75" customHeight="1">
      <c r="A534" s="142"/>
      <c r="B534" s="143"/>
      <c r="C534" s="144"/>
      <c r="D534" s="145"/>
      <c r="E534" s="212"/>
      <c r="F534" s="174"/>
      <c r="G534" s="148"/>
      <c r="H534" s="148"/>
      <c r="I534" s="149"/>
      <c r="J534" s="149"/>
      <c r="K534" s="149"/>
      <c r="L534" s="149"/>
      <c r="M534" s="142"/>
      <c r="N534" s="33"/>
    </row>
    <row r="535" ht="15.75" customHeight="1">
      <c r="A535" s="142"/>
      <c r="B535" s="143"/>
      <c r="C535" s="144"/>
      <c r="D535" s="145"/>
      <c r="E535" s="212"/>
      <c r="F535" s="174"/>
      <c r="G535" s="148"/>
      <c r="H535" s="148"/>
      <c r="I535" s="149"/>
      <c r="J535" s="149"/>
      <c r="K535" s="149"/>
      <c r="L535" s="149"/>
      <c r="M535" s="142"/>
      <c r="N535" s="33"/>
    </row>
    <row r="536" ht="15.75" customHeight="1">
      <c r="A536" s="142"/>
      <c r="B536" s="143"/>
      <c r="C536" s="144"/>
      <c r="D536" s="145"/>
      <c r="E536" s="212"/>
      <c r="F536" s="174"/>
      <c r="G536" s="148"/>
      <c r="H536" s="148"/>
      <c r="I536" s="149"/>
      <c r="J536" s="149"/>
      <c r="K536" s="149"/>
      <c r="L536" s="149"/>
      <c r="M536" s="142"/>
      <c r="N536" s="33"/>
    </row>
    <row r="537" ht="15.75" customHeight="1">
      <c r="A537" s="142"/>
      <c r="B537" s="143"/>
      <c r="C537" s="144"/>
      <c r="D537" s="145"/>
      <c r="E537" s="212"/>
      <c r="F537" s="174"/>
      <c r="G537" s="148"/>
      <c r="H537" s="148"/>
      <c r="I537" s="149"/>
      <c r="J537" s="149"/>
      <c r="K537" s="149"/>
      <c r="L537" s="149"/>
      <c r="M537" s="142"/>
      <c r="N537" s="33"/>
    </row>
    <row r="538" ht="15.75" customHeight="1">
      <c r="A538" s="142"/>
      <c r="B538" s="143"/>
      <c r="C538" s="144"/>
      <c r="D538" s="145"/>
      <c r="E538" s="212"/>
      <c r="F538" s="174"/>
      <c r="G538" s="148"/>
      <c r="H538" s="148"/>
      <c r="I538" s="149"/>
      <c r="J538" s="149"/>
      <c r="K538" s="149"/>
      <c r="L538" s="149"/>
      <c r="M538" s="142"/>
      <c r="N538" s="33"/>
    </row>
    <row r="539" ht="15.75" customHeight="1">
      <c r="A539" s="142"/>
      <c r="B539" s="143"/>
      <c r="C539" s="144"/>
      <c r="D539" s="145"/>
      <c r="E539" s="212"/>
      <c r="F539" s="174"/>
      <c r="G539" s="148"/>
      <c r="H539" s="148"/>
      <c r="I539" s="149"/>
      <c r="J539" s="149"/>
      <c r="K539" s="149"/>
      <c r="L539" s="149"/>
      <c r="M539" s="142"/>
      <c r="N539" s="33"/>
    </row>
    <row r="540" ht="15.75" customHeight="1">
      <c r="A540" s="142"/>
      <c r="B540" s="143"/>
      <c r="C540" s="144"/>
      <c r="D540" s="145"/>
      <c r="E540" s="212"/>
      <c r="F540" s="174"/>
      <c r="G540" s="148"/>
      <c r="H540" s="148"/>
      <c r="I540" s="149"/>
      <c r="J540" s="149"/>
      <c r="K540" s="149"/>
      <c r="L540" s="149"/>
      <c r="M540" s="142"/>
      <c r="N540" s="33"/>
    </row>
    <row r="541" ht="15.75" customHeight="1">
      <c r="A541" s="142"/>
      <c r="B541" s="143"/>
      <c r="C541" s="144"/>
      <c r="D541" s="145"/>
      <c r="E541" s="212"/>
      <c r="F541" s="174"/>
      <c r="G541" s="148"/>
      <c r="H541" s="148"/>
      <c r="I541" s="149"/>
      <c r="J541" s="149"/>
      <c r="K541" s="149"/>
      <c r="L541" s="149"/>
      <c r="M541" s="142"/>
      <c r="N541" s="33"/>
    </row>
    <row r="542" ht="15.75" customHeight="1">
      <c r="A542" s="142"/>
      <c r="B542" s="143"/>
      <c r="C542" s="144"/>
      <c r="D542" s="145"/>
      <c r="E542" s="212"/>
      <c r="F542" s="174"/>
      <c r="G542" s="148"/>
      <c r="H542" s="148"/>
      <c r="I542" s="149"/>
      <c r="J542" s="149"/>
      <c r="K542" s="149"/>
      <c r="L542" s="149"/>
      <c r="M542" s="142"/>
      <c r="N542" s="33"/>
    </row>
    <row r="543" ht="15.75" customHeight="1">
      <c r="A543" s="142"/>
      <c r="B543" s="143"/>
      <c r="C543" s="144"/>
      <c r="D543" s="145"/>
      <c r="E543" s="212"/>
      <c r="F543" s="174"/>
      <c r="G543" s="148"/>
      <c r="H543" s="148"/>
      <c r="I543" s="149"/>
      <c r="J543" s="149"/>
      <c r="K543" s="149"/>
      <c r="L543" s="149"/>
      <c r="M543" s="142"/>
      <c r="N543" s="33"/>
    </row>
    <row r="544" ht="15.75" customHeight="1">
      <c r="A544" s="142"/>
      <c r="B544" s="143"/>
      <c r="C544" s="144"/>
      <c r="D544" s="145"/>
      <c r="E544" s="212"/>
      <c r="F544" s="174"/>
      <c r="G544" s="148"/>
      <c r="H544" s="148"/>
      <c r="I544" s="149"/>
      <c r="J544" s="149"/>
      <c r="K544" s="149"/>
      <c r="L544" s="149"/>
      <c r="M544" s="142"/>
      <c r="N544" s="33"/>
    </row>
    <row r="545" ht="15.75" customHeight="1">
      <c r="A545" s="142"/>
      <c r="B545" s="143"/>
      <c r="C545" s="144"/>
      <c r="D545" s="145"/>
      <c r="E545" s="212"/>
      <c r="F545" s="174"/>
      <c r="G545" s="148"/>
      <c r="H545" s="148"/>
      <c r="I545" s="149"/>
      <c r="J545" s="149"/>
      <c r="K545" s="149"/>
      <c r="L545" s="149"/>
      <c r="M545" s="142"/>
      <c r="N545" s="33"/>
    </row>
    <row r="546" ht="15.75" customHeight="1">
      <c r="A546" s="142"/>
      <c r="B546" s="143"/>
      <c r="C546" s="144"/>
      <c r="D546" s="145"/>
      <c r="E546" s="212"/>
      <c r="F546" s="174"/>
      <c r="G546" s="148"/>
      <c r="H546" s="148"/>
      <c r="I546" s="149"/>
      <c r="J546" s="149"/>
      <c r="K546" s="149"/>
      <c r="L546" s="149"/>
      <c r="M546" s="142"/>
      <c r="N546" s="33"/>
    </row>
    <row r="547" ht="15.75" customHeight="1">
      <c r="A547" s="142"/>
      <c r="B547" s="143"/>
      <c r="C547" s="144"/>
      <c r="D547" s="145"/>
      <c r="E547" s="212"/>
      <c r="F547" s="174"/>
      <c r="G547" s="148"/>
      <c r="H547" s="148"/>
      <c r="I547" s="149"/>
      <c r="J547" s="149"/>
      <c r="K547" s="149"/>
      <c r="L547" s="149"/>
      <c r="M547" s="142"/>
      <c r="N547" s="33"/>
    </row>
    <row r="548" ht="15.75" customHeight="1">
      <c r="A548" s="142"/>
      <c r="B548" s="143"/>
      <c r="C548" s="144"/>
      <c r="D548" s="145"/>
      <c r="E548" s="212"/>
      <c r="F548" s="174"/>
      <c r="G548" s="148"/>
      <c r="H548" s="148"/>
      <c r="I548" s="149"/>
      <c r="J548" s="149"/>
      <c r="K548" s="149"/>
      <c r="L548" s="149"/>
      <c r="M548" s="142"/>
      <c r="N548" s="33"/>
    </row>
    <row r="549" ht="15.75" customHeight="1">
      <c r="A549" s="142"/>
      <c r="B549" s="143"/>
      <c r="C549" s="144"/>
      <c r="D549" s="145"/>
      <c r="E549" s="212"/>
      <c r="F549" s="174"/>
      <c r="G549" s="148"/>
      <c r="H549" s="148"/>
      <c r="I549" s="149"/>
      <c r="J549" s="149"/>
      <c r="K549" s="149"/>
      <c r="L549" s="149"/>
      <c r="M549" s="142"/>
      <c r="N549" s="33"/>
    </row>
    <row r="550" ht="15.75" customHeight="1">
      <c r="A550" s="142"/>
      <c r="B550" s="143"/>
      <c r="C550" s="144"/>
      <c r="D550" s="145"/>
      <c r="E550" s="212"/>
      <c r="F550" s="174"/>
      <c r="G550" s="148"/>
      <c r="H550" s="148"/>
      <c r="I550" s="149"/>
      <c r="J550" s="149"/>
      <c r="K550" s="149"/>
      <c r="L550" s="149"/>
      <c r="M550" s="142"/>
      <c r="N550" s="33"/>
    </row>
    <row r="551" ht="15.75" customHeight="1">
      <c r="A551" s="142"/>
      <c r="B551" s="143"/>
      <c r="C551" s="144"/>
      <c r="D551" s="145"/>
      <c r="E551" s="212"/>
      <c r="F551" s="174"/>
      <c r="G551" s="148"/>
      <c r="H551" s="148"/>
      <c r="I551" s="149"/>
      <c r="J551" s="149"/>
      <c r="K551" s="149"/>
      <c r="L551" s="149"/>
      <c r="M551" s="142"/>
      <c r="N551" s="33"/>
    </row>
    <row r="552" ht="15.75" customHeight="1">
      <c r="A552" s="142"/>
      <c r="B552" s="143"/>
      <c r="C552" s="144"/>
      <c r="D552" s="145"/>
      <c r="E552" s="212"/>
      <c r="F552" s="174"/>
      <c r="G552" s="148"/>
      <c r="H552" s="148"/>
      <c r="I552" s="149"/>
      <c r="J552" s="149"/>
      <c r="K552" s="149"/>
      <c r="L552" s="149"/>
      <c r="M552" s="142"/>
      <c r="N552" s="33"/>
    </row>
    <row r="553" ht="15.75" customHeight="1">
      <c r="A553" s="142"/>
      <c r="B553" s="143"/>
      <c r="C553" s="144"/>
      <c r="D553" s="145"/>
      <c r="E553" s="212"/>
      <c r="F553" s="174"/>
      <c r="G553" s="148"/>
      <c r="H553" s="148"/>
      <c r="I553" s="149"/>
      <c r="J553" s="149"/>
      <c r="K553" s="149"/>
      <c r="L553" s="149"/>
      <c r="M553" s="142"/>
      <c r="N553" s="33"/>
    </row>
    <row r="554" ht="15.75" customHeight="1">
      <c r="A554" s="142"/>
      <c r="B554" s="143"/>
      <c r="C554" s="144"/>
      <c r="D554" s="145"/>
      <c r="E554" s="212"/>
      <c r="F554" s="174"/>
      <c r="G554" s="148"/>
      <c r="H554" s="148"/>
      <c r="I554" s="149"/>
      <c r="J554" s="149"/>
      <c r="K554" s="149"/>
      <c r="L554" s="149"/>
      <c r="M554" s="142"/>
      <c r="N554" s="33"/>
    </row>
    <row r="555" ht="15.75" customHeight="1">
      <c r="A555" s="142"/>
      <c r="B555" s="143"/>
      <c r="C555" s="144"/>
      <c r="D555" s="145"/>
      <c r="E555" s="212"/>
      <c r="F555" s="174"/>
      <c r="G555" s="148"/>
      <c r="H555" s="148"/>
      <c r="I555" s="149"/>
      <c r="J555" s="149"/>
      <c r="K555" s="149"/>
      <c r="L555" s="149"/>
      <c r="M555" s="142"/>
      <c r="N555" s="33"/>
    </row>
    <row r="556" ht="15.75" customHeight="1">
      <c r="A556" s="142"/>
      <c r="B556" s="143"/>
      <c r="C556" s="144"/>
      <c r="D556" s="145"/>
      <c r="E556" s="212"/>
      <c r="F556" s="174"/>
      <c r="G556" s="148"/>
      <c r="H556" s="148"/>
      <c r="I556" s="149"/>
      <c r="J556" s="149"/>
      <c r="K556" s="149"/>
      <c r="L556" s="149"/>
      <c r="M556" s="142"/>
      <c r="N556" s="33"/>
    </row>
    <row r="557" ht="15.75" customHeight="1">
      <c r="A557" s="142"/>
      <c r="B557" s="143"/>
      <c r="C557" s="144"/>
      <c r="D557" s="145"/>
      <c r="E557" s="212"/>
      <c r="F557" s="174"/>
      <c r="G557" s="148"/>
      <c r="H557" s="148"/>
      <c r="I557" s="149"/>
      <c r="J557" s="149"/>
      <c r="K557" s="149"/>
      <c r="L557" s="149"/>
      <c r="M557" s="142"/>
      <c r="N557" s="33"/>
    </row>
    <row r="558" ht="15.75" customHeight="1">
      <c r="A558" s="142"/>
      <c r="B558" s="143"/>
      <c r="C558" s="144"/>
      <c r="D558" s="145"/>
      <c r="E558" s="212"/>
      <c r="F558" s="174"/>
      <c r="G558" s="148"/>
      <c r="H558" s="148"/>
      <c r="I558" s="149"/>
      <c r="J558" s="149"/>
      <c r="K558" s="149"/>
      <c r="L558" s="149"/>
      <c r="M558" s="142"/>
      <c r="N558" s="33"/>
    </row>
    <row r="559" ht="15.75" customHeight="1">
      <c r="A559" s="142"/>
      <c r="B559" s="143"/>
      <c r="C559" s="144"/>
      <c r="D559" s="145"/>
      <c r="E559" s="212"/>
      <c r="F559" s="174"/>
      <c r="G559" s="148"/>
      <c r="H559" s="148"/>
      <c r="I559" s="149"/>
      <c r="J559" s="149"/>
      <c r="K559" s="149"/>
      <c r="L559" s="149"/>
      <c r="M559" s="142"/>
      <c r="N559" s="33"/>
    </row>
    <row r="560" ht="15.75" customHeight="1">
      <c r="A560" s="142"/>
      <c r="B560" s="143"/>
      <c r="C560" s="144"/>
      <c r="D560" s="145"/>
      <c r="E560" s="212"/>
      <c r="F560" s="174"/>
      <c r="G560" s="148"/>
      <c r="H560" s="148"/>
      <c r="I560" s="149"/>
      <c r="J560" s="149"/>
      <c r="K560" s="149"/>
      <c r="L560" s="149"/>
      <c r="M560" s="142"/>
      <c r="N560" s="33"/>
    </row>
    <row r="561" ht="15.75" customHeight="1">
      <c r="A561" s="142"/>
      <c r="B561" s="143"/>
      <c r="C561" s="144"/>
      <c r="D561" s="145"/>
      <c r="E561" s="212"/>
      <c r="F561" s="174"/>
      <c r="G561" s="148"/>
      <c r="H561" s="148"/>
      <c r="I561" s="149"/>
      <c r="J561" s="149"/>
      <c r="K561" s="149"/>
      <c r="L561" s="149"/>
      <c r="M561" s="142"/>
      <c r="N561" s="33"/>
    </row>
    <row r="562" ht="15.75" customHeight="1">
      <c r="A562" s="142"/>
      <c r="B562" s="143"/>
      <c r="C562" s="144"/>
      <c r="D562" s="145"/>
      <c r="E562" s="212"/>
      <c r="F562" s="174"/>
      <c r="G562" s="148"/>
      <c r="H562" s="148"/>
      <c r="I562" s="149"/>
      <c r="J562" s="149"/>
      <c r="K562" s="149"/>
      <c r="L562" s="149"/>
      <c r="M562" s="142"/>
      <c r="N562" s="33"/>
    </row>
    <row r="563" ht="15.75" customHeight="1">
      <c r="A563" s="142"/>
      <c r="B563" s="143"/>
      <c r="C563" s="144"/>
      <c r="D563" s="145"/>
      <c r="E563" s="212"/>
      <c r="F563" s="174"/>
      <c r="G563" s="148"/>
      <c r="H563" s="148"/>
      <c r="I563" s="149"/>
      <c r="J563" s="149"/>
      <c r="K563" s="149"/>
      <c r="L563" s="149"/>
      <c r="M563" s="142"/>
      <c r="N563" s="33"/>
    </row>
    <row r="564" ht="15.75" customHeight="1">
      <c r="A564" s="142"/>
      <c r="B564" s="143"/>
      <c r="C564" s="144"/>
      <c r="D564" s="145"/>
      <c r="E564" s="212"/>
      <c r="F564" s="174"/>
      <c r="G564" s="148"/>
      <c r="H564" s="148"/>
      <c r="I564" s="149"/>
      <c r="J564" s="149"/>
      <c r="K564" s="149"/>
      <c r="L564" s="149"/>
      <c r="M564" s="142"/>
      <c r="N564" s="33"/>
    </row>
    <row r="565" ht="15.75" customHeight="1">
      <c r="A565" s="142"/>
      <c r="B565" s="143"/>
      <c r="C565" s="144"/>
      <c r="D565" s="145"/>
      <c r="E565" s="212"/>
      <c r="F565" s="174"/>
      <c r="G565" s="148"/>
      <c r="H565" s="148"/>
      <c r="I565" s="149"/>
      <c r="J565" s="149"/>
      <c r="K565" s="149"/>
      <c r="L565" s="149"/>
      <c r="M565" s="142"/>
      <c r="N565" s="33"/>
    </row>
    <row r="566" ht="15.75" customHeight="1">
      <c r="A566" s="142"/>
      <c r="B566" s="143"/>
      <c r="C566" s="144"/>
      <c r="D566" s="145"/>
      <c r="E566" s="212"/>
      <c r="F566" s="174"/>
      <c r="G566" s="148"/>
      <c r="H566" s="148"/>
      <c r="I566" s="149"/>
      <c r="J566" s="149"/>
      <c r="K566" s="149"/>
      <c r="L566" s="149"/>
      <c r="M566" s="142"/>
      <c r="N566" s="33"/>
    </row>
    <row r="567" ht="15.75" customHeight="1">
      <c r="A567" s="142"/>
      <c r="B567" s="143"/>
      <c r="C567" s="144"/>
      <c r="D567" s="145"/>
      <c r="E567" s="212"/>
      <c r="F567" s="174"/>
      <c r="G567" s="148"/>
      <c r="H567" s="148"/>
      <c r="I567" s="149"/>
      <c r="J567" s="149"/>
      <c r="K567" s="149"/>
      <c r="L567" s="149"/>
      <c r="M567" s="142"/>
      <c r="N567" s="33"/>
    </row>
    <row r="568" ht="15.75" customHeight="1">
      <c r="A568" s="142"/>
      <c r="B568" s="143"/>
      <c r="C568" s="144"/>
      <c r="D568" s="145"/>
      <c r="E568" s="212"/>
      <c r="F568" s="174"/>
      <c r="G568" s="148"/>
      <c r="H568" s="148"/>
      <c r="I568" s="149"/>
      <c r="J568" s="149"/>
      <c r="K568" s="149"/>
      <c r="L568" s="149"/>
      <c r="M568" s="142"/>
      <c r="N568" s="33"/>
    </row>
    <row r="569" ht="15.75" customHeight="1">
      <c r="A569" s="142"/>
      <c r="B569" s="143"/>
      <c r="C569" s="144"/>
      <c r="D569" s="145"/>
      <c r="E569" s="212"/>
      <c r="F569" s="174"/>
      <c r="G569" s="148"/>
      <c r="H569" s="148"/>
      <c r="I569" s="149"/>
      <c r="J569" s="149"/>
      <c r="K569" s="149"/>
      <c r="L569" s="149"/>
      <c r="M569" s="142"/>
      <c r="N569" s="33"/>
    </row>
    <row r="570" ht="15.75" customHeight="1">
      <c r="A570" s="142"/>
      <c r="B570" s="143"/>
      <c r="C570" s="144"/>
      <c r="D570" s="145"/>
      <c r="E570" s="212"/>
      <c r="F570" s="174"/>
      <c r="G570" s="148"/>
      <c r="H570" s="148"/>
      <c r="I570" s="149"/>
      <c r="J570" s="149"/>
      <c r="K570" s="149"/>
      <c r="L570" s="149"/>
      <c r="M570" s="142"/>
      <c r="N570" s="33"/>
    </row>
    <row r="571" ht="15.75" customHeight="1">
      <c r="A571" s="142"/>
      <c r="B571" s="143"/>
      <c r="C571" s="144"/>
      <c r="D571" s="145"/>
      <c r="E571" s="212"/>
      <c r="F571" s="174"/>
      <c r="G571" s="148"/>
      <c r="H571" s="148"/>
      <c r="I571" s="149"/>
      <c r="J571" s="149"/>
      <c r="K571" s="149"/>
      <c r="L571" s="149"/>
      <c r="M571" s="142"/>
      <c r="N571" s="33"/>
    </row>
    <row r="572" ht="15.75" customHeight="1">
      <c r="A572" s="142"/>
      <c r="B572" s="143"/>
      <c r="C572" s="144"/>
      <c r="D572" s="145"/>
      <c r="E572" s="212"/>
      <c r="F572" s="174"/>
      <c r="G572" s="148"/>
      <c r="H572" s="148"/>
      <c r="I572" s="149"/>
      <c r="J572" s="149"/>
      <c r="K572" s="149"/>
      <c r="L572" s="149"/>
      <c r="M572" s="142"/>
      <c r="N572" s="33"/>
    </row>
    <row r="573" ht="15.75" customHeight="1">
      <c r="A573" s="142"/>
      <c r="B573" s="143"/>
      <c r="C573" s="144"/>
      <c r="D573" s="145"/>
      <c r="E573" s="212"/>
      <c r="F573" s="174"/>
      <c r="G573" s="148"/>
      <c r="H573" s="148"/>
      <c r="I573" s="149"/>
      <c r="J573" s="149"/>
      <c r="K573" s="149"/>
      <c r="L573" s="149"/>
      <c r="M573" s="142"/>
      <c r="N573" s="33"/>
    </row>
    <row r="574" ht="15.75" customHeight="1">
      <c r="A574" s="142"/>
      <c r="B574" s="143"/>
      <c r="C574" s="144"/>
      <c r="D574" s="145"/>
      <c r="E574" s="212"/>
      <c r="F574" s="174"/>
      <c r="G574" s="148"/>
      <c r="H574" s="148"/>
      <c r="I574" s="149"/>
      <c r="J574" s="149"/>
      <c r="K574" s="149"/>
      <c r="L574" s="149"/>
      <c r="M574" s="142"/>
      <c r="N574" s="33"/>
    </row>
    <row r="575" ht="15.75" customHeight="1">
      <c r="A575" s="142"/>
      <c r="B575" s="143"/>
      <c r="C575" s="144"/>
      <c r="D575" s="145"/>
      <c r="E575" s="212"/>
      <c r="F575" s="174"/>
      <c r="G575" s="148"/>
      <c r="H575" s="148"/>
      <c r="I575" s="149"/>
      <c r="J575" s="149"/>
      <c r="K575" s="149"/>
      <c r="L575" s="149"/>
      <c r="M575" s="142"/>
      <c r="N575" s="33"/>
    </row>
    <row r="576" ht="15.75" customHeight="1">
      <c r="A576" s="142"/>
      <c r="B576" s="143"/>
      <c r="C576" s="144"/>
      <c r="D576" s="145"/>
      <c r="E576" s="212"/>
      <c r="F576" s="174"/>
      <c r="G576" s="148"/>
      <c r="H576" s="148"/>
      <c r="I576" s="149"/>
      <c r="J576" s="149"/>
      <c r="K576" s="149"/>
      <c r="L576" s="149"/>
      <c r="M576" s="142"/>
      <c r="N576" s="33"/>
    </row>
    <row r="577" ht="15.75" customHeight="1">
      <c r="A577" s="142"/>
      <c r="B577" s="143"/>
      <c r="C577" s="144"/>
      <c r="D577" s="145"/>
      <c r="E577" s="212"/>
      <c r="F577" s="174"/>
      <c r="G577" s="148"/>
      <c r="H577" s="148"/>
      <c r="I577" s="149"/>
      <c r="J577" s="149"/>
      <c r="K577" s="149"/>
      <c r="L577" s="149"/>
      <c r="M577" s="142"/>
      <c r="N577" s="33"/>
    </row>
    <row r="578" ht="15.75" customHeight="1">
      <c r="A578" s="142"/>
      <c r="B578" s="143"/>
      <c r="C578" s="144"/>
      <c r="D578" s="145"/>
      <c r="E578" s="212"/>
      <c r="F578" s="174"/>
      <c r="G578" s="148"/>
      <c r="H578" s="148"/>
      <c r="I578" s="149"/>
      <c r="J578" s="149"/>
      <c r="K578" s="149"/>
      <c r="L578" s="149"/>
      <c r="M578" s="142"/>
      <c r="N578" s="33"/>
    </row>
    <row r="579" ht="15.75" customHeight="1">
      <c r="A579" s="142"/>
      <c r="B579" s="143"/>
      <c r="C579" s="144"/>
      <c r="D579" s="145"/>
      <c r="E579" s="212"/>
      <c r="F579" s="174"/>
      <c r="G579" s="148"/>
      <c r="H579" s="148"/>
      <c r="I579" s="149"/>
      <c r="J579" s="149"/>
      <c r="K579" s="149"/>
      <c r="L579" s="149"/>
      <c r="M579" s="142"/>
      <c r="N579" s="33"/>
    </row>
    <row r="580" ht="15.75" customHeight="1">
      <c r="A580" s="142"/>
      <c r="B580" s="143"/>
      <c r="C580" s="144"/>
      <c r="D580" s="145"/>
      <c r="E580" s="212"/>
      <c r="F580" s="174"/>
      <c r="G580" s="148"/>
      <c r="H580" s="148"/>
      <c r="I580" s="149"/>
      <c r="J580" s="149"/>
      <c r="K580" s="149"/>
      <c r="L580" s="149"/>
      <c r="M580" s="142"/>
      <c r="N580" s="33"/>
    </row>
    <row r="581" ht="15.75" customHeight="1">
      <c r="A581" s="142"/>
      <c r="B581" s="143"/>
      <c r="C581" s="144"/>
      <c r="D581" s="145"/>
      <c r="E581" s="212"/>
      <c r="F581" s="174"/>
      <c r="G581" s="148"/>
      <c r="H581" s="148"/>
      <c r="I581" s="149"/>
      <c r="J581" s="149"/>
      <c r="K581" s="149"/>
      <c r="L581" s="149"/>
      <c r="M581" s="142"/>
      <c r="N581" s="33"/>
    </row>
    <row r="582" ht="15.75" customHeight="1">
      <c r="A582" s="142"/>
      <c r="B582" s="143"/>
      <c r="C582" s="144"/>
      <c r="D582" s="145"/>
      <c r="E582" s="212"/>
      <c r="F582" s="174"/>
      <c r="G582" s="148"/>
      <c r="H582" s="148"/>
      <c r="I582" s="149"/>
      <c r="J582" s="149"/>
      <c r="K582" s="149"/>
      <c r="L582" s="149"/>
      <c r="M582" s="142"/>
      <c r="N582" s="33"/>
    </row>
    <row r="583" ht="15.75" customHeight="1">
      <c r="A583" s="142"/>
      <c r="B583" s="143"/>
      <c r="C583" s="144"/>
      <c r="D583" s="145"/>
      <c r="E583" s="212"/>
      <c r="F583" s="174"/>
      <c r="G583" s="148"/>
      <c r="H583" s="148"/>
      <c r="I583" s="149"/>
      <c r="J583" s="149"/>
      <c r="K583" s="149"/>
      <c r="L583" s="149"/>
      <c r="M583" s="142"/>
      <c r="N583" s="33"/>
    </row>
    <row r="584" ht="15.75" customHeight="1">
      <c r="A584" s="142"/>
      <c r="B584" s="143"/>
      <c r="C584" s="144"/>
      <c r="D584" s="145"/>
      <c r="E584" s="212"/>
      <c r="F584" s="174"/>
      <c r="G584" s="148"/>
      <c r="H584" s="148"/>
      <c r="I584" s="149"/>
      <c r="J584" s="149"/>
      <c r="K584" s="149"/>
      <c r="L584" s="149"/>
      <c r="M584" s="142"/>
      <c r="N584" s="33"/>
    </row>
    <row r="585" ht="15.75" customHeight="1">
      <c r="A585" s="142"/>
      <c r="B585" s="143"/>
      <c r="C585" s="144"/>
      <c r="D585" s="145"/>
      <c r="E585" s="212"/>
      <c r="F585" s="174"/>
      <c r="G585" s="148"/>
      <c r="H585" s="148"/>
      <c r="I585" s="149"/>
      <c r="J585" s="149"/>
      <c r="K585" s="149"/>
      <c r="L585" s="149"/>
      <c r="M585" s="142"/>
      <c r="N585" s="33"/>
    </row>
    <row r="586" ht="15.75" customHeight="1">
      <c r="A586" s="142"/>
      <c r="B586" s="143"/>
      <c r="C586" s="144"/>
      <c r="D586" s="145"/>
      <c r="E586" s="212"/>
      <c r="F586" s="174"/>
      <c r="G586" s="148"/>
      <c r="H586" s="148"/>
      <c r="I586" s="149"/>
      <c r="J586" s="149"/>
      <c r="K586" s="149"/>
      <c r="L586" s="149"/>
      <c r="M586" s="142"/>
      <c r="N586" s="33"/>
    </row>
    <row r="587" ht="15.75" customHeight="1">
      <c r="A587" s="142"/>
      <c r="B587" s="143"/>
      <c r="C587" s="144"/>
      <c r="D587" s="145"/>
      <c r="E587" s="212"/>
      <c r="F587" s="174"/>
      <c r="G587" s="148"/>
      <c r="H587" s="148"/>
      <c r="I587" s="149"/>
      <c r="J587" s="149"/>
      <c r="K587" s="149"/>
      <c r="L587" s="149"/>
      <c r="M587" s="142"/>
      <c r="N587" s="33"/>
    </row>
    <row r="588" ht="15.75" customHeight="1">
      <c r="A588" s="142"/>
      <c r="B588" s="143"/>
      <c r="C588" s="144"/>
      <c r="D588" s="145"/>
      <c r="E588" s="212"/>
      <c r="F588" s="174"/>
      <c r="G588" s="148"/>
      <c r="H588" s="148"/>
      <c r="I588" s="149"/>
      <c r="J588" s="149"/>
      <c r="K588" s="149"/>
      <c r="L588" s="149"/>
      <c r="M588" s="142"/>
      <c r="N588" s="33"/>
    </row>
    <row r="589" ht="15.75" customHeight="1">
      <c r="A589" s="142"/>
      <c r="B589" s="143"/>
      <c r="C589" s="144"/>
      <c r="D589" s="145"/>
      <c r="E589" s="212"/>
      <c r="F589" s="174"/>
      <c r="G589" s="148"/>
      <c r="H589" s="148"/>
      <c r="I589" s="149"/>
      <c r="J589" s="149"/>
      <c r="K589" s="149"/>
      <c r="L589" s="149"/>
      <c r="M589" s="142"/>
      <c r="N589" s="33"/>
    </row>
    <row r="590" ht="15.75" customHeight="1">
      <c r="A590" s="142"/>
      <c r="B590" s="143"/>
      <c r="C590" s="144"/>
      <c r="D590" s="145"/>
      <c r="E590" s="212"/>
      <c r="F590" s="174"/>
      <c r="G590" s="148"/>
      <c r="H590" s="148"/>
      <c r="I590" s="149"/>
      <c r="J590" s="149"/>
      <c r="K590" s="149"/>
      <c r="L590" s="149"/>
      <c r="M590" s="142"/>
      <c r="N590" s="33"/>
    </row>
    <row r="591" ht="15.75" customHeight="1">
      <c r="A591" s="142"/>
      <c r="B591" s="143"/>
      <c r="C591" s="144"/>
      <c r="D591" s="145"/>
      <c r="E591" s="212"/>
      <c r="F591" s="174"/>
      <c r="G591" s="148"/>
      <c r="H591" s="148"/>
      <c r="I591" s="149"/>
      <c r="J591" s="149"/>
      <c r="K591" s="149"/>
      <c r="L591" s="149"/>
      <c r="M591" s="142"/>
      <c r="N591" s="33"/>
    </row>
    <row r="592" ht="15.75" customHeight="1">
      <c r="A592" s="142"/>
      <c r="B592" s="143"/>
      <c r="C592" s="144"/>
      <c r="D592" s="145"/>
      <c r="E592" s="212"/>
      <c r="F592" s="174"/>
      <c r="G592" s="148"/>
      <c r="H592" s="148"/>
      <c r="I592" s="149"/>
      <c r="J592" s="149"/>
      <c r="K592" s="149"/>
      <c r="L592" s="149"/>
      <c r="M592" s="142"/>
      <c r="N592" s="33"/>
    </row>
    <row r="593" ht="15.75" customHeight="1">
      <c r="A593" s="142"/>
      <c r="B593" s="143"/>
      <c r="C593" s="144"/>
      <c r="D593" s="145"/>
      <c r="E593" s="212"/>
      <c r="F593" s="174"/>
      <c r="G593" s="148"/>
      <c r="H593" s="148"/>
      <c r="I593" s="149"/>
      <c r="J593" s="149"/>
      <c r="K593" s="149"/>
      <c r="L593" s="149"/>
      <c r="M593" s="142"/>
      <c r="N593" s="33"/>
    </row>
    <row r="594" ht="15.75" customHeight="1">
      <c r="A594" s="142"/>
      <c r="B594" s="143"/>
      <c r="C594" s="144"/>
      <c r="D594" s="145"/>
      <c r="E594" s="212"/>
      <c r="F594" s="174"/>
      <c r="G594" s="148"/>
      <c r="H594" s="148"/>
      <c r="I594" s="149"/>
      <c r="J594" s="149"/>
      <c r="K594" s="149"/>
      <c r="L594" s="149"/>
      <c r="M594" s="142"/>
      <c r="N594" s="33"/>
    </row>
    <row r="595" ht="15.75" customHeight="1">
      <c r="A595" s="142"/>
      <c r="B595" s="143"/>
      <c r="C595" s="144"/>
      <c r="D595" s="145"/>
      <c r="E595" s="212"/>
      <c r="F595" s="174"/>
      <c r="G595" s="148"/>
      <c r="H595" s="148"/>
      <c r="I595" s="149"/>
      <c r="J595" s="149"/>
      <c r="K595" s="149"/>
      <c r="L595" s="149"/>
      <c r="M595" s="142"/>
      <c r="N595" s="33"/>
    </row>
    <row r="596" ht="15.75" customHeight="1">
      <c r="A596" s="142"/>
      <c r="B596" s="143"/>
      <c r="C596" s="144"/>
      <c r="D596" s="145"/>
      <c r="E596" s="212"/>
      <c r="F596" s="174"/>
      <c r="G596" s="148"/>
      <c r="H596" s="148"/>
      <c r="I596" s="149"/>
      <c r="J596" s="149"/>
      <c r="K596" s="149"/>
      <c r="L596" s="149"/>
      <c r="M596" s="142"/>
      <c r="N596" s="33"/>
    </row>
    <row r="597" ht="15.75" customHeight="1">
      <c r="A597" s="142"/>
      <c r="B597" s="143"/>
      <c r="C597" s="144"/>
      <c r="D597" s="145"/>
      <c r="E597" s="212"/>
      <c r="F597" s="174"/>
      <c r="G597" s="148"/>
      <c r="H597" s="148"/>
      <c r="I597" s="149"/>
      <c r="J597" s="149"/>
      <c r="K597" s="149"/>
      <c r="L597" s="149"/>
      <c r="M597" s="142"/>
      <c r="N597" s="33"/>
    </row>
    <row r="598" ht="15.75" customHeight="1">
      <c r="A598" s="142"/>
      <c r="B598" s="143"/>
      <c r="C598" s="144"/>
      <c r="D598" s="145"/>
      <c r="E598" s="212"/>
      <c r="F598" s="174"/>
      <c r="G598" s="148"/>
      <c r="H598" s="148"/>
      <c r="I598" s="149"/>
      <c r="J598" s="149"/>
      <c r="K598" s="149"/>
      <c r="L598" s="149"/>
      <c r="M598" s="142"/>
      <c r="N598" s="33"/>
    </row>
    <row r="599" ht="15.75" customHeight="1">
      <c r="A599" s="142"/>
      <c r="B599" s="143"/>
      <c r="C599" s="144"/>
      <c r="D599" s="145"/>
      <c r="E599" s="212"/>
      <c r="F599" s="174"/>
      <c r="G599" s="148"/>
      <c r="H599" s="148"/>
      <c r="I599" s="149"/>
      <c r="J599" s="149"/>
      <c r="K599" s="149"/>
      <c r="L599" s="149"/>
      <c r="M599" s="142"/>
      <c r="N599" s="33"/>
    </row>
    <row r="600" ht="15.75" customHeight="1">
      <c r="A600" s="142"/>
      <c r="B600" s="143"/>
      <c r="C600" s="144"/>
      <c r="D600" s="145"/>
      <c r="E600" s="212"/>
      <c r="F600" s="174"/>
      <c r="G600" s="148"/>
      <c r="H600" s="148"/>
      <c r="I600" s="149"/>
      <c r="J600" s="149"/>
      <c r="K600" s="149"/>
      <c r="L600" s="149"/>
      <c r="M600" s="142"/>
      <c r="N600" s="33"/>
    </row>
    <row r="601" ht="15.75" customHeight="1">
      <c r="A601" s="142"/>
      <c r="B601" s="143"/>
      <c r="C601" s="144"/>
      <c r="D601" s="145"/>
      <c r="E601" s="212"/>
      <c r="F601" s="174"/>
      <c r="G601" s="148"/>
      <c r="H601" s="148"/>
      <c r="I601" s="149"/>
      <c r="J601" s="149"/>
      <c r="K601" s="149"/>
      <c r="L601" s="149"/>
      <c r="M601" s="142"/>
      <c r="N601" s="33"/>
    </row>
    <row r="602" ht="15.75" customHeight="1">
      <c r="A602" s="142"/>
      <c r="B602" s="143"/>
      <c r="C602" s="144"/>
      <c r="D602" s="145"/>
      <c r="E602" s="212"/>
      <c r="F602" s="174"/>
      <c r="G602" s="148"/>
      <c r="H602" s="148"/>
      <c r="I602" s="149"/>
      <c r="J602" s="149"/>
      <c r="K602" s="149"/>
      <c r="L602" s="149"/>
      <c r="M602" s="142"/>
      <c r="N602" s="33"/>
    </row>
    <row r="603" ht="15.75" customHeight="1">
      <c r="A603" s="142"/>
      <c r="B603" s="143"/>
      <c r="C603" s="144"/>
      <c r="D603" s="145"/>
      <c r="E603" s="212"/>
      <c r="F603" s="174"/>
      <c r="G603" s="148"/>
      <c r="H603" s="148"/>
      <c r="I603" s="149"/>
      <c r="J603" s="149"/>
      <c r="K603" s="149"/>
      <c r="L603" s="149"/>
      <c r="M603" s="142"/>
      <c r="N603" s="33"/>
    </row>
    <row r="604" ht="15.75" customHeight="1">
      <c r="A604" s="142"/>
      <c r="B604" s="143"/>
      <c r="C604" s="144"/>
      <c r="D604" s="145"/>
      <c r="E604" s="212"/>
      <c r="F604" s="174"/>
      <c r="G604" s="148"/>
      <c r="H604" s="148"/>
      <c r="I604" s="149"/>
      <c r="J604" s="149"/>
      <c r="K604" s="149"/>
      <c r="L604" s="149"/>
      <c r="M604" s="142"/>
      <c r="N604" s="33"/>
    </row>
    <row r="605" ht="15.75" customHeight="1">
      <c r="A605" s="142"/>
      <c r="B605" s="143"/>
      <c r="C605" s="144"/>
      <c r="D605" s="145"/>
      <c r="E605" s="212"/>
      <c r="F605" s="174"/>
      <c r="G605" s="148"/>
      <c r="H605" s="148"/>
      <c r="I605" s="149"/>
      <c r="J605" s="149"/>
      <c r="K605" s="149"/>
      <c r="L605" s="149"/>
      <c r="M605" s="142"/>
      <c r="N605" s="33"/>
    </row>
    <row r="606" ht="15.75" customHeight="1">
      <c r="A606" s="142"/>
      <c r="B606" s="143"/>
      <c r="C606" s="144"/>
      <c r="D606" s="145"/>
      <c r="E606" s="212"/>
      <c r="F606" s="174"/>
      <c r="G606" s="148"/>
      <c r="H606" s="148"/>
      <c r="I606" s="149"/>
      <c r="J606" s="149"/>
      <c r="K606" s="149"/>
      <c r="L606" s="149"/>
      <c r="M606" s="142"/>
      <c r="N606" s="33"/>
    </row>
    <row r="607" ht="15.75" customHeight="1">
      <c r="A607" s="142"/>
      <c r="B607" s="143"/>
      <c r="C607" s="144"/>
      <c r="D607" s="145"/>
      <c r="E607" s="212"/>
      <c r="F607" s="174"/>
      <c r="G607" s="148"/>
      <c r="H607" s="148"/>
      <c r="I607" s="149"/>
      <c r="J607" s="149"/>
      <c r="K607" s="149"/>
      <c r="L607" s="149"/>
      <c r="M607" s="142"/>
      <c r="N607" s="33"/>
    </row>
    <row r="608" ht="15.75" customHeight="1">
      <c r="A608" s="142"/>
      <c r="B608" s="143"/>
      <c r="C608" s="144"/>
      <c r="D608" s="145"/>
      <c r="E608" s="212"/>
      <c r="F608" s="174"/>
      <c r="G608" s="148"/>
      <c r="H608" s="148"/>
      <c r="I608" s="149"/>
      <c r="J608" s="149"/>
      <c r="K608" s="149"/>
      <c r="L608" s="149"/>
      <c r="M608" s="142"/>
      <c r="N608" s="33"/>
    </row>
    <row r="609" ht="15.75" customHeight="1">
      <c r="A609" s="142"/>
      <c r="B609" s="143"/>
      <c r="C609" s="144"/>
      <c r="D609" s="145"/>
      <c r="E609" s="212"/>
      <c r="F609" s="174"/>
      <c r="G609" s="148"/>
      <c r="H609" s="148"/>
      <c r="I609" s="149"/>
      <c r="J609" s="149"/>
      <c r="K609" s="149"/>
      <c r="L609" s="149"/>
      <c r="M609" s="142"/>
      <c r="N609" s="33"/>
    </row>
    <row r="610" ht="15.75" customHeight="1">
      <c r="A610" s="142"/>
      <c r="B610" s="143"/>
      <c r="C610" s="144"/>
      <c r="D610" s="145"/>
      <c r="E610" s="212"/>
      <c r="F610" s="174"/>
      <c r="G610" s="148"/>
      <c r="H610" s="148"/>
      <c r="I610" s="149"/>
      <c r="J610" s="149"/>
      <c r="K610" s="149"/>
      <c r="L610" s="149"/>
      <c r="M610" s="142"/>
      <c r="N610" s="33"/>
    </row>
    <row r="611" ht="15.75" customHeight="1">
      <c r="A611" s="142"/>
      <c r="B611" s="143"/>
      <c r="C611" s="144"/>
      <c r="D611" s="145"/>
      <c r="E611" s="212"/>
      <c r="F611" s="174"/>
      <c r="G611" s="148"/>
      <c r="H611" s="148"/>
      <c r="I611" s="149"/>
      <c r="J611" s="149"/>
      <c r="K611" s="149"/>
      <c r="L611" s="149"/>
      <c r="M611" s="142"/>
      <c r="N611" s="33"/>
    </row>
    <row r="612" ht="15.75" customHeight="1">
      <c r="A612" s="142"/>
      <c r="B612" s="143"/>
      <c r="C612" s="144"/>
      <c r="D612" s="145"/>
      <c r="E612" s="212"/>
      <c r="F612" s="174"/>
      <c r="G612" s="148"/>
      <c r="H612" s="148"/>
      <c r="I612" s="149"/>
      <c r="J612" s="149"/>
      <c r="K612" s="149"/>
      <c r="L612" s="149"/>
      <c r="M612" s="142"/>
      <c r="N612" s="33"/>
    </row>
    <row r="613" ht="15.75" customHeight="1">
      <c r="A613" s="142"/>
      <c r="B613" s="143"/>
      <c r="C613" s="144"/>
      <c r="D613" s="145"/>
      <c r="E613" s="212"/>
      <c r="F613" s="174"/>
      <c r="G613" s="148"/>
      <c r="H613" s="148"/>
      <c r="I613" s="149"/>
      <c r="J613" s="149"/>
      <c r="K613" s="149"/>
      <c r="L613" s="149"/>
      <c r="M613" s="142"/>
      <c r="N613" s="33"/>
    </row>
    <row r="614" ht="15.75" customHeight="1">
      <c r="A614" s="142"/>
      <c r="B614" s="143"/>
      <c r="C614" s="144"/>
      <c r="D614" s="145"/>
      <c r="E614" s="212"/>
      <c r="F614" s="174"/>
      <c r="G614" s="148"/>
      <c r="H614" s="148"/>
      <c r="I614" s="149"/>
      <c r="J614" s="149"/>
      <c r="K614" s="149"/>
      <c r="L614" s="149"/>
      <c r="M614" s="142"/>
      <c r="N614" s="33"/>
    </row>
    <row r="615" ht="15.75" customHeight="1">
      <c r="A615" s="142"/>
      <c r="B615" s="143"/>
      <c r="C615" s="144"/>
      <c r="D615" s="145"/>
      <c r="E615" s="212"/>
      <c r="F615" s="174"/>
      <c r="G615" s="148"/>
      <c r="H615" s="148"/>
      <c r="I615" s="149"/>
      <c r="J615" s="149"/>
      <c r="K615" s="149"/>
      <c r="L615" s="149"/>
      <c r="M615" s="142"/>
      <c r="N615" s="33"/>
    </row>
    <row r="616" ht="15.75" customHeight="1">
      <c r="A616" s="142"/>
      <c r="B616" s="143"/>
      <c r="C616" s="144"/>
      <c r="D616" s="145"/>
      <c r="E616" s="212"/>
      <c r="F616" s="174"/>
      <c r="G616" s="148"/>
      <c r="H616" s="148"/>
      <c r="I616" s="149"/>
      <c r="J616" s="149"/>
      <c r="K616" s="149"/>
      <c r="L616" s="149"/>
      <c r="M616" s="142"/>
      <c r="N616" s="33"/>
    </row>
    <row r="617" ht="15.75" customHeight="1">
      <c r="A617" s="142"/>
      <c r="B617" s="143"/>
      <c r="C617" s="144"/>
      <c r="D617" s="145"/>
      <c r="E617" s="212"/>
      <c r="F617" s="174"/>
      <c r="G617" s="148"/>
      <c r="H617" s="148"/>
      <c r="I617" s="149"/>
      <c r="J617" s="149"/>
      <c r="K617" s="149"/>
      <c r="L617" s="149"/>
      <c r="M617" s="142"/>
      <c r="N617" s="33"/>
    </row>
    <row r="618" ht="15.75" customHeight="1">
      <c r="A618" s="142"/>
      <c r="B618" s="143"/>
      <c r="C618" s="144"/>
      <c r="D618" s="145"/>
      <c r="E618" s="212"/>
      <c r="F618" s="174"/>
      <c r="G618" s="148"/>
      <c r="H618" s="148"/>
      <c r="I618" s="149"/>
      <c r="J618" s="149"/>
      <c r="K618" s="149"/>
      <c r="L618" s="149"/>
      <c r="M618" s="142"/>
      <c r="N618" s="33"/>
    </row>
    <row r="619" ht="15.75" customHeight="1">
      <c r="A619" s="142"/>
      <c r="B619" s="143"/>
      <c r="C619" s="144"/>
      <c r="D619" s="145"/>
      <c r="E619" s="212"/>
      <c r="F619" s="174"/>
      <c r="G619" s="148"/>
      <c r="H619" s="148"/>
      <c r="I619" s="149"/>
      <c r="J619" s="149"/>
      <c r="K619" s="149"/>
      <c r="L619" s="149"/>
      <c r="M619" s="142"/>
      <c r="N619" s="33"/>
    </row>
    <row r="620" ht="15.75" customHeight="1">
      <c r="A620" s="142"/>
      <c r="B620" s="143"/>
      <c r="C620" s="144"/>
      <c r="D620" s="145"/>
      <c r="E620" s="212"/>
      <c r="F620" s="174"/>
      <c r="G620" s="148"/>
      <c r="H620" s="148"/>
      <c r="I620" s="149"/>
      <c r="J620" s="149"/>
      <c r="K620" s="149"/>
      <c r="L620" s="149"/>
      <c r="M620" s="142"/>
      <c r="N620" s="33"/>
    </row>
    <row r="621" ht="15.75" customHeight="1">
      <c r="A621" s="142"/>
      <c r="B621" s="143"/>
      <c r="C621" s="144"/>
      <c r="D621" s="145"/>
      <c r="E621" s="212"/>
      <c r="F621" s="174"/>
      <c r="G621" s="148"/>
      <c r="H621" s="148"/>
      <c r="I621" s="149"/>
      <c r="J621" s="149"/>
      <c r="K621" s="149"/>
      <c r="L621" s="149"/>
      <c r="M621" s="142"/>
      <c r="N621" s="33"/>
    </row>
    <row r="622" ht="15.75" customHeight="1">
      <c r="A622" s="142"/>
      <c r="B622" s="143"/>
      <c r="C622" s="144"/>
      <c r="D622" s="145"/>
      <c r="E622" s="212"/>
      <c r="F622" s="174"/>
      <c r="G622" s="148"/>
      <c r="H622" s="148"/>
      <c r="I622" s="149"/>
      <c r="J622" s="149"/>
      <c r="K622" s="149"/>
      <c r="L622" s="149"/>
      <c r="M622" s="142"/>
      <c r="N622" s="33"/>
    </row>
    <row r="623" ht="15.75" customHeight="1">
      <c r="A623" s="142"/>
      <c r="B623" s="143"/>
      <c r="C623" s="144"/>
      <c r="D623" s="145"/>
      <c r="E623" s="212"/>
      <c r="F623" s="174"/>
      <c r="G623" s="148"/>
      <c r="H623" s="148"/>
      <c r="I623" s="149"/>
      <c r="J623" s="149"/>
      <c r="K623" s="149"/>
      <c r="L623" s="149"/>
      <c r="M623" s="142"/>
      <c r="N623" s="33"/>
    </row>
    <row r="624" ht="15.75" customHeight="1">
      <c r="A624" s="142"/>
      <c r="B624" s="143"/>
      <c r="C624" s="144"/>
      <c r="D624" s="145"/>
      <c r="E624" s="212"/>
      <c r="F624" s="174"/>
      <c r="G624" s="148"/>
      <c r="H624" s="148"/>
      <c r="I624" s="149"/>
      <c r="J624" s="149"/>
      <c r="K624" s="149"/>
      <c r="L624" s="149"/>
      <c r="M624" s="142"/>
      <c r="N624" s="33"/>
    </row>
    <row r="625" ht="15.75" customHeight="1">
      <c r="A625" s="142"/>
      <c r="B625" s="143"/>
      <c r="C625" s="144"/>
      <c r="D625" s="145"/>
      <c r="E625" s="212"/>
      <c r="F625" s="174"/>
      <c r="G625" s="148"/>
      <c r="H625" s="148"/>
      <c r="I625" s="149"/>
      <c r="J625" s="149"/>
      <c r="K625" s="149"/>
      <c r="L625" s="149"/>
      <c r="M625" s="142"/>
      <c r="N625" s="33"/>
    </row>
    <row r="626" ht="15.75" customHeight="1">
      <c r="A626" s="142"/>
      <c r="B626" s="143"/>
      <c r="C626" s="144"/>
      <c r="D626" s="145"/>
      <c r="E626" s="212"/>
      <c r="F626" s="174"/>
      <c r="G626" s="148"/>
      <c r="H626" s="148"/>
      <c r="I626" s="149"/>
      <c r="J626" s="149"/>
      <c r="K626" s="149"/>
      <c r="L626" s="149"/>
      <c r="M626" s="142"/>
      <c r="N626" s="33"/>
    </row>
    <row r="627" ht="15.75" customHeight="1">
      <c r="A627" s="142"/>
      <c r="B627" s="143"/>
      <c r="C627" s="144"/>
      <c r="D627" s="145"/>
      <c r="E627" s="212"/>
      <c r="F627" s="174"/>
      <c r="G627" s="148"/>
      <c r="H627" s="148"/>
      <c r="I627" s="149"/>
      <c r="J627" s="149"/>
      <c r="K627" s="149"/>
      <c r="L627" s="149"/>
      <c r="M627" s="142"/>
      <c r="N627" s="33"/>
    </row>
    <row r="628" ht="15.75" customHeight="1">
      <c r="A628" s="142"/>
      <c r="B628" s="143"/>
      <c r="C628" s="144"/>
      <c r="D628" s="145"/>
      <c r="E628" s="212"/>
      <c r="F628" s="174"/>
      <c r="G628" s="148"/>
      <c r="H628" s="148"/>
      <c r="I628" s="149"/>
      <c r="J628" s="149"/>
      <c r="K628" s="149"/>
      <c r="L628" s="149"/>
      <c r="M628" s="142"/>
      <c r="N628" s="33"/>
    </row>
    <row r="629" ht="15.75" customHeight="1">
      <c r="A629" s="142"/>
      <c r="B629" s="143"/>
      <c r="C629" s="144"/>
      <c r="D629" s="145"/>
      <c r="E629" s="212"/>
      <c r="F629" s="174"/>
      <c r="G629" s="148"/>
      <c r="H629" s="148"/>
      <c r="I629" s="149"/>
      <c r="J629" s="149"/>
      <c r="K629" s="149"/>
      <c r="L629" s="149"/>
      <c r="M629" s="142"/>
      <c r="N629" s="33"/>
    </row>
    <row r="630" ht="15.75" customHeight="1">
      <c r="A630" s="142"/>
      <c r="B630" s="143"/>
      <c r="C630" s="144"/>
      <c r="D630" s="145"/>
      <c r="E630" s="212"/>
      <c r="F630" s="174"/>
      <c r="G630" s="148"/>
      <c r="H630" s="148"/>
      <c r="I630" s="149"/>
      <c r="J630" s="149"/>
      <c r="K630" s="149"/>
      <c r="L630" s="149"/>
      <c r="M630" s="142"/>
      <c r="N630" s="33"/>
    </row>
    <row r="631" ht="15.75" customHeight="1">
      <c r="A631" s="142"/>
      <c r="B631" s="143"/>
      <c r="C631" s="144"/>
      <c r="D631" s="145"/>
      <c r="E631" s="212"/>
      <c r="F631" s="174"/>
      <c r="G631" s="148"/>
      <c r="H631" s="148"/>
      <c r="I631" s="149"/>
      <c r="J631" s="149"/>
      <c r="K631" s="149"/>
      <c r="L631" s="149"/>
      <c r="M631" s="142"/>
      <c r="N631" s="33"/>
    </row>
    <row r="632" ht="15.75" customHeight="1">
      <c r="A632" s="142"/>
      <c r="B632" s="143"/>
      <c r="C632" s="144"/>
      <c r="D632" s="145"/>
      <c r="E632" s="212"/>
      <c r="F632" s="174"/>
      <c r="G632" s="148"/>
      <c r="H632" s="148"/>
      <c r="I632" s="149"/>
      <c r="J632" s="149"/>
      <c r="K632" s="149"/>
      <c r="L632" s="149"/>
      <c r="M632" s="142"/>
      <c r="N632" s="33"/>
    </row>
    <row r="633" ht="15.75" customHeight="1">
      <c r="A633" s="142"/>
      <c r="B633" s="143"/>
      <c r="C633" s="144"/>
      <c r="D633" s="145"/>
      <c r="E633" s="212"/>
      <c r="F633" s="174"/>
      <c r="G633" s="148"/>
      <c r="H633" s="148"/>
      <c r="I633" s="149"/>
      <c r="J633" s="149"/>
      <c r="K633" s="149"/>
      <c r="L633" s="149"/>
      <c r="M633" s="142"/>
      <c r="N633" s="33"/>
    </row>
    <row r="634" ht="15.75" customHeight="1">
      <c r="A634" s="142"/>
      <c r="B634" s="143"/>
      <c r="C634" s="144"/>
      <c r="D634" s="145"/>
      <c r="E634" s="212"/>
      <c r="F634" s="174"/>
      <c r="G634" s="148"/>
      <c r="H634" s="148"/>
      <c r="I634" s="149"/>
      <c r="J634" s="149"/>
      <c r="K634" s="149"/>
      <c r="L634" s="149"/>
      <c r="M634" s="142"/>
      <c r="N634" s="33"/>
    </row>
    <row r="635" ht="15.75" customHeight="1">
      <c r="A635" s="142"/>
      <c r="B635" s="143"/>
      <c r="C635" s="144"/>
      <c r="D635" s="145"/>
      <c r="E635" s="212"/>
      <c r="F635" s="174"/>
      <c r="G635" s="148"/>
      <c r="H635" s="148"/>
      <c r="I635" s="149"/>
      <c r="J635" s="149"/>
      <c r="K635" s="149"/>
      <c r="L635" s="149"/>
      <c r="M635" s="142"/>
      <c r="N635" s="33"/>
    </row>
    <row r="636" ht="15.75" customHeight="1">
      <c r="A636" s="142"/>
      <c r="B636" s="143"/>
      <c r="C636" s="144"/>
      <c r="D636" s="145"/>
      <c r="E636" s="212"/>
      <c r="F636" s="174"/>
      <c r="G636" s="148"/>
      <c r="H636" s="148"/>
      <c r="I636" s="149"/>
      <c r="J636" s="149"/>
      <c r="K636" s="149"/>
      <c r="L636" s="149"/>
      <c r="M636" s="142"/>
      <c r="N636" s="33"/>
    </row>
    <row r="637" ht="15.75" customHeight="1">
      <c r="A637" s="142"/>
      <c r="B637" s="143"/>
      <c r="C637" s="144"/>
      <c r="D637" s="145"/>
      <c r="E637" s="212"/>
      <c r="F637" s="174"/>
      <c r="G637" s="148"/>
      <c r="H637" s="148"/>
      <c r="I637" s="149"/>
      <c r="J637" s="149"/>
      <c r="K637" s="149"/>
      <c r="L637" s="149"/>
      <c r="M637" s="142"/>
      <c r="N637" s="33"/>
    </row>
    <row r="638" ht="15.75" customHeight="1">
      <c r="A638" s="142"/>
      <c r="B638" s="143"/>
      <c r="C638" s="144"/>
      <c r="D638" s="145"/>
      <c r="E638" s="212"/>
      <c r="F638" s="174"/>
      <c r="G638" s="148"/>
      <c r="H638" s="148"/>
      <c r="I638" s="149"/>
      <c r="J638" s="149"/>
      <c r="K638" s="149"/>
      <c r="L638" s="149"/>
      <c r="M638" s="142"/>
      <c r="N638" s="33"/>
    </row>
    <row r="639" ht="15.75" customHeight="1">
      <c r="A639" s="142"/>
      <c r="B639" s="143"/>
      <c r="C639" s="144"/>
      <c r="D639" s="145"/>
      <c r="E639" s="212"/>
      <c r="F639" s="174"/>
      <c r="G639" s="148"/>
      <c r="H639" s="148"/>
      <c r="I639" s="149"/>
      <c r="J639" s="149"/>
      <c r="K639" s="149"/>
      <c r="L639" s="149"/>
      <c r="M639" s="142"/>
      <c r="N639" s="33"/>
    </row>
    <row r="640" ht="15.75" customHeight="1">
      <c r="A640" s="142"/>
      <c r="B640" s="143"/>
      <c r="C640" s="144"/>
      <c r="D640" s="145"/>
      <c r="E640" s="212"/>
      <c r="F640" s="174"/>
      <c r="G640" s="148"/>
      <c r="H640" s="148"/>
      <c r="I640" s="149"/>
      <c r="J640" s="149"/>
      <c r="K640" s="149"/>
      <c r="L640" s="149"/>
      <c r="M640" s="142"/>
      <c r="N640" s="33"/>
    </row>
    <row r="641" ht="15.75" customHeight="1">
      <c r="A641" s="142"/>
      <c r="B641" s="143"/>
      <c r="C641" s="144"/>
      <c r="D641" s="145"/>
      <c r="E641" s="212"/>
      <c r="F641" s="174"/>
      <c r="G641" s="148"/>
      <c r="H641" s="148"/>
      <c r="I641" s="149"/>
      <c r="J641" s="149"/>
      <c r="K641" s="149"/>
      <c r="L641" s="149"/>
      <c r="M641" s="142"/>
      <c r="N641" s="33"/>
    </row>
    <row r="642" ht="15.75" customHeight="1">
      <c r="A642" s="142"/>
      <c r="B642" s="143"/>
      <c r="C642" s="144"/>
      <c r="D642" s="145"/>
      <c r="E642" s="212"/>
      <c r="F642" s="174"/>
      <c r="G642" s="148"/>
      <c r="H642" s="148"/>
      <c r="I642" s="149"/>
      <c r="J642" s="149"/>
      <c r="K642" s="149"/>
      <c r="L642" s="149"/>
      <c r="M642" s="142"/>
      <c r="N642" s="33"/>
    </row>
    <row r="643" ht="15.75" customHeight="1">
      <c r="A643" s="142"/>
      <c r="B643" s="143"/>
      <c r="C643" s="144"/>
      <c r="D643" s="145"/>
      <c r="E643" s="212"/>
      <c r="F643" s="174"/>
      <c r="G643" s="148"/>
      <c r="H643" s="148"/>
      <c r="I643" s="149"/>
      <c r="J643" s="149"/>
      <c r="K643" s="149"/>
      <c r="L643" s="149"/>
      <c r="M643" s="142"/>
      <c r="N643" s="33"/>
    </row>
    <row r="644" ht="15.75" customHeight="1">
      <c r="A644" s="142"/>
      <c r="B644" s="143"/>
      <c r="C644" s="144"/>
      <c r="D644" s="145"/>
      <c r="E644" s="212"/>
      <c r="F644" s="174"/>
      <c r="G644" s="148"/>
      <c r="H644" s="148"/>
      <c r="I644" s="149"/>
      <c r="J644" s="149"/>
      <c r="K644" s="149"/>
      <c r="L644" s="149"/>
      <c r="M644" s="142"/>
      <c r="N644" s="33"/>
    </row>
    <row r="645" ht="15.75" customHeight="1">
      <c r="A645" s="142"/>
      <c r="B645" s="143"/>
      <c r="C645" s="144"/>
      <c r="D645" s="145"/>
      <c r="E645" s="212"/>
      <c r="F645" s="174"/>
      <c r="G645" s="148"/>
      <c r="H645" s="148"/>
      <c r="I645" s="149"/>
      <c r="J645" s="149"/>
      <c r="K645" s="149"/>
      <c r="L645" s="149"/>
      <c r="M645" s="142"/>
      <c r="N645" s="33"/>
    </row>
    <row r="646" ht="15.75" customHeight="1">
      <c r="A646" s="142"/>
      <c r="B646" s="143"/>
      <c r="C646" s="144"/>
      <c r="D646" s="145"/>
      <c r="E646" s="212"/>
      <c r="F646" s="174"/>
      <c r="G646" s="148"/>
      <c r="H646" s="148"/>
      <c r="I646" s="149"/>
      <c r="J646" s="149"/>
      <c r="K646" s="149"/>
      <c r="L646" s="149"/>
      <c r="M646" s="142"/>
      <c r="N646" s="33"/>
    </row>
    <row r="647" ht="15.75" customHeight="1">
      <c r="A647" s="142"/>
      <c r="B647" s="143"/>
      <c r="C647" s="144"/>
      <c r="D647" s="145"/>
      <c r="E647" s="212"/>
      <c r="F647" s="174"/>
      <c r="G647" s="148"/>
      <c r="H647" s="148"/>
      <c r="I647" s="149"/>
      <c r="J647" s="149"/>
      <c r="K647" s="149"/>
      <c r="L647" s="149"/>
      <c r="M647" s="142"/>
      <c r="N647" s="33"/>
    </row>
    <row r="648" ht="15.75" customHeight="1">
      <c r="A648" s="142"/>
      <c r="B648" s="143"/>
      <c r="C648" s="144"/>
      <c r="D648" s="145"/>
      <c r="E648" s="212"/>
      <c r="F648" s="174"/>
      <c r="G648" s="148"/>
      <c r="H648" s="148"/>
      <c r="I648" s="149"/>
      <c r="J648" s="149"/>
      <c r="K648" s="149"/>
      <c r="L648" s="149"/>
      <c r="M648" s="142"/>
      <c r="N648" s="33"/>
    </row>
    <row r="649" ht="15.75" customHeight="1">
      <c r="A649" s="142"/>
      <c r="B649" s="143"/>
      <c r="C649" s="144"/>
      <c r="D649" s="145"/>
      <c r="E649" s="212"/>
      <c r="F649" s="174"/>
      <c r="G649" s="148"/>
      <c r="H649" s="148"/>
      <c r="I649" s="149"/>
      <c r="J649" s="149"/>
      <c r="K649" s="149"/>
      <c r="L649" s="149"/>
      <c r="M649" s="142"/>
      <c r="N649" s="33"/>
    </row>
    <row r="650" ht="15.75" customHeight="1">
      <c r="A650" s="142"/>
      <c r="B650" s="143"/>
      <c r="C650" s="144"/>
      <c r="D650" s="145"/>
      <c r="E650" s="212"/>
      <c r="F650" s="174"/>
      <c r="G650" s="148"/>
      <c r="H650" s="148"/>
      <c r="I650" s="149"/>
      <c r="J650" s="149"/>
      <c r="K650" s="149"/>
      <c r="L650" s="149"/>
      <c r="M650" s="142"/>
      <c r="N650" s="33"/>
    </row>
    <row r="651" ht="15.75" customHeight="1">
      <c r="A651" s="142"/>
      <c r="B651" s="143"/>
      <c r="C651" s="144"/>
      <c r="D651" s="145"/>
      <c r="E651" s="212"/>
      <c r="F651" s="174"/>
      <c r="G651" s="148"/>
      <c r="H651" s="148"/>
      <c r="I651" s="149"/>
      <c r="J651" s="149"/>
      <c r="K651" s="149"/>
      <c r="L651" s="149"/>
      <c r="M651" s="142"/>
      <c r="N651" s="33"/>
    </row>
    <row r="652" ht="15.75" customHeight="1">
      <c r="A652" s="142"/>
      <c r="B652" s="143"/>
      <c r="C652" s="144"/>
      <c r="D652" s="145"/>
      <c r="E652" s="212"/>
      <c r="F652" s="174"/>
      <c r="G652" s="148"/>
      <c r="H652" s="148"/>
      <c r="I652" s="149"/>
      <c r="J652" s="149"/>
      <c r="K652" s="149"/>
      <c r="L652" s="149"/>
      <c r="M652" s="142"/>
      <c r="N652" s="33"/>
    </row>
    <row r="653" ht="15.75" customHeight="1">
      <c r="A653" s="142"/>
      <c r="B653" s="143"/>
      <c r="C653" s="144"/>
      <c r="D653" s="145"/>
      <c r="E653" s="212"/>
      <c r="F653" s="174"/>
      <c r="G653" s="148"/>
      <c r="H653" s="148"/>
      <c r="I653" s="149"/>
      <c r="J653" s="149"/>
      <c r="K653" s="149"/>
      <c r="L653" s="149"/>
      <c r="M653" s="142"/>
      <c r="N653" s="33"/>
    </row>
    <row r="654" ht="15.75" customHeight="1">
      <c r="A654" s="142"/>
      <c r="B654" s="143"/>
      <c r="C654" s="144"/>
      <c r="D654" s="145"/>
      <c r="E654" s="212"/>
      <c r="F654" s="174"/>
      <c r="G654" s="148"/>
      <c r="H654" s="148"/>
      <c r="I654" s="149"/>
      <c r="J654" s="149"/>
      <c r="K654" s="149"/>
      <c r="L654" s="149"/>
      <c r="M654" s="142"/>
      <c r="N654" s="33"/>
    </row>
    <row r="655" ht="15.75" customHeight="1">
      <c r="A655" s="142"/>
      <c r="B655" s="143"/>
      <c r="C655" s="144"/>
      <c r="D655" s="145"/>
      <c r="E655" s="212"/>
      <c r="F655" s="174"/>
      <c r="G655" s="148"/>
      <c r="H655" s="148"/>
      <c r="I655" s="149"/>
      <c r="J655" s="149"/>
      <c r="K655" s="149"/>
      <c r="L655" s="149"/>
      <c r="M655" s="142"/>
      <c r="N655" s="33"/>
    </row>
    <row r="656" ht="15.75" customHeight="1">
      <c r="A656" s="142"/>
      <c r="B656" s="143"/>
      <c r="C656" s="144"/>
      <c r="D656" s="145"/>
      <c r="E656" s="212"/>
      <c r="F656" s="174"/>
      <c r="G656" s="148"/>
      <c r="H656" s="148"/>
      <c r="I656" s="149"/>
      <c r="J656" s="149"/>
      <c r="K656" s="149"/>
      <c r="L656" s="149"/>
      <c r="M656" s="142"/>
      <c r="N656" s="33"/>
    </row>
    <row r="657" ht="15.75" customHeight="1">
      <c r="A657" s="142"/>
      <c r="B657" s="143"/>
      <c r="C657" s="144"/>
      <c r="D657" s="145"/>
      <c r="E657" s="212"/>
      <c r="F657" s="174"/>
      <c r="G657" s="148"/>
      <c r="H657" s="148"/>
      <c r="I657" s="149"/>
      <c r="J657" s="149"/>
      <c r="K657" s="149"/>
      <c r="L657" s="149"/>
      <c r="M657" s="142"/>
      <c r="N657" s="33"/>
    </row>
    <row r="658" ht="15.75" customHeight="1">
      <c r="A658" s="142"/>
      <c r="B658" s="143"/>
      <c r="C658" s="144"/>
      <c r="D658" s="145"/>
      <c r="E658" s="212"/>
      <c r="F658" s="174"/>
      <c r="G658" s="148"/>
      <c r="H658" s="148"/>
      <c r="I658" s="149"/>
      <c r="J658" s="149"/>
      <c r="K658" s="149"/>
      <c r="L658" s="149"/>
      <c r="M658" s="142"/>
      <c r="N658" s="33"/>
    </row>
    <row r="659" ht="15.75" customHeight="1">
      <c r="A659" s="142"/>
      <c r="B659" s="143"/>
      <c r="C659" s="144"/>
      <c r="D659" s="145"/>
      <c r="E659" s="212"/>
      <c r="F659" s="174"/>
      <c r="G659" s="148"/>
      <c r="H659" s="148"/>
      <c r="I659" s="149"/>
      <c r="J659" s="149"/>
      <c r="K659" s="149"/>
      <c r="L659" s="149"/>
      <c r="M659" s="142"/>
      <c r="N659" s="33"/>
    </row>
    <row r="660" ht="15.75" customHeight="1">
      <c r="A660" s="142"/>
      <c r="B660" s="143"/>
      <c r="C660" s="144"/>
      <c r="D660" s="145"/>
      <c r="E660" s="212"/>
      <c r="F660" s="174"/>
      <c r="G660" s="148"/>
      <c r="H660" s="148"/>
      <c r="I660" s="149"/>
      <c r="J660" s="149"/>
      <c r="K660" s="149"/>
      <c r="L660" s="149"/>
      <c r="M660" s="142"/>
      <c r="N660" s="33"/>
    </row>
    <row r="661" ht="15.75" customHeight="1">
      <c r="A661" s="142"/>
      <c r="B661" s="143"/>
      <c r="C661" s="144"/>
      <c r="D661" s="145"/>
      <c r="E661" s="212"/>
      <c r="F661" s="174"/>
      <c r="G661" s="148"/>
      <c r="H661" s="148"/>
      <c r="I661" s="149"/>
      <c r="J661" s="149"/>
      <c r="K661" s="149"/>
      <c r="L661" s="149"/>
      <c r="M661" s="142"/>
      <c r="N661" s="33"/>
    </row>
    <row r="662" ht="15.75" customHeight="1">
      <c r="A662" s="142"/>
      <c r="B662" s="143"/>
      <c r="C662" s="144"/>
      <c r="D662" s="145"/>
      <c r="E662" s="212"/>
      <c r="F662" s="174"/>
      <c r="G662" s="148"/>
      <c r="H662" s="148"/>
      <c r="I662" s="149"/>
      <c r="J662" s="149"/>
      <c r="K662" s="149"/>
      <c r="L662" s="149"/>
      <c r="M662" s="142"/>
      <c r="N662" s="33"/>
    </row>
    <row r="663" ht="15.75" customHeight="1">
      <c r="A663" s="142"/>
      <c r="B663" s="143"/>
      <c r="C663" s="144"/>
      <c r="D663" s="145"/>
      <c r="E663" s="212"/>
      <c r="F663" s="174"/>
      <c r="G663" s="148"/>
      <c r="H663" s="148"/>
      <c r="I663" s="149"/>
      <c r="J663" s="149"/>
      <c r="K663" s="149"/>
      <c r="L663" s="149"/>
      <c r="M663" s="142"/>
      <c r="N663" s="33"/>
    </row>
    <row r="664" ht="15.75" customHeight="1">
      <c r="A664" s="142"/>
      <c r="B664" s="143"/>
      <c r="C664" s="144"/>
      <c r="D664" s="145"/>
      <c r="E664" s="212"/>
      <c r="F664" s="174"/>
      <c r="G664" s="148"/>
      <c r="H664" s="148"/>
      <c r="I664" s="149"/>
      <c r="J664" s="149"/>
      <c r="K664" s="149"/>
      <c r="L664" s="149"/>
      <c r="M664" s="142"/>
      <c r="N664" s="33"/>
    </row>
    <row r="665" ht="15.75" customHeight="1">
      <c r="A665" s="142"/>
      <c r="B665" s="143"/>
      <c r="C665" s="144"/>
      <c r="D665" s="145"/>
      <c r="E665" s="212"/>
      <c r="F665" s="174"/>
      <c r="G665" s="148"/>
      <c r="H665" s="148"/>
      <c r="I665" s="149"/>
      <c r="J665" s="149"/>
      <c r="K665" s="149"/>
      <c r="L665" s="149"/>
      <c r="M665" s="142"/>
      <c r="N665" s="33"/>
    </row>
    <row r="666" ht="15.75" customHeight="1">
      <c r="A666" s="142"/>
      <c r="B666" s="143"/>
      <c r="C666" s="144"/>
      <c r="D666" s="145"/>
      <c r="E666" s="212"/>
      <c r="F666" s="174"/>
      <c r="G666" s="148"/>
      <c r="H666" s="148"/>
      <c r="I666" s="149"/>
      <c r="J666" s="149"/>
      <c r="K666" s="149"/>
      <c r="L666" s="149"/>
      <c r="M666" s="142"/>
      <c r="N666" s="33"/>
    </row>
    <row r="667" ht="15.75" customHeight="1">
      <c r="A667" s="142"/>
      <c r="B667" s="143"/>
      <c r="C667" s="144"/>
      <c r="D667" s="145"/>
      <c r="E667" s="212"/>
      <c r="F667" s="174"/>
      <c r="G667" s="148"/>
      <c r="H667" s="148"/>
      <c r="I667" s="149"/>
      <c r="J667" s="149"/>
      <c r="K667" s="149"/>
      <c r="L667" s="149"/>
      <c r="M667" s="142"/>
      <c r="N667" s="33"/>
    </row>
    <row r="668" ht="15.75" customHeight="1">
      <c r="A668" s="142"/>
      <c r="B668" s="143"/>
      <c r="C668" s="144"/>
      <c r="D668" s="145"/>
      <c r="E668" s="212"/>
      <c r="F668" s="174"/>
      <c r="G668" s="148"/>
      <c r="H668" s="148"/>
      <c r="I668" s="149"/>
      <c r="J668" s="149"/>
      <c r="K668" s="149"/>
      <c r="L668" s="149"/>
      <c r="M668" s="142"/>
      <c r="N668" s="33"/>
    </row>
    <row r="669" ht="15.75" customHeight="1">
      <c r="A669" s="142"/>
      <c r="B669" s="143"/>
      <c r="C669" s="144"/>
      <c r="D669" s="145"/>
      <c r="E669" s="212"/>
      <c r="F669" s="174"/>
      <c r="G669" s="148"/>
      <c r="H669" s="148"/>
      <c r="I669" s="149"/>
      <c r="J669" s="149"/>
      <c r="K669" s="149"/>
      <c r="L669" s="149"/>
      <c r="M669" s="142"/>
      <c r="N669" s="33"/>
    </row>
    <row r="670" ht="15.75" customHeight="1">
      <c r="A670" s="142"/>
      <c r="B670" s="143"/>
      <c r="C670" s="144"/>
      <c r="D670" s="145"/>
      <c r="E670" s="212"/>
      <c r="F670" s="174"/>
      <c r="G670" s="148"/>
      <c r="H670" s="148"/>
      <c r="I670" s="149"/>
      <c r="J670" s="149"/>
      <c r="K670" s="149"/>
      <c r="L670" s="149"/>
      <c r="M670" s="142"/>
      <c r="N670" s="33"/>
    </row>
    <row r="671" ht="15.75" customHeight="1">
      <c r="A671" s="142"/>
      <c r="B671" s="143"/>
      <c r="C671" s="144"/>
      <c r="D671" s="145"/>
      <c r="E671" s="212"/>
      <c r="F671" s="174"/>
      <c r="G671" s="148"/>
      <c r="H671" s="148"/>
      <c r="I671" s="149"/>
      <c r="J671" s="149"/>
      <c r="K671" s="149"/>
      <c r="L671" s="149"/>
      <c r="M671" s="142"/>
      <c r="N671" s="33"/>
    </row>
    <row r="672" ht="15.75" customHeight="1">
      <c r="A672" s="142"/>
      <c r="B672" s="143"/>
      <c r="C672" s="144"/>
      <c r="D672" s="145"/>
      <c r="E672" s="212"/>
      <c r="F672" s="174"/>
      <c r="G672" s="148"/>
      <c r="H672" s="148"/>
      <c r="I672" s="149"/>
      <c r="J672" s="149"/>
      <c r="K672" s="149"/>
      <c r="L672" s="149"/>
      <c r="M672" s="142"/>
      <c r="N672" s="33"/>
    </row>
    <row r="673" ht="15.75" customHeight="1">
      <c r="A673" s="142"/>
      <c r="B673" s="143"/>
      <c r="C673" s="144"/>
      <c r="D673" s="145"/>
      <c r="E673" s="212"/>
      <c r="F673" s="174"/>
      <c r="G673" s="148"/>
      <c r="H673" s="148"/>
      <c r="I673" s="149"/>
      <c r="J673" s="149"/>
      <c r="K673" s="149"/>
      <c r="L673" s="149"/>
      <c r="M673" s="142"/>
      <c r="N673" s="33"/>
    </row>
    <row r="674" ht="15.75" customHeight="1">
      <c r="A674" s="142"/>
      <c r="B674" s="143"/>
      <c r="C674" s="144"/>
      <c r="D674" s="145"/>
      <c r="E674" s="212"/>
      <c r="F674" s="174"/>
      <c r="G674" s="148"/>
      <c r="H674" s="148"/>
      <c r="I674" s="149"/>
      <c r="J674" s="149"/>
      <c r="K674" s="149"/>
      <c r="L674" s="149"/>
      <c r="M674" s="142"/>
      <c r="N674" s="33"/>
    </row>
    <row r="675" ht="15.75" customHeight="1">
      <c r="A675" s="142"/>
      <c r="B675" s="143"/>
      <c r="C675" s="144"/>
      <c r="D675" s="145"/>
      <c r="E675" s="212"/>
      <c r="F675" s="174"/>
      <c r="G675" s="148"/>
      <c r="H675" s="148"/>
      <c r="I675" s="149"/>
      <c r="J675" s="149"/>
      <c r="K675" s="149"/>
      <c r="L675" s="149"/>
      <c r="M675" s="142"/>
      <c r="N675" s="33"/>
    </row>
    <row r="676" ht="15.75" customHeight="1">
      <c r="A676" s="142"/>
      <c r="B676" s="143"/>
      <c r="C676" s="144"/>
      <c r="D676" s="145"/>
      <c r="E676" s="212"/>
      <c r="F676" s="174"/>
      <c r="G676" s="148"/>
      <c r="H676" s="148"/>
      <c r="I676" s="149"/>
      <c r="J676" s="149"/>
      <c r="K676" s="149"/>
      <c r="L676" s="149"/>
      <c r="M676" s="142"/>
      <c r="N676" s="33"/>
    </row>
    <row r="677" ht="15.75" customHeight="1">
      <c r="A677" s="142"/>
      <c r="B677" s="143"/>
      <c r="C677" s="144"/>
      <c r="D677" s="145"/>
      <c r="E677" s="212"/>
      <c r="F677" s="174"/>
      <c r="G677" s="148"/>
      <c r="H677" s="148"/>
      <c r="I677" s="149"/>
      <c r="J677" s="149"/>
      <c r="K677" s="149"/>
      <c r="L677" s="149"/>
      <c r="M677" s="142"/>
      <c r="N677" s="33"/>
    </row>
    <row r="678" ht="15.75" customHeight="1">
      <c r="A678" s="142"/>
      <c r="B678" s="143"/>
      <c r="C678" s="144"/>
      <c r="D678" s="145"/>
      <c r="E678" s="212"/>
      <c r="F678" s="174"/>
      <c r="G678" s="148"/>
      <c r="H678" s="148"/>
      <c r="I678" s="149"/>
      <c r="J678" s="149"/>
      <c r="K678" s="149"/>
      <c r="L678" s="149"/>
      <c r="M678" s="142"/>
      <c r="N678" s="33"/>
    </row>
    <row r="679" ht="15.75" customHeight="1">
      <c r="A679" s="142"/>
      <c r="B679" s="143"/>
      <c r="C679" s="144"/>
      <c r="D679" s="145"/>
      <c r="E679" s="212"/>
      <c r="F679" s="174"/>
      <c r="G679" s="148"/>
      <c r="H679" s="148"/>
      <c r="I679" s="149"/>
      <c r="J679" s="149"/>
      <c r="K679" s="149"/>
      <c r="L679" s="149"/>
      <c r="M679" s="142"/>
      <c r="N679" s="33"/>
    </row>
    <row r="680" ht="15.75" customHeight="1">
      <c r="A680" s="142"/>
      <c r="B680" s="143"/>
      <c r="C680" s="144"/>
      <c r="D680" s="145"/>
      <c r="E680" s="212"/>
      <c r="F680" s="174"/>
      <c r="G680" s="148"/>
      <c r="H680" s="148"/>
      <c r="I680" s="149"/>
      <c r="J680" s="149"/>
      <c r="K680" s="149"/>
      <c r="L680" s="149"/>
      <c r="M680" s="142"/>
      <c r="N680" s="33"/>
    </row>
    <row r="681" ht="15.75" customHeight="1">
      <c r="A681" s="142"/>
      <c r="B681" s="143"/>
      <c r="C681" s="144"/>
      <c r="D681" s="145"/>
      <c r="E681" s="212"/>
      <c r="F681" s="174"/>
      <c r="G681" s="148"/>
      <c r="H681" s="148"/>
      <c r="I681" s="149"/>
      <c r="J681" s="149"/>
      <c r="K681" s="149"/>
      <c r="L681" s="149"/>
      <c r="M681" s="142"/>
      <c r="N681" s="33"/>
    </row>
    <row r="682" ht="15.75" customHeight="1">
      <c r="A682" s="142"/>
      <c r="B682" s="143"/>
      <c r="C682" s="144"/>
      <c r="D682" s="145"/>
      <c r="E682" s="212"/>
      <c r="F682" s="174"/>
      <c r="G682" s="148"/>
      <c r="H682" s="148"/>
      <c r="I682" s="149"/>
      <c r="J682" s="149"/>
      <c r="K682" s="149"/>
      <c r="L682" s="149"/>
      <c r="M682" s="142"/>
      <c r="N682" s="33"/>
    </row>
    <row r="683" ht="15.75" customHeight="1">
      <c r="A683" s="142"/>
      <c r="B683" s="143"/>
      <c r="C683" s="144"/>
      <c r="D683" s="145"/>
      <c r="E683" s="212"/>
      <c r="F683" s="174"/>
      <c r="G683" s="148"/>
      <c r="H683" s="148"/>
      <c r="I683" s="149"/>
      <c r="J683" s="149"/>
      <c r="K683" s="149"/>
      <c r="L683" s="149"/>
      <c r="M683" s="142"/>
      <c r="N683" s="33"/>
    </row>
    <row r="684" ht="15.75" customHeight="1">
      <c r="A684" s="142"/>
      <c r="B684" s="143"/>
      <c r="C684" s="144"/>
      <c r="D684" s="145"/>
      <c r="E684" s="212"/>
      <c r="F684" s="174"/>
      <c r="G684" s="148"/>
      <c r="H684" s="148"/>
      <c r="I684" s="149"/>
      <c r="J684" s="149"/>
      <c r="K684" s="149"/>
      <c r="L684" s="149"/>
      <c r="M684" s="142"/>
      <c r="N684" s="33"/>
    </row>
    <row r="685" ht="15.75" customHeight="1">
      <c r="A685" s="142"/>
      <c r="B685" s="143"/>
      <c r="C685" s="144"/>
      <c r="D685" s="145"/>
      <c r="E685" s="212"/>
      <c r="F685" s="174"/>
      <c r="G685" s="148"/>
      <c r="H685" s="148"/>
      <c r="I685" s="149"/>
      <c r="J685" s="149"/>
      <c r="K685" s="149"/>
      <c r="L685" s="149"/>
      <c r="M685" s="142"/>
      <c r="N685" s="33"/>
    </row>
    <row r="686" ht="15.75" customHeight="1">
      <c r="A686" s="142"/>
      <c r="B686" s="143"/>
      <c r="C686" s="144"/>
      <c r="D686" s="145"/>
      <c r="E686" s="212"/>
      <c r="F686" s="174"/>
      <c r="G686" s="148"/>
      <c r="H686" s="148"/>
      <c r="I686" s="149"/>
      <c r="J686" s="149"/>
      <c r="K686" s="149"/>
      <c r="L686" s="149"/>
      <c r="M686" s="142"/>
      <c r="N686" s="33"/>
    </row>
    <row r="687" ht="15.75" customHeight="1">
      <c r="A687" s="142"/>
      <c r="B687" s="143"/>
      <c r="C687" s="144"/>
      <c r="D687" s="145"/>
      <c r="E687" s="212"/>
      <c r="F687" s="174"/>
      <c r="G687" s="148"/>
      <c r="H687" s="148"/>
      <c r="I687" s="149"/>
      <c r="J687" s="149"/>
      <c r="K687" s="149"/>
      <c r="L687" s="149"/>
      <c r="M687" s="142"/>
      <c r="N687" s="33"/>
    </row>
    <row r="688" ht="15.75" customHeight="1">
      <c r="A688" s="142"/>
      <c r="B688" s="143"/>
      <c r="C688" s="144"/>
      <c r="D688" s="145"/>
      <c r="E688" s="212"/>
      <c r="F688" s="174"/>
      <c r="G688" s="148"/>
      <c r="H688" s="148"/>
      <c r="I688" s="149"/>
      <c r="J688" s="149"/>
      <c r="K688" s="149"/>
      <c r="L688" s="149"/>
      <c r="M688" s="142"/>
      <c r="N688" s="33"/>
    </row>
    <row r="689" ht="15.75" customHeight="1">
      <c r="A689" s="142"/>
      <c r="B689" s="143"/>
      <c r="C689" s="144"/>
      <c r="D689" s="145"/>
      <c r="E689" s="212"/>
      <c r="F689" s="174"/>
      <c r="G689" s="148"/>
      <c r="H689" s="148"/>
      <c r="I689" s="149"/>
      <c r="J689" s="149"/>
      <c r="K689" s="149"/>
      <c r="L689" s="149"/>
      <c r="M689" s="142"/>
      <c r="N689" s="33"/>
    </row>
    <row r="690" ht="15.75" customHeight="1">
      <c r="A690" s="142"/>
      <c r="B690" s="143"/>
      <c r="C690" s="144"/>
      <c r="D690" s="145"/>
      <c r="E690" s="212"/>
      <c r="F690" s="174"/>
      <c r="G690" s="148"/>
      <c r="H690" s="148"/>
      <c r="I690" s="149"/>
      <c r="J690" s="149"/>
      <c r="K690" s="149"/>
      <c r="L690" s="149"/>
      <c r="M690" s="142"/>
      <c r="N690" s="33"/>
    </row>
    <row r="691" ht="15.75" customHeight="1">
      <c r="A691" s="142"/>
      <c r="B691" s="143"/>
      <c r="C691" s="144"/>
      <c r="D691" s="145"/>
      <c r="E691" s="212"/>
      <c r="F691" s="174"/>
      <c r="G691" s="148"/>
      <c r="H691" s="148"/>
      <c r="I691" s="149"/>
      <c r="J691" s="149"/>
      <c r="K691" s="149"/>
      <c r="L691" s="149"/>
      <c r="M691" s="142"/>
      <c r="N691" s="33"/>
    </row>
    <row r="692" ht="15.75" customHeight="1">
      <c r="A692" s="142"/>
      <c r="B692" s="143"/>
      <c r="C692" s="144"/>
      <c r="D692" s="145"/>
      <c r="E692" s="212"/>
      <c r="F692" s="174"/>
      <c r="G692" s="148"/>
      <c r="H692" s="148"/>
      <c r="I692" s="149"/>
      <c r="J692" s="149"/>
      <c r="K692" s="149"/>
      <c r="L692" s="149"/>
      <c r="M692" s="142"/>
      <c r="N692" s="33"/>
    </row>
    <row r="693" ht="15.75" customHeight="1">
      <c r="A693" s="142"/>
      <c r="B693" s="143"/>
      <c r="C693" s="144"/>
      <c r="D693" s="145"/>
      <c r="E693" s="212"/>
      <c r="F693" s="174"/>
      <c r="G693" s="148"/>
      <c r="H693" s="148"/>
      <c r="I693" s="149"/>
      <c r="J693" s="149"/>
      <c r="K693" s="149"/>
      <c r="L693" s="149"/>
      <c r="M693" s="142"/>
      <c r="N693" s="33"/>
    </row>
    <row r="694" ht="15.75" customHeight="1">
      <c r="A694" s="142"/>
      <c r="B694" s="143"/>
      <c r="C694" s="144"/>
      <c r="D694" s="145"/>
      <c r="E694" s="212"/>
      <c r="F694" s="174"/>
      <c r="G694" s="148"/>
      <c r="H694" s="148"/>
      <c r="I694" s="149"/>
      <c r="J694" s="149"/>
      <c r="K694" s="149"/>
      <c r="L694" s="149"/>
      <c r="M694" s="142"/>
      <c r="N694" s="33"/>
    </row>
    <row r="695" ht="15.75" customHeight="1">
      <c r="A695" s="142"/>
      <c r="B695" s="143"/>
      <c r="C695" s="144"/>
      <c r="D695" s="145"/>
      <c r="E695" s="212"/>
      <c r="F695" s="174"/>
      <c r="G695" s="148"/>
      <c r="H695" s="148"/>
      <c r="I695" s="149"/>
      <c r="J695" s="149"/>
      <c r="K695" s="149"/>
      <c r="L695" s="149"/>
      <c r="M695" s="142"/>
      <c r="N695" s="33"/>
    </row>
    <row r="696" ht="15.75" customHeight="1">
      <c r="A696" s="142"/>
      <c r="B696" s="143"/>
      <c r="C696" s="144"/>
      <c r="D696" s="145"/>
      <c r="E696" s="212"/>
      <c r="F696" s="174"/>
      <c r="G696" s="148"/>
      <c r="H696" s="148"/>
      <c r="I696" s="149"/>
      <c r="J696" s="149"/>
      <c r="K696" s="149"/>
      <c r="L696" s="149"/>
      <c r="M696" s="142"/>
      <c r="N696" s="33"/>
    </row>
    <row r="697" ht="15.75" customHeight="1">
      <c r="A697" s="142"/>
      <c r="B697" s="143"/>
      <c r="C697" s="144"/>
      <c r="D697" s="145"/>
      <c r="E697" s="212"/>
      <c r="F697" s="174"/>
      <c r="G697" s="148"/>
      <c r="H697" s="148"/>
      <c r="I697" s="149"/>
      <c r="J697" s="149"/>
      <c r="K697" s="149"/>
      <c r="L697" s="149"/>
      <c r="M697" s="142"/>
      <c r="N697" s="33"/>
    </row>
    <row r="698" ht="15.75" customHeight="1">
      <c r="A698" s="142"/>
      <c r="B698" s="143"/>
      <c r="C698" s="144"/>
      <c r="D698" s="145"/>
      <c r="E698" s="212"/>
      <c r="F698" s="174"/>
      <c r="G698" s="148"/>
      <c r="H698" s="148"/>
      <c r="I698" s="149"/>
      <c r="J698" s="149"/>
      <c r="K698" s="149"/>
      <c r="L698" s="149"/>
      <c r="M698" s="142"/>
      <c r="N698" s="33"/>
    </row>
    <row r="699" ht="15.75" customHeight="1">
      <c r="A699" s="142"/>
      <c r="B699" s="143"/>
      <c r="C699" s="144"/>
      <c r="D699" s="145"/>
      <c r="E699" s="212"/>
      <c r="F699" s="174"/>
      <c r="G699" s="148"/>
      <c r="H699" s="148"/>
      <c r="I699" s="149"/>
      <c r="J699" s="149"/>
      <c r="K699" s="149"/>
      <c r="L699" s="149"/>
      <c r="M699" s="142"/>
      <c r="N699" s="33"/>
    </row>
    <row r="700" ht="15.75" customHeight="1">
      <c r="A700" s="142"/>
      <c r="B700" s="143"/>
      <c r="C700" s="144"/>
      <c r="D700" s="145"/>
      <c r="E700" s="212"/>
      <c r="F700" s="174"/>
      <c r="G700" s="148"/>
      <c r="H700" s="148"/>
      <c r="I700" s="149"/>
      <c r="J700" s="149"/>
      <c r="K700" s="149"/>
      <c r="L700" s="149"/>
      <c r="M700" s="142"/>
      <c r="N700" s="33"/>
    </row>
    <row r="701" ht="15.75" customHeight="1">
      <c r="A701" s="142"/>
      <c r="B701" s="143"/>
      <c r="C701" s="144"/>
      <c r="D701" s="145"/>
      <c r="E701" s="212"/>
      <c r="F701" s="174"/>
      <c r="G701" s="148"/>
      <c r="H701" s="148"/>
      <c r="I701" s="149"/>
      <c r="J701" s="149"/>
      <c r="K701" s="149"/>
      <c r="L701" s="149"/>
      <c r="M701" s="142"/>
      <c r="N701" s="33"/>
    </row>
    <row r="702" ht="15.75" customHeight="1">
      <c r="A702" s="142"/>
      <c r="B702" s="143"/>
      <c r="C702" s="144"/>
      <c r="D702" s="145"/>
      <c r="E702" s="212"/>
      <c r="F702" s="174"/>
      <c r="G702" s="148"/>
      <c r="H702" s="148"/>
      <c r="I702" s="149"/>
      <c r="J702" s="149"/>
      <c r="K702" s="149"/>
      <c r="L702" s="149"/>
      <c r="M702" s="142"/>
      <c r="N702" s="33"/>
    </row>
    <row r="703" ht="15.75" customHeight="1">
      <c r="A703" s="142"/>
      <c r="B703" s="143"/>
      <c r="C703" s="144"/>
      <c r="D703" s="145"/>
      <c r="E703" s="212"/>
      <c r="F703" s="174"/>
      <c r="G703" s="148"/>
      <c r="H703" s="148"/>
      <c r="I703" s="149"/>
      <c r="J703" s="149"/>
      <c r="K703" s="149"/>
      <c r="L703" s="149"/>
      <c r="M703" s="142"/>
      <c r="N703" s="33"/>
    </row>
    <row r="704" ht="15.75" customHeight="1">
      <c r="A704" s="142"/>
      <c r="B704" s="143"/>
      <c r="C704" s="144"/>
      <c r="D704" s="145"/>
      <c r="E704" s="212"/>
      <c r="F704" s="174"/>
      <c r="G704" s="148"/>
      <c r="H704" s="148"/>
      <c r="I704" s="149"/>
      <c r="J704" s="149"/>
      <c r="K704" s="149"/>
      <c r="L704" s="149"/>
      <c r="M704" s="142"/>
      <c r="N704" s="33"/>
    </row>
    <row r="705" ht="15.75" customHeight="1">
      <c r="A705" s="142"/>
      <c r="B705" s="143"/>
      <c r="C705" s="144"/>
      <c r="D705" s="145"/>
      <c r="E705" s="212"/>
      <c r="F705" s="174"/>
      <c r="G705" s="148"/>
      <c r="H705" s="148"/>
      <c r="I705" s="149"/>
      <c r="J705" s="149"/>
      <c r="K705" s="149"/>
      <c r="L705" s="149"/>
      <c r="M705" s="142"/>
      <c r="N705" s="33"/>
    </row>
    <row r="706" ht="15.75" customHeight="1">
      <c r="A706" s="142"/>
      <c r="B706" s="143"/>
      <c r="C706" s="144"/>
      <c r="D706" s="145"/>
      <c r="E706" s="212"/>
      <c r="F706" s="174"/>
      <c r="G706" s="148"/>
      <c r="H706" s="148"/>
      <c r="I706" s="149"/>
      <c r="J706" s="149"/>
      <c r="K706" s="149"/>
      <c r="L706" s="149"/>
      <c r="M706" s="142"/>
      <c r="N706" s="33"/>
    </row>
    <row r="707" ht="15.75" customHeight="1">
      <c r="A707" s="142"/>
      <c r="B707" s="143"/>
      <c r="C707" s="144"/>
      <c r="D707" s="145"/>
      <c r="E707" s="212"/>
      <c r="F707" s="174"/>
      <c r="G707" s="148"/>
      <c r="H707" s="148"/>
      <c r="I707" s="149"/>
      <c r="J707" s="149"/>
      <c r="K707" s="149"/>
      <c r="L707" s="149"/>
      <c r="M707" s="142"/>
      <c r="N707" s="33"/>
    </row>
    <row r="708" ht="15.75" customHeight="1">
      <c r="A708" s="142"/>
      <c r="B708" s="143"/>
      <c r="C708" s="144"/>
      <c r="D708" s="145"/>
      <c r="E708" s="212"/>
      <c r="F708" s="174"/>
      <c r="G708" s="148"/>
      <c r="H708" s="148"/>
      <c r="I708" s="149"/>
      <c r="J708" s="149"/>
      <c r="K708" s="149"/>
      <c r="L708" s="149"/>
      <c r="M708" s="142"/>
      <c r="N708" s="33"/>
    </row>
    <row r="709" ht="15.75" customHeight="1">
      <c r="A709" s="142"/>
      <c r="B709" s="143"/>
      <c r="C709" s="144"/>
      <c r="D709" s="145"/>
      <c r="E709" s="212"/>
      <c r="F709" s="174"/>
      <c r="G709" s="148"/>
      <c r="H709" s="148"/>
      <c r="I709" s="149"/>
      <c r="J709" s="149"/>
      <c r="K709" s="149"/>
      <c r="L709" s="149"/>
      <c r="M709" s="142"/>
      <c r="N709" s="33"/>
    </row>
    <row r="710" ht="15.75" customHeight="1">
      <c r="A710" s="142"/>
      <c r="B710" s="143"/>
      <c r="C710" s="144"/>
      <c r="D710" s="145"/>
      <c r="E710" s="212"/>
      <c r="F710" s="174"/>
      <c r="G710" s="148"/>
      <c r="H710" s="148"/>
      <c r="I710" s="149"/>
      <c r="J710" s="149"/>
      <c r="K710" s="149"/>
      <c r="L710" s="149"/>
      <c r="M710" s="142"/>
      <c r="N710" s="33"/>
    </row>
    <row r="711" ht="15.75" customHeight="1">
      <c r="A711" s="142"/>
      <c r="B711" s="143"/>
      <c r="C711" s="144"/>
      <c r="D711" s="145"/>
      <c r="E711" s="212"/>
      <c r="F711" s="174"/>
      <c r="G711" s="148"/>
      <c r="H711" s="148"/>
      <c r="I711" s="149"/>
      <c r="J711" s="149"/>
      <c r="K711" s="149"/>
      <c r="L711" s="149"/>
      <c r="M711" s="142"/>
      <c r="N711" s="33"/>
    </row>
    <row r="712" ht="15.75" customHeight="1">
      <c r="A712" s="142"/>
      <c r="B712" s="143"/>
      <c r="C712" s="144"/>
      <c r="D712" s="145"/>
      <c r="E712" s="212"/>
      <c r="F712" s="174"/>
      <c r="G712" s="148"/>
      <c r="H712" s="148"/>
      <c r="I712" s="149"/>
      <c r="J712" s="149"/>
      <c r="K712" s="149"/>
      <c r="L712" s="149"/>
      <c r="M712" s="142"/>
      <c r="N712" s="33"/>
    </row>
    <row r="713" ht="15.75" customHeight="1">
      <c r="A713" s="142"/>
      <c r="B713" s="143"/>
      <c r="C713" s="144"/>
      <c r="D713" s="145"/>
      <c r="E713" s="212"/>
      <c r="F713" s="174"/>
      <c r="G713" s="148"/>
      <c r="H713" s="148"/>
      <c r="I713" s="149"/>
      <c r="J713" s="149"/>
      <c r="K713" s="149"/>
      <c r="L713" s="149"/>
      <c r="M713" s="142"/>
      <c r="N713" s="33"/>
    </row>
    <row r="714" ht="15.75" customHeight="1">
      <c r="A714" s="142"/>
      <c r="B714" s="143"/>
      <c r="C714" s="144"/>
      <c r="D714" s="145"/>
      <c r="E714" s="212"/>
      <c r="F714" s="174"/>
      <c r="G714" s="148"/>
      <c r="H714" s="148"/>
      <c r="I714" s="149"/>
      <c r="J714" s="149"/>
      <c r="K714" s="149"/>
      <c r="L714" s="149"/>
      <c r="M714" s="142"/>
      <c r="N714" s="33"/>
    </row>
    <row r="715" ht="15.75" customHeight="1">
      <c r="A715" s="142"/>
      <c r="B715" s="143"/>
      <c r="C715" s="144"/>
      <c r="D715" s="145"/>
      <c r="E715" s="212"/>
      <c r="F715" s="174"/>
      <c r="G715" s="148"/>
      <c r="H715" s="148"/>
      <c r="I715" s="149"/>
      <c r="J715" s="149"/>
      <c r="K715" s="149"/>
      <c r="L715" s="149"/>
      <c r="M715" s="142"/>
      <c r="N715" s="33"/>
    </row>
    <row r="716" ht="15.75" customHeight="1">
      <c r="A716" s="142"/>
      <c r="B716" s="143"/>
      <c r="C716" s="144"/>
      <c r="D716" s="145"/>
      <c r="E716" s="212"/>
      <c r="F716" s="174"/>
      <c r="G716" s="148"/>
      <c r="H716" s="148"/>
      <c r="I716" s="149"/>
      <c r="J716" s="149"/>
      <c r="K716" s="149"/>
      <c r="L716" s="149"/>
      <c r="M716" s="142"/>
      <c r="N716" s="33"/>
    </row>
    <row r="717" ht="15.75" customHeight="1">
      <c r="A717" s="142"/>
      <c r="B717" s="143"/>
      <c r="C717" s="144"/>
      <c r="D717" s="145"/>
      <c r="E717" s="212"/>
      <c r="F717" s="174"/>
      <c r="G717" s="148"/>
      <c r="H717" s="148"/>
      <c r="I717" s="149"/>
      <c r="J717" s="149"/>
      <c r="K717" s="149"/>
      <c r="L717" s="149"/>
      <c r="M717" s="142"/>
      <c r="N717" s="33"/>
    </row>
    <row r="718" ht="15.75" customHeight="1">
      <c r="A718" s="142"/>
      <c r="B718" s="143"/>
      <c r="C718" s="144"/>
      <c r="D718" s="145"/>
      <c r="E718" s="212"/>
      <c r="F718" s="174"/>
      <c r="G718" s="148"/>
      <c r="H718" s="148"/>
      <c r="I718" s="149"/>
      <c r="J718" s="149"/>
      <c r="K718" s="149"/>
      <c r="L718" s="149"/>
      <c r="M718" s="142"/>
      <c r="N718" s="33"/>
    </row>
    <row r="719" ht="15.75" customHeight="1">
      <c r="A719" s="142"/>
      <c r="B719" s="143"/>
      <c r="C719" s="144"/>
      <c r="D719" s="145"/>
      <c r="E719" s="212"/>
      <c r="F719" s="174"/>
      <c r="G719" s="148"/>
      <c r="H719" s="148"/>
      <c r="I719" s="149"/>
      <c r="J719" s="149"/>
      <c r="K719" s="149"/>
      <c r="L719" s="149"/>
      <c r="M719" s="142"/>
      <c r="N719" s="33"/>
    </row>
    <row r="720" ht="15.75" customHeight="1">
      <c r="A720" s="142"/>
      <c r="B720" s="143"/>
      <c r="C720" s="144"/>
      <c r="D720" s="145"/>
      <c r="E720" s="212"/>
      <c r="F720" s="174"/>
      <c r="G720" s="148"/>
      <c r="H720" s="148"/>
      <c r="I720" s="149"/>
      <c r="J720" s="149"/>
      <c r="K720" s="149"/>
      <c r="L720" s="149"/>
      <c r="M720" s="142"/>
      <c r="N720" s="33"/>
    </row>
    <row r="721" ht="15.75" customHeight="1">
      <c r="A721" s="142"/>
      <c r="B721" s="143"/>
      <c r="C721" s="144"/>
      <c r="D721" s="145"/>
      <c r="E721" s="212"/>
      <c r="F721" s="174"/>
      <c r="G721" s="148"/>
      <c r="H721" s="148"/>
      <c r="I721" s="149"/>
      <c r="J721" s="149"/>
      <c r="K721" s="149"/>
      <c r="L721" s="149"/>
      <c r="M721" s="142"/>
      <c r="N721" s="33"/>
    </row>
    <row r="722" ht="15.75" customHeight="1">
      <c r="A722" s="142"/>
      <c r="B722" s="143"/>
      <c r="C722" s="144"/>
      <c r="D722" s="145"/>
      <c r="E722" s="212"/>
      <c r="F722" s="174"/>
      <c r="G722" s="148"/>
      <c r="H722" s="148"/>
      <c r="I722" s="149"/>
      <c r="J722" s="149"/>
      <c r="K722" s="149"/>
      <c r="L722" s="149"/>
      <c r="M722" s="142"/>
      <c r="N722" s="33"/>
    </row>
    <row r="723" ht="15.75" customHeight="1">
      <c r="A723" s="142"/>
      <c r="B723" s="143"/>
      <c r="C723" s="144"/>
      <c r="D723" s="145"/>
      <c r="E723" s="212"/>
      <c r="F723" s="174"/>
      <c r="G723" s="148"/>
      <c r="H723" s="148"/>
      <c r="I723" s="149"/>
      <c r="J723" s="149"/>
      <c r="K723" s="149"/>
      <c r="L723" s="149"/>
      <c r="M723" s="142"/>
      <c r="N723" s="33"/>
    </row>
    <row r="724" ht="15.75" customHeight="1">
      <c r="A724" s="142"/>
      <c r="B724" s="143"/>
      <c r="C724" s="144"/>
      <c r="D724" s="145"/>
      <c r="E724" s="212"/>
      <c r="F724" s="174"/>
      <c r="G724" s="148"/>
      <c r="H724" s="148"/>
      <c r="I724" s="149"/>
      <c r="J724" s="149"/>
      <c r="K724" s="149"/>
      <c r="L724" s="149"/>
      <c r="M724" s="142"/>
      <c r="N724" s="33"/>
    </row>
    <row r="725" ht="15.75" customHeight="1">
      <c r="A725" s="142"/>
      <c r="B725" s="143"/>
      <c r="C725" s="144"/>
      <c r="D725" s="145"/>
      <c r="E725" s="212"/>
      <c r="F725" s="174"/>
      <c r="G725" s="148"/>
      <c r="H725" s="148"/>
      <c r="I725" s="149"/>
      <c r="J725" s="149"/>
      <c r="K725" s="149"/>
      <c r="L725" s="149"/>
      <c r="M725" s="142"/>
      <c r="N725" s="33"/>
    </row>
    <row r="726" ht="15.75" customHeight="1">
      <c r="A726" s="142"/>
      <c r="B726" s="143"/>
      <c r="C726" s="144"/>
      <c r="D726" s="145"/>
      <c r="E726" s="212"/>
      <c r="F726" s="174"/>
      <c r="G726" s="148"/>
      <c r="H726" s="148"/>
      <c r="I726" s="149"/>
      <c r="J726" s="149"/>
      <c r="K726" s="149"/>
      <c r="L726" s="149"/>
      <c r="M726" s="142"/>
      <c r="N726" s="33"/>
    </row>
    <row r="727" ht="15.75" customHeight="1">
      <c r="A727" s="142"/>
      <c r="B727" s="143"/>
      <c r="C727" s="144"/>
      <c r="D727" s="145"/>
      <c r="E727" s="212"/>
      <c r="F727" s="174"/>
      <c r="G727" s="148"/>
      <c r="H727" s="148"/>
      <c r="I727" s="149"/>
      <c r="J727" s="149"/>
      <c r="K727" s="149"/>
      <c r="L727" s="149"/>
      <c r="M727" s="142"/>
      <c r="N727" s="33"/>
    </row>
    <row r="728" ht="15.75" customHeight="1">
      <c r="A728" s="142"/>
      <c r="B728" s="143"/>
      <c r="C728" s="144"/>
      <c r="D728" s="145"/>
      <c r="E728" s="212"/>
      <c r="F728" s="174"/>
      <c r="G728" s="148"/>
      <c r="H728" s="148"/>
      <c r="I728" s="149"/>
      <c r="J728" s="149"/>
      <c r="K728" s="149"/>
      <c r="L728" s="149"/>
      <c r="M728" s="142"/>
      <c r="N728" s="33"/>
    </row>
    <row r="729" ht="15.75" customHeight="1">
      <c r="A729" s="142"/>
      <c r="B729" s="143"/>
      <c r="C729" s="144"/>
      <c r="D729" s="145"/>
      <c r="E729" s="212"/>
      <c r="F729" s="174"/>
      <c r="G729" s="148"/>
      <c r="H729" s="148"/>
      <c r="I729" s="149"/>
      <c r="J729" s="149"/>
      <c r="K729" s="149"/>
      <c r="L729" s="149"/>
      <c r="M729" s="142"/>
      <c r="N729" s="33"/>
    </row>
    <row r="730" ht="15.75" customHeight="1">
      <c r="A730" s="142"/>
      <c r="B730" s="143"/>
      <c r="C730" s="144"/>
      <c r="D730" s="145"/>
      <c r="E730" s="212"/>
      <c r="F730" s="174"/>
      <c r="G730" s="148"/>
      <c r="H730" s="148"/>
      <c r="I730" s="149"/>
      <c r="J730" s="149"/>
      <c r="K730" s="149"/>
      <c r="L730" s="149"/>
      <c r="M730" s="142"/>
      <c r="N730" s="33"/>
    </row>
    <row r="731" ht="15.75" customHeight="1">
      <c r="A731" s="142"/>
      <c r="B731" s="143"/>
      <c r="C731" s="144"/>
      <c r="D731" s="145"/>
      <c r="E731" s="212"/>
      <c r="F731" s="174"/>
      <c r="G731" s="148"/>
      <c r="H731" s="148"/>
      <c r="I731" s="149"/>
      <c r="J731" s="149"/>
      <c r="K731" s="149"/>
      <c r="L731" s="149"/>
      <c r="M731" s="142"/>
      <c r="N731" s="33"/>
    </row>
    <row r="732" ht="15.75" customHeight="1">
      <c r="A732" s="142"/>
      <c r="B732" s="143"/>
      <c r="C732" s="144"/>
      <c r="D732" s="145"/>
      <c r="E732" s="212"/>
      <c r="F732" s="174"/>
      <c r="G732" s="148"/>
      <c r="H732" s="148"/>
      <c r="I732" s="149"/>
      <c r="J732" s="149"/>
      <c r="K732" s="149"/>
      <c r="L732" s="149"/>
      <c r="M732" s="142"/>
      <c r="N732" s="33"/>
    </row>
    <row r="733" ht="15.75" customHeight="1">
      <c r="A733" s="142"/>
      <c r="B733" s="143"/>
      <c r="C733" s="144"/>
      <c r="D733" s="145"/>
      <c r="E733" s="212"/>
      <c r="F733" s="174"/>
      <c r="G733" s="148"/>
      <c r="H733" s="148"/>
      <c r="I733" s="149"/>
      <c r="J733" s="149"/>
      <c r="K733" s="149"/>
      <c r="L733" s="149"/>
      <c r="M733" s="142"/>
      <c r="N733" s="33"/>
    </row>
    <row r="734" ht="15.75" customHeight="1">
      <c r="A734" s="142"/>
      <c r="B734" s="143"/>
      <c r="C734" s="144"/>
      <c r="D734" s="145"/>
      <c r="E734" s="212"/>
      <c r="F734" s="174"/>
      <c r="G734" s="148"/>
      <c r="H734" s="148"/>
      <c r="I734" s="149"/>
      <c r="J734" s="149"/>
      <c r="K734" s="149"/>
      <c r="L734" s="149"/>
      <c r="M734" s="142"/>
      <c r="N734" s="33"/>
    </row>
    <row r="735" ht="15.75" customHeight="1">
      <c r="A735" s="142"/>
      <c r="B735" s="143"/>
      <c r="C735" s="144"/>
      <c r="D735" s="145"/>
      <c r="E735" s="212"/>
      <c r="F735" s="174"/>
      <c r="G735" s="148"/>
      <c r="H735" s="148"/>
      <c r="I735" s="149"/>
      <c r="J735" s="149"/>
      <c r="K735" s="149"/>
      <c r="L735" s="149"/>
      <c r="M735" s="142"/>
      <c r="N735" s="33"/>
    </row>
    <row r="736" ht="15.75" customHeight="1">
      <c r="A736" s="142"/>
      <c r="B736" s="143"/>
      <c r="C736" s="144"/>
      <c r="D736" s="145"/>
      <c r="E736" s="212"/>
      <c r="F736" s="174"/>
      <c r="G736" s="148"/>
      <c r="H736" s="148"/>
      <c r="I736" s="149"/>
      <c r="J736" s="149"/>
      <c r="K736" s="149"/>
      <c r="L736" s="149"/>
      <c r="M736" s="142"/>
      <c r="N736" s="33"/>
    </row>
    <row r="737" ht="15.75" customHeight="1">
      <c r="A737" s="142"/>
      <c r="B737" s="143"/>
      <c r="C737" s="144"/>
      <c r="D737" s="145"/>
      <c r="E737" s="212"/>
      <c r="F737" s="174"/>
      <c r="G737" s="148"/>
      <c r="H737" s="148"/>
      <c r="I737" s="149"/>
      <c r="J737" s="149"/>
      <c r="K737" s="149"/>
      <c r="L737" s="149"/>
      <c r="M737" s="142"/>
      <c r="N737" s="33"/>
    </row>
    <row r="738" ht="15.75" customHeight="1">
      <c r="A738" s="142"/>
      <c r="B738" s="143"/>
      <c r="C738" s="144"/>
      <c r="D738" s="145"/>
      <c r="E738" s="212"/>
      <c r="F738" s="174"/>
      <c r="G738" s="148"/>
      <c r="H738" s="148"/>
      <c r="I738" s="149"/>
      <c r="J738" s="149"/>
      <c r="K738" s="149"/>
      <c r="L738" s="149"/>
      <c r="M738" s="142"/>
      <c r="N738" s="33"/>
    </row>
    <row r="739" ht="15.75" customHeight="1">
      <c r="A739" s="142"/>
      <c r="B739" s="143"/>
      <c r="C739" s="144"/>
      <c r="D739" s="145"/>
      <c r="E739" s="212"/>
      <c r="F739" s="174"/>
      <c r="G739" s="148"/>
      <c r="H739" s="148"/>
      <c r="I739" s="149"/>
      <c r="J739" s="149"/>
      <c r="K739" s="149"/>
      <c r="L739" s="149"/>
      <c r="M739" s="142"/>
      <c r="N739" s="33"/>
    </row>
    <row r="740" ht="15.75" customHeight="1">
      <c r="A740" s="142"/>
      <c r="B740" s="143"/>
      <c r="C740" s="144"/>
      <c r="D740" s="145"/>
      <c r="E740" s="212"/>
      <c r="F740" s="174"/>
      <c r="G740" s="148"/>
      <c r="H740" s="148"/>
      <c r="I740" s="149"/>
      <c r="J740" s="149"/>
      <c r="K740" s="149"/>
      <c r="L740" s="149"/>
      <c r="M740" s="142"/>
      <c r="N740" s="33"/>
    </row>
    <row r="741" ht="15.75" customHeight="1">
      <c r="A741" s="142"/>
      <c r="B741" s="143"/>
      <c r="C741" s="144"/>
      <c r="D741" s="145"/>
      <c r="E741" s="212"/>
      <c r="F741" s="174"/>
      <c r="G741" s="148"/>
      <c r="H741" s="148"/>
      <c r="I741" s="149"/>
      <c r="J741" s="149"/>
      <c r="K741" s="149"/>
      <c r="L741" s="149"/>
      <c r="M741" s="142"/>
      <c r="N741" s="33"/>
    </row>
    <row r="742" ht="15.75" customHeight="1">
      <c r="A742" s="142"/>
      <c r="B742" s="143"/>
      <c r="C742" s="144"/>
      <c r="D742" s="145"/>
      <c r="E742" s="212"/>
      <c r="F742" s="174"/>
      <c r="G742" s="148"/>
      <c r="H742" s="148"/>
      <c r="I742" s="149"/>
      <c r="J742" s="149"/>
      <c r="K742" s="149"/>
      <c r="L742" s="149"/>
      <c r="M742" s="142"/>
      <c r="N742" s="33"/>
    </row>
    <row r="743" ht="15.75" customHeight="1">
      <c r="A743" s="142"/>
      <c r="B743" s="143"/>
      <c r="C743" s="144"/>
      <c r="D743" s="145"/>
      <c r="E743" s="212"/>
      <c r="F743" s="174"/>
      <c r="G743" s="148"/>
      <c r="H743" s="148"/>
      <c r="I743" s="149"/>
      <c r="J743" s="149"/>
      <c r="K743" s="149"/>
      <c r="L743" s="149"/>
      <c r="M743" s="142"/>
      <c r="N743" s="33"/>
    </row>
    <row r="744" ht="15.75" customHeight="1">
      <c r="A744" s="142"/>
      <c r="B744" s="143"/>
      <c r="C744" s="144"/>
      <c r="D744" s="145"/>
      <c r="E744" s="212"/>
      <c r="F744" s="174"/>
      <c r="G744" s="148"/>
      <c r="H744" s="148"/>
      <c r="I744" s="149"/>
      <c r="J744" s="149"/>
      <c r="K744" s="149"/>
      <c r="L744" s="149"/>
      <c r="M744" s="142"/>
      <c r="N744" s="33"/>
    </row>
    <row r="745" ht="15.75" customHeight="1">
      <c r="A745" s="142"/>
      <c r="B745" s="143"/>
      <c r="C745" s="144"/>
      <c r="D745" s="145"/>
      <c r="E745" s="212"/>
      <c r="F745" s="174"/>
      <c r="G745" s="148"/>
      <c r="H745" s="148"/>
      <c r="I745" s="149"/>
      <c r="J745" s="149"/>
      <c r="K745" s="149"/>
      <c r="L745" s="149"/>
      <c r="M745" s="142"/>
      <c r="N745" s="33"/>
    </row>
    <row r="746" ht="15.75" customHeight="1">
      <c r="A746" s="142"/>
      <c r="B746" s="143"/>
      <c r="C746" s="144"/>
      <c r="D746" s="145"/>
      <c r="E746" s="212"/>
      <c r="F746" s="174"/>
      <c r="G746" s="148"/>
      <c r="H746" s="148"/>
      <c r="I746" s="149"/>
      <c r="J746" s="149"/>
      <c r="K746" s="149"/>
      <c r="L746" s="149"/>
      <c r="M746" s="142"/>
      <c r="N746" s="33"/>
    </row>
    <row r="747" ht="15.75" customHeight="1">
      <c r="A747" s="142"/>
      <c r="B747" s="143"/>
      <c r="C747" s="144"/>
      <c r="D747" s="145"/>
      <c r="E747" s="212"/>
      <c r="F747" s="174"/>
      <c r="G747" s="148"/>
      <c r="H747" s="148"/>
      <c r="I747" s="149"/>
      <c r="J747" s="149"/>
      <c r="K747" s="149"/>
      <c r="L747" s="149"/>
      <c r="M747" s="142"/>
      <c r="N747" s="33"/>
    </row>
    <row r="748" ht="15.75" customHeight="1">
      <c r="A748" s="142"/>
      <c r="B748" s="143"/>
      <c r="C748" s="144"/>
      <c r="D748" s="145"/>
      <c r="E748" s="212"/>
      <c r="F748" s="174"/>
      <c r="G748" s="148"/>
      <c r="H748" s="148"/>
      <c r="I748" s="149"/>
      <c r="J748" s="149"/>
      <c r="K748" s="149"/>
      <c r="L748" s="149"/>
      <c r="M748" s="142"/>
      <c r="N748" s="33"/>
    </row>
    <row r="749" ht="15.75" customHeight="1">
      <c r="A749" s="142"/>
      <c r="B749" s="143"/>
      <c r="C749" s="144"/>
      <c r="D749" s="145"/>
      <c r="E749" s="212"/>
      <c r="F749" s="174"/>
      <c r="G749" s="148"/>
      <c r="H749" s="148"/>
      <c r="I749" s="149"/>
      <c r="J749" s="149"/>
      <c r="K749" s="149"/>
      <c r="L749" s="149"/>
      <c r="M749" s="142"/>
      <c r="N749" s="33"/>
    </row>
    <row r="750" ht="15.75" customHeight="1">
      <c r="A750" s="142"/>
      <c r="B750" s="143"/>
      <c r="C750" s="144"/>
      <c r="D750" s="145"/>
      <c r="E750" s="212"/>
      <c r="F750" s="174"/>
      <c r="G750" s="148"/>
      <c r="H750" s="148"/>
      <c r="I750" s="149"/>
      <c r="J750" s="149"/>
      <c r="K750" s="149"/>
      <c r="L750" s="149"/>
      <c r="M750" s="142"/>
      <c r="N750" s="33"/>
    </row>
    <row r="751" ht="15.75" customHeight="1">
      <c r="A751" s="142"/>
      <c r="B751" s="143"/>
      <c r="C751" s="144"/>
      <c r="D751" s="145"/>
      <c r="E751" s="212"/>
      <c r="F751" s="174"/>
      <c r="G751" s="148"/>
      <c r="H751" s="148"/>
      <c r="I751" s="149"/>
      <c r="J751" s="149"/>
      <c r="K751" s="149"/>
      <c r="L751" s="149"/>
      <c r="M751" s="142"/>
      <c r="N751" s="33"/>
    </row>
    <row r="752" ht="15.75" customHeight="1">
      <c r="A752" s="142"/>
      <c r="B752" s="143"/>
      <c r="C752" s="144"/>
      <c r="D752" s="145"/>
      <c r="E752" s="212"/>
      <c r="F752" s="174"/>
      <c r="G752" s="148"/>
      <c r="H752" s="148"/>
      <c r="I752" s="149"/>
      <c r="J752" s="149"/>
      <c r="K752" s="149"/>
      <c r="L752" s="149"/>
      <c r="M752" s="142"/>
      <c r="N752" s="33"/>
    </row>
    <row r="753" ht="15.75" customHeight="1">
      <c r="A753" s="142"/>
      <c r="B753" s="143"/>
      <c r="C753" s="144"/>
      <c r="D753" s="145"/>
      <c r="E753" s="212"/>
      <c r="F753" s="174"/>
      <c r="G753" s="148"/>
      <c r="H753" s="148"/>
      <c r="I753" s="149"/>
      <c r="J753" s="149"/>
      <c r="K753" s="149"/>
      <c r="L753" s="149"/>
      <c r="M753" s="142"/>
      <c r="N753" s="33"/>
    </row>
    <row r="754" ht="15.75" customHeight="1">
      <c r="A754" s="142"/>
      <c r="B754" s="143"/>
      <c r="C754" s="144"/>
      <c r="D754" s="145"/>
      <c r="E754" s="212"/>
      <c r="F754" s="174"/>
      <c r="G754" s="148"/>
      <c r="H754" s="148"/>
      <c r="I754" s="149"/>
      <c r="J754" s="149"/>
      <c r="K754" s="149"/>
      <c r="L754" s="149"/>
      <c r="M754" s="142"/>
      <c r="N754" s="33"/>
    </row>
    <row r="755" ht="15.75" customHeight="1">
      <c r="A755" s="142"/>
      <c r="B755" s="143"/>
      <c r="C755" s="144"/>
      <c r="D755" s="145"/>
      <c r="E755" s="212"/>
      <c r="F755" s="174"/>
      <c r="G755" s="148"/>
      <c r="H755" s="148"/>
      <c r="I755" s="149"/>
      <c r="J755" s="149"/>
      <c r="K755" s="149"/>
      <c r="L755" s="149"/>
      <c r="M755" s="142"/>
      <c r="N755" s="33"/>
    </row>
    <row r="756" ht="15.75" customHeight="1">
      <c r="A756" s="142"/>
      <c r="B756" s="143"/>
      <c r="C756" s="144"/>
      <c r="D756" s="145"/>
      <c r="E756" s="212"/>
      <c r="F756" s="174"/>
      <c r="G756" s="148"/>
      <c r="H756" s="148"/>
      <c r="I756" s="149"/>
      <c r="J756" s="149"/>
      <c r="K756" s="149"/>
      <c r="L756" s="149"/>
      <c r="M756" s="142"/>
      <c r="N756" s="33"/>
    </row>
    <row r="757" ht="15.75" customHeight="1">
      <c r="A757" s="142"/>
      <c r="B757" s="143"/>
      <c r="C757" s="144"/>
      <c r="D757" s="145"/>
      <c r="E757" s="212"/>
      <c r="F757" s="174"/>
      <c r="G757" s="148"/>
      <c r="H757" s="148"/>
      <c r="I757" s="149"/>
      <c r="J757" s="149"/>
      <c r="K757" s="149"/>
      <c r="L757" s="149"/>
      <c r="M757" s="142"/>
      <c r="N757" s="33"/>
    </row>
    <row r="758" ht="15.75" customHeight="1">
      <c r="A758" s="142"/>
      <c r="B758" s="143"/>
      <c r="C758" s="144"/>
      <c r="D758" s="145"/>
      <c r="E758" s="212"/>
      <c r="F758" s="174"/>
      <c r="G758" s="148"/>
      <c r="H758" s="148"/>
      <c r="I758" s="149"/>
      <c r="J758" s="149"/>
      <c r="K758" s="149"/>
      <c r="L758" s="149"/>
      <c r="M758" s="142"/>
      <c r="N758" s="33"/>
    </row>
    <row r="759" ht="15.75" customHeight="1">
      <c r="A759" s="142"/>
      <c r="B759" s="143"/>
      <c r="C759" s="144"/>
      <c r="D759" s="145"/>
      <c r="E759" s="212"/>
      <c r="F759" s="174"/>
      <c r="G759" s="148"/>
      <c r="H759" s="148"/>
      <c r="I759" s="149"/>
      <c r="J759" s="149"/>
      <c r="K759" s="149"/>
      <c r="L759" s="149"/>
      <c r="M759" s="142"/>
      <c r="N759" s="33"/>
    </row>
    <row r="760" ht="15.75" customHeight="1">
      <c r="A760" s="142"/>
      <c r="B760" s="143"/>
      <c r="C760" s="144"/>
      <c r="D760" s="145"/>
      <c r="E760" s="212"/>
      <c r="F760" s="174"/>
      <c r="G760" s="148"/>
      <c r="H760" s="148"/>
      <c r="I760" s="149"/>
      <c r="J760" s="149"/>
      <c r="K760" s="149"/>
      <c r="L760" s="149"/>
      <c r="M760" s="142"/>
      <c r="N760" s="33"/>
    </row>
    <row r="761" ht="15.75" customHeight="1">
      <c r="A761" s="142"/>
      <c r="B761" s="143"/>
      <c r="C761" s="144"/>
      <c r="D761" s="145"/>
      <c r="E761" s="212"/>
      <c r="F761" s="174"/>
      <c r="G761" s="148"/>
      <c r="H761" s="148"/>
      <c r="I761" s="149"/>
      <c r="J761" s="149"/>
      <c r="K761" s="149"/>
      <c r="L761" s="149"/>
      <c r="M761" s="142"/>
      <c r="N761" s="33"/>
    </row>
    <row r="762" ht="15.75" customHeight="1">
      <c r="A762" s="142"/>
      <c r="B762" s="143"/>
      <c r="C762" s="144"/>
      <c r="D762" s="145"/>
      <c r="E762" s="212"/>
      <c r="F762" s="174"/>
      <c r="G762" s="148"/>
      <c r="H762" s="148"/>
      <c r="I762" s="149"/>
      <c r="J762" s="149"/>
      <c r="K762" s="149"/>
      <c r="L762" s="149"/>
      <c r="M762" s="142"/>
      <c r="N762" s="33"/>
    </row>
    <row r="763" ht="15.75" customHeight="1">
      <c r="A763" s="142"/>
      <c r="B763" s="143"/>
      <c r="C763" s="144"/>
      <c r="D763" s="145"/>
      <c r="E763" s="212"/>
      <c r="F763" s="174"/>
      <c r="G763" s="148"/>
      <c r="H763" s="148"/>
      <c r="I763" s="149"/>
      <c r="J763" s="149"/>
      <c r="K763" s="149"/>
      <c r="L763" s="149"/>
      <c r="M763" s="142"/>
      <c r="N763" s="33"/>
    </row>
    <row r="764" ht="15.75" customHeight="1">
      <c r="A764" s="142"/>
      <c r="B764" s="143"/>
      <c r="C764" s="144"/>
      <c r="D764" s="145"/>
      <c r="E764" s="212"/>
      <c r="F764" s="174"/>
      <c r="G764" s="148"/>
      <c r="H764" s="148"/>
      <c r="I764" s="149"/>
      <c r="J764" s="149"/>
      <c r="K764" s="149"/>
      <c r="L764" s="149"/>
      <c r="M764" s="142"/>
      <c r="N764" s="33"/>
    </row>
    <row r="765" ht="15.75" customHeight="1">
      <c r="A765" s="142"/>
      <c r="B765" s="143"/>
      <c r="C765" s="144"/>
      <c r="D765" s="145"/>
      <c r="E765" s="212"/>
      <c r="F765" s="174"/>
      <c r="G765" s="148"/>
      <c r="H765" s="148"/>
      <c r="I765" s="149"/>
      <c r="J765" s="149"/>
      <c r="K765" s="149"/>
      <c r="L765" s="149"/>
      <c r="M765" s="142"/>
      <c r="N765" s="33"/>
    </row>
    <row r="766" ht="15.75" customHeight="1">
      <c r="A766" s="142"/>
      <c r="B766" s="143"/>
      <c r="C766" s="144"/>
      <c r="D766" s="145"/>
      <c r="E766" s="212"/>
      <c r="F766" s="174"/>
      <c r="G766" s="148"/>
      <c r="H766" s="148"/>
      <c r="I766" s="149"/>
      <c r="J766" s="149"/>
      <c r="K766" s="149"/>
      <c r="L766" s="149"/>
      <c r="M766" s="142"/>
      <c r="N766" s="33"/>
    </row>
    <row r="767" ht="15.75" customHeight="1">
      <c r="A767" s="142"/>
      <c r="B767" s="143"/>
      <c r="C767" s="144"/>
      <c r="D767" s="145"/>
      <c r="E767" s="212"/>
      <c r="F767" s="174"/>
      <c r="G767" s="148"/>
      <c r="H767" s="148"/>
      <c r="I767" s="149"/>
      <c r="J767" s="149"/>
      <c r="K767" s="149"/>
      <c r="L767" s="149"/>
      <c r="M767" s="142"/>
      <c r="N767" s="33"/>
    </row>
    <row r="768" ht="15.75" customHeight="1">
      <c r="A768" s="142"/>
      <c r="B768" s="143"/>
      <c r="C768" s="144"/>
      <c r="D768" s="145"/>
      <c r="E768" s="212"/>
      <c r="F768" s="174"/>
      <c r="G768" s="148"/>
      <c r="H768" s="148"/>
      <c r="I768" s="149"/>
      <c r="J768" s="149"/>
      <c r="K768" s="149"/>
      <c r="L768" s="149"/>
      <c r="M768" s="142"/>
      <c r="N768" s="33"/>
    </row>
    <row r="769" ht="15.75" customHeight="1">
      <c r="A769" s="142"/>
      <c r="B769" s="143"/>
      <c r="C769" s="144"/>
      <c r="D769" s="145"/>
      <c r="E769" s="212"/>
      <c r="F769" s="174"/>
      <c r="G769" s="148"/>
      <c r="H769" s="148"/>
      <c r="I769" s="149"/>
      <c r="J769" s="149"/>
      <c r="K769" s="149"/>
      <c r="L769" s="149"/>
      <c r="M769" s="142"/>
      <c r="N769" s="33"/>
    </row>
    <row r="770" ht="15.75" customHeight="1">
      <c r="A770" s="142"/>
      <c r="B770" s="143"/>
      <c r="C770" s="144"/>
      <c r="D770" s="145"/>
      <c r="E770" s="212"/>
      <c r="F770" s="174"/>
      <c r="G770" s="148"/>
      <c r="H770" s="148"/>
      <c r="I770" s="149"/>
      <c r="J770" s="149"/>
      <c r="K770" s="149"/>
      <c r="L770" s="149"/>
      <c r="M770" s="142"/>
      <c r="N770" s="33"/>
    </row>
    <row r="771" ht="15.75" customHeight="1">
      <c r="A771" s="142"/>
      <c r="B771" s="143"/>
      <c r="C771" s="144"/>
      <c r="D771" s="145"/>
      <c r="E771" s="212"/>
      <c r="F771" s="174"/>
      <c r="G771" s="148"/>
      <c r="H771" s="148"/>
      <c r="I771" s="149"/>
      <c r="J771" s="149"/>
      <c r="K771" s="149"/>
      <c r="L771" s="149"/>
      <c r="M771" s="142"/>
      <c r="N771" s="33"/>
    </row>
    <row r="772" ht="15.75" customHeight="1">
      <c r="A772" s="142"/>
      <c r="B772" s="143"/>
      <c r="C772" s="144"/>
      <c r="D772" s="145"/>
      <c r="E772" s="212"/>
      <c r="F772" s="174"/>
      <c r="G772" s="148"/>
      <c r="H772" s="148"/>
      <c r="I772" s="149"/>
      <c r="J772" s="149"/>
      <c r="K772" s="149"/>
      <c r="L772" s="149"/>
      <c r="M772" s="142"/>
      <c r="N772" s="33"/>
    </row>
    <row r="773" ht="15.75" customHeight="1">
      <c r="A773" s="142"/>
      <c r="B773" s="143"/>
      <c r="C773" s="144"/>
      <c r="D773" s="145"/>
      <c r="E773" s="212"/>
      <c r="F773" s="174"/>
      <c r="G773" s="148"/>
      <c r="H773" s="148"/>
      <c r="I773" s="149"/>
      <c r="J773" s="149"/>
      <c r="K773" s="149"/>
      <c r="L773" s="149"/>
      <c r="M773" s="142"/>
      <c r="N773" s="33"/>
    </row>
    <row r="774" ht="15.75" customHeight="1">
      <c r="A774" s="142"/>
      <c r="B774" s="143"/>
      <c r="C774" s="144"/>
      <c r="D774" s="145"/>
      <c r="E774" s="212"/>
      <c r="F774" s="174"/>
      <c r="G774" s="148"/>
      <c r="H774" s="148"/>
      <c r="I774" s="149"/>
      <c r="J774" s="149"/>
      <c r="K774" s="149"/>
      <c r="L774" s="149"/>
      <c r="M774" s="142"/>
      <c r="N774" s="33"/>
    </row>
    <row r="775" ht="15.75" customHeight="1">
      <c r="A775" s="142"/>
      <c r="B775" s="143"/>
      <c r="C775" s="144"/>
      <c r="D775" s="145"/>
      <c r="E775" s="212"/>
      <c r="F775" s="174"/>
      <c r="G775" s="148"/>
      <c r="H775" s="148"/>
      <c r="I775" s="149"/>
      <c r="J775" s="149"/>
      <c r="K775" s="149"/>
      <c r="L775" s="149"/>
      <c r="M775" s="142"/>
      <c r="N775" s="33"/>
    </row>
    <row r="776" ht="15.75" customHeight="1">
      <c r="A776" s="142"/>
      <c r="B776" s="143"/>
      <c r="C776" s="144"/>
      <c r="D776" s="145"/>
      <c r="E776" s="212"/>
      <c r="F776" s="174"/>
      <c r="G776" s="148"/>
      <c r="H776" s="148"/>
      <c r="I776" s="149"/>
      <c r="J776" s="149"/>
      <c r="K776" s="149"/>
      <c r="L776" s="149"/>
      <c r="M776" s="142"/>
      <c r="N776" s="33"/>
    </row>
    <row r="777" ht="15.75" customHeight="1">
      <c r="A777" s="142"/>
      <c r="B777" s="143"/>
      <c r="C777" s="144"/>
      <c r="D777" s="145"/>
      <c r="E777" s="212"/>
      <c r="F777" s="174"/>
      <c r="G777" s="148"/>
      <c r="H777" s="148"/>
      <c r="I777" s="149"/>
      <c r="J777" s="149"/>
      <c r="K777" s="149"/>
      <c r="L777" s="149"/>
      <c r="M777" s="142"/>
      <c r="N777" s="33"/>
    </row>
    <row r="778" ht="15.75" customHeight="1">
      <c r="A778" s="142"/>
      <c r="B778" s="143"/>
      <c r="C778" s="144"/>
      <c r="D778" s="145"/>
      <c r="E778" s="212"/>
      <c r="F778" s="174"/>
      <c r="G778" s="148"/>
      <c r="H778" s="148"/>
      <c r="I778" s="149"/>
      <c r="J778" s="149"/>
      <c r="K778" s="149"/>
      <c r="L778" s="149"/>
      <c r="M778" s="142"/>
      <c r="N778" s="33"/>
    </row>
    <row r="779" ht="15.75" customHeight="1">
      <c r="A779" s="142"/>
      <c r="B779" s="143"/>
      <c r="C779" s="144"/>
      <c r="D779" s="145"/>
      <c r="E779" s="212"/>
      <c r="F779" s="174"/>
      <c r="G779" s="148"/>
      <c r="H779" s="148"/>
      <c r="I779" s="149"/>
      <c r="J779" s="149"/>
      <c r="K779" s="149"/>
      <c r="L779" s="149"/>
      <c r="M779" s="142"/>
      <c r="N779" s="33"/>
    </row>
    <row r="780" ht="15.75" customHeight="1">
      <c r="A780" s="142"/>
      <c r="B780" s="143"/>
      <c r="C780" s="144"/>
      <c r="D780" s="145"/>
      <c r="E780" s="212"/>
      <c r="F780" s="174"/>
      <c r="G780" s="148"/>
      <c r="H780" s="148"/>
      <c r="I780" s="149"/>
      <c r="J780" s="149"/>
      <c r="K780" s="149"/>
      <c r="L780" s="149"/>
      <c r="M780" s="142"/>
      <c r="N780" s="33"/>
    </row>
    <row r="781" ht="15.75" customHeight="1">
      <c r="A781" s="142"/>
      <c r="B781" s="143"/>
      <c r="C781" s="144"/>
      <c r="D781" s="145"/>
      <c r="E781" s="212"/>
      <c r="F781" s="174"/>
      <c r="G781" s="148"/>
      <c r="H781" s="148"/>
      <c r="I781" s="149"/>
      <c r="J781" s="149"/>
      <c r="K781" s="149"/>
      <c r="L781" s="149"/>
      <c r="M781" s="142"/>
      <c r="N781" s="33"/>
    </row>
    <row r="782" ht="15.75" customHeight="1">
      <c r="A782" s="142"/>
      <c r="B782" s="143"/>
      <c r="C782" s="144"/>
      <c r="D782" s="145"/>
      <c r="E782" s="212"/>
      <c r="F782" s="174"/>
      <c r="G782" s="148"/>
      <c r="H782" s="148"/>
      <c r="I782" s="149"/>
      <c r="J782" s="149"/>
      <c r="K782" s="149"/>
      <c r="L782" s="149"/>
      <c r="M782" s="142"/>
      <c r="N782" s="33"/>
    </row>
    <row r="783" ht="15.75" customHeight="1">
      <c r="A783" s="142"/>
      <c r="B783" s="143"/>
      <c r="C783" s="144"/>
      <c r="D783" s="145"/>
      <c r="E783" s="212"/>
      <c r="F783" s="174"/>
      <c r="G783" s="148"/>
      <c r="H783" s="148"/>
      <c r="I783" s="149"/>
      <c r="J783" s="149"/>
      <c r="K783" s="149"/>
      <c r="L783" s="149"/>
      <c r="M783" s="142"/>
      <c r="N783" s="33"/>
    </row>
    <row r="784" ht="15.75" customHeight="1">
      <c r="A784" s="142"/>
      <c r="B784" s="143"/>
      <c r="C784" s="144"/>
      <c r="D784" s="145"/>
      <c r="E784" s="212"/>
      <c r="F784" s="174"/>
      <c r="G784" s="148"/>
      <c r="H784" s="148"/>
      <c r="I784" s="149"/>
      <c r="J784" s="149"/>
      <c r="K784" s="149"/>
      <c r="L784" s="149"/>
      <c r="M784" s="142"/>
      <c r="N784" s="33"/>
    </row>
    <row r="785" ht="15.75" customHeight="1">
      <c r="A785" s="142"/>
      <c r="B785" s="143"/>
      <c r="C785" s="144"/>
      <c r="D785" s="145"/>
      <c r="E785" s="212"/>
      <c r="F785" s="174"/>
      <c r="G785" s="148"/>
      <c r="H785" s="148"/>
      <c r="I785" s="149"/>
      <c r="J785" s="149"/>
      <c r="K785" s="149"/>
      <c r="L785" s="149"/>
      <c r="M785" s="142"/>
      <c r="N785" s="33"/>
    </row>
    <row r="786" ht="15.75" customHeight="1">
      <c r="A786" s="142"/>
      <c r="B786" s="143"/>
      <c r="C786" s="144"/>
      <c r="D786" s="145"/>
      <c r="E786" s="212"/>
      <c r="F786" s="174"/>
      <c r="G786" s="148"/>
      <c r="H786" s="148"/>
      <c r="I786" s="149"/>
      <c r="J786" s="149"/>
      <c r="K786" s="149"/>
      <c r="L786" s="149"/>
      <c r="M786" s="142"/>
      <c r="N786" s="33"/>
    </row>
    <row r="787" ht="15.75" customHeight="1">
      <c r="A787" s="142"/>
      <c r="B787" s="143"/>
      <c r="C787" s="144"/>
      <c r="D787" s="145"/>
      <c r="E787" s="212"/>
      <c r="F787" s="174"/>
      <c r="G787" s="148"/>
      <c r="H787" s="148"/>
      <c r="I787" s="149"/>
      <c r="J787" s="149"/>
      <c r="K787" s="149"/>
      <c r="L787" s="149"/>
      <c r="M787" s="142"/>
      <c r="N787" s="33"/>
    </row>
    <row r="788" ht="15.75" customHeight="1">
      <c r="A788" s="142"/>
      <c r="B788" s="143"/>
      <c r="C788" s="144"/>
      <c r="D788" s="145"/>
      <c r="E788" s="212"/>
      <c r="F788" s="174"/>
      <c r="G788" s="148"/>
      <c r="H788" s="148"/>
      <c r="I788" s="149"/>
      <c r="J788" s="149"/>
      <c r="K788" s="149"/>
      <c r="L788" s="149"/>
      <c r="M788" s="142"/>
      <c r="N788" s="33"/>
    </row>
    <row r="789" ht="15.75" customHeight="1">
      <c r="A789" s="142"/>
      <c r="B789" s="143"/>
      <c r="C789" s="144"/>
      <c r="D789" s="145"/>
      <c r="E789" s="212"/>
      <c r="F789" s="174"/>
      <c r="G789" s="148"/>
      <c r="H789" s="148"/>
      <c r="I789" s="149"/>
      <c r="J789" s="149"/>
      <c r="K789" s="149"/>
      <c r="L789" s="149"/>
      <c r="M789" s="142"/>
      <c r="N789" s="33"/>
    </row>
    <row r="790" ht="15.75" customHeight="1">
      <c r="A790" s="142"/>
      <c r="B790" s="143"/>
      <c r="C790" s="144"/>
      <c r="D790" s="145"/>
      <c r="E790" s="212"/>
      <c r="F790" s="174"/>
      <c r="G790" s="148"/>
      <c r="H790" s="148"/>
      <c r="I790" s="149"/>
      <c r="J790" s="149"/>
      <c r="K790" s="149"/>
      <c r="L790" s="149"/>
      <c r="M790" s="142"/>
      <c r="N790" s="33"/>
    </row>
    <row r="791" ht="15.75" customHeight="1">
      <c r="A791" s="142"/>
      <c r="B791" s="143"/>
      <c r="C791" s="144"/>
      <c r="D791" s="145"/>
      <c r="E791" s="212"/>
      <c r="F791" s="174"/>
      <c r="G791" s="148"/>
      <c r="H791" s="148"/>
      <c r="I791" s="149"/>
      <c r="J791" s="149"/>
      <c r="K791" s="149"/>
      <c r="L791" s="149"/>
      <c r="M791" s="142"/>
      <c r="N791" s="33"/>
    </row>
    <row r="792" ht="15.75" customHeight="1">
      <c r="A792" s="142"/>
      <c r="B792" s="143"/>
      <c r="C792" s="144"/>
      <c r="D792" s="145"/>
      <c r="E792" s="212"/>
      <c r="F792" s="174"/>
      <c r="G792" s="148"/>
      <c r="H792" s="148"/>
      <c r="I792" s="149"/>
      <c r="J792" s="149"/>
      <c r="K792" s="149"/>
      <c r="L792" s="149"/>
      <c r="M792" s="142"/>
      <c r="N792" s="33"/>
    </row>
    <row r="793" ht="15.75" customHeight="1">
      <c r="A793" s="142"/>
      <c r="B793" s="143"/>
      <c r="C793" s="144"/>
      <c r="D793" s="145"/>
      <c r="E793" s="212"/>
      <c r="F793" s="174"/>
      <c r="G793" s="148"/>
      <c r="H793" s="148"/>
      <c r="I793" s="149"/>
      <c r="J793" s="149"/>
      <c r="K793" s="149"/>
      <c r="L793" s="149"/>
      <c r="M793" s="142"/>
      <c r="N793" s="33"/>
    </row>
    <row r="794" ht="15.75" customHeight="1">
      <c r="A794" s="142"/>
      <c r="B794" s="143"/>
      <c r="C794" s="144"/>
      <c r="D794" s="145"/>
      <c r="E794" s="212"/>
      <c r="F794" s="174"/>
      <c r="G794" s="148"/>
      <c r="H794" s="148"/>
      <c r="I794" s="149"/>
      <c r="J794" s="149"/>
      <c r="K794" s="149"/>
      <c r="L794" s="149"/>
      <c r="M794" s="142"/>
      <c r="N794" s="33"/>
    </row>
    <row r="795" ht="15.75" customHeight="1">
      <c r="A795" s="142"/>
      <c r="B795" s="143"/>
      <c r="C795" s="144"/>
      <c r="D795" s="145"/>
      <c r="E795" s="212"/>
      <c r="F795" s="174"/>
      <c r="G795" s="148"/>
      <c r="H795" s="148"/>
      <c r="I795" s="149"/>
      <c r="J795" s="149"/>
      <c r="K795" s="149"/>
      <c r="L795" s="149"/>
      <c r="M795" s="142"/>
      <c r="N795" s="33"/>
    </row>
    <row r="796" ht="15.75" customHeight="1">
      <c r="A796" s="142"/>
      <c r="B796" s="143"/>
      <c r="C796" s="144"/>
      <c r="D796" s="145"/>
      <c r="E796" s="212"/>
      <c r="F796" s="174"/>
      <c r="G796" s="148"/>
      <c r="H796" s="148"/>
      <c r="I796" s="149"/>
      <c r="J796" s="149"/>
      <c r="K796" s="149"/>
      <c r="L796" s="149"/>
      <c r="M796" s="142"/>
      <c r="N796" s="33"/>
    </row>
    <row r="797" ht="15.75" customHeight="1">
      <c r="A797" s="142"/>
      <c r="B797" s="143"/>
      <c r="C797" s="144"/>
      <c r="D797" s="145"/>
      <c r="E797" s="212"/>
      <c r="F797" s="174"/>
      <c r="G797" s="148"/>
      <c r="H797" s="148"/>
      <c r="I797" s="149"/>
      <c r="J797" s="149"/>
      <c r="K797" s="149"/>
      <c r="L797" s="149"/>
      <c r="M797" s="142"/>
      <c r="N797" s="33"/>
    </row>
    <row r="798" ht="15.75" customHeight="1">
      <c r="A798" s="142"/>
      <c r="B798" s="143"/>
      <c r="C798" s="144"/>
      <c r="D798" s="145"/>
      <c r="E798" s="212"/>
      <c r="F798" s="174"/>
      <c r="G798" s="148"/>
      <c r="H798" s="148"/>
      <c r="I798" s="149"/>
      <c r="J798" s="149"/>
      <c r="K798" s="149"/>
      <c r="L798" s="149"/>
      <c r="M798" s="142"/>
      <c r="N798" s="33"/>
    </row>
    <row r="799" ht="15.75" customHeight="1">
      <c r="A799" s="142"/>
      <c r="B799" s="143"/>
      <c r="C799" s="144"/>
      <c r="D799" s="145"/>
      <c r="E799" s="212"/>
      <c r="F799" s="174"/>
      <c r="G799" s="148"/>
      <c r="H799" s="148"/>
      <c r="I799" s="149"/>
      <c r="J799" s="149"/>
      <c r="K799" s="149"/>
      <c r="L799" s="149"/>
      <c r="M799" s="142"/>
      <c r="N799" s="33"/>
    </row>
    <row r="800" ht="15.75" customHeight="1">
      <c r="A800" s="142"/>
      <c r="B800" s="143"/>
      <c r="C800" s="144"/>
      <c r="D800" s="145"/>
      <c r="E800" s="212"/>
      <c r="F800" s="174"/>
      <c r="G800" s="148"/>
      <c r="H800" s="148"/>
      <c r="I800" s="149"/>
      <c r="J800" s="149"/>
      <c r="K800" s="149"/>
      <c r="L800" s="149"/>
      <c r="M800" s="142"/>
      <c r="N800" s="33"/>
    </row>
    <row r="801" ht="15.75" customHeight="1">
      <c r="A801" s="142"/>
      <c r="B801" s="143"/>
      <c r="C801" s="144"/>
      <c r="D801" s="145"/>
      <c r="E801" s="212"/>
      <c r="F801" s="174"/>
      <c r="G801" s="148"/>
      <c r="H801" s="148"/>
      <c r="I801" s="149"/>
      <c r="J801" s="149"/>
      <c r="K801" s="149"/>
      <c r="L801" s="149"/>
      <c r="M801" s="142"/>
      <c r="N801" s="33"/>
    </row>
    <row r="802" ht="15.75" customHeight="1">
      <c r="A802" s="142"/>
      <c r="B802" s="143"/>
      <c r="C802" s="144"/>
      <c r="D802" s="145"/>
      <c r="E802" s="212"/>
      <c r="F802" s="174"/>
      <c r="G802" s="148"/>
      <c r="H802" s="148"/>
      <c r="I802" s="149"/>
      <c r="J802" s="149"/>
      <c r="K802" s="149"/>
      <c r="L802" s="149"/>
      <c r="M802" s="142"/>
      <c r="N802" s="33"/>
    </row>
    <row r="803" ht="15.75" customHeight="1">
      <c r="A803" s="142"/>
      <c r="B803" s="143"/>
      <c r="C803" s="144"/>
      <c r="D803" s="145"/>
      <c r="E803" s="212"/>
      <c r="F803" s="174"/>
      <c r="G803" s="148"/>
      <c r="H803" s="148"/>
      <c r="I803" s="149"/>
      <c r="J803" s="149"/>
      <c r="K803" s="149"/>
      <c r="L803" s="149"/>
      <c r="M803" s="142"/>
      <c r="N803" s="33"/>
    </row>
    <row r="804" ht="15.75" customHeight="1">
      <c r="A804" s="142"/>
      <c r="B804" s="143"/>
      <c r="C804" s="144"/>
      <c r="D804" s="145"/>
      <c r="E804" s="212"/>
      <c r="F804" s="174"/>
      <c r="G804" s="148"/>
      <c r="H804" s="148"/>
      <c r="I804" s="149"/>
      <c r="J804" s="149"/>
      <c r="K804" s="149"/>
      <c r="L804" s="149"/>
      <c r="M804" s="142"/>
      <c r="N804" s="33"/>
    </row>
    <row r="805" ht="15.75" customHeight="1">
      <c r="A805" s="142"/>
      <c r="B805" s="143"/>
      <c r="C805" s="144"/>
      <c r="D805" s="145"/>
      <c r="E805" s="212"/>
      <c r="F805" s="174"/>
      <c r="G805" s="148"/>
      <c r="H805" s="148"/>
      <c r="I805" s="149"/>
      <c r="J805" s="149"/>
      <c r="K805" s="149"/>
      <c r="L805" s="149"/>
      <c r="M805" s="142"/>
      <c r="N805" s="33"/>
    </row>
    <row r="806" ht="15.75" customHeight="1">
      <c r="A806" s="142"/>
      <c r="B806" s="143"/>
      <c r="C806" s="144"/>
      <c r="D806" s="145"/>
      <c r="E806" s="212"/>
      <c r="F806" s="174"/>
      <c r="G806" s="148"/>
      <c r="H806" s="148"/>
      <c r="I806" s="149"/>
      <c r="J806" s="149"/>
      <c r="K806" s="149"/>
      <c r="L806" s="149"/>
      <c r="M806" s="142"/>
      <c r="N806" s="33"/>
    </row>
    <row r="807" ht="15.75" customHeight="1">
      <c r="A807" s="142"/>
      <c r="B807" s="143"/>
      <c r="C807" s="144"/>
      <c r="D807" s="145"/>
      <c r="E807" s="212"/>
      <c r="F807" s="174"/>
      <c r="G807" s="148"/>
      <c r="H807" s="148"/>
      <c r="I807" s="149"/>
      <c r="J807" s="149"/>
      <c r="K807" s="149"/>
      <c r="L807" s="149"/>
      <c r="M807" s="142"/>
      <c r="N807" s="33"/>
    </row>
    <row r="808" ht="15.75" customHeight="1">
      <c r="A808" s="142"/>
      <c r="B808" s="143"/>
      <c r="C808" s="144"/>
      <c r="D808" s="145"/>
      <c r="E808" s="212"/>
      <c r="F808" s="174"/>
      <c r="G808" s="148"/>
      <c r="H808" s="148"/>
      <c r="I808" s="149"/>
      <c r="J808" s="149"/>
      <c r="K808" s="149"/>
      <c r="L808" s="149"/>
      <c r="M808" s="142"/>
      <c r="N808" s="33"/>
    </row>
    <row r="809" ht="15.75" customHeight="1">
      <c r="A809" s="142"/>
      <c r="B809" s="143"/>
      <c r="C809" s="144"/>
      <c r="D809" s="145"/>
      <c r="E809" s="212"/>
      <c r="F809" s="174"/>
      <c r="G809" s="148"/>
      <c r="H809" s="148"/>
      <c r="I809" s="149"/>
      <c r="J809" s="149"/>
      <c r="K809" s="149"/>
      <c r="L809" s="149"/>
      <c r="M809" s="142"/>
      <c r="N809" s="33"/>
    </row>
    <row r="810" ht="15.75" customHeight="1">
      <c r="A810" s="142"/>
      <c r="B810" s="143"/>
      <c r="C810" s="144"/>
      <c r="D810" s="145"/>
      <c r="E810" s="212"/>
      <c r="F810" s="174"/>
      <c r="G810" s="148"/>
      <c r="H810" s="148"/>
      <c r="I810" s="149"/>
      <c r="J810" s="149"/>
      <c r="K810" s="149"/>
      <c r="L810" s="149"/>
      <c r="M810" s="142"/>
      <c r="N810" s="33"/>
    </row>
    <row r="811" ht="15.75" customHeight="1">
      <c r="A811" s="142"/>
      <c r="B811" s="143"/>
      <c r="C811" s="144"/>
      <c r="D811" s="145"/>
      <c r="E811" s="212"/>
      <c r="F811" s="174"/>
      <c r="G811" s="148"/>
      <c r="H811" s="148"/>
      <c r="I811" s="149"/>
      <c r="J811" s="149"/>
      <c r="K811" s="149"/>
      <c r="L811" s="149"/>
      <c r="M811" s="142"/>
      <c r="N811" s="33"/>
    </row>
    <row r="812" ht="15.75" customHeight="1">
      <c r="A812" s="142"/>
      <c r="B812" s="143"/>
      <c r="C812" s="144"/>
      <c r="D812" s="145"/>
      <c r="E812" s="212"/>
      <c r="F812" s="174"/>
      <c r="G812" s="148"/>
      <c r="H812" s="148"/>
      <c r="I812" s="149"/>
      <c r="J812" s="149"/>
      <c r="K812" s="149"/>
      <c r="L812" s="149"/>
      <c r="M812" s="142"/>
      <c r="N812" s="33"/>
    </row>
    <row r="813" ht="15.75" customHeight="1">
      <c r="A813" s="142"/>
      <c r="B813" s="143"/>
      <c r="C813" s="144"/>
      <c r="D813" s="145"/>
      <c r="E813" s="212"/>
      <c r="F813" s="174"/>
      <c r="G813" s="148"/>
      <c r="H813" s="148"/>
      <c r="I813" s="149"/>
      <c r="J813" s="149"/>
      <c r="K813" s="149"/>
      <c r="L813" s="149"/>
      <c r="M813" s="142"/>
      <c r="N813" s="33"/>
    </row>
    <row r="814" ht="15.75" customHeight="1">
      <c r="A814" s="142"/>
      <c r="B814" s="143"/>
      <c r="C814" s="144"/>
      <c r="D814" s="145"/>
      <c r="E814" s="212"/>
      <c r="F814" s="174"/>
      <c r="G814" s="148"/>
      <c r="H814" s="148"/>
      <c r="I814" s="149"/>
      <c r="J814" s="149"/>
      <c r="K814" s="149"/>
      <c r="L814" s="149"/>
      <c r="M814" s="142"/>
      <c r="N814" s="33"/>
    </row>
    <row r="815" ht="15.75" customHeight="1">
      <c r="A815" s="142"/>
      <c r="B815" s="143"/>
      <c r="C815" s="144"/>
      <c r="D815" s="145"/>
      <c r="E815" s="212"/>
      <c r="F815" s="174"/>
      <c r="G815" s="148"/>
      <c r="H815" s="148"/>
      <c r="I815" s="149"/>
      <c r="J815" s="149"/>
      <c r="K815" s="149"/>
      <c r="L815" s="149"/>
      <c r="M815" s="142"/>
      <c r="N815" s="33"/>
    </row>
    <row r="816" ht="15.75" customHeight="1">
      <c r="A816" s="142"/>
      <c r="B816" s="143"/>
      <c r="C816" s="144"/>
      <c r="D816" s="145"/>
      <c r="E816" s="212"/>
      <c r="F816" s="174"/>
      <c r="G816" s="148"/>
      <c r="H816" s="148"/>
      <c r="I816" s="149"/>
      <c r="J816" s="149"/>
      <c r="K816" s="149"/>
      <c r="L816" s="149"/>
      <c r="M816" s="142"/>
      <c r="N816" s="33"/>
    </row>
    <row r="817" ht="15.75" customHeight="1">
      <c r="A817" s="142"/>
      <c r="B817" s="143"/>
      <c r="C817" s="144"/>
      <c r="D817" s="145"/>
      <c r="E817" s="212"/>
      <c r="F817" s="174"/>
      <c r="G817" s="148"/>
      <c r="H817" s="148"/>
      <c r="I817" s="149"/>
      <c r="J817" s="149"/>
      <c r="K817" s="149"/>
      <c r="L817" s="149"/>
      <c r="M817" s="142"/>
      <c r="N817" s="33"/>
    </row>
    <row r="818" ht="15.75" customHeight="1">
      <c r="A818" s="142"/>
      <c r="B818" s="143"/>
      <c r="C818" s="144"/>
      <c r="D818" s="145"/>
      <c r="E818" s="212"/>
      <c r="F818" s="174"/>
      <c r="G818" s="148"/>
      <c r="H818" s="148"/>
      <c r="I818" s="149"/>
      <c r="J818" s="149"/>
      <c r="K818" s="149"/>
      <c r="L818" s="149"/>
      <c r="M818" s="142"/>
      <c r="N818" s="33"/>
    </row>
    <row r="819" ht="15.75" customHeight="1">
      <c r="A819" s="142"/>
      <c r="B819" s="143"/>
      <c r="C819" s="144"/>
      <c r="D819" s="145"/>
      <c r="E819" s="212"/>
      <c r="F819" s="174"/>
      <c r="G819" s="148"/>
      <c r="H819" s="148"/>
      <c r="I819" s="149"/>
      <c r="J819" s="149"/>
      <c r="K819" s="149"/>
      <c r="L819" s="149"/>
      <c r="M819" s="142"/>
      <c r="N819" s="33"/>
    </row>
    <row r="820" ht="15.75" customHeight="1">
      <c r="A820" s="142"/>
      <c r="B820" s="143"/>
      <c r="C820" s="144"/>
      <c r="D820" s="145"/>
      <c r="E820" s="212"/>
      <c r="F820" s="174"/>
      <c r="G820" s="148"/>
      <c r="H820" s="148"/>
      <c r="I820" s="149"/>
      <c r="J820" s="149"/>
      <c r="K820" s="149"/>
      <c r="L820" s="149"/>
      <c r="M820" s="142"/>
      <c r="N820" s="33"/>
    </row>
    <row r="821" ht="15.75" customHeight="1">
      <c r="A821" s="142"/>
      <c r="B821" s="143"/>
      <c r="C821" s="144"/>
      <c r="D821" s="145"/>
      <c r="E821" s="212"/>
      <c r="F821" s="174"/>
      <c r="G821" s="148"/>
      <c r="H821" s="148"/>
      <c r="I821" s="149"/>
      <c r="J821" s="149"/>
      <c r="K821" s="149"/>
      <c r="L821" s="149"/>
      <c r="M821" s="142"/>
      <c r="N821" s="33"/>
    </row>
    <row r="822" ht="15.75" customHeight="1">
      <c r="A822" s="142"/>
      <c r="B822" s="143"/>
      <c r="C822" s="144"/>
      <c r="D822" s="145"/>
      <c r="E822" s="212"/>
      <c r="F822" s="174"/>
      <c r="G822" s="148"/>
      <c r="H822" s="148"/>
      <c r="I822" s="149"/>
      <c r="J822" s="149"/>
      <c r="K822" s="149"/>
      <c r="L822" s="149"/>
      <c r="M822" s="142"/>
      <c r="N822" s="33"/>
    </row>
    <row r="823" ht="15.75" customHeight="1">
      <c r="A823" s="142"/>
      <c r="B823" s="143"/>
      <c r="C823" s="144"/>
      <c r="D823" s="145"/>
      <c r="E823" s="212"/>
      <c r="F823" s="174"/>
      <c r="G823" s="148"/>
      <c r="H823" s="148"/>
      <c r="I823" s="149"/>
      <c r="J823" s="149"/>
      <c r="K823" s="149"/>
      <c r="L823" s="149"/>
      <c r="M823" s="142"/>
      <c r="N823" s="33"/>
    </row>
    <row r="824" ht="15.75" customHeight="1">
      <c r="A824" s="142"/>
      <c r="B824" s="143"/>
      <c r="C824" s="144"/>
      <c r="D824" s="145"/>
      <c r="E824" s="212"/>
      <c r="F824" s="174"/>
      <c r="G824" s="148"/>
      <c r="H824" s="148"/>
      <c r="I824" s="149"/>
      <c r="J824" s="149"/>
      <c r="K824" s="149"/>
      <c r="L824" s="149"/>
      <c r="M824" s="142"/>
      <c r="N824" s="33"/>
    </row>
    <row r="825" ht="15.75" customHeight="1">
      <c r="A825" s="142"/>
      <c r="B825" s="143"/>
      <c r="C825" s="144"/>
      <c r="D825" s="145"/>
      <c r="E825" s="212"/>
      <c r="F825" s="174"/>
      <c r="G825" s="148"/>
      <c r="H825" s="148"/>
      <c r="I825" s="149"/>
      <c r="J825" s="149"/>
      <c r="K825" s="149"/>
      <c r="L825" s="149"/>
      <c r="M825" s="142"/>
      <c r="N825" s="33"/>
    </row>
    <row r="826" ht="15.75" customHeight="1">
      <c r="A826" s="142"/>
      <c r="B826" s="143"/>
      <c r="C826" s="144"/>
      <c r="D826" s="145"/>
      <c r="E826" s="212"/>
      <c r="F826" s="174"/>
      <c r="G826" s="148"/>
      <c r="H826" s="148"/>
      <c r="I826" s="149"/>
      <c r="J826" s="149"/>
      <c r="K826" s="149"/>
      <c r="L826" s="149"/>
      <c r="M826" s="142"/>
      <c r="N826" s="33"/>
    </row>
    <row r="827" ht="15.75" customHeight="1">
      <c r="A827" s="142"/>
      <c r="B827" s="143"/>
      <c r="C827" s="144"/>
      <c r="D827" s="145"/>
      <c r="E827" s="212"/>
      <c r="F827" s="174"/>
      <c r="G827" s="148"/>
      <c r="H827" s="148"/>
      <c r="I827" s="149"/>
      <c r="J827" s="149"/>
      <c r="K827" s="149"/>
      <c r="L827" s="149"/>
      <c r="M827" s="142"/>
      <c r="N827" s="33"/>
    </row>
    <row r="828" ht="15.75" customHeight="1">
      <c r="A828" s="142"/>
      <c r="B828" s="143"/>
      <c r="C828" s="144"/>
      <c r="D828" s="145"/>
      <c r="E828" s="212"/>
      <c r="F828" s="174"/>
      <c r="G828" s="148"/>
      <c r="H828" s="148"/>
      <c r="I828" s="149"/>
      <c r="J828" s="149"/>
      <c r="K828" s="149"/>
      <c r="L828" s="149"/>
      <c r="M828" s="142"/>
      <c r="N828" s="33"/>
    </row>
    <row r="829" ht="15.75" customHeight="1">
      <c r="A829" s="142"/>
      <c r="B829" s="143"/>
      <c r="C829" s="144"/>
      <c r="D829" s="145"/>
      <c r="E829" s="212"/>
      <c r="F829" s="174"/>
      <c r="G829" s="148"/>
      <c r="H829" s="148"/>
      <c r="I829" s="149"/>
      <c r="J829" s="149"/>
      <c r="K829" s="149"/>
      <c r="L829" s="149"/>
      <c r="M829" s="142"/>
      <c r="N829" s="33"/>
    </row>
    <row r="830" ht="15.75" customHeight="1">
      <c r="A830" s="142"/>
      <c r="B830" s="143"/>
      <c r="C830" s="144"/>
      <c r="D830" s="145"/>
      <c r="E830" s="212"/>
      <c r="F830" s="174"/>
      <c r="G830" s="148"/>
      <c r="H830" s="148"/>
      <c r="I830" s="149"/>
      <c r="J830" s="149"/>
      <c r="K830" s="149"/>
      <c r="L830" s="149"/>
      <c r="M830" s="142"/>
      <c r="N830" s="33"/>
    </row>
    <row r="831" ht="15.75" customHeight="1">
      <c r="A831" s="142"/>
      <c r="B831" s="143"/>
      <c r="C831" s="144"/>
      <c r="D831" s="145"/>
      <c r="E831" s="212"/>
      <c r="F831" s="174"/>
      <c r="G831" s="148"/>
      <c r="H831" s="148"/>
      <c r="I831" s="149"/>
      <c r="J831" s="149"/>
      <c r="K831" s="149"/>
      <c r="L831" s="149"/>
      <c r="M831" s="142"/>
      <c r="N831" s="33"/>
    </row>
    <row r="832" ht="15.75" customHeight="1">
      <c r="A832" s="142"/>
      <c r="B832" s="143"/>
      <c r="C832" s="144"/>
      <c r="D832" s="145"/>
      <c r="E832" s="212"/>
      <c r="F832" s="174"/>
      <c r="G832" s="148"/>
      <c r="H832" s="148"/>
      <c r="I832" s="149"/>
      <c r="J832" s="149"/>
      <c r="K832" s="149"/>
      <c r="L832" s="149"/>
      <c r="M832" s="142"/>
      <c r="N832" s="33"/>
    </row>
    <row r="833" ht="15.75" customHeight="1">
      <c r="A833" s="142"/>
      <c r="B833" s="143"/>
      <c r="C833" s="144"/>
      <c r="D833" s="145"/>
      <c r="E833" s="212"/>
      <c r="F833" s="174"/>
      <c r="G833" s="148"/>
      <c r="H833" s="148"/>
      <c r="I833" s="149"/>
      <c r="J833" s="149"/>
      <c r="K833" s="149"/>
      <c r="L833" s="149"/>
      <c r="M833" s="142"/>
      <c r="N833" s="33"/>
    </row>
    <row r="834" ht="15.75" customHeight="1">
      <c r="A834" s="142"/>
      <c r="B834" s="143"/>
      <c r="C834" s="144"/>
      <c r="D834" s="145"/>
      <c r="E834" s="212"/>
      <c r="F834" s="174"/>
      <c r="G834" s="148"/>
      <c r="H834" s="148"/>
      <c r="I834" s="149"/>
      <c r="J834" s="149"/>
      <c r="K834" s="149"/>
      <c r="L834" s="149"/>
      <c r="M834" s="142"/>
      <c r="N834" s="33"/>
    </row>
    <row r="835" ht="15.75" customHeight="1">
      <c r="A835" s="142"/>
      <c r="B835" s="143"/>
      <c r="C835" s="144"/>
      <c r="D835" s="145"/>
      <c r="E835" s="212"/>
      <c r="F835" s="174"/>
      <c r="G835" s="148"/>
      <c r="H835" s="148"/>
      <c r="I835" s="149"/>
      <c r="J835" s="149"/>
      <c r="K835" s="149"/>
      <c r="L835" s="149"/>
      <c r="M835" s="142"/>
      <c r="N835" s="33"/>
    </row>
    <row r="836" ht="15.75" customHeight="1">
      <c r="A836" s="142"/>
      <c r="B836" s="143"/>
      <c r="C836" s="144"/>
      <c r="D836" s="145"/>
      <c r="E836" s="212"/>
      <c r="F836" s="174"/>
      <c r="G836" s="148"/>
      <c r="H836" s="148"/>
      <c r="I836" s="149"/>
      <c r="J836" s="149"/>
      <c r="K836" s="149"/>
      <c r="L836" s="149"/>
      <c r="M836" s="142"/>
      <c r="N836" s="33"/>
    </row>
    <row r="837" ht="15.75" customHeight="1">
      <c r="A837" s="142"/>
      <c r="B837" s="143"/>
      <c r="C837" s="144"/>
      <c r="D837" s="145"/>
      <c r="E837" s="212"/>
      <c r="F837" s="174"/>
      <c r="G837" s="148"/>
      <c r="H837" s="148"/>
      <c r="I837" s="149"/>
      <c r="J837" s="149"/>
      <c r="K837" s="149"/>
      <c r="L837" s="149"/>
      <c r="M837" s="142"/>
      <c r="N837" s="33"/>
    </row>
    <row r="838" ht="15.75" customHeight="1">
      <c r="A838" s="142"/>
      <c r="B838" s="143"/>
      <c r="C838" s="144"/>
      <c r="D838" s="145"/>
      <c r="E838" s="212"/>
      <c r="F838" s="174"/>
      <c r="G838" s="148"/>
      <c r="H838" s="148"/>
      <c r="I838" s="149"/>
      <c r="J838" s="149"/>
      <c r="K838" s="149"/>
      <c r="L838" s="149"/>
      <c r="M838" s="142"/>
      <c r="N838" s="33"/>
    </row>
    <row r="839" ht="15.75" customHeight="1">
      <c r="A839" s="142"/>
      <c r="B839" s="143"/>
      <c r="C839" s="144"/>
      <c r="D839" s="145"/>
      <c r="E839" s="212"/>
      <c r="F839" s="174"/>
      <c r="G839" s="148"/>
      <c r="H839" s="148"/>
      <c r="I839" s="149"/>
      <c r="J839" s="149"/>
      <c r="K839" s="149"/>
      <c r="L839" s="149"/>
      <c r="M839" s="142"/>
      <c r="N839" s="33"/>
    </row>
    <row r="840" ht="15.75" customHeight="1">
      <c r="A840" s="142"/>
      <c r="B840" s="143"/>
      <c r="C840" s="144"/>
      <c r="D840" s="145"/>
      <c r="E840" s="212"/>
      <c r="F840" s="174"/>
      <c r="G840" s="148"/>
      <c r="H840" s="148"/>
      <c r="I840" s="149"/>
      <c r="J840" s="149"/>
      <c r="K840" s="149"/>
      <c r="L840" s="149"/>
      <c r="M840" s="142"/>
      <c r="N840" s="33"/>
    </row>
    <row r="841" ht="15.75" customHeight="1">
      <c r="A841" s="142"/>
      <c r="B841" s="143"/>
      <c r="C841" s="144"/>
      <c r="D841" s="145"/>
      <c r="E841" s="212"/>
      <c r="F841" s="174"/>
      <c r="G841" s="148"/>
      <c r="H841" s="148"/>
      <c r="I841" s="149"/>
      <c r="J841" s="149"/>
      <c r="K841" s="149"/>
      <c r="L841" s="149"/>
      <c r="M841" s="142"/>
      <c r="N841" s="33"/>
    </row>
    <row r="842" ht="15.75" customHeight="1">
      <c r="A842" s="142"/>
      <c r="B842" s="143"/>
      <c r="C842" s="144"/>
      <c r="D842" s="145"/>
      <c r="E842" s="212"/>
      <c r="F842" s="174"/>
      <c r="G842" s="148"/>
      <c r="H842" s="148"/>
      <c r="I842" s="149"/>
      <c r="J842" s="149"/>
      <c r="K842" s="149"/>
      <c r="L842" s="149"/>
      <c r="M842" s="142"/>
      <c r="N842" s="33"/>
    </row>
    <row r="843" ht="15.75" customHeight="1">
      <c r="A843" s="142"/>
      <c r="B843" s="143"/>
      <c r="C843" s="144"/>
      <c r="D843" s="145"/>
      <c r="E843" s="212"/>
      <c r="F843" s="174"/>
      <c r="G843" s="148"/>
      <c r="H843" s="148"/>
      <c r="I843" s="149"/>
      <c r="J843" s="149"/>
      <c r="K843" s="149"/>
      <c r="L843" s="149"/>
      <c r="M843" s="142"/>
      <c r="N843" s="33"/>
    </row>
    <row r="844" ht="15.75" customHeight="1">
      <c r="A844" s="142"/>
      <c r="B844" s="143"/>
      <c r="C844" s="144"/>
      <c r="D844" s="145"/>
      <c r="E844" s="212"/>
      <c r="F844" s="174"/>
      <c r="G844" s="148"/>
      <c r="H844" s="148"/>
      <c r="I844" s="149"/>
      <c r="J844" s="149"/>
      <c r="K844" s="149"/>
      <c r="L844" s="149"/>
      <c r="M844" s="142"/>
      <c r="N844" s="33"/>
    </row>
    <row r="845" ht="15.75" customHeight="1">
      <c r="A845" s="142"/>
      <c r="B845" s="143"/>
      <c r="C845" s="144"/>
      <c r="D845" s="145"/>
      <c r="E845" s="212"/>
      <c r="F845" s="174"/>
      <c r="G845" s="148"/>
      <c r="H845" s="148"/>
      <c r="I845" s="149"/>
      <c r="J845" s="149"/>
      <c r="K845" s="149"/>
      <c r="L845" s="149"/>
      <c r="M845" s="142"/>
      <c r="N845" s="33"/>
    </row>
    <row r="846" ht="15.75" customHeight="1">
      <c r="A846" s="142"/>
      <c r="B846" s="143"/>
      <c r="C846" s="144"/>
      <c r="D846" s="145"/>
      <c r="E846" s="212"/>
      <c r="F846" s="174"/>
      <c r="G846" s="148"/>
      <c r="H846" s="148"/>
      <c r="I846" s="149"/>
      <c r="J846" s="149"/>
      <c r="K846" s="149"/>
      <c r="L846" s="149"/>
      <c r="M846" s="142"/>
      <c r="N846" s="33"/>
    </row>
    <row r="847" ht="15.75" customHeight="1">
      <c r="A847" s="142"/>
      <c r="B847" s="143"/>
      <c r="C847" s="144"/>
      <c r="D847" s="145"/>
      <c r="E847" s="212"/>
      <c r="F847" s="174"/>
      <c r="G847" s="148"/>
      <c r="H847" s="148"/>
      <c r="I847" s="149"/>
      <c r="J847" s="149"/>
      <c r="K847" s="149"/>
      <c r="L847" s="149"/>
      <c r="M847" s="142"/>
      <c r="N847" s="33"/>
    </row>
    <row r="848" ht="15.75" customHeight="1">
      <c r="A848" s="142"/>
      <c r="B848" s="143"/>
      <c r="C848" s="144"/>
      <c r="D848" s="145"/>
      <c r="E848" s="212"/>
      <c r="F848" s="174"/>
      <c r="G848" s="148"/>
      <c r="H848" s="148"/>
      <c r="I848" s="149"/>
      <c r="J848" s="149"/>
      <c r="K848" s="149"/>
      <c r="L848" s="149"/>
      <c r="M848" s="142"/>
      <c r="N848" s="33"/>
    </row>
    <row r="849" ht="15.75" customHeight="1">
      <c r="A849" s="142"/>
      <c r="B849" s="143"/>
      <c r="C849" s="144"/>
      <c r="D849" s="145"/>
      <c r="E849" s="212"/>
      <c r="F849" s="174"/>
      <c r="G849" s="148"/>
      <c r="H849" s="148"/>
      <c r="I849" s="149"/>
      <c r="J849" s="149"/>
      <c r="K849" s="149"/>
      <c r="L849" s="149"/>
      <c r="M849" s="142"/>
      <c r="N849" s="33"/>
    </row>
    <row r="850" ht="15.75" customHeight="1">
      <c r="A850" s="142"/>
      <c r="B850" s="143"/>
      <c r="C850" s="144"/>
      <c r="D850" s="145"/>
      <c r="E850" s="212"/>
      <c r="F850" s="174"/>
      <c r="G850" s="148"/>
      <c r="H850" s="148"/>
      <c r="I850" s="149"/>
      <c r="J850" s="149"/>
      <c r="K850" s="149"/>
      <c r="L850" s="149"/>
      <c r="M850" s="142"/>
      <c r="N850" s="33"/>
    </row>
    <row r="851" ht="15.75" customHeight="1">
      <c r="A851" s="142"/>
      <c r="B851" s="143"/>
      <c r="C851" s="144"/>
      <c r="D851" s="145"/>
      <c r="E851" s="212"/>
      <c r="F851" s="174"/>
      <c r="G851" s="148"/>
      <c r="H851" s="148"/>
      <c r="I851" s="149"/>
      <c r="J851" s="149"/>
      <c r="K851" s="149"/>
      <c r="L851" s="149"/>
      <c r="M851" s="142"/>
      <c r="N851" s="33"/>
    </row>
    <row r="852" ht="15.75" customHeight="1">
      <c r="A852" s="142"/>
      <c r="B852" s="143"/>
      <c r="C852" s="144"/>
      <c r="D852" s="145"/>
      <c r="E852" s="212"/>
      <c r="F852" s="174"/>
      <c r="G852" s="148"/>
      <c r="H852" s="148"/>
      <c r="I852" s="149"/>
      <c r="J852" s="149"/>
      <c r="K852" s="149"/>
      <c r="L852" s="149"/>
      <c r="M852" s="142"/>
      <c r="N852" s="33"/>
    </row>
    <row r="853" ht="15.75" customHeight="1">
      <c r="A853" s="142"/>
      <c r="B853" s="143"/>
      <c r="C853" s="144"/>
      <c r="D853" s="145"/>
      <c r="E853" s="212"/>
      <c r="F853" s="174"/>
      <c r="G853" s="148"/>
      <c r="H853" s="148"/>
      <c r="I853" s="149"/>
      <c r="J853" s="149"/>
      <c r="K853" s="149"/>
      <c r="L853" s="149"/>
      <c r="M853" s="142"/>
      <c r="N853" s="33"/>
    </row>
    <row r="854" ht="15.75" customHeight="1">
      <c r="A854" s="142"/>
      <c r="B854" s="143"/>
      <c r="C854" s="144"/>
      <c r="D854" s="145"/>
      <c r="E854" s="212"/>
      <c r="F854" s="174"/>
      <c r="G854" s="148"/>
      <c r="H854" s="148"/>
      <c r="I854" s="149"/>
      <c r="J854" s="149"/>
      <c r="K854" s="149"/>
      <c r="L854" s="149"/>
      <c r="M854" s="142"/>
      <c r="N854" s="33"/>
    </row>
    <row r="855" ht="15.75" customHeight="1">
      <c r="A855" s="142"/>
      <c r="B855" s="143"/>
      <c r="C855" s="144"/>
      <c r="D855" s="145"/>
      <c r="E855" s="212"/>
      <c r="F855" s="174"/>
      <c r="G855" s="148"/>
      <c r="H855" s="148"/>
      <c r="I855" s="149"/>
      <c r="J855" s="149"/>
      <c r="K855" s="149"/>
      <c r="L855" s="149"/>
      <c r="M855" s="142"/>
      <c r="N855" s="33"/>
    </row>
    <row r="856" ht="15.75" customHeight="1">
      <c r="A856" s="142"/>
      <c r="B856" s="143"/>
      <c r="C856" s="144"/>
      <c r="D856" s="145"/>
      <c r="E856" s="212"/>
      <c r="F856" s="174"/>
      <c r="G856" s="148"/>
      <c r="H856" s="148"/>
      <c r="I856" s="149"/>
      <c r="J856" s="149"/>
      <c r="K856" s="149"/>
      <c r="L856" s="149"/>
      <c r="M856" s="142"/>
      <c r="N856" s="33"/>
    </row>
    <row r="857" ht="15.75" customHeight="1">
      <c r="A857" s="142"/>
      <c r="B857" s="143"/>
      <c r="C857" s="144"/>
      <c r="D857" s="145"/>
      <c r="E857" s="212"/>
      <c r="F857" s="174"/>
      <c r="G857" s="148"/>
      <c r="H857" s="148"/>
      <c r="I857" s="149"/>
      <c r="J857" s="149"/>
      <c r="K857" s="149"/>
      <c r="L857" s="149"/>
      <c r="M857" s="142"/>
      <c r="N857" s="33"/>
    </row>
    <row r="858" ht="15.75" customHeight="1">
      <c r="A858" s="142"/>
      <c r="B858" s="143"/>
      <c r="C858" s="144"/>
      <c r="D858" s="145"/>
      <c r="E858" s="212"/>
      <c r="F858" s="174"/>
      <c r="G858" s="148"/>
      <c r="H858" s="148"/>
      <c r="I858" s="149"/>
      <c r="J858" s="149"/>
      <c r="K858" s="149"/>
      <c r="L858" s="149"/>
      <c r="M858" s="142"/>
      <c r="N858" s="33"/>
    </row>
    <row r="859" ht="15.75" customHeight="1">
      <c r="A859" s="142"/>
      <c r="B859" s="143"/>
      <c r="C859" s="144"/>
      <c r="D859" s="145"/>
      <c r="E859" s="212"/>
      <c r="F859" s="174"/>
      <c r="G859" s="148"/>
      <c r="H859" s="148"/>
      <c r="I859" s="149"/>
      <c r="J859" s="149"/>
      <c r="K859" s="149"/>
      <c r="L859" s="149"/>
      <c r="M859" s="142"/>
      <c r="N859" s="33"/>
    </row>
    <row r="860" ht="15.75" customHeight="1">
      <c r="A860" s="142"/>
      <c r="B860" s="143"/>
      <c r="C860" s="144"/>
      <c r="D860" s="145"/>
      <c r="E860" s="212"/>
      <c r="F860" s="174"/>
      <c r="G860" s="148"/>
      <c r="H860" s="148"/>
      <c r="I860" s="149"/>
      <c r="J860" s="149"/>
      <c r="K860" s="149"/>
      <c r="L860" s="149"/>
      <c r="M860" s="142"/>
      <c r="N860" s="33"/>
    </row>
    <row r="861" ht="15.75" customHeight="1">
      <c r="A861" s="142"/>
      <c r="B861" s="143"/>
      <c r="C861" s="144"/>
      <c r="D861" s="145"/>
      <c r="E861" s="212"/>
      <c r="F861" s="174"/>
      <c r="G861" s="148"/>
      <c r="H861" s="148"/>
      <c r="I861" s="149"/>
      <c r="J861" s="149"/>
      <c r="K861" s="149"/>
      <c r="L861" s="149"/>
      <c r="M861" s="142"/>
      <c r="N861" s="33"/>
    </row>
    <row r="862" ht="15.75" customHeight="1">
      <c r="A862" s="142"/>
      <c r="B862" s="143"/>
      <c r="C862" s="144"/>
      <c r="D862" s="145"/>
      <c r="E862" s="212"/>
      <c r="F862" s="174"/>
      <c r="G862" s="148"/>
      <c r="H862" s="148"/>
      <c r="I862" s="149"/>
      <c r="J862" s="149"/>
      <c r="K862" s="149"/>
      <c r="L862" s="149"/>
      <c r="M862" s="142"/>
      <c r="N862" s="33"/>
    </row>
    <row r="863" ht="15.75" customHeight="1">
      <c r="A863" s="142"/>
      <c r="B863" s="143"/>
      <c r="C863" s="144"/>
      <c r="D863" s="145"/>
      <c r="E863" s="212"/>
      <c r="F863" s="174"/>
      <c r="G863" s="148"/>
      <c r="H863" s="148"/>
      <c r="I863" s="149"/>
      <c r="J863" s="149"/>
      <c r="K863" s="149"/>
      <c r="L863" s="149"/>
      <c r="M863" s="142"/>
      <c r="N863" s="33"/>
    </row>
    <row r="864" ht="15.75" customHeight="1">
      <c r="A864" s="142"/>
      <c r="B864" s="143"/>
      <c r="C864" s="144"/>
      <c r="D864" s="145"/>
      <c r="E864" s="212"/>
      <c r="F864" s="174"/>
      <c r="G864" s="148"/>
      <c r="H864" s="148"/>
      <c r="I864" s="149"/>
      <c r="J864" s="149"/>
      <c r="K864" s="149"/>
      <c r="L864" s="149"/>
      <c r="M864" s="142"/>
      <c r="N864" s="33"/>
    </row>
    <row r="865" ht="15.75" customHeight="1">
      <c r="A865" s="142"/>
      <c r="B865" s="143"/>
      <c r="C865" s="144"/>
      <c r="D865" s="145"/>
      <c r="E865" s="212"/>
      <c r="F865" s="174"/>
      <c r="G865" s="148"/>
      <c r="H865" s="148"/>
      <c r="I865" s="149"/>
      <c r="J865" s="149"/>
      <c r="K865" s="149"/>
      <c r="L865" s="149"/>
      <c r="M865" s="142"/>
      <c r="N865" s="33"/>
    </row>
    <row r="866" ht="15.75" customHeight="1">
      <c r="A866" s="142"/>
      <c r="B866" s="143"/>
      <c r="C866" s="144"/>
      <c r="D866" s="145"/>
      <c r="E866" s="212"/>
      <c r="F866" s="174"/>
      <c r="G866" s="148"/>
      <c r="H866" s="148"/>
      <c r="I866" s="149"/>
      <c r="J866" s="149"/>
      <c r="K866" s="149"/>
      <c r="L866" s="149"/>
      <c r="M866" s="142"/>
      <c r="N866" s="33"/>
    </row>
    <row r="867" ht="15.75" customHeight="1">
      <c r="A867" s="142"/>
      <c r="B867" s="143"/>
      <c r="C867" s="144"/>
      <c r="D867" s="145"/>
      <c r="E867" s="212"/>
      <c r="F867" s="174"/>
      <c r="G867" s="148"/>
      <c r="H867" s="148"/>
      <c r="I867" s="149"/>
      <c r="J867" s="149"/>
      <c r="K867" s="149"/>
      <c r="L867" s="149"/>
      <c r="M867" s="142"/>
      <c r="N867" s="33"/>
    </row>
    <row r="868" ht="15.75" customHeight="1">
      <c r="A868" s="142"/>
      <c r="B868" s="143"/>
      <c r="C868" s="144"/>
      <c r="D868" s="145"/>
      <c r="E868" s="212"/>
      <c r="F868" s="174"/>
      <c r="G868" s="148"/>
      <c r="H868" s="148"/>
      <c r="I868" s="149"/>
      <c r="J868" s="149"/>
      <c r="K868" s="149"/>
      <c r="L868" s="149"/>
      <c r="M868" s="142"/>
      <c r="N868" s="33"/>
    </row>
    <row r="869" ht="15.75" customHeight="1">
      <c r="A869" s="142"/>
      <c r="B869" s="143"/>
      <c r="C869" s="144"/>
      <c r="D869" s="145"/>
      <c r="E869" s="212"/>
      <c r="F869" s="174"/>
      <c r="G869" s="148"/>
      <c r="H869" s="148"/>
      <c r="I869" s="149"/>
      <c r="J869" s="149"/>
      <c r="K869" s="149"/>
      <c r="L869" s="149"/>
      <c r="M869" s="142"/>
      <c r="N869" s="33"/>
    </row>
    <row r="870" ht="15.75" customHeight="1">
      <c r="A870" s="142"/>
      <c r="B870" s="143"/>
      <c r="C870" s="144"/>
      <c r="D870" s="145"/>
      <c r="E870" s="212"/>
      <c r="F870" s="174"/>
      <c r="G870" s="148"/>
      <c r="H870" s="148"/>
      <c r="I870" s="149"/>
      <c r="J870" s="149"/>
      <c r="K870" s="149"/>
      <c r="L870" s="149"/>
      <c r="M870" s="142"/>
      <c r="N870" s="33"/>
    </row>
    <row r="871" ht="15.75" customHeight="1">
      <c r="A871" s="142"/>
      <c r="B871" s="143"/>
      <c r="C871" s="144"/>
      <c r="D871" s="145"/>
      <c r="E871" s="212"/>
      <c r="F871" s="174"/>
      <c r="G871" s="148"/>
      <c r="H871" s="148"/>
      <c r="I871" s="149"/>
      <c r="J871" s="149"/>
      <c r="K871" s="149"/>
      <c r="L871" s="149"/>
      <c r="M871" s="142"/>
      <c r="N871" s="33"/>
    </row>
    <row r="872" ht="15.75" customHeight="1">
      <c r="A872" s="142"/>
      <c r="B872" s="143"/>
      <c r="C872" s="144"/>
      <c r="D872" s="145"/>
      <c r="E872" s="212"/>
      <c r="F872" s="174"/>
      <c r="G872" s="148"/>
      <c r="H872" s="148"/>
      <c r="I872" s="149"/>
      <c r="J872" s="149"/>
      <c r="K872" s="149"/>
      <c r="L872" s="149"/>
      <c r="M872" s="142"/>
      <c r="N872" s="33"/>
    </row>
    <row r="873" ht="15.75" customHeight="1">
      <c r="A873" s="142"/>
      <c r="B873" s="143"/>
      <c r="C873" s="144"/>
      <c r="D873" s="145"/>
      <c r="E873" s="212"/>
      <c r="F873" s="174"/>
      <c r="G873" s="148"/>
      <c r="H873" s="148"/>
      <c r="I873" s="149"/>
      <c r="J873" s="149"/>
      <c r="K873" s="149"/>
      <c r="L873" s="149"/>
      <c r="M873" s="142"/>
      <c r="N873" s="33"/>
    </row>
    <row r="874" ht="15.75" customHeight="1">
      <c r="A874" s="142"/>
      <c r="B874" s="143"/>
      <c r="C874" s="144"/>
      <c r="D874" s="145"/>
      <c r="E874" s="212"/>
      <c r="F874" s="174"/>
      <c r="G874" s="148"/>
      <c r="H874" s="148"/>
      <c r="I874" s="149"/>
      <c r="J874" s="149"/>
      <c r="K874" s="149"/>
      <c r="L874" s="149"/>
      <c r="M874" s="142"/>
      <c r="N874" s="33"/>
    </row>
    <row r="875" ht="15.75" customHeight="1">
      <c r="A875" s="142"/>
      <c r="B875" s="143"/>
      <c r="C875" s="144"/>
      <c r="D875" s="145"/>
      <c r="E875" s="212"/>
      <c r="F875" s="174"/>
      <c r="G875" s="148"/>
      <c r="H875" s="148"/>
      <c r="I875" s="149"/>
      <c r="J875" s="149"/>
      <c r="K875" s="149"/>
      <c r="L875" s="149"/>
      <c r="M875" s="142"/>
      <c r="N875" s="33"/>
    </row>
    <row r="876" ht="15.75" customHeight="1">
      <c r="A876" s="142"/>
      <c r="B876" s="143"/>
      <c r="C876" s="144"/>
      <c r="D876" s="145"/>
      <c r="E876" s="212"/>
      <c r="F876" s="174"/>
      <c r="G876" s="148"/>
      <c r="H876" s="148"/>
      <c r="I876" s="149"/>
      <c r="J876" s="149"/>
      <c r="K876" s="149"/>
      <c r="L876" s="149"/>
      <c r="M876" s="142"/>
      <c r="N876" s="33"/>
    </row>
    <row r="877" ht="15.75" customHeight="1">
      <c r="A877" s="142"/>
      <c r="B877" s="143"/>
      <c r="C877" s="144"/>
      <c r="D877" s="145"/>
      <c r="E877" s="212"/>
      <c r="F877" s="174"/>
      <c r="G877" s="148"/>
      <c r="H877" s="148"/>
      <c r="I877" s="149"/>
      <c r="J877" s="149"/>
      <c r="K877" s="149"/>
      <c r="L877" s="149"/>
      <c r="M877" s="142"/>
      <c r="N877" s="33"/>
    </row>
    <row r="878" ht="15.75" customHeight="1">
      <c r="A878" s="142"/>
      <c r="B878" s="143"/>
      <c r="C878" s="144"/>
      <c r="D878" s="145"/>
      <c r="E878" s="212"/>
      <c r="F878" s="174"/>
      <c r="G878" s="148"/>
      <c r="H878" s="148"/>
      <c r="I878" s="149"/>
      <c r="J878" s="149"/>
      <c r="K878" s="149"/>
      <c r="L878" s="149"/>
      <c r="M878" s="142"/>
      <c r="N878" s="33"/>
    </row>
    <row r="879" ht="15.75" customHeight="1">
      <c r="A879" s="142"/>
      <c r="B879" s="143"/>
      <c r="C879" s="144"/>
      <c r="D879" s="145"/>
      <c r="E879" s="212"/>
      <c r="F879" s="174"/>
      <c r="G879" s="148"/>
      <c r="H879" s="148"/>
      <c r="I879" s="149"/>
      <c r="J879" s="149"/>
      <c r="K879" s="149"/>
      <c r="L879" s="149"/>
      <c r="M879" s="142"/>
      <c r="N879" s="33"/>
    </row>
    <row r="880" ht="15.75" customHeight="1">
      <c r="A880" s="142"/>
      <c r="B880" s="143"/>
      <c r="C880" s="144"/>
      <c r="D880" s="145"/>
      <c r="E880" s="212"/>
      <c r="F880" s="174"/>
      <c r="G880" s="148"/>
      <c r="H880" s="148"/>
      <c r="I880" s="149"/>
      <c r="J880" s="149"/>
      <c r="K880" s="149"/>
      <c r="L880" s="149"/>
      <c r="M880" s="142"/>
      <c r="N880" s="33"/>
    </row>
    <row r="881" ht="15.75" customHeight="1">
      <c r="A881" s="142"/>
      <c r="B881" s="143"/>
      <c r="C881" s="144"/>
      <c r="D881" s="145"/>
      <c r="E881" s="212"/>
      <c r="F881" s="174"/>
      <c r="G881" s="148"/>
      <c r="H881" s="148"/>
      <c r="I881" s="149"/>
      <c r="J881" s="149"/>
      <c r="K881" s="149"/>
      <c r="L881" s="149"/>
      <c r="M881" s="142"/>
      <c r="N881" s="33"/>
    </row>
    <row r="882" ht="15.75" customHeight="1">
      <c r="A882" s="142"/>
      <c r="B882" s="143"/>
      <c r="C882" s="144"/>
      <c r="D882" s="145"/>
      <c r="E882" s="212"/>
      <c r="F882" s="174"/>
      <c r="G882" s="148"/>
      <c r="H882" s="148"/>
      <c r="I882" s="149"/>
      <c r="J882" s="149"/>
      <c r="K882" s="149"/>
      <c r="L882" s="149"/>
      <c r="M882" s="142"/>
      <c r="N882" s="33"/>
    </row>
    <row r="883" ht="15.75" customHeight="1">
      <c r="A883" s="142"/>
      <c r="B883" s="143"/>
      <c r="C883" s="144"/>
      <c r="D883" s="145"/>
      <c r="E883" s="212"/>
      <c r="F883" s="174"/>
      <c r="G883" s="148"/>
      <c r="H883" s="148"/>
      <c r="I883" s="149"/>
      <c r="J883" s="149"/>
      <c r="K883" s="149"/>
      <c r="L883" s="149"/>
      <c r="M883" s="142"/>
      <c r="N883" s="33"/>
    </row>
    <row r="884" ht="15.75" customHeight="1">
      <c r="A884" s="142"/>
      <c r="B884" s="143"/>
      <c r="C884" s="144"/>
      <c r="D884" s="145"/>
      <c r="E884" s="212"/>
      <c r="F884" s="174"/>
      <c r="G884" s="148"/>
      <c r="H884" s="148"/>
      <c r="I884" s="149"/>
      <c r="J884" s="149"/>
      <c r="K884" s="149"/>
      <c r="L884" s="149"/>
      <c r="M884" s="142"/>
      <c r="N884" s="33"/>
    </row>
    <row r="885" ht="15.75" customHeight="1">
      <c r="A885" s="142"/>
      <c r="B885" s="143"/>
      <c r="C885" s="144"/>
      <c r="D885" s="145"/>
      <c r="E885" s="212"/>
      <c r="F885" s="174"/>
      <c r="G885" s="148"/>
      <c r="H885" s="148"/>
      <c r="I885" s="149"/>
      <c r="J885" s="149"/>
      <c r="K885" s="149"/>
      <c r="L885" s="149"/>
      <c r="M885" s="142"/>
      <c r="N885" s="33"/>
    </row>
    <row r="886" ht="15.75" customHeight="1">
      <c r="A886" s="142"/>
      <c r="B886" s="143"/>
      <c r="C886" s="144"/>
      <c r="D886" s="145"/>
      <c r="E886" s="212"/>
      <c r="F886" s="174"/>
      <c r="G886" s="148"/>
      <c r="H886" s="148"/>
      <c r="I886" s="149"/>
      <c r="J886" s="149"/>
      <c r="K886" s="149"/>
      <c r="L886" s="149"/>
      <c r="M886" s="142"/>
      <c r="N886" s="33"/>
    </row>
    <row r="887" ht="15.75" customHeight="1">
      <c r="A887" s="142"/>
      <c r="B887" s="143"/>
      <c r="C887" s="144"/>
      <c r="D887" s="145"/>
      <c r="E887" s="212"/>
      <c r="F887" s="174"/>
      <c r="G887" s="148"/>
      <c r="H887" s="148"/>
      <c r="I887" s="149"/>
      <c r="J887" s="149"/>
      <c r="K887" s="149"/>
      <c r="L887" s="149"/>
      <c r="M887" s="142"/>
      <c r="N887" s="33"/>
    </row>
    <row r="888" ht="15.75" customHeight="1">
      <c r="A888" s="142"/>
      <c r="B888" s="143"/>
      <c r="C888" s="144"/>
      <c r="D888" s="145"/>
      <c r="E888" s="212"/>
      <c r="F888" s="174"/>
      <c r="G888" s="148"/>
      <c r="H888" s="148"/>
      <c r="I888" s="149"/>
      <c r="J888" s="149"/>
      <c r="K888" s="149"/>
      <c r="L888" s="149"/>
      <c r="M888" s="142"/>
      <c r="N888" s="33"/>
    </row>
    <row r="889" ht="15.75" customHeight="1">
      <c r="A889" s="142"/>
      <c r="B889" s="143"/>
      <c r="C889" s="144"/>
      <c r="D889" s="145"/>
      <c r="E889" s="212"/>
      <c r="F889" s="174"/>
      <c r="G889" s="148"/>
      <c r="H889" s="148"/>
      <c r="I889" s="149"/>
      <c r="J889" s="149"/>
      <c r="K889" s="149"/>
      <c r="L889" s="149"/>
      <c r="M889" s="142"/>
      <c r="N889" s="33"/>
    </row>
    <row r="890" ht="15.75" customHeight="1">
      <c r="A890" s="142"/>
      <c r="B890" s="143"/>
      <c r="C890" s="144"/>
      <c r="D890" s="145"/>
      <c r="E890" s="212"/>
      <c r="F890" s="174"/>
      <c r="G890" s="148"/>
      <c r="H890" s="148"/>
      <c r="I890" s="149"/>
      <c r="J890" s="149"/>
      <c r="K890" s="149"/>
      <c r="L890" s="149"/>
      <c r="M890" s="142"/>
      <c r="N890" s="33"/>
    </row>
    <row r="891" ht="15.75" customHeight="1">
      <c r="A891" s="142"/>
      <c r="B891" s="143"/>
      <c r="C891" s="144"/>
      <c r="D891" s="145"/>
      <c r="E891" s="212"/>
      <c r="F891" s="174"/>
      <c r="G891" s="148"/>
      <c r="H891" s="148"/>
      <c r="I891" s="149"/>
      <c r="J891" s="149"/>
      <c r="K891" s="149"/>
      <c r="L891" s="149"/>
      <c r="M891" s="142"/>
      <c r="N891" s="33"/>
    </row>
    <row r="892" ht="15.75" customHeight="1">
      <c r="A892" s="142"/>
      <c r="B892" s="143"/>
      <c r="C892" s="144"/>
      <c r="D892" s="145"/>
      <c r="E892" s="212"/>
      <c r="F892" s="174"/>
      <c r="G892" s="148"/>
      <c r="H892" s="148"/>
      <c r="I892" s="149"/>
      <c r="J892" s="149"/>
      <c r="K892" s="149"/>
      <c r="L892" s="149"/>
      <c r="M892" s="142"/>
      <c r="N892" s="33"/>
    </row>
    <row r="893" ht="15.75" customHeight="1">
      <c r="A893" s="142"/>
      <c r="B893" s="143"/>
      <c r="C893" s="144"/>
      <c r="D893" s="145"/>
      <c r="E893" s="212"/>
      <c r="F893" s="174"/>
      <c r="G893" s="148"/>
      <c r="H893" s="148"/>
      <c r="I893" s="149"/>
      <c r="J893" s="149"/>
      <c r="K893" s="149"/>
      <c r="L893" s="149"/>
      <c r="M893" s="142"/>
      <c r="N893" s="33"/>
    </row>
    <row r="894" ht="15.75" customHeight="1">
      <c r="A894" s="142"/>
      <c r="B894" s="143"/>
      <c r="C894" s="144"/>
      <c r="D894" s="145"/>
      <c r="E894" s="212"/>
      <c r="F894" s="174"/>
      <c r="G894" s="148"/>
      <c r="H894" s="148"/>
      <c r="I894" s="149"/>
      <c r="J894" s="149"/>
      <c r="K894" s="149"/>
      <c r="L894" s="149"/>
      <c r="M894" s="142"/>
      <c r="N894" s="33"/>
    </row>
    <row r="895" ht="15.75" customHeight="1">
      <c r="A895" s="142"/>
      <c r="B895" s="143"/>
      <c r="C895" s="144"/>
      <c r="D895" s="145"/>
      <c r="E895" s="212"/>
      <c r="F895" s="174"/>
      <c r="G895" s="148"/>
      <c r="H895" s="148"/>
      <c r="I895" s="149"/>
      <c r="J895" s="149"/>
      <c r="K895" s="149"/>
      <c r="L895" s="149"/>
      <c r="M895" s="142"/>
      <c r="N895" s="33"/>
    </row>
    <row r="896" ht="15.75" customHeight="1">
      <c r="A896" s="142"/>
      <c r="B896" s="143"/>
      <c r="C896" s="144"/>
      <c r="D896" s="145"/>
      <c r="E896" s="212"/>
      <c r="F896" s="174"/>
      <c r="G896" s="148"/>
      <c r="H896" s="148"/>
      <c r="I896" s="149"/>
      <c r="J896" s="149"/>
      <c r="K896" s="149"/>
      <c r="L896" s="149"/>
      <c r="M896" s="142"/>
      <c r="N896" s="33"/>
    </row>
    <row r="897" ht="15.75" customHeight="1">
      <c r="A897" s="142"/>
      <c r="B897" s="143"/>
      <c r="C897" s="144"/>
      <c r="D897" s="145"/>
      <c r="E897" s="212"/>
      <c r="F897" s="174"/>
      <c r="G897" s="148"/>
      <c r="H897" s="148"/>
      <c r="I897" s="149"/>
      <c r="J897" s="149"/>
      <c r="K897" s="149"/>
      <c r="L897" s="149"/>
      <c r="M897" s="142"/>
      <c r="N897" s="33"/>
    </row>
    <row r="898" ht="15.75" customHeight="1">
      <c r="A898" s="142"/>
      <c r="B898" s="143"/>
      <c r="C898" s="144"/>
      <c r="D898" s="145"/>
      <c r="E898" s="212"/>
      <c r="F898" s="174"/>
      <c r="G898" s="148"/>
      <c r="H898" s="148"/>
      <c r="I898" s="149"/>
      <c r="J898" s="149"/>
      <c r="K898" s="149"/>
      <c r="L898" s="149"/>
      <c r="M898" s="142"/>
      <c r="N898" s="33"/>
    </row>
    <row r="899" ht="15.75" customHeight="1">
      <c r="A899" s="142"/>
      <c r="B899" s="143"/>
      <c r="C899" s="144"/>
      <c r="D899" s="145"/>
      <c r="E899" s="212"/>
      <c r="F899" s="174"/>
      <c r="G899" s="148"/>
      <c r="H899" s="148"/>
      <c r="I899" s="149"/>
      <c r="J899" s="149"/>
      <c r="K899" s="149"/>
      <c r="L899" s="149"/>
      <c r="M899" s="142"/>
      <c r="N899" s="33"/>
    </row>
    <row r="900" ht="15.75" customHeight="1">
      <c r="A900" s="142"/>
      <c r="B900" s="143"/>
      <c r="C900" s="144"/>
      <c r="D900" s="145"/>
      <c r="E900" s="212"/>
      <c r="F900" s="174"/>
      <c r="G900" s="148"/>
      <c r="H900" s="148"/>
      <c r="I900" s="149"/>
      <c r="J900" s="149"/>
      <c r="K900" s="149"/>
      <c r="L900" s="149"/>
      <c r="M900" s="142"/>
      <c r="N900" s="33"/>
    </row>
    <row r="901" ht="15.75" customHeight="1">
      <c r="A901" s="142"/>
      <c r="B901" s="143"/>
      <c r="C901" s="144"/>
      <c r="D901" s="145"/>
      <c r="E901" s="212"/>
      <c r="F901" s="174"/>
      <c r="G901" s="148"/>
      <c r="H901" s="148"/>
      <c r="I901" s="149"/>
      <c r="J901" s="149"/>
      <c r="K901" s="149"/>
      <c r="L901" s="149"/>
      <c r="M901" s="142"/>
      <c r="N901" s="33"/>
    </row>
    <row r="902" ht="15.75" customHeight="1">
      <c r="A902" s="142"/>
      <c r="B902" s="143"/>
      <c r="C902" s="144"/>
      <c r="D902" s="145"/>
      <c r="E902" s="212"/>
      <c r="F902" s="174"/>
      <c r="G902" s="148"/>
      <c r="H902" s="148"/>
      <c r="I902" s="149"/>
      <c r="J902" s="149"/>
      <c r="K902" s="149"/>
      <c r="L902" s="149"/>
      <c r="M902" s="142"/>
      <c r="N902" s="33"/>
    </row>
    <row r="903" ht="15.75" customHeight="1">
      <c r="A903" s="142"/>
      <c r="B903" s="143"/>
      <c r="C903" s="144"/>
      <c r="D903" s="145"/>
      <c r="E903" s="212"/>
      <c r="F903" s="174"/>
      <c r="G903" s="148"/>
      <c r="H903" s="148"/>
      <c r="I903" s="149"/>
      <c r="J903" s="149"/>
      <c r="K903" s="149"/>
      <c r="L903" s="149"/>
      <c r="M903" s="142"/>
      <c r="N903" s="33"/>
    </row>
    <row r="904" ht="15.75" customHeight="1">
      <c r="A904" s="142"/>
      <c r="B904" s="143"/>
      <c r="C904" s="144"/>
      <c r="D904" s="145"/>
      <c r="E904" s="212"/>
      <c r="F904" s="174"/>
      <c r="G904" s="148"/>
      <c r="H904" s="148"/>
      <c r="I904" s="149"/>
      <c r="J904" s="149"/>
      <c r="K904" s="149"/>
      <c r="L904" s="149"/>
      <c r="M904" s="142"/>
      <c r="N904" s="33"/>
    </row>
    <row r="905" ht="15.75" customHeight="1">
      <c r="A905" s="142"/>
      <c r="B905" s="143"/>
      <c r="C905" s="144"/>
      <c r="D905" s="145"/>
      <c r="E905" s="212"/>
      <c r="F905" s="174"/>
      <c r="G905" s="148"/>
      <c r="H905" s="148"/>
      <c r="I905" s="149"/>
      <c r="J905" s="149"/>
      <c r="K905" s="149"/>
      <c r="L905" s="149"/>
      <c r="M905" s="142"/>
      <c r="N905" s="33"/>
    </row>
    <row r="906" ht="15.75" customHeight="1">
      <c r="A906" s="142"/>
      <c r="B906" s="143"/>
      <c r="C906" s="144"/>
      <c r="D906" s="145"/>
      <c r="E906" s="212"/>
      <c r="F906" s="174"/>
      <c r="G906" s="148"/>
      <c r="H906" s="148"/>
      <c r="I906" s="149"/>
      <c r="J906" s="149"/>
      <c r="K906" s="149"/>
      <c r="L906" s="149"/>
      <c r="M906" s="142"/>
      <c r="N906" s="33"/>
    </row>
    <row r="907" ht="15.75" customHeight="1">
      <c r="A907" s="142"/>
      <c r="B907" s="143"/>
      <c r="C907" s="144"/>
      <c r="D907" s="145"/>
      <c r="E907" s="212"/>
      <c r="F907" s="174"/>
      <c r="G907" s="148"/>
      <c r="H907" s="148"/>
      <c r="I907" s="149"/>
      <c r="J907" s="149"/>
      <c r="K907" s="149"/>
      <c r="L907" s="149"/>
      <c r="M907" s="142"/>
      <c r="N907" s="33"/>
    </row>
    <row r="908" ht="15.75" customHeight="1">
      <c r="A908" s="142"/>
      <c r="B908" s="143"/>
      <c r="C908" s="144"/>
      <c r="D908" s="145"/>
      <c r="E908" s="212"/>
      <c r="F908" s="174"/>
      <c r="G908" s="148"/>
      <c r="H908" s="148"/>
      <c r="I908" s="149"/>
      <c r="J908" s="149"/>
      <c r="K908" s="149"/>
      <c r="L908" s="149"/>
      <c r="M908" s="142"/>
      <c r="N908" s="33"/>
    </row>
    <row r="909" ht="15.75" customHeight="1">
      <c r="A909" s="142"/>
      <c r="B909" s="143"/>
      <c r="C909" s="144"/>
      <c r="D909" s="145"/>
      <c r="E909" s="212"/>
      <c r="F909" s="174"/>
      <c r="G909" s="148"/>
      <c r="H909" s="148"/>
      <c r="I909" s="149"/>
      <c r="J909" s="149"/>
      <c r="K909" s="149"/>
      <c r="L909" s="149"/>
      <c r="M909" s="142"/>
      <c r="N909" s="33"/>
    </row>
    <row r="910" ht="15.75" customHeight="1">
      <c r="A910" s="142"/>
      <c r="B910" s="143"/>
      <c r="C910" s="144"/>
      <c r="D910" s="145"/>
      <c r="E910" s="212"/>
      <c r="F910" s="174"/>
      <c r="G910" s="148"/>
      <c r="H910" s="148"/>
      <c r="I910" s="149"/>
      <c r="J910" s="149"/>
      <c r="K910" s="149"/>
      <c r="L910" s="149"/>
      <c r="M910" s="142"/>
      <c r="N910" s="33"/>
    </row>
    <row r="911" ht="15.75" customHeight="1">
      <c r="A911" s="142"/>
      <c r="B911" s="143"/>
      <c r="C911" s="144"/>
      <c r="D911" s="145"/>
      <c r="E911" s="212"/>
      <c r="F911" s="174"/>
      <c r="G911" s="148"/>
      <c r="H911" s="148"/>
      <c r="I911" s="149"/>
      <c r="J911" s="149"/>
      <c r="K911" s="149"/>
      <c r="L911" s="149"/>
      <c r="M911" s="142"/>
      <c r="N911" s="33"/>
    </row>
    <row r="912" ht="15.75" customHeight="1">
      <c r="A912" s="142"/>
      <c r="B912" s="143"/>
      <c r="C912" s="144"/>
      <c r="D912" s="145"/>
      <c r="E912" s="212"/>
      <c r="F912" s="174"/>
      <c r="G912" s="148"/>
      <c r="H912" s="148"/>
      <c r="I912" s="149"/>
      <c r="J912" s="149"/>
      <c r="K912" s="149"/>
      <c r="L912" s="149"/>
      <c r="M912" s="142"/>
      <c r="N912" s="33"/>
    </row>
    <row r="913" ht="15.75" customHeight="1">
      <c r="A913" s="142"/>
      <c r="B913" s="143"/>
      <c r="C913" s="144"/>
      <c r="D913" s="145"/>
      <c r="E913" s="212"/>
      <c r="F913" s="174"/>
      <c r="G913" s="148"/>
      <c r="H913" s="148"/>
      <c r="I913" s="149"/>
      <c r="J913" s="149"/>
      <c r="K913" s="149"/>
      <c r="L913" s="149"/>
      <c r="M913" s="142"/>
      <c r="N913" s="33"/>
    </row>
    <row r="914" ht="15.75" customHeight="1">
      <c r="A914" s="142"/>
      <c r="B914" s="143"/>
      <c r="C914" s="144"/>
      <c r="D914" s="145"/>
      <c r="E914" s="212"/>
      <c r="F914" s="174"/>
      <c r="G914" s="148"/>
      <c r="H914" s="148"/>
      <c r="I914" s="149"/>
      <c r="J914" s="149"/>
      <c r="K914" s="149"/>
      <c r="L914" s="149"/>
      <c r="M914" s="142"/>
      <c r="N914" s="33"/>
    </row>
    <row r="915" ht="15.75" customHeight="1">
      <c r="A915" s="142"/>
      <c r="B915" s="143"/>
      <c r="C915" s="144"/>
      <c r="D915" s="145"/>
      <c r="E915" s="212"/>
      <c r="F915" s="174"/>
      <c r="G915" s="148"/>
      <c r="H915" s="148"/>
      <c r="I915" s="149"/>
      <c r="J915" s="149"/>
      <c r="K915" s="149"/>
      <c r="L915" s="149"/>
      <c r="M915" s="142"/>
      <c r="N915" s="33"/>
    </row>
    <row r="916" ht="15.75" customHeight="1">
      <c r="A916" s="142"/>
      <c r="B916" s="143"/>
      <c r="C916" s="144"/>
      <c r="D916" s="145"/>
      <c r="E916" s="212"/>
      <c r="F916" s="174"/>
      <c r="G916" s="148"/>
      <c r="H916" s="148"/>
      <c r="I916" s="149"/>
      <c r="J916" s="149"/>
      <c r="K916" s="149"/>
      <c r="L916" s="149"/>
      <c r="M916" s="142"/>
      <c r="N916" s="33"/>
    </row>
    <row r="917" ht="15.75" customHeight="1">
      <c r="A917" s="142"/>
      <c r="B917" s="143"/>
      <c r="C917" s="144"/>
      <c r="D917" s="145"/>
      <c r="E917" s="212"/>
      <c r="F917" s="174"/>
      <c r="G917" s="148"/>
      <c r="H917" s="148"/>
      <c r="I917" s="149"/>
      <c r="J917" s="149"/>
      <c r="K917" s="149"/>
      <c r="L917" s="149"/>
      <c r="M917" s="142"/>
      <c r="N917" s="33"/>
    </row>
    <row r="918" ht="15.75" customHeight="1">
      <c r="A918" s="142"/>
      <c r="B918" s="143"/>
      <c r="C918" s="144"/>
      <c r="D918" s="145"/>
      <c r="E918" s="212"/>
      <c r="F918" s="174"/>
      <c r="G918" s="148"/>
      <c r="H918" s="148"/>
      <c r="I918" s="149"/>
      <c r="J918" s="149"/>
      <c r="K918" s="149"/>
      <c r="L918" s="149"/>
      <c r="M918" s="142"/>
      <c r="N918" s="33"/>
    </row>
    <row r="919" ht="15.75" customHeight="1">
      <c r="A919" s="142"/>
      <c r="B919" s="143"/>
      <c r="C919" s="144"/>
      <c r="D919" s="145"/>
      <c r="E919" s="212"/>
      <c r="F919" s="174"/>
      <c r="G919" s="148"/>
      <c r="H919" s="148"/>
      <c r="I919" s="149"/>
      <c r="J919" s="149"/>
      <c r="K919" s="149"/>
      <c r="L919" s="149"/>
      <c r="M919" s="142"/>
      <c r="N919" s="33"/>
    </row>
    <row r="920" ht="15.75" customHeight="1">
      <c r="A920" s="142"/>
      <c r="B920" s="143"/>
      <c r="C920" s="144"/>
      <c r="D920" s="145"/>
      <c r="E920" s="212"/>
      <c r="F920" s="174"/>
      <c r="G920" s="148"/>
      <c r="H920" s="148"/>
      <c r="I920" s="149"/>
      <c r="J920" s="149"/>
      <c r="K920" s="149"/>
      <c r="L920" s="149"/>
      <c r="M920" s="142"/>
      <c r="N920" s="33"/>
    </row>
    <row r="921" ht="15.75" customHeight="1">
      <c r="A921" s="142"/>
      <c r="B921" s="143"/>
      <c r="C921" s="144"/>
      <c r="D921" s="145"/>
      <c r="E921" s="212"/>
      <c r="F921" s="174"/>
      <c r="G921" s="148"/>
      <c r="H921" s="148"/>
      <c r="I921" s="149"/>
      <c r="J921" s="149"/>
      <c r="K921" s="149"/>
      <c r="L921" s="149"/>
      <c r="M921" s="142"/>
      <c r="N921" s="33"/>
    </row>
    <row r="922" ht="15.75" customHeight="1">
      <c r="A922" s="142"/>
      <c r="B922" s="143"/>
      <c r="C922" s="144"/>
      <c r="D922" s="145"/>
      <c r="E922" s="212"/>
      <c r="F922" s="174"/>
      <c r="G922" s="148"/>
      <c r="H922" s="148"/>
      <c r="I922" s="149"/>
      <c r="J922" s="149"/>
      <c r="K922" s="149"/>
      <c r="L922" s="149"/>
      <c r="M922" s="142"/>
      <c r="N922" s="33"/>
    </row>
    <row r="923" ht="15.75" customHeight="1">
      <c r="A923" s="142"/>
      <c r="B923" s="143"/>
      <c r="C923" s="144"/>
      <c r="D923" s="145"/>
      <c r="E923" s="212"/>
      <c r="F923" s="174"/>
      <c r="G923" s="148"/>
      <c r="H923" s="148"/>
      <c r="I923" s="149"/>
      <c r="J923" s="149"/>
      <c r="K923" s="149"/>
      <c r="L923" s="149"/>
      <c r="M923" s="142"/>
      <c r="N923" s="33"/>
    </row>
    <row r="924" ht="15.75" customHeight="1">
      <c r="A924" s="142"/>
      <c r="B924" s="143"/>
      <c r="C924" s="144"/>
      <c r="D924" s="145"/>
      <c r="E924" s="212"/>
      <c r="F924" s="174"/>
      <c r="G924" s="148"/>
      <c r="H924" s="148"/>
      <c r="I924" s="149"/>
      <c r="J924" s="149"/>
      <c r="K924" s="149"/>
      <c r="L924" s="149"/>
      <c r="M924" s="142"/>
      <c r="N924" s="33"/>
    </row>
    <row r="925" ht="15.75" customHeight="1">
      <c r="A925" s="142"/>
      <c r="B925" s="143"/>
      <c r="C925" s="144"/>
      <c r="D925" s="145"/>
      <c r="E925" s="212"/>
      <c r="F925" s="174"/>
      <c r="G925" s="148"/>
      <c r="H925" s="148"/>
      <c r="I925" s="149"/>
      <c r="J925" s="149"/>
      <c r="K925" s="149"/>
      <c r="L925" s="149"/>
      <c r="M925" s="142"/>
      <c r="N925" s="33"/>
    </row>
    <row r="926" ht="15.75" customHeight="1">
      <c r="A926" s="142"/>
      <c r="B926" s="143"/>
      <c r="C926" s="144"/>
      <c r="D926" s="145"/>
      <c r="E926" s="212"/>
      <c r="F926" s="174"/>
      <c r="G926" s="148"/>
      <c r="H926" s="148"/>
      <c r="I926" s="149"/>
      <c r="J926" s="149"/>
      <c r="K926" s="149"/>
      <c r="L926" s="149"/>
      <c r="M926" s="142"/>
      <c r="N926" s="33"/>
    </row>
    <row r="927" ht="15.75" customHeight="1">
      <c r="A927" s="142"/>
      <c r="B927" s="143"/>
      <c r="C927" s="144"/>
      <c r="D927" s="145"/>
      <c r="E927" s="212"/>
      <c r="F927" s="174"/>
      <c r="G927" s="148"/>
      <c r="H927" s="148"/>
      <c r="I927" s="149"/>
      <c r="J927" s="149"/>
      <c r="K927" s="149"/>
      <c r="L927" s="149"/>
      <c r="M927" s="142"/>
      <c r="N927" s="33"/>
    </row>
    <row r="928" ht="15.75" customHeight="1">
      <c r="A928" s="142"/>
      <c r="B928" s="143"/>
      <c r="C928" s="144"/>
      <c r="D928" s="145"/>
      <c r="E928" s="212"/>
      <c r="F928" s="174"/>
      <c r="G928" s="148"/>
      <c r="H928" s="148"/>
      <c r="I928" s="149"/>
      <c r="J928" s="149"/>
      <c r="K928" s="149"/>
      <c r="L928" s="149"/>
      <c r="M928" s="142"/>
      <c r="N928" s="33"/>
    </row>
    <row r="929" ht="15.75" customHeight="1">
      <c r="A929" s="142"/>
      <c r="B929" s="143"/>
      <c r="C929" s="144"/>
      <c r="D929" s="145"/>
      <c r="E929" s="212"/>
      <c r="F929" s="174"/>
      <c r="G929" s="148"/>
      <c r="H929" s="148"/>
      <c r="I929" s="149"/>
      <c r="J929" s="149"/>
      <c r="K929" s="149"/>
      <c r="L929" s="149"/>
      <c r="M929" s="142"/>
      <c r="N929" s="33"/>
    </row>
    <row r="930" ht="15.75" customHeight="1">
      <c r="A930" s="142"/>
      <c r="B930" s="143"/>
      <c r="C930" s="144"/>
      <c r="D930" s="145"/>
      <c r="E930" s="212"/>
      <c r="F930" s="174"/>
      <c r="G930" s="148"/>
      <c r="H930" s="148"/>
      <c r="I930" s="149"/>
      <c r="J930" s="149"/>
      <c r="K930" s="149"/>
      <c r="L930" s="149"/>
      <c r="M930" s="142"/>
      <c r="N930" s="33"/>
    </row>
    <row r="931" ht="15.75" customHeight="1">
      <c r="A931" s="142"/>
      <c r="B931" s="143"/>
      <c r="C931" s="144"/>
      <c r="D931" s="145"/>
      <c r="E931" s="212"/>
      <c r="F931" s="174"/>
      <c r="G931" s="148"/>
      <c r="H931" s="148"/>
      <c r="I931" s="149"/>
      <c r="J931" s="149"/>
      <c r="K931" s="149"/>
      <c r="L931" s="149"/>
      <c r="M931" s="142"/>
      <c r="N931" s="33"/>
    </row>
    <row r="932" ht="15.75" customHeight="1">
      <c r="A932" s="142"/>
      <c r="B932" s="143"/>
      <c r="C932" s="144"/>
      <c r="D932" s="145"/>
      <c r="E932" s="212"/>
      <c r="F932" s="174"/>
      <c r="G932" s="148"/>
      <c r="H932" s="148"/>
      <c r="I932" s="149"/>
      <c r="J932" s="149"/>
      <c r="K932" s="149"/>
      <c r="L932" s="149"/>
      <c r="M932" s="142"/>
      <c r="N932" s="33"/>
    </row>
    <row r="933" ht="15.75" customHeight="1">
      <c r="A933" s="142"/>
      <c r="B933" s="143"/>
      <c r="C933" s="144"/>
      <c r="D933" s="145"/>
      <c r="E933" s="212"/>
      <c r="F933" s="174"/>
      <c r="G933" s="148"/>
      <c r="H933" s="148"/>
      <c r="I933" s="149"/>
      <c r="J933" s="149"/>
      <c r="K933" s="149"/>
      <c r="L933" s="149"/>
      <c r="M933" s="142"/>
      <c r="N933" s="33"/>
    </row>
  </sheetData>
  <mergeCells count="10">
    <mergeCell ref="I1:J1"/>
    <mergeCell ref="K1:L1"/>
    <mergeCell ref="M1:M2"/>
    <mergeCell ref="A1:A2"/>
    <mergeCell ref="B1:B2"/>
    <mergeCell ref="C1:C2"/>
    <mergeCell ref="D1:D2"/>
    <mergeCell ref="E1:E2"/>
    <mergeCell ref="F1:F2"/>
    <mergeCell ref="G1:H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2021-10-11T10:31:20Z</dcterms:created>
  <dc:creator>i5 7thgen</dc:creator>
</cp:coreProperties>
</file>